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earns\Documents\Projects 24\AI Obligations POC\Grant_Management-Main\Grant-Management\"/>
    </mc:Choice>
  </mc:AlternateContent>
  <xr:revisionPtr revIDLastSave="0" documentId="13_ncr:1_{6E8A2FB0-DBE1-431F-B5F2-2873735E5170}" xr6:coauthVersionLast="47" xr6:coauthVersionMax="47" xr10:uidLastSave="{00000000-0000-0000-0000-000000000000}"/>
  <bookViews>
    <workbookView xWindow="-110" yWindow="-110" windowWidth="19420" windowHeight="10300" xr2:uid="{37A10597-0EDE-41C4-A3C8-84E92D84B3A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73" i="1" l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D5308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J2647" i="1" s="1"/>
  <c r="E2648" i="1"/>
  <c r="J2648" i="1" s="1"/>
  <c r="E2649" i="1"/>
  <c r="J2649" i="1" s="1"/>
  <c r="E2650" i="1"/>
  <c r="E2651" i="1"/>
  <c r="E2652" i="1"/>
  <c r="E2653" i="1"/>
  <c r="E2654" i="1"/>
  <c r="E2655" i="1"/>
  <c r="E2656" i="1"/>
  <c r="E2657" i="1"/>
  <c r="E2658" i="1"/>
  <c r="E2659" i="1"/>
  <c r="E2660" i="1"/>
  <c r="J2660" i="1" s="1"/>
  <c r="E2661" i="1"/>
  <c r="E2662" i="1"/>
  <c r="J2662" i="1" s="1"/>
  <c r="E2663" i="1"/>
  <c r="J2663" i="1" s="1"/>
  <c r="E2664" i="1"/>
  <c r="E2665" i="1"/>
  <c r="E2666" i="1"/>
  <c r="E2667" i="1"/>
  <c r="E2668" i="1"/>
  <c r="E2669" i="1"/>
  <c r="E2670" i="1"/>
  <c r="E2671" i="1"/>
  <c r="D2671" i="1"/>
  <c r="E2456" i="1"/>
  <c r="E2457" i="1"/>
  <c r="E2458" i="1"/>
  <c r="E2459" i="1"/>
  <c r="E2460" i="1"/>
  <c r="E2461" i="1"/>
  <c r="E2462" i="1"/>
  <c r="E2463" i="1"/>
  <c r="J2463" i="1" s="1"/>
  <c r="E2464" i="1"/>
  <c r="E2465" i="1"/>
  <c r="J2465" i="1" s="1"/>
  <c r="E2466" i="1"/>
  <c r="J2466" i="1" s="1"/>
  <c r="E2467" i="1"/>
  <c r="J2467" i="1" s="1"/>
  <c r="E2468" i="1"/>
  <c r="J2468" i="1" s="1"/>
  <c r="E2469" i="1"/>
  <c r="E2470" i="1"/>
  <c r="E2471" i="1"/>
  <c r="E2472" i="1"/>
  <c r="E2473" i="1"/>
  <c r="E2474" i="1"/>
  <c r="E2475" i="1"/>
  <c r="J2475" i="1" s="1"/>
  <c r="E2476" i="1"/>
  <c r="E2477" i="1"/>
  <c r="J2477" i="1" s="1"/>
  <c r="E2478" i="1"/>
  <c r="E2479" i="1"/>
  <c r="E2480" i="1"/>
  <c r="J2480" i="1" s="1"/>
  <c r="E2481" i="1"/>
  <c r="J2481" i="1" s="1"/>
  <c r="E2482" i="1"/>
  <c r="J2482" i="1" s="1"/>
  <c r="E2483" i="1"/>
  <c r="E2484" i="1"/>
  <c r="E2485" i="1"/>
  <c r="E2486" i="1"/>
  <c r="E2487" i="1"/>
  <c r="E2488" i="1"/>
  <c r="E2489" i="1"/>
  <c r="E2490" i="1"/>
  <c r="E2491" i="1"/>
  <c r="D2491" i="1"/>
  <c r="D2017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J2005" i="1" s="1"/>
  <c r="E2006" i="1"/>
  <c r="E2007" i="1"/>
  <c r="E2008" i="1"/>
  <c r="E2009" i="1"/>
  <c r="E2010" i="1"/>
  <c r="E2011" i="1"/>
  <c r="E2012" i="1"/>
  <c r="E2013" i="1"/>
  <c r="E2014" i="1"/>
  <c r="E2015" i="1"/>
  <c r="J2015" i="1" s="1"/>
  <c r="E2016" i="1"/>
  <c r="E2017" i="1"/>
  <c r="E1993" i="1"/>
  <c r="D2014" i="1"/>
  <c r="D2015" i="1"/>
  <c r="D2016" i="1"/>
  <c r="E5382" i="1"/>
  <c r="E5383" i="1"/>
  <c r="E5384" i="1"/>
  <c r="E5385" i="1"/>
  <c r="E5386" i="1"/>
  <c r="E5387" i="1"/>
  <c r="E5388" i="1"/>
  <c r="E5389" i="1"/>
  <c r="E5390" i="1"/>
  <c r="E5391" i="1"/>
  <c r="E5392" i="1"/>
  <c r="E5381" i="1"/>
  <c r="I4561" i="1"/>
  <c r="J4561" i="1" s="1"/>
  <c r="H4561" i="1"/>
  <c r="G4561" i="1"/>
  <c r="F4561" i="1"/>
  <c r="I4560" i="1"/>
  <c r="J4560" i="1" s="1"/>
  <c r="H4560" i="1"/>
  <c r="G4560" i="1"/>
  <c r="F4560" i="1"/>
  <c r="I4559" i="1"/>
  <c r="J4559" i="1" s="1"/>
  <c r="H4559" i="1"/>
  <c r="G4559" i="1"/>
  <c r="F4559" i="1"/>
  <c r="I4558" i="1"/>
  <c r="J4558" i="1" s="1"/>
  <c r="H4558" i="1"/>
  <c r="G4558" i="1"/>
  <c r="F4558" i="1"/>
  <c r="I4557" i="1"/>
  <c r="J4557" i="1" s="1"/>
  <c r="H4557" i="1"/>
  <c r="G4557" i="1"/>
  <c r="F4557" i="1"/>
  <c r="I4556" i="1"/>
  <c r="J4556" i="1" s="1"/>
  <c r="H4556" i="1"/>
  <c r="G4556" i="1"/>
  <c r="F4556" i="1"/>
  <c r="I4555" i="1"/>
  <c r="J4555" i="1" s="1"/>
  <c r="H4555" i="1"/>
  <c r="G4555" i="1"/>
  <c r="F4555" i="1"/>
  <c r="J4554" i="1"/>
  <c r="I4554" i="1"/>
  <c r="H4554" i="1"/>
  <c r="G4554" i="1"/>
  <c r="F4554" i="1"/>
  <c r="J4553" i="1"/>
  <c r="I4553" i="1"/>
  <c r="H4553" i="1"/>
  <c r="G4553" i="1"/>
  <c r="F4553" i="1"/>
  <c r="I4552" i="1"/>
  <c r="J4552" i="1" s="1"/>
  <c r="H4552" i="1"/>
  <c r="G4552" i="1"/>
  <c r="F4552" i="1"/>
  <c r="J4551" i="1"/>
  <c r="I4551" i="1"/>
  <c r="H4551" i="1"/>
  <c r="G4551" i="1"/>
  <c r="F4551" i="1"/>
  <c r="I4550" i="1"/>
  <c r="J4550" i="1" s="1"/>
  <c r="H4550" i="1"/>
  <c r="G4550" i="1"/>
  <c r="F4550" i="1"/>
  <c r="I4549" i="1"/>
  <c r="J4549" i="1" s="1"/>
  <c r="H4549" i="1"/>
  <c r="G4549" i="1"/>
  <c r="F4549" i="1"/>
  <c r="J4548" i="1"/>
  <c r="I4548" i="1"/>
  <c r="H4548" i="1"/>
  <c r="G4548" i="1"/>
  <c r="F4548" i="1"/>
  <c r="J4547" i="1"/>
  <c r="I4547" i="1"/>
  <c r="H4547" i="1"/>
  <c r="G4547" i="1"/>
  <c r="F4547" i="1"/>
  <c r="J4546" i="1"/>
  <c r="I4546" i="1"/>
  <c r="H4546" i="1"/>
  <c r="G4546" i="1"/>
  <c r="F4546" i="1"/>
  <c r="I4545" i="1"/>
  <c r="J4545" i="1" s="1"/>
  <c r="H4545" i="1"/>
  <c r="G4545" i="1"/>
  <c r="F4545" i="1"/>
  <c r="I4544" i="1"/>
  <c r="J4544" i="1" s="1"/>
  <c r="H4544" i="1"/>
  <c r="G4544" i="1"/>
  <c r="F4544" i="1"/>
  <c r="I4543" i="1"/>
  <c r="J4543" i="1" s="1"/>
  <c r="H4543" i="1"/>
  <c r="G4543" i="1"/>
  <c r="F4543" i="1"/>
  <c r="I4542" i="1"/>
  <c r="J4542" i="1" s="1"/>
  <c r="H4542" i="1"/>
  <c r="G4542" i="1"/>
  <c r="F4542" i="1"/>
  <c r="J4541" i="1"/>
  <c r="I4541" i="1"/>
  <c r="H4541" i="1"/>
  <c r="G4541" i="1"/>
  <c r="F4541" i="1"/>
  <c r="J4540" i="1"/>
  <c r="I4540" i="1"/>
  <c r="H4540" i="1"/>
  <c r="G4540" i="1"/>
  <c r="F4540" i="1"/>
  <c r="J4539" i="1"/>
  <c r="I4539" i="1"/>
  <c r="H4539" i="1"/>
  <c r="G4539" i="1"/>
  <c r="F4539" i="1"/>
  <c r="I4538" i="1"/>
  <c r="J4538" i="1" s="1"/>
  <c r="H4538" i="1"/>
  <c r="G4538" i="1"/>
  <c r="F4538" i="1"/>
  <c r="J4537" i="1"/>
  <c r="I4537" i="1"/>
  <c r="H4537" i="1"/>
  <c r="G4537" i="1"/>
  <c r="F4537" i="1"/>
  <c r="I4536" i="1"/>
  <c r="J4536" i="1" s="1"/>
  <c r="H4536" i="1"/>
  <c r="G4536" i="1"/>
  <c r="F4536" i="1"/>
  <c r="I4535" i="1"/>
  <c r="J4535" i="1" s="1"/>
  <c r="H4535" i="1"/>
  <c r="G4535" i="1"/>
  <c r="F4535" i="1"/>
  <c r="J4534" i="1"/>
  <c r="I4534" i="1"/>
  <c r="H4534" i="1"/>
  <c r="G4534" i="1"/>
  <c r="F4534" i="1"/>
  <c r="J4533" i="1"/>
  <c r="I4533" i="1"/>
  <c r="H4533" i="1"/>
  <c r="G4533" i="1"/>
  <c r="F4533" i="1"/>
  <c r="J4532" i="1"/>
  <c r="I4532" i="1"/>
  <c r="H4532" i="1"/>
  <c r="G4532" i="1"/>
  <c r="F4532" i="1"/>
  <c r="I4531" i="1"/>
  <c r="J4531" i="1" s="1"/>
  <c r="H4531" i="1"/>
  <c r="G4531" i="1"/>
  <c r="F4531" i="1"/>
  <c r="I4530" i="1"/>
  <c r="J4530" i="1" s="1"/>
  <c r="H4530" i="1"/>
  <c r="G4530" i="1"/>
  <c r="F4530" i="1"/>
  <c r="I4529" i="1"/>
  <c r="J4529" i="1" s="1"/>
  <c r="H4529" i="1"/>
  <c r="G4529" i="1"/>
  <c r="F4529" i="1"/>
  <c r="I4528" i="1"/>
  <c r="J4528" i="1" s="1"/>
  <c r="H4528" i="1"/>
  <c r="G4528" i="1"/>
  <c r="F4528" i="1"/>
  <c r="J4527" i="1"/>
  <c r="I4527" i="1"/>
  <c r="H4527" i="1"/>
  <c r="G4527" i="1"/>
  <c r="F4527" i="1"/>
  <c r="J4526" i="1"/>
  <c r="I4526" i="1"/>
  <c r="H4526" i="1"/>
  <c r="G4526" i="1"/>
  <c r="F4526" i="1"/>
  <c r="J4525" i="1"/>
  <c r="I4525" i="1"/>
  <c r="H4525" i="1"/>
  <c r="G4525" i="1"/>
  <c r="F4525" i="1"/>
  <c r="I4524" i="1"/>
  <c r="J4524" i="1" s="1"/>
  <c r="H4524" i="1"/>
  <c r="G4524" i="1"/>
  <c r="F4524" i="1"/>
  <c r="J4523" i="1"/>
  <c r="I4523" i="1"/>
  <c r="H4523" i="1"/>
  <c r="G4523" i="1"/>
  <c r="F4523" i="1"/>
  <c r="I4522" i="1"/>
  <c r="J4522" i="1" s="1"/>
  <c r="H4522" i="1"/>
  <c r="G4522" i="1"/>
  <c r="F4522" i="1"/>
  <c r="I4521" i="1"/>
  <c r="J4521" i="1" s="1"/>
  <c r="H4521" i="1"/>
  <c r="G4521" i="1"/>
  <c r="F4521" i="1"/>
  <c r="J4520" i="1"/>
  <c r="I4520" i="1"/>
  <c r="H4520" i="1"/>
  <c r="G4520" i="1"/>
  <c r="F4520" i="1"/>
  <c r="J4519" i="1"/>
  <c r="I4519" i="1"/>
  <c r="H4519" i="1"/>
  <c r="G4519" i="1"/>
  <c r="F4519" i="1"/>
  <c r="J4518" i="1"/>
  <c r="I4518" i="1"/>
  <c r="H4518" i="1"/>
  <c r="G4518" i="1"/>
  <c r="F4518" i="1"/>
  <c r="I4517" i="1"/>
  <c r="J4517" i="1" s="1"/>
  <c r="H4517" i="1"/>
  <c r="G4517" i="1"/>
  <c r="F4517" i="1"/>
  <c r="I4516" i="1"/>
  <c r="J4516" i="1" s="1"/>
  <c r="H4516" i="1"/>
  <c r="G4516" i="1"/>
  <c r="F4516" i="1"/>
  <c r="I4515" i="1"/>
  <c r="J4515" i="1" s="1"/>
  <c r="H4515" i="1"/>
  <c r="G4515" i="1"/>
  <c r="F4515" i="1"/>
  <c r="I4514" i="1"/>
  <c r="J4514" i="1" s="1"/>
  <c r="H4514" i="1"/>
  <c r="G4514" i="1"/>
  <c r="F4514" i="1"/>
  <c r="J4513" i="1"/>
  <c r="I4513" i="1"/>
  <c r="H4513" i="1"/>
  <c r="G4513" i="1"/>
  <c r="F4513" i="1"/>
  <c r="J4512" i="1"/>
  <c r="I4512" i="1"/>
  <c r="H4512" i="1"/>
  <c r="G4512" i="1"/>
  <c r="F4512" i="1"/>
  <c r="J4511" i="1"/>
  <c r="I4511" i="1"/>
  <c r="H4511" i="1"/>
  <c r="G4511" i="1"/>
  <c r="F4511" i="1"/>
  <c r="I4510" i="1"/>
  <c r="J4510" i="1" s="1"/>
  <c r="H4510" i="1"/>
  <c r="G4510" i="1"/>
  <c r="F4510" i="1"/>
  <c r="I4509" i="1"/>
  <c r="J4509" i="1" s="1"/>
  <c r="H4509" i="1"/>
  <c r="G4509" i="1"/>
  <c r="F4509" i="1"/>
  <c r="I4508" i="1"/>
  <c r="J4508" i="1" s="1"/>
  <c r="H4508" i="1"/>
  <c r="G4508" i="1"/>
  <c r="F4508" i="1"/>
  <c r="I4507" i="1"/>
  <c r="J4507" i="1" s="1"/>
  <c r="H4507" i="1"/>
  <c r="G4507" i="1"/>
  <c r="F4507" i="1"/>
  <c r="I4506" i="1"/>
  <c r="J4506" i="1" s="1"/>
  <c r="H4506" i="1"/>
  <c r="G4506" i="1"/>
  <c r="F4506" i="1"/>
  <c r="I4505" i="1"/>
  <c r="J4505" i="1" s="1"/>
  <c r="H4505" i="1"/>
  <c r="G4505" i="1"/>
  <c r="F4505" i="1"/>
  <c r="J4504" i="1"/>
  <c r="I4504" i="1"/>
  <c r="H4504" i="1"/>
  <c r="G4504" i="1"/>
  <c r="F4504" i="1"/>
  <c r="J4503" i="1"/>
  <c r="I4503" i="1"/>
  <c r="H4503" i="1"/>
  <c r="G4503" i="1"/>
  <c r="F4503" i="1"/>
  <c r="J4502" i="1"/>
  <c r="I4502" i="1"/>
  <c r="H4502" i="1"/>
  <c r="G4502" i="1"/>
  <c r="F4502" i="1"/>
  <c r="I4501" i="1"/>
  <c r="J4501" i="1" s="1"/>
  <c r="H4501" i="1"/>
  <c r="G4501" i="1"/>
  <c r="F4501" i="1"/>
  <c r="I4500" i="1"/>
  <c r="J4500" i="1" s="1"/>
  <c r="H4500" i="1"/>
  <c r="G4500" i="1"/>
  <c r="F4500" i="1"/>
  <c r="J4499" i="1"/>
  <c r="I4499" i="1"/>
  <c r="H4499" i="1"/>
  <c r="G4499" i="1"/>
  <c r="F4499" i="1"/>
  <c r="I4498" i="1"/>
  <c r="J4498" i="1" s="1"/>
  <c r="H4498" i="1"/>
  <c r="G4498" i="1"/>
  <c r="F4498" i="1"/>
  <c r="I4497" i="1"/>
  <c r="J4497" i="1" s="1"/>
  <c r="H4497" i="1"/>
  <c r="G4497" i="1"/>
  <c r="F4497" i="1"/>
  <c r="I4496" i="1"/>
  <c r="J4496" i="1" s="1"/>
  <c r="H4496" i="1"/>
  <c r="G4496" i="1"/>
  <c r="F4496" i="1"/>
  <c r="J4495" i="1"/>
  <c r="I4495" i="1"/>
  <c r="H4495" i="1"/>
  <c r="G4495" i="1"/>
  <c r="F4495" i="1"/>
  <c r="I4494" i="1"/>
  <c r="J4494" i="1" s="1"/>
  <c r="H4494" i="1"/>
  <c r="G4494" i="1"/>
  <c r="F4494" i="1"/>
  <c r="I4493" i="1"/>
  <c r="J4493" i="1" s="1"/>
  <c r="H4493" i="1"/>
  <c r="G4493" i="1"/>
  <c r="F4493" i="1"/>
  <c r="I4492" i="1"/>
  <c r="J4492" i="1" s="1"/>
  <c r="H4492" i="1"/>
  <c r="G4492" i="1"/>
  <c r="F4492" i="1"/>
  <c r="J4491" i="1"/>
  <c r="I4491" i="1"/>
  <c r="H4491" i="1"/>
  <c r="G4491" i="1"/>
  <c r="F4491" i="1"/>
  <c r="J4490" i="1"/>
  <c r="I4490" i="1"/>
  <c r="H4490" i="1"/>
  <c r="G4490" i="1"/>
  <c r="F4490" i="1"/>
  <c r="J4489" i="1"/>
  <c r="I4489" i="1"/>
  <c r="H4489" i="1"/>
  <c r="G4489" i="1"/>
  <c r="F4489" i="1"/>
  <c r="J4488" i="1"/>
  <c r="I4488" i="1"/>
  <c r="H4488" i="1"/>
  <c r="G4488" i="1"/>
  <c r="F4488" i="1"/>
  <c r="I4487" i="1"/>
  <c r="J4487" i="1" s="1"/>
  <c r="H4487" i="1"/>
  <c r="G4487" i="1"/>
  <c r="F4487" i="1"/>
  <c r="I4486" i="1"/>
  <c r="J4486" i="1" s="1"/>
  <c r="H4486" i="1"/>
  <c r="G4486" i="1"/>
  <c r="F4486" i="1"/>
  <c r="J4485" i="1"/>
  <c r="I4485" i="1"/>
  <c r="H4485" i="1"/>
  <c r="G4485" i="1"/>
  <c r="F4485" i="1"/>
  <c r="I4484" i="1"/>
  <c r="J4484" i="1" s="1"/>
  <c r="H4484" i="1"/>
  <c r="G4484" i="1"/>
  <c r="F4484" i="1"/>
  <c r="J4483" i="1"/>
  <c r="I4483" i="1"/>
  <c r="H4483" i="1"/>
  <c r="G4483" i="1"/>
  <c r="F4483" i="1"/>
  <c r="I4482" i="1"/>
  <c r="J4482" i="1" s="1"/>
  <c r="H4482" i="1"/>
  <c r="G4482" i="1"/>
  <c r="F4482" i="1"/>
  <c r="J4481" i="1"/>
  <c r="I4481" i="1"/>
  <c r="H4481" i="1"/>
  <c r="G4481" i="1"/>
  <c r="F4481" i="1"/>
  <c r="J4480" i="1"/>
  <c r="I4480" i="1"/>
  <c r="H4480" i="1"/>
  <c r="G4480" i="1"/>
  <c r="F4480" i="1"/>
  <c r="I4479" i="1"/>
  <c r="J4479" i="1" s="1"/>
  <c r="H4479" i="1"/>
  <c r="G4479" i="1"/>
  <c r="F4479" i="1"/>
  <c r="I4478" i="1"/>
  <c r="J4478" i="1" s="1"/>
  <c r="H4478" i="1"/>
  <c r="G4478" i="1"/>
  <c r="F4478" i="1"/>
  <c r="I4477" i="1"/>
  <c r="J4477" i="1" s="1"/>
  <c r="H4477" i="1"/>
  <c r="G4477" i="1"/>
  <c r="F4477" i="1"/>
  <c r="I4476" i="1"/>
  <c r="J4476" i="1" s="1"/>
  <c r="H4476" i="1"/>
  <c r="G4476" i="1"/>
  <c r="F4476" i="1"/>
  <c r="J4475" i="1"/>
  <c r="I4475" i="1"/>
  <c r="H4475" i="1"/>
  <c r="G4475" i="1"/>
  <c r="F4475" i="1"/>
  <c r="J4474" i="1"/>
  <c r="I4474" i="1"/>
  <c r="H4474" i="1"/>
  <c r="G4474" i="1"/>
  <c r="F4474" i="1"/>
  <c r="J4473" i="1"/>
  <c r="I4473" i="1"/>
  <c r="H4473" i="1"/>
  <c r="G4473" i="1"/>
  <c r="F4473" i="1"/>
  <c r="I4472" i="1"/>
  <c r="J4472" i="1" s="1"/>
  <c r="H4472" i="1"/>
  <c r="G4472" i="1"/>
  <c r="F4472" i="1"/>
  <c r="J4471" i="1"/>
  <c r="I4471" i="1"/>
  <c r="H4471" i="1"/>
  <c r="G4471" i="1"/>
  <c r="F4471" i="1"/>
  <c r="J4470" i="1"/>
  <c r="I4470" i="1"/>
  <c r="H4470" i="1"/>
  <c r="G4470" i="1"/>
  <c r="F4470" i="1"/>
  <c r="J4469" i="1"/>
  <c r="I4469" i="1"/>
  <c r="H4469" i="1"/>
  <c r="G4469" i="1"/>
  <c r="F4469" i="1"/>
  <c r="I4468" i="1"/>
  <c r="J4468" i="1" s="1"/>
  <c r="H4468" i="1"/>
  <c r="G4468" i="1"/>
  <c r="F4468" i="1"/>
  <c r="J4467" i="1"/>
  <c r="I4467" i="1"/>
  <c r="H4467" i="1"/>
  <c r="G4467" i="1"/>
  <c r="F4467" i="1"/>
  <c r="J4466" i="1"/>
  <c r="I4466" i="1"/>
  <c r="H4466" i="1"/>
  <c r="G4466" i="1"/>
  <c r="F4466" i="1"/>
  <c r="I4465" i="1"/>
  <c r="J4465" i="1" s="1"/>
  <c r="H4465" i="1"/>
  <c r="G4465" i="1"/>
  <c r="F4465" i="1"/>
  <c r="I4464" i="1"/>
  <c r="J4464" i="1" s="1"/>
  <c r="H4464" i="1"/>
  <c r="G4464" i="1"/>
  <c r="F4464" i="1"/>
  <c r="I4463" i="1"/>
  <c r="J4463" i="1" s="1"/>
  <c r="H4463" i="1"/>
  <c r="G4463" i="1"/>
  <c r="F4463" i="1"/>
  <c r="J4462" i="1"/>
  <c r="I4462" i="1"/>
  <c r="H4462" i="1"/>
  <c r="G4462" i="1"/>
  <c r="F4462" i="1"/>
  <c r="J4461" i="1"/>
  <c r="I4461" i="1"/>
  <c r="H4461" i="1"/>
  <c r="G4461" i="1"/>
  <c r="F4461" i="1"/>
  <c r="J4460" i="1"/>
  <c r="I4460" i="1"/>
  <c r="H4460" i="1"/>
  <c r="G4460" i="1"/>
  <c r="F4460" i="1"/>
  <c r="I4459" i="1"/>
  <c r="J4459" i="1" s="1"/>
  <c r="H4459" i="1"/>
  <c r="G4459" i="1"/>
  <c r="F4459" i="1"/>
  <c r="I4458" i="1"/>
  <c r="J4458" i="1" s="1"/>
  <c r="H4458" i="1"/>
  <c r="G4458" i="1"/>
  <c r="F4458" i="1"/>
  <c r="J4457" i="1"/>
  <c r="I4457" i="1"/>
  <c r="H4457" i="1"/>
  <c r="G4457" i="1"/>
  <c r="F4457" i="1"/>
  <c r="I4456" i="1"/>
  <c r="J4456" i="1" s="1"/>
  <c r="H4456" i="1"/>
  <c r="G4456" i="1"/>
  <c r="F4456" i="1"/>
  <c r="J4455" i="1"/>
  <c r="I4455" i="1"/>
  <c r="H4455" i="1"/>
  <c r="G4455" i="1"/>
  <c r="F4455" i="1"/>
  <c r="I4454" i="1"/>
  <c r="J4454" i="1" s="1"/>
  <c r="H4454" i="1"/>
  <c r="G4454" i="1"/>
  <c r="F4454" i="1"/>
  <c r="J4453" i="1"/>
  <c r="I4453" i="1"/>
  <c r="H4453" i="1"/>
  <c r="G4453" i="1"/>
  <c r="F4453" i="1"/>
  <c r="J4452" i="1"/>
  <c r="I4452" i="1"/>
  <c r="H4452" i="1"/>
  <c r="G4452" i="1"/>
  <c r="F4452" i="1"/>
  <c r="I4451" i="1"/>
  <c r="J4451" i="1" s="1"/>
  <c r="H4451" i="1"/>
  <c r="G4451" i="1"/>
  <c r="F4451" i="1"/>
  <c r="I4450" i="1"/>
  <c r="J4450" i="1" s="1"/>
  <c r="H4450" i="1"/>
  <c r="G4450" i="1"/>
  <c r="F4450" i="1"/>
  <c r="J4449" i="1"/>
  <c r="I4449" i="1"/>
  <c r="H4449" i="1"/>
  <c r="G4449" i="1"/>
  <c r="F4449" i="1"/>
  <c r="J4448" i="1"/>
  <c r="I4448" i="1"/>
  <c r="H4448" i="1"/>
  <c r="G4448" i="1"/>
  <c r="F4448" i="1"/>
  <c r="J4447" i="1"/>
  <c r="I4447" i="1"/>
  <c r="H4447" i="1"/>
  <c r="G4447" i="1"/>
  <c r="F4447" i="1"/>
  <c r="J4446" i="1"/>
  <c r="I4446" i="1"/>
  <c r="H4446" i="1"/>
  <c r="G4446" i="1"/>
  <c r="F4446" i="1"/>
  <c r="I4445" i="1"/>
  <c r="J4445" i="1" s="1"/>
  <c r="H4445" i="1"/>
  <c r="G4445" i="1"/>
  <c r="F4445" i="1"/>
  <c r="I4444" i="1"/>
  <c r="J4444" i="1" s="1"/>
  <c r="H4444" i="1"/>
  <c r="G4444" i="1"/>
  <c r="F4444" i="1"/>
  <c r="J4443" i="1"/>
  <c r="I4443" i="1"/>
  <c r="H4443" i="1"/>
  <c r="G4443" i="1"/>
  <c r="F4443" i="1"/>
  <c r="I4442" i="1"/>
  <c r="J4442" i="1" s="1"/>
  <c r="H4442" i="1"/>
  <c r="G4442" i="1"/>
  <c r="F4442" i="1"/>
  <c r="J4441" i="1"/>
  <c r="I4441" i="1"/>
  <c r="H4441" i="1"/>
  <c r="G4441" i="1"/>
  <c r="F4441" i="1"/>
  <c r="I4440" i="1"/>
  <c r="J4440" i="1" s="1"/>
  <c r="H4440" i="1"/>
  <c r="G4440" i="1"/>
  <c r="F4440" i="1"/>
  <c r="J4439" i="1"/>
  <c r="I4439" i="1"/>
  <c r="H4439" i="1"/>
  <c r="G4439" i="1"/>
  <c r="F4439" i="1"/>
  <c r="J4438" i="1"/>
  <c r="I4438" i="1"/>
  <c r="H4438" i="1"/>
  <c r="G4438" i="1"/>
  <c r="F4438" i="1"/>
  <c r="I4437" i="1"/>
  <c r="J4437" i="1" s="1"/>
  <c r="H4437" i="1"/>
  <c r="G4437" i="1"/>
  <c r="F4437" i="1"/>
  <c r="I4436" i="1"/>
  <c r="J4436" i="1" s="1"/>
  <c r="H4436" i="1"/>
  <c r="G4436" i="1"/>
  <c r="F4436" i="1"/>
  <c r="I4435" i="1"/>
  <c r="J4435" i="1" s="1"/>
  <c r="H4435" i="1"/>
  <c r="G4435" i="1"/>
  <c r="F4435" i="1"/>
  <c r="J4434" i="1"/>
  <c r="I4434" i="1"/>
  <c r="H4434" i="1"/>
  <c r="G4434" i="1"/>
  <c r="F4434" i="1"/>
  <c r="J4433" i="1"/>
  <c r="I4433" i="1"/>
  <c r="H4433" i="1"/>
  <c r="G4433" i="1"/>
  <c r="F4433" i="1"/>
  <c r="J4432" i="1"/>
  <c r="I4432" i="1"/>
  <c r="H4432" i="1"/>
  <c r="G4432" i="1"/>
  <c r="F4432" i="1"/>
  <c r="I4431" i="1"/>
  <c r="J4431" i="1" s="1"/>
  <c r="H4431" i="1"/>
  <c r="G4431" i="1"/>
  <c r="F4431" i="1"/>
  <c r="I4430" i="1"/>
  <c r="J4430" i="1" s="1"/>
  <c r="H4430" i="1"/>
  <c r="G4430" i="1"/>
  <c r="F4430" i="1"/>
  <c r="J4429" i="1"/>
  <c r="I4429" i="1"/>
  <c r="H4429" i="1"/>
  <c r="G4429" i="1"/>
  <c r="F4429" i="1"/>
  <c r="I4428" i="1"/>
  <c r="J4428" i="1" s="1"/>
  <c r="H4428" i="1"/>
  <c r="G4428" i="1"/>
  <c r="F4428" i="1"/>
  <c r="J4427" i="1"/>
  <c r="I4427" i="1"/>
  <c r="H4427" i="1"/>
  <c r="G4427" i="1"/>
  <c r="F4427" i="1"/>
  <c r="I4426" i="1"/>
  <c r="J4426" i="1" s="1"/>
  <c r="H4426" i="1"/>
  <c r="G4426" i="1"/>
  <c r="F4426" i="1"/>
  <c r="J4425" i="1"/>
  <c r="I4425" i="1"/>
  <c r="H4425" i="1"/>
  <c r="G4425" i="1"/>
  <c r="F4425" i="1"/>
  <c r="J4424" i="1"/>
  <c r="I4424" i="1"/>
  <c r="H4424" i="1"/>
  <c r="G4424" i="1"/>
  <c r="F4424" i="1"/>
  <c r="I4423" i="1"/>
  <c r="J4423" i="1" s="1"/>
  <c r="H4423" i="1"/>
  <c r="G4423" i="1"/>
  <c r="F4423" i="1"/>
  <c r="I4422" i="1"/>
  <c r="J4422" i="1" s="1"/>
  <c r="H4422" i="1"/>
  <c r="G4422" i="1"/>
  <c r="F4422" i="1"/>
  <c r="I4421" i="1"/>
  <c r="J4421" i="1" s="1"/>
  <c r="H4421" i="1"/>
  <c r="G4421" i="1"/>
  <c r="F4421" i="1"/>
  <c r="J4420" i="1"/>
  <c r="I4420" i="1"/>
  <c r="H4420" i="1"/>
  <c r="G4420" i="1"/>
  <c r="F4420" i="1"/>
  <c r="J4419" i="1"/>
  <c r="I4419" i="1"/>
  <c r="H4419" i="1"/>
  <c r="G4419" i="1"/>
  <c r="F4419" i="1"/>
  <c r="J4418" i="1"/>
  <c r="I4418" i="1"/>
  <c r="H4418" i="1"/>
  <c r="G4418" i="1"/>
  <c r="F4418" i="1"/>
  <c r="J4417" i="1"/>
  <c r="I4417" i="1"/>
  <c r="H4417" i="1"/>
  <c r="G4417" i="1"/>
  <c r="F4417" i="1"/>
  <c r="I4416" i="1"/>
  <c r="J4416" i="1" s="1"/>
  <c r="H4416" i="1"/>
  <c r="G4416" i="1"/>
  <c r="F4416" i="1"/>
  <c r="J4415" i="1"/>
  <c r="I4415" i="1"/>
  <c r="H4415" i="1"/>
  <c r="G4415" i="1"/>
  <c r="F4415" i="1"/>
  <c r="J4414" i="1"/>
  <c r="I4414" i="1"/>
  <c r="H4414" i="1"/>
  <c r="G4414" i="1"/>
  <c r="F4414" i="1"/>
  <c r="J4413" i="1"/>
  <c r="I4413" i="1"/>
  <c r="H4413" i="1"/>
  <c r="G4413" i="1"/>
  <c r="F4413" i="1"/>
  <c r="I4412" i="1"/>
  <c r="J4412" i="1" s="1"/>
  <c r="H4412" i="1"/>
  <c r="G4412" i="1"/>
  <c r="F4412" i="1"/>
  <c r="J4411" i="1"/>
  <c r="I4411" i="1"/>
  <c r="H4411" i="1"/>
  <c r="G4411" i="1"/>
  <c r="F4411" i="1"/>
  <c r="J4410" i="1"/>
  <c r="I4410" i="1"/>
  <c r="H4410" i="1"/>
  <c r="G4410" i="1"/>
  <c r="F4410" i="1"/>
  <c r="I4409" i="1"/>
  <c r="J4409" i="1" s="1"/>
  <c r="H4409" i="1"/>
  <c r="G4409" i="1"/>
  <c r="F4409" i="1"/>
  <c r="I4408" i="1"/>
  <c r="J4408" i="1" s="1"/>
  <c r="H4408" i="1"/>
  <c r="G4408" i="1"/>
  <c r="F4408" i="1"/>
  <c r="I4407" i="1"/>
  <c r="J4407" i="1" s="1"/>
  <c r="H4407" i="1"/>
  <c r="G4407" i="1"/>
  <c r="F4407" i="1"/>
  <c r="J4406" i="1"/>
  <c r="I4406" i="1"/>
  <c r="H4406" i="1"/>
  <c r="G4406" i="1"/>
  <c r="F4406" i="1"/>
  <c r="J4405" i="1"/>
  <c r="I4405" i="1"/>
  <c r="H4405" i="1"/>
  <c r="G4405" i="1"/>
  <c r="F4405" i="1"/>
  <c r="J4404" i="1"/>
  <c r="I4404" i="1"/>
  <c r="H4404" i="1"/>
  <c r="G4404" i="1"/>
  <c r="F4404" i="1"/>
  <c r="I4403" i="1"/>
  <c r="J4403" i="1" s="1"/>
  <c r="H4403" i="1"/>
  <c r="G4403" i="1"/>
  <c r="F4403" i="1"/>
  <c r="I4402" i="1"/>
  <c r="J4402" i="1" s="1"/>
  <c r="H4402" i="1"/>
  <c r="G4402" i="1"/>
  <c r="F4402" i="1"/>
  <c r="J4401" i="1"/>
  <c r="I4401" i="1"/>
  <c r="H4401" i="1"/>
  <c r="G4401" i="1"/>
  <c r="F4401" i="1"/>
  <c r="I4400" i="1"/>
  <c r="J4400" i="1" s="1"/>
  <c r="H4400" i="1"/>
  <c r="G4400" i="1"/>
  <c r="F4400" i="1"/>
  <c r="I4399" i="1"/>
  <c r="J4399" i="1" s="1"/>
  <c r="H4399" i="1"/>
  <c r="G4399" i="1"/>
  <c r="F4399" i="1"/>
  <c r="I4398" i="1"/>
  <c r="J4398" i="1" s="1"/>
  <c r="H4398" i="1"/>
  <c r="G4398" i="1"/>
  <c r="F4398" i="1"/>
  <c r="J4397" i="1"/>
  <c r="I4397" i="1"/>
  <c r="H4397" i="1"/>
  <c r="G4397" i="1"/>
  <c r="F4397" i="1"/>
  <c r="I4396" i="1"/>
  <c r="J4396" i="1" s="1"/>
  <c r="H4396" i="1"/>
  <c r="G4396" i="1"/>
  <c r="F4396" i="1"/>
  <c r="I4395" i="1"/>
  <c r="J4395" i="1" s="1"/>
  <c r="H4395" i="1"/>
  <c r="G4395" i="1"/>
  <c r="F4395" i="1"/>
  <c r="I4394" i="1"/>
  <c r="J4394" i="1" s="1"/>
  <c r="H4394" i="1"/>
  <c r="G4394" i="1"/>
  <c r="F4394" i="1"/>
  <c r="J4393" i="1"/>
  <c r="I4393" i="1"/>
  <c r="H4393" i="1"/>
  <c r="G4393" i="1"/>
  <c r="F4393" i="1"/>
  <c r="J4392" i="1"/>
  <c r="I4392" i="1"/>
  <c r="H4392" i="1"/>
  <c r="G4392" i="1"/>
  <c r="F4392" i="1"/>
  <c r="J4391" i="1"/>
  <c r="I4391" i="1"/>
  <c r="H4391" i="1"/>
  <c r="G4391" i="1"/>
  <c r="F4391" i="1"/>
  <c r="J4390" i="1"/>
  <c r="I4390" i="1"/>
  <c r="H4390" i="1"/>
  <c r="G4390" i="1"/>
  <c r="F4390" i="1"/>
  <c r="I4389" i="1"/>
  <c r="J4389" i="1" s="1"/>
  <c r="H4389" i="1"/>
  <c r="G4389" i="1"/>
  <c r="F4389" i="1"/>
  <c r="I4388" i="1"/>
  <c r="J4388" i="1" s="1"/>
  <c r="H4388" i="1"/>
  <c r="G4388" i="1"/>
  <c r="F4388" i="1"/>
  <c r="J4387" i="1"/>
  <c r="I4387" i="1"/>
  <c r="H4387" i="1"/>
  <c r="G4387" i="1"/>
  <c r="F4387" i="1"/>
  <c r="I4386" i="1"/>
  <c r="J4386" i="1" s="1"/>
  <c r="H4386" i="1"/>
  <c r="G4386" i="1"/>
  <c r="F4386" i="1"/>
  <c r="J4385" i="1"/>
  <c r="I4385" i="1"/>
  <c r="H4385" i="1"/>
  <c r="G4385" i="1"/>
  <c r="F4385" i="1"/>
  <c r="I4384" i="1"/>
  <c r="J4384" i="1" s="1"/>
  <c r="H4384" i="1"/>
  <c r="G4384" i="1"/>
  <c r="F4384" i="1"/>
  <c r="J4383" i="1"/>
  <c r="I4383" i="1"/>
  <c r="H4383" i="1"/>
  <c r="G4383" i="1"/>
  <c r="F4383" i="1"/>
  <c r="J4382" i="1"/>
  <c r="I4382" i="1"/>
  <c r="H4382" i="1"/>
  <c r="G4382" i="1"/>
  <c r="F4382" i="1"/>
  <c r="I4381" i="1"/>
  <c r="J4381" i="1" s="1"/>
  <c r="H4381" i="1"/>
  <c r="G4381" i="1"/>
  <c r="F4381" i="1"/>
  <c r="I4380" i="1"/>
  <c r="J4380" i="1" s="1"/>
  <c r="H4380" i="1"/>
  <c r="G4380" i="1"/>
  <c r="F4380" i="1"/>
  <c r="I4379" i="1"/>
  <c r="J4379" i="1" s="1"/>
  <c r="H4379" i="1"/>
  <c r="G4379" i="1"/>
  <c r="F4379" i="1"/>
  <c r="I4378" i="1"/>
  <c r="J4378" i="1" s="1"/>
  <c r="H4378" i="1"/>
  <c r="G4378" i="1"/>
  <c r="F4378" i="1"/>
  <c r="J4377" i="1"/>
  <c r="I4377" i="1"/>
  <c r="H4377" i="1"/>
  <c r="G4377" i="1"/>
  <c r="F4377" i="1"/>
  <c r="J4376" i="1"/>
  <c r="I4376" i="1"/>
  <c r="H4376" i="1"/>
  <c r="G4376" i="1"/>
  <c r="F4376" i="1"/>
  <c r="J4375" i="1"/>
  <c r="I4375" i="1"/>
  <c r="H4375" i="1"/>
  <c r="G4375" i="1"/>
  <c r="F4375" i="1"/>
  <c r="I4374" i="1"/>
  <c r="J4374" i="1" s="1"/>
  <c r="H4374" i="1"/>
  <c r="G4374" i="1"/>
  <c r="F4374" i="1"/>
  <c r="J4373" i="1"/>
  <c r="I4373" i="1"/>
  <c r="H4373" i="1"/>
  <c r="G4373" i="1"/>
  <c r="F4373" i="1"/>
  <c r="J4372" i="1"/>
  <c r="I4372" i="1"/>
  <c r="H4372" i="1"/>
  <c r="G4372" i="1"/>
  <c r="F4372" i="1"/>
  <c r="J4371" i="1"/>
  <c r="I4371" i="1"/>
  <c r="H4371" i="1"/>
  <c r="G4371" i="1"/>
  <c r="F4371" i="1"/>
  <c r="I4370" i="1"/>
  <c r="J4370" i="1" s="1"/>
  <c r="H4370" i="1"/>
  <c r="G4370" i="1"/>
  <c r="F4370" i="1"/>
  <c r="J4369" i="1"/>
  <c r="I4369" i="1"/>
  <c r="H4369" i="1"/>
  <c r="G4369" i="1"/>
  <c r="F4369" i="1"/>
  <c r="J4368" i="1"/>
  <c r="I4368" i="1"/>
  <c r="H4368" i="1"/>
  <c r="G4368" i="1"/>
  <c r="F4368" i="1"/>
  <c r="I4367" i="1"/>
  <c r="J4367" i="1" s="1"/>
  <c r="H4367" i="1"/>
  <c r="G4367" i="1"/>
  <c r="F4367" i="1"/>
  <c r="I4366" i="1"/>
  <c r="J4366" i="1" s="1"/>
  <c r="H4366" i="1"/>
  <c r="G4366" i="1"/>
  <c r="F4366" i="1"/>
  <c r="I4365" i="1"/>
  <c r="J4365" i="1" s="1"/>
  <c r="H4365" i="1"/>
  <c r="G4365" i="1"/>
  <c r="F4365" i="1"/>
  <c r="J4364" i="1"/>
  <c r="I4364" i="1"/>
  <c r="H4364" i="1"/>
  <c r="G4364" i="1"/>
  <c r="F4364" i="1"/>
  <c r="J4363" i="1"/>
  <c r="I4363" i="1"/>
  <c r="H4363" i="1"/>
  <c r="G4363" i="1"/>
  <c r="F4363" i="1"/>
  <c r="J4362" i="1"/>
  <c r="I4362" i="1"/>
  <c r="H4362" i="1"/>
  <c r="G4362" i="1"/>
  <c r="F4362" i="1"/>
  <c r="I4361" i="1"/>
  <c r="J4361" i="1" s="1"/>
  <c r="H4361" i="1"/>
  <c r="G4361" i="1"/>
  <c r="F4361" i="1"/>
  <c r="I4360" i="1"/>
  <c r="J4360" i="1" s="1"/>
  <c r="H4360" i="1"/>
  <c r="G4360" i="1"/>
  <c r="F4360" i="1"/>
  <c r="J4359" i="1"/>
  <c r="I4359" i="1"/>
  <c r="H4359" i="1"/>
  <c r="G4359" i="1"/>
  <c r="F4359" i="1"/>
  <c r="I4358" i="1"/>
  <c r="J4358" i="1" s="1"/>
  <c r="H4358" i="1"/>
  <c r="G4358" i="1"/>
  <c r="F4358" i="1"/>
  <c r="J4357" i="1"/>
  <c r="I4357" i="1"/>
  <c r="H4357" i="1"/>
  <c r="G4357" i="1"/>
  <c r="F4357" i="1"/>
  <c r="I4356" i="1"/>
  <c r="J4356" i="1" s="1"/>
  <c r="H4356" i="1"/>
  <c r="G4356" i="1"/>
  <c r="F4356" i="1"/>
  <c r="J4355" i="1"/>
  <c r="I4355" i="1"/>
  <c r="H4355" i="1"/>
  <c r="G4355" i="1"/>
  <c r="F4355" i="1"/>
  <c r="J4354" i="1"/>
  <c r="I4354" i="1"/>
  <c r="H4354" i="1"/>
  <c r="G4354" i="1"/>
  <c r="F4354" i="1"/>
  <c r="I4353" i="1"/>
  <c r="J4353" i="1" s="1"/>
  <c r="H4353" i="1"/>
  <c r="G4353" i="1"/>
  <c r="F4353" i="1"/>
  <c r="I4352" i="1"/>
  <c r="J4352" i="1" s="1"/>
  <c r="H4352" i="1"/>
  <c r="G4352" i="1"/>
  <c r="F4352" i="1"/>
  <c r="J4351" i="1"/>
  <c r="I4351" i="1"/>
  <c r="H4351" i="1"/>
  <c r="G4351" i="1"/>
  <c r="F4351" i="1"/>
  <c r="J4350" i="1"/>
  <c r="I4350" i="1"/>
  <c r="H4350" i="1"/>
  <c r="G4350" i="1"/>
  <c r="F4350" i="1"/>
  <c r="J4349" i="1"/>
  <c r="I4349" i="1"/>
  <c r="H4349" i="1"/>
  <c r="G4349" i="1"/>
  <c r="F4349" i="1"/>
  <c r="J4348" i="1"/>
  <c r="I4348" i="1"/>
  <c r="H4348" i="1"/>
  <c r="G4348" i="1"/>
  <c r="F4348" i="1"/>
  <c r="I4347" i="1"/>
  <c r="J4347" i="1" s="1"/>
  <c r="H4347" i="1"/>
  <c r="G4347" i="1"/>
  <c r="F4347" i="1"/>
  <c r="I4346" i="1"/>
  <c r="J4346" i="1" s="1"/>
  <c r="H4346" i="1"/>
  <c r="G4346" i="1"/>
  <c r="F4346" i="1"/>
  <c r="J4345" i="1"/>
  <c r="I4345" i="1"/>
  <c r="H4345" i="1"/>
  <c r="G4345" i="1"/>
  <c r="F4345" i="1"/>
  <c r="I4344" i="1"/>
  <c r="J4344" i="1" s="1"/>
  <c r="H4344" i="1"/>
  <c r="G4344" i="1"/>
  <c r="F4344" i="1"/>
  <c r="J4343" i="1"/>
  <c r="I4343" i="1"/>
  <c r="H4343" i="1"/>
  <c r="G4343" i="1"/>
  <c r="F4343" i="1"/>
  <c r="I4342" i="1"/>
  <c r="J4342" i="1" s="1"/>
  <c r="H4342" i="1"/>
  <c r="G4342" i="1"/>
  <c r="F4342" i="1"/>
  <c r="J4341" i="1"/>
  <c r="I4341" i="1"/>
  <c r="H4341" i="1"/>
  <c r="G4341" i="1"/>
  <c r="F4341" i="1"/>
  <c r="J4340" i="1"/>
  <c r="I4340" i="1"/>
  <c r="H4340" i="1"/>
  <c r="G4340" i="1"/>
  <c r="F4340" i="1"/>
  <c r="I4339" i="1"/>
  <c r="J4339" i="1" s="1"/>
  <c r="H4339" i="1"/>
  <c r="G4339" i="1"/>
  <c r="F4339" i="1"/>
  <c r="I4338" i="1"/>
  <c r="J4338" i="1" s="1"/>
  <c r="H4338" i="1"/>
  <c r="G4338" i="1"/>
  <c r="F4338" i="1"/>
  <c r="I4337" i="1"/>
  <c r="J4337" i="1" s="1"/>
  <c r="H4337" i="1"/>
  <c r="G4337" i="1"/>
  <c r="F4337" i="1"/>
  <c r="J4336" i="1"/>
  <c r="I4336" i="1"/>
  <c r="H4336" i="1"/>
  <c r="G4336" i="1"/>
  <c r="F4336" i="1"/>
  <c r="J4335" i="1"/>
  <c r="I4335" i="1"/>
  <c r="H4335" i="1"/>
  <c r="G4335" i="1"/>
  <c r="F4335" i="1"/>
  <c r="J4334" i="1"/>
  <c r="I4334" i="1"/>
  <c r="H4334" i="1"/>
  <c r="G4334" i="1"/>
  <c r="F4334" i="1"/>
  <c r="I4333" i="1"/>
  <c r="J4333" i="1" s="1"/>
  <c r="H4333" i="1"/>
  <c r="G4333" i="1"/>
  <c r="F4333" i="1"/>
  <c r="I4332" i="1"/>
  <c r="J4332" i="1" s="1"/>
  <c r="H4332" i="1"/>
  <c r="G4332" i="1"/>
  <c r="F4332" i="1"/>
  <c r="J4331" i="1"/>
  <c r="I4331" i="1"/>
  <c r="H4331" i="1"/>
  <c r="G4331" i="1"/>
  <c r="F4331" i="1"/>
  <c r="I4330" i="1"/>
  <c r="J4330" i="1" s="1"/>
  <c r="H4330" i="1"/>
  <c r="G4330" i="1"/>
  <c r="F4330" i="1"/>
  <c r="J4329" i="1"/>
  <c r="I4329" i="1"/>
  <c r="H4329" i="1"/>
  <c r="G4329" i="1"/>
  <c r="F4329" i="1"/>
  <c r="I4328" i="1"/>
  <c r="J4328" i="1" s="1"/>
  <c r="H4328" i="1"/>
  <c r="G4328" i="1"/>
  <c r="F4328" i="1"/>
  <c r="J4327" i="1"/>
  <c r="I4327" i="1"/>
  <c r="H4327" i="1"/>
  <c r="G4327" i="1"/>
  <c r="F4327" i="1"/>
  <c r="J4326" i="1"/>
  <c r="I4326" i="1"/>
  <c r="H4326" i="1"/>
  <c r="G4326" i="1"/>
  <c r="F4326" i="1"/>
  <c r="I4325" i="1"/>
  <c r="J4325" i="1" s="1"/>
  <c r="H4325" i="1"/>
  <c r="G4325" i="1"/>
  <c r="F4325" i="1"/>
  <c r="I4324" i="1"/>
  <c r="J4324" i="1" s="1"/>
  <c r="H4324" i="1"/>
  <c r="G4324" i="1"/>
  <c r="F4324" i="1"/>
  <c r="I4323" i="1"/>
  <c r="J4323" i="1" s="1"/>
  <c r="H4323" i="1"/>
  <c r="G4323" i="1"/>
  <c r="F4323" i="1"/>
  <c r="J4322" i="1"/>
  <c r="I4322" i="1"/>
  <c r="H4322" i="1"/>
  <c r="G4322" i="1"/>
  <c r="F4322" i="1"/>
  <c r="J4321" i="1"/>
  <c r="I4321" i="1"/>
  <c r="H4321" i="1"/>
  <c r="G4321" i="1"/>
  <c r="F4321" i="1"/>
  <c r="J4320" i="1"/>
  <c r="I4320" i="1"/>
  <c r="H4320" i="1"/>
  <c r="G4320" i="1"/>
  <c r="F4320" i="1"/>
  <c r="J4319" i="1"/>
  <c r="I4319" i="1"/>
  <c r="H4319" i="1"/>
  <c r="G4319" i="1"/>
  <c r="F4319" i="1"/>
  <c r="I4318" i="1"/>
  <c r="J4318" i="1" s="1"/>
  <c r="H4318" i="1"/>
  <c r="G4318" i="1"/>
  <c r="F4318" i="1"/>
  <c r="J4317" i="1"/>
  <c r="I4317" i="1"/>
  <c r="H4317" i="1"/>
  <c r="G4317" i="1"/>
  <c r="F4317" i="1"/>
  <c r="J4316" i="1"/>
  <c r="I4316" i="1"/>
  <c r="H4316" i="1"/>
  <c r="G4316" i="1"/>
  <c r="F4316" i="1"/>
  <c r="J4315" i="1"/>
  <c r="I4315" i="1"/>
  <c r="H4315" i="1"/>
  <c r="G4315" i="1"/>
  <c r="F4315" i="1"/>
  <c r="I4314" i="1"/>
  <c r="J4314" i="1" s="1"/>
  <c r="H4314" i="1"/>
  <c r="G4314" i="1"/>
  <c r="F4314" i="1"/>
  <c r="J4313" i="1"/>
  <c r="I4313" i="1"/>
  <c r="H4313" i="1"/>
  <c r="G4313" i="1"/>
  <c r="F4313" i="1"/>
  <c r="J4312" i="1"/>
  <c r="I4312" i="1"/>
  <c r="H4312" i="1"/>
  <c r="G4312" i="1"/>
  <c r="F4312" i="1"/>
  <c r="I4311" i="1"/>
  <c r="J4311" i="1" s="1"/>
  <c r="H4311" i="1"/>
  <c r="G4311" i="1"/>
  <c r="F4311" i="1"/>
  <c r="I4310" i="1"/>
  <c r="J4310" i="1" s="1"/>
  <c r="H4310" i="1"/>
  <c r="G4310" i="1"/>
  <c r="F4310" i="1"/>
  <c r="I4309" i="1"/>
  <c r="J4309" i="1" s="1"/>
  <c r="H4309" i="1"/>
  <c r="G4309" i="1"/>
  <c r="F4309" i="1"/>
  <c r="J4308" i="1"/>
  <c r="I4308" i="1"/>
  <c r="H4308" i="1"/>
  <c r="G4308" i="1"/>
  <c r="F4308" i="1"/>
  <c r="J4307" i="1"/>
  <c r="I4307" i="1"/>
  <c r="H4307" i="1"/>
  <c r="G4307" i="1"/>
  <c r="F4307" i="1"/>
  <c r="J4306" i="1"/>
  <c r="I4306" i="1"/>
  <c r="H4306" i="1"/>
  <c r="G4306" i="1"/>
  <c r="F4306" i="1"/>
  <c r="I4305" i="1"/>
  <c r="J4305" i="1" s="1"/>
  <c r="H4305" i="1"/>
  <c r="G4305" i="1"/>
  <c r="F4305" i="1"/>
  <c r="I4304" i="1"/>
  <c r="J4304" i="1" s="1"/>
  <c r="H4304" i="1"/>
  <c r="G4304" i="1"/>
  <c r="F4304" i="1"/>
  <c r="J4303" i="1"/>
  <c r="I4303" i="1"/>
  <c r="H4303" i="1"/>
  <c r="G4303" i="1"/>
  <c r="F4303" i="1"/>
  <c r="I4302" i="1"/>
  <c r="J4302" i="1" s="1"/>
  <c r="H4302" i="1"/>
  <c r="G4302" i="1"/>
  <c r="F4302" i="1"/>
  <c r="I4301" i="1"/>
  <c r="J4301" i="1" s="1"/>
  <c r="H4301" i="1"/>
  <c r="G4301" i="1"/>
  <c r="F4301" i="1"/>
  <c r="I4300" i="1"/>
  <c r="J4300" i="1" s="1"/>
  <c r="H4300" i="1"/>
  <c r="G4300" i="1"/>
  <c r="F4300" i="1"/>
  <c r="J4299" i="1"/>
  <c r="I4299" i="1"/>
  <c r="H4299" i="1"/>
  <c r="G4299" i="1"/>
  <c r="F4299" i="1"/>
  <c r="I4298" i="1"/>
  <c r="J4298" i="1" s="1"/>
  <c r="H4298" i="1"/>
  <c r="G4298" i="1"/>
  <c r="F4298" i="1"/>
  <c r="I4297" i="1"/>
  <c r="J4297" i="1" s="1"/>
  <c r="H4297" i="1"/>
  <c r="G4297" i="1"/>
  <c r="F4297" i="1"/>
  <c r="I4296" i="1"/>
  <c r="J4296" i="1" s="1"/>
  <c r="H4296" i="1"/>
  <c r="G4296" i="1"/>
  <c r="F4296" i="1"/>
  <c r="J4295" i="1"/>
  <c r="I4295" i="1"/>
  <c r="H4295" i="1"/>
  <c r="G4295" i="1"/>
  <c r="F4295" i="1"/>
  <c r="J4294" i="1"/>
  <c r="I4294" i="1"/>
  <c r="H4294" i="1"/>
  <c r="G4294" i="1"/>
  <c r="F4294" i="1"/>
  <c r="J4293" i="1"/>
  <c r="I4293" i="1"/>
  <c r="H4293" i="1"/>
  <c r="G4293" i="1"/>
  <c r="F4293" i="1"/>
  <c r="J4292" i="1"/>
  <c r="I4292" i="1"/>
  <c r="H4292" i="1"/>
  <c r="G4292" i="1"/>
  <c r="F4292" i="1"/>
  <c r="I4291" i="1"/>
  <c r="J4291" i="1" s="1"/>
  <c r="H4291" i="1"/>
  <c r="G4291" i="1"/>
  <c r="F4291" i="1"/>
  <c r="I4290" i="1"/>
  <c r="J4290" i="1" s="1"/>
  <c r="H4290" i="1"/>
  <c r="G4290" i="1"/>
  <c r="F4290" i="1"/>
  <c r="J4289" i="1"/>
  <c r="I4289" i="1"/>
  <c r="H4289" i="1"/>
  <c r="G4289" i="1"/>
  <c r="F4289" i="1"/>
  <c r="I4288" i="1"/>
  <c r="J4288" i="1" s="1"/>
  <c r="H4288" i="1"/>
  <c r="G4288" i="1"/>
  <c r="F4288" i="1"/>
  <c r="J4287" i="1"/>
  <c r="I4287" i="1"/>
  <c r="H4287" i="1"/>
  <c r="G4287" i="1"/>
  <c r="F4287" i="1"/>
  <c r="I4286" i="1"/>
  <c r="J4286" i="1" s="1"/>
  <c r="H4286" i="1"/>
  <c r="G4286" i="1"/>
  <c r="F4286" i="1"/>
  <c r="J4285" i="1"/>
  <c r="I4285" i="1"/>
  <c r="H4285" i="1"/>
  <c r="G4285" i="1"/>
  <c r="F4285" i="1"/>
  <c r="J4284" i="1"/>
  <c r="I4284" i="1"/>
  <c r="H4284" i="1"/>
  <c r="G4284" i="1"/>
  <c r="F4284" i="1"/>
  <c r="I4283" i="1"/>
  <c r="J4283" i="1" s="1"/>
  <c r="H4283" i="1"/>
  <c r="G4283" i="1"/>
  <c r="F4283" i="1"/>
  <c r="I4282" i="1"/>
  <c r="J4282" i="1" s="1"/>
  <c r="H4282" i="1"/>
  <c r="G4282" i="1"/>
  <c r="F4282" i="1"/>
  <c r="I4281" i="1"/>
  <c r="J4281" i="1" s="1"/>
  <c r="H4281" i="1"/>
  <c r="G4281" i="1"/>
  <c r="F4281" i="1"/>
  <c r="I4280" i="1"/>
  <c r="J4280" i="1" s="1"/>
  <c r="H4280" i="1"/>
  <c r="G4280" i="1"/>
  <c r="F4280" i="1"/>
  <c r="J4279" i="1"/>
  <c r="I4279" i="1"/>
  <c r="H4279" i="1"/>
  <c r="G4279" i="1"/>
  <c r="F4279" i="1"/>
  <c r="J4278" i="1"/>
  <c r="I4278" i="1"/>
  <c r="H4278" i="1"/>
  <c r="G4278" i="1"/>
  <c r="F4278" i="1"/>
  <c r="I4277" i="1"/>
  <c r="J4277" i="1" s="1"/>
  <c r="H4277" i="1"/>
  <c r="G4277" i="1"/>
  <c r="F4277" i="1"/>
  <c r="I4276" i="1"/>
  <c r="J4276" i="1" s="1"/>
  <c r="H4276" i="1"/>
  <c r="G4276" i="1"/>
  <c r="F4276" i="1"/>
  <c r="J4275" i="1"/>
  <c r="I4275" i="1"/>
  <c r="H4275" i="1"/>
  <c r="G4275" i="1"/>
  <c r="F4275" i="1"/>
  <c r="I4274" i="1"/>
  <c r="J4274" i="1" s="1"/>
  <c r="H4274" i="1"/>
  <c r="G4274" i="1"/>
  <c r="F4274" i="1"/>
  <c r="J4273" i="1"/>
  <c r="I4273" i="1"/>
  <c r="H4273" i="1"/>
  <c r="G4273" i="1"/>
  <c r="F4273" i="1"/>
  <c r="I4272" i="1"/>
  <c r="J4272" i="1" s="1"/>
  <c r="H4272" i="1"/>
  <c r="G4272" i="1"/>
  <c r="F4272" i="1"/>
  <c r="J4271" i="1"/>
  <c r="I4271" i="1"/>
  <c r="H4271" i="1"/>
  <c r="G4271" i="1"/>
  <c r="F4271" i="1"/>
  <c r="J4270" i="1"/>
  <c r="I4270" i="1"/>
  <c r="H4270" i="1"/>
  <c r="G4270" i="1"/>
  <c r="F4270" i="1"/>
  <c r="I4269" i="1"/>
  <c r="J4269" i="1" s="1"/>
  <c r="H4269" i="1"/>
  <c r="G4269" i="1"/>
  <c r="F4269" i="1"/>
  <c r="I4268" i="1"/>
  <c r="J4268" i="1" s="1"/>
  <c r="H4268" i="1"/>
  <c r="G4268" i="1"/>
  <c r="F4268" i="1"/>
  <c r="I4267" i="1"/>
  <c r="J4267" i="1" s="1"/>
  <c r="H4267" i="1"/>
  <c r="G4267" i="1"/>
  <c r="F4267" i="1"/>
  <c r="J4266" i="1"/>
  <c r="I4266" i="1"/>
  <c r="H4266" i="1"/>
  <c r="G4266" i="1"/>
  <c r="F4266" i="1"/>
  <c r="J4265" i="1"/>
  <c r="I4265" i="1"/>
  <c r="H4265" i="1"/>
  <c r="G4265" i="1"/>
  <c r="F4265" i="1"/>
  <c r="J4264" i="1"/>
  <c r="I4264" i="1"/>
  <c r="H4264" i="1"/>
  <c r="G4264" i="1"/>
  <c r="F4264" i="1"/>
  <c r="I4263" i="1"/>
  <c r="J4263" i="1" s="1"/>
  <c r="H4263" i="1"/>
  <c r="G4263" i="1"/>
  <c r="F4263" i="1"/>
  <c r="I4262" i="1"/>
  <c r="J4262" i="1" s="1"/>
  <c r="H4262" i="1"/>
  <c r="G4262" i="1"/>
  <c r="F4262" i="1"/>
  <c r="J4261" i="1"/>
  <c r="I4261" i="1"/>
  <c r="H4261" i="1"/>
  <c r="G4261" i="1"/>
  <c r="F4261" i="1"/>
  <c r="I4260" i="1"/>
  <c r="J4260" i="1" s="1"/>
  <c r="H4260" i="1"/>
  <c r="G4260" i="1"/>
  <c r="F4260" i="1"/>
  <c r="J4259" i="1"/>
  <c r="I4259" i="1"/>
  <c r="H4259" i="1"/>
  <c r="G4259" i="1"/>
  <c r="F4259" i="1"/>
  <c r="I4258" i="1"/>
  <c r="J4258" i="1" s="1"/>
  <c r="H4258" i="1"/>
  <c r="G4258" i="1"/>
  <c r="F4258" i="1"/>
  <c r="J4257" i="1"/>
  <c r="I4257" i="1"/>
  <c r="H4257" i="1"/>
  <c r="G4257" i="1"/>
  <c r="F4257" i="1"/>
  <c r="J4256" i="1"/>
  <c r="I4256" i="1"/>
  <c r="H4256" i="1"/>
  <c r="G4256" i="1"/>
  <c r="F4256" i="1"/>
  <c r="I4255" i="1"/>
  <c r="J4255" i="1" s="1"/>
  <c r="H4255" i="1"/>
  <c r="G4255" i="1"/>
  <c r="F4255" i="1"/>
  <c r="I4254" i="1"/>
  <c r="J4254" i="1" s="1"/>
  <c r="H4254" i="1"/>
  <c r="G4254" i="1"/>
  <c r="F4254" i="1"/>
  <c r="I4253" i="1"/>
  <c r="J4253" i="1" s="1"/>
  <c r="H4253" i="1"/>
  <c r="G4253" i="1"/>
  <c r="F4253" i="1"/>
  <c r="J4252" i="1"/>
  <c r="I4252" i="1"/>
  <c r="H4252" i="1"/>
  <c r="G4252" i="1"/>
  <c r="F4252" i="1"/>
  <c r="J4251" i="1"/>
  <c r="I4251" i="1"/>
  <c r="H4251" i="1"/>
  <c r="G4251" i="1"/>
  <c r="F4251" i="1"/>
  <c r="J4250" i="1"/>
  <c r="I4250" i="1"/>
  <c r="H4250" i="1"/>
  <c r="G4250" i="1"/>
  <c r="F4250" i="1"/>
  <c r="I4249" i="1"/>
  <c r="J4249" i="1" s="1"/>
  <c r="H4249" i="1"/>
  <c r="G4249" i="1"/>
  <c r="F4249" i="1"/>
  <c r="I4248" i="1"/>
  <c r="J4248" i="1" s="1"/>
  <c r="H4248" i="1"/>
  <c r="G4248" i="1"/>
  <c r="F4248" i="1"/>
  <c r="J4247" i="1"/>
  <c r="I4247" i="1"/>
  <c r="H4247" i="1"/>
  <c r="G4247" i="1"/>
  <c r="F4247" i="1"/>
  <c r="I4246" i="1"/>
  <c r="J4246" i="1" s="1"/>
  <c r="H4246" i="1"/>
  <c r="G4246" i="1"/>
  <c r="F4246" i="1"/>
  <c r="J4245" i="1"/>
  <c r="I4245" i="1"/>
  <c r="H4245" i="1"/>
  <c r="G4245" i="1"/>
  <c r="F4245" i="1"/>
  <c r="I4244" i="1"/>
  <c r="J4244" i="1" s="1"/>
  <c r="H4244" i="1"/>
  <c r="G4244" i="1"/>
  <c r="F4244" i="1"/>
  <c r="J4243" i="1"/>
  <c r="I4243" i="1"/>
  <c r="H4243" i="1"/>
  <c r="G4243" i="1"/>
  <c r="F4243" i="1"/>
  <c r="J4242" i="1"/>
  <c r="I4242" i="1"/>
  <c r="H4242" i="1"/>
  <c r="G4242" i="1"/>
  <c r="F4242" i="1"/>
  <c r="I4241" i="1"/>
  <c r="J4241" i="1" s="1"/>
  <c r="H4241" i="1"/>
  <c r="G4241" i="1"/>
  <c r="F4241" i="1"/>
  <c r="I4240" i="1"/>
  <c r="J4240" i="1" s="1"/>
  <c r="H4240" i="1"/>
  <c r="G4240" i="1"/>
  <c r="F4240" i="1"/>
  <c r="I4239" i="1"/>
  <c r="J4239" i="1" s="1"/>
  <c r="H4239" i="1"/>
  <c r="G4239" i="1"/>
  <c r="F4239" i="1"/>
  <c r="J4238" i="1"/>
  <c r="I4238" i="1"/>
  <c r="H4238" i="1"/>
  <c r="G4238" i="1"/>
  <c r="F4238" i="1"/>
  <c r="J4237" i="1"/>
  <c r="I4237" i="1"/>
  <c r="H4237" i="1"/>
  <c r="G4237" i="1"/>
  <c r="F4237" i="1"/>
  <c r="J4236" i="1"/>
  <c r="I4236" i="1"/>
  <c r="H4236" i="1"/>
  <c r="G4236" i="1"/>
  <c r="F4236" i="1"/>
  <c r="I4235" i="1"/>
  <c r="J4235" i="1" s="1"/>
  <c r="H4235" i="1"/>
  <c r="G4235" i="1"/>
  <c r="F4235" i="1"/>
  <c r="I4234" i="1"/>
  <c r="J4234" i="1" s="1"/>
  <c r="H4234" i="1"/>
  <c r="G4234" i="1"/>
  <c r="F4234" i="1"/>
  <c r="J4233" i="1"/>
  <c r="I4233" i="1"/>
  <c r="H4233" i="1"/>
  <c r="G4233" i="1"/>
  <c r="F4233" i="1"/>
  <c r="I4232" i="1"/>
  <c r="J4232" i="1" s="1"/>
  <c r="H4232" i="1"/>
  <c r="G4232" i="1"/>
  <c r="F4232" i="1"/>
  <c r="J4231" i="1"/>
  <c r="I4231" i="1"/>
  <c r="H4231" i="1"/>
  <c r="G4231" i="1"/>
  <c r="F4231" i="1"/>
  <c r="I4230" i="1"/>
  <c r="J4230" i="1" s="1"/>
  <c r="H4230" i="1"/>
  <c r="G4230" i="1"/>
  <c r="F4230" i="1"/>
  <c r="J4229" i="1"/>
  <c r="I4229" i="1"/>
  <c r="H4229" i="1"/>
  <c r="G4229" i="1"/>
  <c r="F4229" i="1"/>
  <c r="J4228" i="1"/>
  <c r="I4228" i="1"/>
  <c r="H4228" i="1"/>
  <c r="G4228" i="1"/>
  <c r="F4228" i="1"/>
  <c r="I4227" i="1"/>
  <c r="J4227" i="1" s="1"/>
  <c r="H4227" i="1"/>
  <c r="G4227" i="1"/>
  <c r="F4227" i="1"/>
  <c r="I4226" i="1"/>
  <c r="J4226" i="1" s="1"/>
  <c r="H4226" i="1"/>
  <c r="G4226" i="1"/>
  <c r="F4226" i="1"/>
  <c r="I4225" i="1"/>
  <c r="J4225" i="1" s="1"/>
  <c r="H4225" i="1"/>
  <c r="G4225" i="1"/>
  <c r="F4225" i="1"/>
  <c r="J4224" i="1"/>
  <c r="I4224" i="1"/>
  <c r="H4224" i="1"/>
  <c r="G4224" i="1"/>
  <c r="F4224" i="1"/>
  <c r="J4223" i="1"/>
  <c r="I4223" i="1"/>
  <c r="H4223" i="1"/>
  <c r="G4223" i="1"/>
  <c r="F4223" i="1"/>
  <c r="J4222" i="1"/>
  <c r="I4222" i="1"/>
  <c r="H4222" i="1"/>
  <c r="G4222" i="1"/>
  <c r="F4222" i="1"/>
  <c r="J4221" i="1"/>
  <c r="I4221" i="1"/>
  <c r="H4221" i="1"/>
  <c r="G4221" i="1"/>
  <c r="F4221" i="1"/>
  <c r="I4220" i="1"/>
  <c r="J4220" i="1" s="1"/>
  <c r="H4220" i="1"/>
  <c r="G4220" i="1"/>
  <c r="F4220" i="1"/>
  <c r="J4219" i="1"/>
  <c r="I4219" i="1"/>
  <c r="H4219" i="1"/>
  <c r="G4219" i="1"/>
  <c r="F4219" i="1"/>
  <c r="J4218" i="1"/>
  <c r="I4218" i="1"/>
  <c r="H4218" i="1"/>
  <c r="G4218" i="1"/>
  <c r="F4218" i="1"/>
  <c r="J4217" i="1"/>
  <c r="I4217" i="1"/>
  <c r="H4217" i="1"/>
  <c r="G4217" i="1"/>
  <c r="F4217" i="1"/>
  <c r="I4216" i="1"/>
  <c r="J4216" i="1" s="1"/>
  <c r="H4216" i="1"/>
  <c r="G4216" i="1"/>
  <c r="F4216" i="1"/>
  <c r="J4215" i="1"/>
  <c r="I4215" i="1"/>
  <c r="H4215" i="1"/>
  <c r="G4215" i="1"/>
  <c r="F4215" i="1"/>
  <c r="J4214" i="1"/>
  <c r="I4214" i="1"/>
  <c r="H4214" i="1"/>
  <c r="G4214" i="1"/>
  <c r="F4214" i="1"/>
  <c r="I4213" i="1"/>
  <c r="J4213" i="1" s="1"/>
  <c r="H4213" i="1"/>
  <c r="G4213" i="1"/>
  <c r="F4213" i="1"/>
  <c r="I4212" i="1"/>
  <c r="J4212" i="1" s="1"/>
  <c r="H4212" i="1"/>
  <c r="G4212" i="1"/>
  <c r="F4212" i="1"/>
  <c r="I4211" i="1"/>
  <c r="J4211" i="1" s="1"/>
  <c r="H4211" i="1"/>
  <c r="G4211" i="1"/>
  <c r="F4211" i="1"/>
  <c r="J4210" i="1"/>
  <c r="I4210" i="1"/>
  <c r="H4210" i="1"/>
  <c r="G4210" i="1"/>
  <c r="F4210" i="1"/>
  <c r="I4209" i="1"/>
  <c r="J4209" i="1" s="1"/>
  <c r="H4209" i="1"/>
  <c r="G4209" i="1"/>
  <c r="F4209" i="1"/>
  <c r="J4208" i="1"/>
  <c r="I4208" i="1"/>
  <c r="H4208" i="1"/>
  <c r="G4208" i="1"/>
  <c r="F4208" i="1"/>
  <c r="I4207" i="1"/>
  <c r="J4207" i="1" s="1"/>
  <c r="H4207" i="1"/>
  <c r="G4207" i="1"/>
  <c r="F4207" i="1"/>
  <c r="I4206" i="1"/>
  <c r="J4206" i="1" s="1"/>
  <c r="H4206" i="1"/>
  <c r="G4206" i="1"/>
  <c r="F4206" i="1"/>
  <c r="I4205" i="1"/>
  <c r="J4205" i="1" s="1"/>
  <c r="H4205" i="1"/>
  <c r="G4205" i="1"/>
  <c r="F4205" i="1"/>
  <c r="I4204" i="1"/>
  <c r="J4204" i="1" s="1"/>
  <c r="H4204" i="1"/>
  <c r="G4204" i="1"/>
  <c r="F4204" i="1"/>
  <c r="J4203" i="1"/>
  <c r="I4203" i="1"/>
  <c r="H4203" i="1"/>
  <c r="G4203" i="1"/>
  <c r="F4203" i="1"/>
  <c r="J4202" i="1"/>
  <c r="I4202" i="1"/>
  <c r="H4202" i="1"/>
  <c r="G4202" i="1"/>
  <c r="F4202" i="1"/>
  <c r="I4201" i="1"/>
  <c r="J4201" i="1" s="1"/>
  <c r="H4201" i="1"/>
  <c r="G4201" i="1"/>
  <c r="F4201" i="1"/>
  <c r="I4200" i="1"/>
  <c r="J4200" i="1" s="1"/>
  <c r="H4200" i="1"/>
  <c r="G4200" i="1"/>
  <c r="F4200" i="1"/>
  <c r="I4199" i="1"/>
  <c r="J4199" i="1" s="1"/>
  <c r="H4199" i="1"/>
  <c r="G4199" i="1"/>
  <c r="F4199" i="1"/>
  <c r="J4198" i="1"/>
  <c r="I4198" i="1"/>
  <c r="H4198" i="1"/>
  <c r="G4198" i="1"/>
  <c r="F4198" i="1"/>
  <c r="I4197" i="1"/>
  <c r="J4197" i="1" s="1"/>
  <c r="H4197" i="1"/>
  <c r="G4197" i="1"/>
  <c r="F4197" i="1"/>
  <c r="I4196" i="1"/>
  <c r="J4196" i="1" s="1"/>
  <c r="H4196" i="1"/>
  <c r="G4196" i="1"/>
  <c r="F4196" i="1"/>
  <c r="J4195" i="1"/>
  <c r="I4195" i="1"/>
  <c r="H4195" i="1"/>
  <c r="G4195" i="1"/>
  <c r="F4195" i="1"/>
  <c r="J4194" i="1"/>
  <c r="I4194" i="1"/>
  <c r="H4194" i="1"/>
  <c r="G4194" i="1"/>
  <c r="F4194" i="1"/>
  <c r="J4193" i="1"/>
  <c r="I4193" i="1"/>
  <c r="H4193" i="1"/>
  <c r="G4193" i="1"/>
  <c r="F4193" i="1"/>
  <c r="I4192" i="1"/>
  <c r="J4192" i="1" s="1"/>
  <c r="H4192" i="1"/>
  <c r="G4192" i="1"/>
  <c r="F4192" i="1"/>
  <c r="J4191" i="1"/>
  <c r="I4191" i="1"/>
  <c r="H4191" i="1"/>
  <c r="G4191" i="1"/>
  <c r="F4191" i="1"/>
  <c r="J4190" i="1"/>
  <c r="I4190" i="1"/>
  <c r="H4190" i="1"/>
  <c r="G4190" i="1"/>
  <c r="F4190" i="1"/>
  <c r="J4189" i="1"/>
  <c r="I4189" i="1"/>
  <c r="H4189" i="1"/>
  <c r="G4189" i="1"/>
  <c r="F4189" i="1"/>
  <c r="I4188" i="1"/>
  <c r="J4188" i="1" s="1"/>
  <c r="H4188" i="1"/>
  <c r="G4188" i="1"/>
  <c r="F4188" i="1"/>
  <c r="J4187" i="1"/>
  <c r="I4187" i="1"/>
  <c r="H4187" i="1"/>
  <c r="G4187" i="1"/>
  <c r="F4187" i="1"/>
  <c r="J4186" i="1"/>
  <c r="I4186" i="1"/>
  <c r="H4186" i="1"/>
  <c r="G4186" i="1"/>
  <c r="F4186" i="1"/>
  <c r="J4185" i="1"/>
  <c r="I4185" i="1"/>
  <c r="H4185" i="1"/>
  <c r="G4185" i="1"/>
  <c r="F4185" i="1"/>
  <c r="J4184" i="1"/>
  <c r="I4184" i="1"/>
  <c r="H4184" i="1"/>
  <c r="G4184" i="1"/>
  <c r="F4184" i="1"/>
  <c r="I4183" i="1"/>
  <c r="J4183" i="1" s="1"/>
  <c r="H4183" i="1"/>
  <c r="G4183" i="1"/>
  <c r="F4183" i="1"/>
  <c r="I4182" i="1"/>
  <c r="J4182" i="1" s="1"/>
  <c r="H4182" i="1"/>
  <c r="G4182" i="1"/>
  <c r="F4182" i="1"/>
  <c r="J4181" i="1"/>
  <c r="I4181" i="1"/>
  <c r="H4181" i="1"/>
  <c r="G4181" i="1"/>
  <c r="F4181" i="1"/>
  <c r="I4180" i="1"/>
  <c r="J4180" i="1" s="1"/>
  <c r="H4180" i="1"/>
  <c r="G4180" i="1"/>
  <c r="F4180" i="1"/>
  <c r="J4179" i="1"/>
  <c r="I4179" i="1"/>
  <c r="H4179" i="1"/>
  <c r="G4179" i="1"/>
  <c r="F4179" i="1"/>
  <c r="I4178" i="1"/>
  <c r="J4178" i="1" s="1"/>
  <c r="H4178" i="1"/>
  <c r="G4178" i="1"/>
  <c r="F4178" i="1"/>
  <c r="I4177" i="1"/>
  <c r="J4177" i="1" s="1"/>
  <c r="H4177" i="1"/>
  <c r="G4177" i="1"/>
  <c r="F4177" i="1"/>
  <c r="J4176" i="1"/>
  <c r="I4176" i="1"/>
  <c r="H4176" i="1"/>
  <c r="G4176" i="1"/>
  <c r="F4176" i="1"/>
  <c r="I4175" i="1"/>
  <c r="J4175" i="1" s="1"/>
  <c r="H4175" i="1"/>
  <c r="G4175" i="1"/>
  <c r="F4175" i="1"/>
  <c r="J4174" i="1"/>
  <c r="I4174" i="1"/>
  <c r="H4174" i="1"/>
  <c r="G4174" i="1"/>
  <c r="F4174" i="1"/>
  <c r="J4173" i="1"/>
  <c r="I4173" i="1"/>
  <c r="H4173" i="1"/>
  <c r="G4173" i="1"/>
  <c r="F4173" i="1"/>
  <c r="I4172" i="1"/>
  <c r="J4172" i="1" s="1"/>
  <c r="H4172" i="1"/>
  <c r="G4172" i="1"/>
  <c r="F4172" i="1"/>
  <c r="I4171" i="1"/>
  <c r="J4171" i="1" s="1"/>
  <c r="H4171" i="1"/>
  <c r="G4171" i="1"/>
  <c r="F4171" i="1"/>
  <c r="J4170" i="1"/>
  <c r="I4170" i="1"/>
  <c r="H4170" i="1"/>
  <c r="G4170" i="1"/>
  <c r="F4170" i="1"/>
  <c r="I4169" i="1"/>
  <c r="J4169" i="1" s="1"/>
  <c r="H4169" i="1"/>
  <c r="G4169" i="1"/>
  <c r="F4169" i="1"/>
  <c r="J4168" i="1"/>
  <c r="I4168" i="1"/>
  <c r="H4168" i="1"/>
  <c r="G4168" i="1"/>
  <c r="F4168" i="1"/>
  <c r="J4167" i="1"/>
  <c r="I4167" i="1"/>
  <c r="H4167" i="1"/>
  <c r="G4167" i="1"/>
  <c r="F4167" i="1"/>
  <c r="J4166" i="1"/>
  <c r="I4166" i="1"/>
  <c r="H4166" i="1"/>
  <c r="G4166" i="1"/>
  <c r="F4166" i="1"/>
  <c r="I4165" i="1"/>
  <c r="J4165" i="1" s="1"/>
  <c r="H4165" i="1"/>
  <c r="G4165" i="1"/>
  <c r="F4165" i="1"/>
  <c r="I4164" i="1"/>
  <c r="J4164" i="1" s="1"/>
  <c r="H4164" i="1"/>
  <c r="G4164" i="1"/>
  <c r="F4164" i="1"/>
  <c r="I4163" i="1"/>
  <c r="J4163" i="1" s="1"/>
  <c r="H4163" i="1"/>
  <c r="G4163" i="1"/>
  <c r="F4163" i="1"/>
  <c r="I4162" i="1"/>
  <c r="J4162" i="1" s="1"/>
  <c r="H4162" i="1"/>
  <c r="G4162" i="1"/>
  <c r="F4162" i="1"/>
  <c r="J4161" i="1"/>
  <c r="I4161" i="1"/>
  <c r="H4161" i="1"/>
  <c r="G4161" i="1"/>
  <c r="F4161" i="1"/>
  <c r="I4160" i="1"/>
  <c r="J4160" i="1" s="1"/>
  <c r="H4160" i="1"/>
  <c r="G4160" i="1"/>
  <c r="F4160" i="1"/>
  <c r="J4159" i="1"/>
  <c r="I4159" i="1"/>
  <c r="H4159" i="1"/>
  <c r="G4159" i="1"/>
  <c r="F4159" i="1"/>
  <c r="I4158" i="1"/>
  <c r="J4158" i="1" s="1"/>
  <c r="H4158" i="1"/>
  <c r="G4158" i="1"/>
  <c r="F4158" i="1"/>
  <c r="J4157" i="1"/>
  <c r="I4157" i="1"/>
  <c r="H4157" i="1"/>
  <c r="G4157" i="1"/>
  <c r="F4157" i="1"/>
  <c r="J4156" i="1"/>
  <c r="I4156" i="1"/>
  <c r="H4156" i="1"/>
  <c r="G4156" i="1"/>
  <c r="F4156" i="1"/>
  <c r="I4155" i="1"/>
  <c r="J4155" i="1" s="1"/>
  <c r="H4155" i="1"/>
  <c r="G4155" i="1"/>
  <c r="F4155" i="1"/>
  <c r="I4154" i="1"/>
  <c r="J4154" i="1" s="1"/>
  <c r="H4154" i="1"/>
  <c r="G4154" i="1"/>
  <c r="F4154" i="1"/>
  <c r="J4153" i="1"/>
  <c r="I4153" i="1"/>
  <c r="H4153" i="1"/>
  <c r="G4153" i="1"/>
  <c r="F4153" i="1"/>
  <c r="I4152" i="1"/>
  <c r="J4152" i="1" s="1"/>
  <c r="H4152" i="1"/>
  <c r="G4152" i="1"/>
  <c r="F4152" i="1"/>
  <c r="J4151" i="1"/>
  <c r="I4151" i="1"/>
  <c r="H4151" i="1"/>
  <c r="G4151" i="1"/>
  <c r="F4151" i="1"/>
  <c r="I4150" i="1"/>
  <c r="J4150" i="1" s="1"/>
  <c r="H4150" i="1"/>
  <c r="G4150" i="1"/>
  <c r="F4150" i="1"/>
  <c r="I4149" i="1"/>
  <c r="J4149" i="1" s="1"/>
  <c r="H4149" i="1"/>
  <c r="G4149" i="1"/>
  <c r="F4149" i="1"/>
  <c r="J4148" i="1"/>
  <c r="I4148" i="1"/>
  <c r="H4148" i="1"/>
  <c r="G4148" i="1"/>
  <c r="F4148" i="1"/>
  <c r="I4147" i="1"/>
  <c r="J4147" i="1" s="1"/>
  <c r="H4147" i="1"/>
  <c r="G4147" i="1"/>
  <c r="F4147" i="1"/>
  <c r="I4146" i="1"/>
  <c r="J4146" i="1" s="1"/>
  <c r="H4146" i="1"/>
  <c r="G4146" i="1"/>
  <c r="F4146" i="1"/>
  <c r="I4145" i="1"/>
  <c r="J4145" i="1" s="1"/>
  <c r="H4145" i="1"/>
  <c r="G4145" i="1"/>
  <c r="F4145" i="1"/>
  <c r="J4144" i="1"/>
  <c r="I4144" i="1"/>
  <c r="H4144" i="1"/>
  <c r="G4144" i="1"/>
  <c r="F4144" i="1"/>
  <c r="I4143" i="1"/>
  <c r="J4143" i="1" s="1"/>
  <c r="H4143" i="1"/>
  <c r="G4143" i="1"/>
  <c r="F4143" i="1"/>
  <c r="J4142" i="1"/>
  <c r="I4142" i="1"/>
  <c r="H4142" i="1"/>
  <c r="G4142" i="1"/>
  <c r="F4142" i="1"/>
  <c r="I4141" i="1"/>
  <c r="J4141" i="1" s="1"/>
  <c r="H4141" i="1"/>
  <c r="G4141" i="1"/>
  <c r="F4141" i="1"/>
  <c r="J4140" i="1"/>
  <c r="I4140" i="1"/>
  <c r="H4140" i="1"/>
  <c r="G4140" i="1"/>
  <c r="F4140" i="1"/>
  <c r="J4139" i="1"/>
  <c r="I4139" i="1"/>
  <c r="H4139" i="1"/>
  <c r="G4139" i="1"/>
  <c r="F4139" i="1"/>
  <c r="J4138" i="1"/>
  <c r="I4138" i="1"/>
  <c r="H4138" i="1"/>
  <c r="G4138" i="1"/>
  <c r="F4138" i="1"/>
  <c r="I4137" i="1"/>
  <c r="J4137" i="1" s="1"/>
  <c r="H4137" i="1"/>
  <c r="G4137" i="1"/>
  <c r="F4137" i="1"/>
  <c r="I4136" i="1"/>
  <c r="J4136" i="1" s="1"/>
  <c r="H4136" i="1"/>
  <c r="G4136" i="1"/>
  <c r="F4136" i="1"/>
  <c r="I4135" i="1"/>
  <c r="J4135" i="1" s="1"/>
  <c r="H4135" i="1"/>
  <c r="G4135" i="1"/>
  <c r="F4135" i="1"/>
  <c r="I4134" i="1"/>
  <c r="J4134" i="1" s="1"/>
  <c r="H4134" i="1"/>
  <c r="G4134" i="1"/>
  <c r="F4134" i="1"/>
  <c r="I4133" i="1"/>
  <c r="J4133" i="1" s="1"/>
  <c r="H4133" i="1"/>
  <c r="G4133" i="1"/>
  <c r="F4133" i="1"/>
  <c r="I4132" i="1"/>
  <c r="J4132" i="1" s="1"/>
  <c r="H4132" i="1"/>
  <c r="G4132" i="1"/>
  <c r="F4132" i="1"/>
  <c r="J4131" i="1"/>
  <c r="I4131" i="1"/>
  <c r="H4131" i="1"/>
  <c r="G4131" i="1"/>
  <c r="F4131" i="1"/>
  <c r="I4130" i="1"/>
  <c r="J4130" i="1" s="1"/>
  <c r="H4130" i="1"/>
  <c r="G4130" i="1"/>
  <c r="F4130" i="1"/>
  <c r="J4129" i="1"/>
  <c r="I4129" i="1"/>
  <c r="H4129" i="1"/>
  <c r="G4129" i="1"/>
  <c r="F4129" i="1"/>
  <c r="I4128" i="1"/>
  <c r="J4128" i="1" s="1"/>
  <c r="H4128" i="1"/>
  <c r="G4128" i="1"/>
  <c r="F4128" i="1"/>
  <c r="J4127" i="1"/>
  <c r="I4127" i="1"/>
  <c r="H4127" i="1"/>
  <c r="G4127" i="1"/>
  <c r="F4127" i="1"/>
  <c r="J4126" i="1"/>
  <c r="I4126" i="1"/>
  <c r="H4126" i="1"/>
  <c r="G4126" i="1"/>
  <c r="F4126" i="1"/>
  <c r="J4125" i="1"/>
  <c r="I4125" i="1"/>
  <c r="H4125" i="1"/>
  <c r="G4125" i="1"/>
  <c r="F4125" i="1"/>
  <c r="I4124" i="1"/>
  <c r="J4124" i="1" s="1"/>
  <c r="H4124" i="1"/>
  <c r="G4124" i="1"/>
  <c r="F4124" i="1"/>
  <c r="J4123" i="1"/>
  <c r="I4123" i="1"/>
  <c r="H4123" i="1"/>
  <c r="G4123" i="1"/>
  <c r="F4123" i="1"/>
  <c r="I4122" i="1"/>
  <c r="J4122" i="1" s="1"/>
  <c r="H4122" i="1"/>
  <c r="G4122" i="1"/>
  <c r="F4122" i="1"/>
  <c r="I4121" i="1"/>
  <c r="J4121" i="1" s="1"/>
  <c r="H4121" i="1"/>
  <c r="G4121" i="1"/>
  <c r="F4121" i="1"/>
  <c r="J4120" i="1"/>
  <c r="I4120" i="1"/>
  <c r="H4120" i="1"/>
  <c r="G4120" i="1"/>
  <c r="F4120" i="1"/>
  <c r="I4119" i="1"/>
  <c r="J4119" i="1" s="1"/>
  <c r="H4119" i="1"/>
  <c r="G4119" i="1"/>
  <c r="F4119" i="1"/>
  <c r="I4118" i="1"/>
  <c r="J4118" i="1" s="1"/>
  <c r="H4118" i="1"/>
  <c r="G4118" i="1"/>
  <c r="F4118" i="1"/>
  <c r="I4117" i="1"/>
  <c r="J4117" i="1" s="1"/>
  <c r="H4117" i="1"/>
  <c r="G4117" i="1"/>
  <c r="F4117" i="1"/>
  <c r="I4116" i="1"/>
  <c r="J4116" i="1" s="1"/>
  <c r="H4116" i="1"/>
  <c r="G4116" i="1"/>
  <c r="F4116" i="1"/>
  <c r="I4115" i="1"/>
  <c r="J4115" i="1" s="1"/>
  <c r="H4115" i="1"/>
  <c r="G4115" i="1"/>
  <c r="F4115" i="1"/>
  <c r="J4114" i="1"/>
  <c r="I4114" i="1"/>
  <c r="H4114" i="1"/>
  <c r="G4114" i="1"/>
  <c r="F4114" i="1"/>
  <c r="J4113" i="1"/>
  <c r="I4113" i="1"/>
  <c r="H4113" i="1"/>
  <c r="G4113" i="1"/>
  <c r="F4113" i="1"/>
  <c r="J4112" i="1"/>
  <c r="I4112" i="1"/>
  <c r="H4112" i="1"/>
  <c r="G4112" i="1"/>
  <c r="F4112" i="1"/>
  <c r="J4111" i="1"/>
  <c r="I4111" i="1"/>
  <c r="H4111" i="1"/>
  <c r="G4111" i="1"/>
  <c r="F4111" i="1"/>
  <c r="J4110" i="1"/>
  <c r="I4110" i="1"/>
  <c r="H4110" i="1"/>
  <c r="G4110" i="1"/>
  <c r="F4110" i="1"/>
  <c r="I4109" i="1"/>
  <c r="J4109" i="1" s="1"/>
  <c r="H4109" i="1"/>
  <c r="G4109" i="1"/>
  <c r="F4109" i="1"/>
  <c r="I4108" i="1"/>
  <c r="J4108" i="1" s="1"/>
  <c r="H4108" i="1"/>
  <c r="G4108" i="1"/>
  <c r="F4108" i="1"/>
  <c r="J4107" i="1"/>
  <c r="I4107" i="1"/>
  <c r="H4107" i="1"/>
  <c r="G4107" i="1"/>
  <c r="F4107" i="1"/>
  <c r="I4106" i="1"/>
  <c r="J4106" i="1" s="1"/>
  <c r="H4106" i="1"/>
  <c r="G4106" i="1"/>
  <c r="F4106" i="1"/>
  <c r="I4105" i="1"/>
  <c r="J4105" i="1" s="1"/>
  <c r="H4105" i="1"/>
  <c r="G4105" i="1"/>
  <c r="F4105" i="1"/>
  <c r="I4104" i="1"/>
  <c r="J4104" i="1" s="1"/>
  <c r="H4104" i="1"/>
  <c r="G4104" i="1"/>
  <c r="F4104" i="1"/>
  <c r="J4103" i="1"/>
  <c r="I4103" i="1"/>
  <c r="H4103" i="1"/>
  <c r="G4103" i="1"/>
  <c r="F4103" i="1"/>
  <c r="I4102" i="1"/>
  <c r="J4102" i="1" s="1"/>
  <c r="H4102" i="1"/>
  <c r="G4102" i="1"/>
  <c r="F4102" i="1"/>
  <c r="I4101" i="1"/>
  <c r="J4101" i="1" s="1"/>
  <c r="H4101" i="1"/>
  <c r="G4101" i="1"/>
  <c r="F4101" i="1"/>
  <c r="I4100" i="1"/>
  <c r="J4100" i="1" s="1"/>
  <c r="H4100" i="1"/>
  <c r="G4100" i="1"/>
  <c r="F4100" i="1"/>
  <c r="I4099" i="1"/>
  <c r="J4099" i="1" s="1"/>
  <c r="H4099" i="1"/>
  <c r="G4099" i="1"/>
  <c r="F4099" i="1"/>
  <c r="I4098" i="1"/>
  <c r="J4098" i="1" s="1"/>
  <c r="H4098" i="1"/>
  <c r="G4098" i="1"/>
  <c r="F4098" i="1"/>
  <c r="J4097" i="1"/>
  <c r="I4097" i="1"/>
  <c r="H4097" i="1"/>
  <c r="G4097" i="1"/>
  <c r="F4097" i="1"/>
  <c r="I4096" i="1"/>
  <c r="J4096" i="1" s="1"/>
  <c r="H4096" i="1"/>
  <c r="G4096" i="1"/>
  <c r="F4096" i="1"/>
  <c r="I4095" i="1"/>
  <c r="J4095" i="1" s="1"/>
  <c r="H4095" i="1"/>
  <c r="G4095" i="1"/>
  <c r="F4095" i="1"/>
  <c r="I4094" i="1"/>
  <c r="J4094" i="1" s="1"/>
  <c r="H4094" i="1"/>
  <c r="G4094" i="1"/>
  <c r="F4094" i="1"/>
  <c r="I4093" i="1"/>
  <c r="J4093" i="1" s="1"/>
  <c r="H4093" i="1"/>
  <c r="G4093" i="1"/>
  <c r="F4093" i="1"/>
  <c r="J4092" i="1"/>
  <c r="I4092" i="1"/>
  <c r="H4092" i="1"/>
  <c r="G4092" i="1"/>
  <c r="F4092" i="1"/>
  <c r="I4091" i="1"/>
  <c r="J4091" i="1" s="1"/>
  <c r="H4091" i="1"/>
  <c r="G4091" i="1"/>
  <c r="F4091" i="1"/>
  <c r="J4090" i="1"/>
  <c r="I4090" i="1"/>
  <c r="H4090" i="1"/>
  <c r="G4090" i="1"/>
  <c r="F4090" i="1"/>
  <c r="J4089" i="1"/>
  <c r="I4089" i="1"/>
  <c r="H4089" i="1"/>
  <c r="G4089" i="1"/>
  <c r="F4089" i="1"/>
  <c r="I4088" i="1"/>
  <c r="J4088" i="1" s="1"/>
  <c r="H4088" i="1"/>
  <c r="G4088" i="1"/>
  <c r="F4088" i="1"/>
  <c r="I4087" i="1"/>
  <c r="J4087" i="1" s="1"/>
  <c r="H4087" i="1"/>
  <c r="G4087" i="1"/>
  <c r="F4087" i="1"/>
  <c r="J4086" i="1"/>
  <c r="I4086" i="1"/>
  <c r="H4086" i="1"/>
  <c r="G4086" i="1"/>
  <c r="F4086" i="1"/>
  <c r="I4085" i="1"/>
  <c r="J4085" i="1" s="1"/>
  <c r="H4085" i="1"/>
  <c r="G4085" i="1"/>
  <c r="F4085" i="1"/>
  <c r="I4084" i="1"/>
  <c r="J4084" i="1" s="1"/>
  <c r="H4084" i="1"/>
  <c r="G4084" i="1"/>
  <c r="F4084" i="1"/>
  <c r="J4083" i="1"/>
  <c r="I4083" i="1"/>
  <c r="H4083" i="1"/>
  <c r="G4083" i="1"/>
  <c r="F4083" i="1"/>
  <c r="J4082" i="1"/>
  <c r="I4082" i="1"/>
  <c r="H4082" i="1"/>
  <c r="G4082" i="1"/>
  <c r="F4082" i="1"/>
  <c r="J4081" i="1"/>
  <c r="I4081" i="1"/>
  <c r="H4081" i="1"/>
  <c r="G4081" i="1"/>
  <c r="F4081" i="1"/>
  <c r="I4080" i="1"/>
  <c r="J4080" i="1" s="1"/>
  <c r="H4080" i="1"/>
  <c r="G4080" i="1"/>
  <c r="F4080" i="1"/>
  <c r="J4079" i="1"/>
  <c r="I4079" i="1"/>
  <c r="H4079" i="1"/>
  <c r="G4079" i="1"/>
  <c r="F4079" i="1"/>
  <c r="J4078" i="1"/>
  <c r="I4078" i="1"/>
  <c r="H4078" i="1"/>
  <c r="G4078" i="1"/>
  <c r="F4078" i="1"/>
  <c r="J4077" i="1"/>
  <c r="I4077" i="1"/>
  <c r="H4077" i="1"/>
  <c r="G4077" i="1"/>
  <c r="F4077" i="1"/>
  <c r="J4076" i="1"/>
  <c r="I4076" i="1"/>
  <c r="H4076" i="1"/>
  <c r="G4076" i="1"/>
  <c r="F4076" i="1"/>
  <c r="J4075" i="1"/>
  <c r="I4075" i="1"/>
  <c r="H4075" i="1"/>
  <c r="G4075" i="1"/>
  <c r="F4075" i="1"/>
  <c r="I4074" i="1"/>
  <c r="J4074" i="1" s="1"/>
  <c r="H4074" i="1"/>
  <c r="G4074" i="1"/>
  <c r="F4074" i="1"/>
  <c r="J4073" i="1"/>
  <c r="I4073" i="1"/>
  <c r="H4073" i="1"/>
  <c r="G4073" i="1"/>
  <c r="F4073" i="1"/>
  <c r="J4072" i="1"/>
  <c r="I4072" i="1"/>
  <c r="H4072" i="1"/>
  <c r="G4072" i="1"/>
  <c r="F4072" i="1"/>
  <c r="I4071" i="1"/>
  <c r="J4071" i="1" s="1"/>
  <c r="H4071" i="1"/>
  <c r="G4071" i="1"/>
  <c r="F4071" i="1"/>
  <c r="I4070" i="1"/>
  <c r="J4070" i="1" s="1"/>
  <c r="H4070" i="1"/>
  <c r="G4070" i="1"/>
  <c r="F4070" i="1"/>
  <c r="J4069" i="1"/>
  <c r="I4069" i="1"/>
  <c r="H4069" i="1"/>
  <c r="G4069" i="1"/>
  <c r="F4069" i="1"/>
  <c r="I4068" i="1"/>
  <c r="J4068" i="1" s="1"/>
  <c r="H4068" i="1"/>
  <c r="G4068" i="1"/>
  <c r="F4068" i="1"/>
  <c r="J4067" i="1"/>
  <c r="I4067" i="1"/>
  <c r="H4067" i="1"/>
  <c r="G4067" i="1"/>
  <c r="F4067" i="1"/>
  <c r="I4066" i="1"/>
  <c r="J4066" i="1" s="1"/>
  <c r="H4066" i="1"/>
  <c r="G4066" i="1"/>
  <c r="F4066" i="1"/>
  <c r="I4065" i="1"/>
  <c r="J4065" i="1" s="1"/>
  <c r="H4065" i="1"/>
  <c r="G4065" i="1"/>
  <c r="F4065" i="1"/>
  <c r="J4064" i="1"/>
  <c r="I4064" i="1"/>
  <c r="H4064" i="1"/>
  <c r="G4064" i="1"/>
  <c r="F4064" i="1"/>
  <c r="I4063" i="1"/>
  <c r="J4063" i="1" s="1"/>
  <c r="H4063" i="1"/>
  <c r="G4063" i="1"/>
  <c r="F4063" i="1"/>
  <c r="I4062" i="1"/>
  <c r="J4062" i="1" s="1"/>
  <c r="H4062" i="1"/>
  <c r="G4062" i="1"/>
  <c r="F4062" i="1"/>
  <c r="J4061" i="1"/>
  <c r="I4061" i="1"/>
  <c r="H4061" i="1"/>
  <c r="G4061" i="1"/>
  <c r="F4061" i="1"/>
  <c r="J4060" i="1"/>
  <c r="I4060" i="1"/>
  <c r="H4060" i="1"/>
  <c r="G4060" i="1"/>
  <c r="F4060" i="1"/>
  <c r="J4059" i="1"/>
  <c r="I4059" i="1"/>
  <c r="H4059" i="1"/>
  <c r="G4059" i="1"/>
  <c r="F4059" i="1"/>
  <c r="I4058" i="1"/>
  <c r="J4058" i="1" s="1"/>
  <c r="H4058" i="1"/>
  <c r="G4058" i="1"/>
  <c r="F4058" i="1"/>
  <c r="I4057" i="1"/>
  <c r="J4057" i="1" s="1"/>
  <c r="H4057" i="1"/>
  <c r="G4057" i="1"/>
  <c r="F4057" i="1"/>
  <c r="J4056" i="1"/>
  <c r="I4056" i="1"/>
  <c r="H4056" i="1"/>
  <c r="G4056" i="1"/>
  <c r="F4056" i="1"/>
  <c r="J4055" i="1"/>
  <c r="I4055" i="1"/>
  <c r="H4055" i="1"/>
  <c r="G4055" i="1"/>
  <c r="F4055" i="1"/>
  <c r="J4054" i="1"/>
  <c r="I4054" i="1"/>
  <c r="H4054" i="1"/>
  <c r="G4054" i="1"/>
  <c r="F4054" i="1"/>
  <c r="I4053" i="1"/>
  <c r="J4053" i="1" s="1"/>
  <c r="H4053" i="1"/>
  <c r="G4053" i="1"/>
  <c r="F4053" i="1"/>
  <c r="I4052" i="1"/>
  <c r="J4052" i="1" s="1"/>
  <c r="H4052" i="1"/>
  <c r="G4052" i="1"/>
  <c r="F4052" i="1"/>
  <c r="I4051" i="1"/>
  <c r="J4051" i="1" s="1"/>
  <c r="H4051" i="1"/>
  <c r="G4051" i="1"/>
  <c r="F4051" i="1"/>
  <c r="I4050" i="1"/>
  <c r="J4050" i="1" s="1"/>
  <c r="H4050" i="1"/>
  <c r="G4050" i="1"/>
  <c r="F4050" i="1"/>
  <c r="J4049" i="1"/>
  <c r="I4049" i="1"/>
  <c r="H4049" i="1"/>
  <c r="G4049" i="1"/>
  <c r="F4049" i="1"/>
  <c r="I4048" i="1"/>
  <c r="J4048" i="1" s="1"/>
  <c r="H4048" i="1"/>
  <c r="G4048" i="1"/>
  <c r="F4048" i="1"/>
  <c r="J4047" i="1"/>
  <c r="I4047" i="1"/>
  <c r="H4047" i="1"/>
  <c r="G4047" i="1"/>
  <c r="F4047" i="1"/>
  <c r="I4046" i="1"/>
  <c r="J4046" i="1" s="1"/>
  <c r="H4046" i="1"/>
  <c r="G4046" i="1"/>
  <c r="F4046" i="1"/>
  <c r="I4045" i="1"/>
  <c r="J4045" i="1" s="1"/>
  <c r="H4045" i="1"/>
  <c r="G4045" i="1"/>
  <c r="F4045" i="1"/>
  <c r="J4044" i="1"/>
  <c r="I4044" i="1"/>
  <c r="H4044" i="1"/>
  <c r="G4044" i="1"/>
  <c r="F4044" i="1"/>
  <c r="J4043" i="1"/>
  <c r="I4043" i="1"/>
  <c r="H4043" i="1"/>
  <c r="G4043" i="1"/>
  <c r="F4043" i="1"/>
  <c r="J4042" i="1"/>
  <c r="I4042" i="1"/>
  <c r="H4042" i="1"/>
  <c r="G4042" i="1"/>
  <c r="F4042" i="1"/>
  <c r="J4041" i="1"/>
  <c r="I4041" i="1"/>
  <c r="H4041" i="1"/>
  <c r="G4041" i="1"/>
  <c r="F4041" i="1"/>
  <c r="I4040" i="1"/>
  <c r="J4040" i="1" s="1"/>
  <c r="H4040" i="1"/>
  <c r="G4040" i="1"/>
  <c r="F4040" i="1"/>
  <c r="J4039" i="1"/>
  <c r="I4039" i="1"/>
  <c r="H4039" i="1"/>
  <c r="G4039" i="1"/>
  <c r="F4039" i="1"/>
  <c r="I4038" i="1"/>
  <c r="J4038" i="1" s="1"/>
  <c r="H4038" i="1"/>
  <c r="G4038" i="1"/>
  <c r="F4038" i="1"/>
  <c r="I4037" i="1"/>
  <c r="J4037" i="1" s="1"/>
  <c r="H4037" i="1"/>
  <c r="G4037" i="1"/>
  <c r="F4037" i="1"/>
  <c r="J4036" i="1"/>
  <c r="I4036" i="1"/>
  <c r="H4036" i="1"/>
  <c r="G4036" i="1"/>
  <c r="F4036" i="1"/>
  <c r="J4035" i="1"/>
  <c r="I4035" i="1"/>
  <c r="H4035" i="1"/>
  <c r="G4035" i="1"/>
  <c r="F4035" i="1"/>
  <c r="I4034" i="1"/>
  <c r="J4034" i="1" s="1"/>
  <c r="H4034" i="1"/>
  <c r="G4034" i="1"/>
  <c r="F4034" i="1"/>
  <c r="I4033" i="1"/>
  <c r="J4033" i="1" s="1"/>
  <c r="H4033" i="1"/>
  <c r="G4033" i="1"/>
  <c r="F4033" i="1"/>
  <c r="J4032" i="1"/>
  <c r="I4032" i="1"/>
  <c r="H4032" i="1"/>
  <c r="G4032" i="1"/>
  <c r="F4032" i="1"/>
  <c r="I4031" i="1"/>
  <c r="J4031" i="1" s="1"/>
  <c r="H4031" i="1"/>
  <c r="G4031" i="1"/>
  <c r="F4031" i="1"/>
  <c r="I4030" i="1"/>
  <c r="J4030" i="1" s="1"/>
  <c r="H4030" i="1"/>
  <c r="G4030" i="1"/>
  <c r="F4030" i="1"/>
  <c r="I4029" i="1"/>
  <c r="J4029" i="1" s="1"/>
  <c r="H4029" i="1"/>
  <c r="G4029" i="1"/>
  <c r="F4029" i="1"/>
  <c r="I4028" i="1"/>
  <c r="J4028" i="1" s="1"/>
  <c r="H4028" i="1"/>
  <c r="G4028" i="1"/>
  <c r="F4028" i="1"/>
  <c r="J4027" i="1"/>
  <c r="I4027" i="1"/>
  <c r="H4027" i="1"/>
  <c r="G4027" i="1"/>
  <c r="F4027" i="1"/>
  <c r="J4026" i="1"/>
  <c r="I4026" i="1"/>
  <c r="H4026" i="1"/>
  <c r="G4026" i="1"/>
  <c r="F4026" i="1"/>
  <c r="I4025" i="1"/>
  <c r="J4025" i="1" s="1"/>
  <c r="H4025" i="1"/>
  <c r="G4025" i="1"/>
  <c r="F4025" i="1"/>
  <c r="I4024" i="1"/>
  <c r="J4024" i="1" s="1"/>
  <c r="H4024" i="1"/>
  <c r="G4024" i="1"/>
  <c r="F4024" i="1"/>
  <c r="J4023" i="1"/>
  <c r="I4023" i="1"/>
  <c r="H4023" i="1"/>
  <c r="G4023" i="1"/>
  <c r="F4023" i="1"/>
  <c r="I4022" i="1"/>
  <c r="J4022" i="1" s="1"/>
  <c r="H4022" i="1"/>
  <c r="G4022" i="1"/>
  <c r="F4022" i="1"/>
  <c r="J4021" i="1"/>
  <c r="I4021" i="1"/>
  <c r="H4021" i="1"/>
  <c r="G4021" i="1"/>
  <c r="F4021" i="1"/>
  <c r="I4020" i="1"/>
  <c r="J4020" i="1" s="1"/>
  <c r="H4020" i="1"/>
  <c r="G4020" i="1"/>
  <c r="F4020" i="1"/>
  <c r="J4019" i="1"/>
  <c r="I4019" i="1"/>
  <c r="H4019" i="1"/>
  <c r="G4019" i="1"/>
  <c r="F4019" i="1"/>
  <c r="J4018" i="1"/>
  <c r="I4018" i="1"/>
  <c r="H4018" i="1"/>
  <c r="G4018" i="1"/>
  <c r="F4018" i="1"/>
  <c r="J4017" i="1"/>
  <c r="I4017" i="1"/>
  <c r="H4017" i="1"/>
  <c r="G4017" i="1"/>
  <c r="F4017" i="1"/>
  <c r="I4016" i="1"/>
  <c r="J4016" i="1" s="1"/>
  <c r="H4016" i="1"/>
  <c r="G4016" i="1"/>
  <c r="F4016" i="1"/>
  <c r="J4015" i="1"/>
  <c r="I4015" i="1"/>
  <c r="H4015" i="1"/>
  <c r="G4015" i="1"/>
  <c r="F4015" i="1"/>
  <c r="J4014" i="1"/>
  <c r="I4014" i="1"/>
  <c r="H4014" i="1"/>
  <c r="G4014" i="1"/>
  <c r="F4014" i="1"/>
  <c r="J4013" i="1"/>
  <c r="I4013" i="1"/>
  <c r="H4013" i="1"/>
  <c r="G4013" i="1"/>
  <c r="F4013" i="1"/>
  <c r="I4012" i="1"/>
  <c r="J4012" i="1" s="1"/>
  <c r="H4012" i="1"/>
  <c r="G4012" i="1"/>
  <c r="F4012" i="1"/>
  <c r="J4011" i="1"/>
  <c r="I4011" i="1"/>
  <c r="H4011" i="1"/>
  <c r="G4011" i="1"/>
  <c r="F4011" i="1"/>
  <c r="I4010" i="1"/>
  <c r="J4010" i="1" s="1"/>
  <c r="H4010" i="1"/>
  <c r="G4010" i="1"/>
  <c r="F4010" i="1"/>
  <c r="I4009" i="1"/>
  <c r="J4009" i="1" s="1"/>
  <c r="H4009" i="1"/>
  <c r="G4009" i="1"/>
  <c r="F4009" i="1"/>
  <c r="I4008" i="1"/>
  <c r="J4008" i="1" s="1"/>
  <c r="H4008" i="1"/>
  <c r="G4008" i="1"/>
  <c r="F4008" i="1"/>
  <c r="I4007" i="1"/>
  <c r="J4007" i="1" s="1"/>
  <c r="H4007" i="1"/>
  <c r="G4007" i="1"/>
  <c r="F4007" i="1"/>
  <c r="J4006" i="1"/>
  <c r="I4006" i="1"/>
  <c r="H4006" i="1"/>
  <c r="G4006" i="1"/>
  <c r="F4006" i="1"/>
  <c r="J4005" i="1"/>
  <c r="I4005" i="1"/>
  <c r="H4005" i="1"/>
  <c r="G4005" i="1"/>
  <c r="F4005" i="1"/>
  <c r="J4004" i="1"/>
  <c r="I4004" i="1"/>
  <c r="H4004" i="1"/>
  <c r="G4004" i="1"/>
  <c r="F4004" i="1"/>
  <c r="I4003" i="1"/>
  <c r="J4003" i="1" s="1"/>
  <c r="H4003" i="1"/>
  <c r="G4003" i="1"/>
  <c r="F4003" i="1"/>
  <c r="J4002" i="1"/>
  <c r="I4002" i="1"/>
  <c r="H4002" i="1"/>
  <c r="G4002" i="1"/>
  <c r="F4002" i="1"/>
  <c r="J4001" i="1"/>
  <c r="I4001" i="1"/>
  <c r="H4001" i="1"/>
  <c r="G4001" i="1"/>
  <c r="F4001" i="1"/>
  <c r="J4000" i="1"/>
  <c r="I4000" i="1"/>
  <c r="H4000" i="1"/>
  <c r="G4000" i="1"/>
  <c r="F4000" i="1"/>
  <c r="J3999" i="1"/>
  <c r="I3999" i="1"/>
  <c r="H3999" i="1"/>
  <c r="G3999" i="1"/>
  <c r="F3999" i="1"/>
  <c r="J3998" i="1"/>
  <c r="I3998" i="1"/>
  <c r="H3998" i="1"/>
  <c r="G3998" i="1"/>
  <c r="F3998" i="1"/>
  <c r="I3997" i="1"/>
  <c r="J3997" i="1" s="1"/>
  <c r="H3997" i="1"/>
  <c r="G3997" i="1"/>
  <c r="F3997" i="1"/>
  <c r="I3996" i="1"/>
  <c r="J3996" i="1" s="1"/>
  <c r="H3996" i="1"/>
  <c r="G3996" i="1"/>
  <c r="F3996" i="1"/>
  <c r="J3995" i="1"/>
  <c r="I3995" i="1"/>
  <c r="H3995" i="1"/>
  <c r="G3995" i="1"/>
  <c r="F3995" i="1"/>
  <c r="I3994" i="1"/>
  <c r="J3994" i="1" s="1"/>
  <c r="H3994" i="1"/>
  <c r="G3994" i="1"/>
  <c r="F3994" i="1"/>
  <c r="J3993" i="1"/>
  <c r="I3993" i="1"/>
  <c r="H3993" i="1"/>
  <c r="G3993" i="1"/>
  <c r="F3993" i="1"/>
  <c r="I3992" i="1"/>
  <c r="J3992" i="1" s="1"/>
  <c r="H3992" i="1"/>
  <c r="G3992" i="1"/>
  <c r="F3992" i="1"/>
  <c r="I3991" i="1"/>
  <c r="J3991" i="1" s="1"/>
  <c r="H3991" i="1"/>
  <c r="G3991" i="1"/>
  <c r="F3991" i="1"/>
  <c r="J3990" i="1"/>
  <c r="I3990" i="1"/>
  <c r="H3990" i="1"/>
  <c r="G3990" i="1"/>
  <c r="F3990" i="1"/>
  <c r="J3989" i="1"/>
  <c r="I3989" i="1"/>
  <c r="H3989" i="1"/>
  <c r="G3989" i="1"/>
  <c r="F3989" i="1"/>
  <c r="J3988" i="1"/>
  <c r="I3988" i="1"/>
  <c r="H3988" i="1"/>
  <c r="G3988" i="1"/>
  <c r="F3988" i="1"/>
  <c r="I3987" i="1"/>
  <c r="J3987" i="1" s="1"/>
  <c r="H3987" i="1"/>
  <c r="G3987" i="1"/>
  <c r="F3987" i="1"/>
  <c r="I3986" i="1"/>
  <c r="J3986" i="1" s="1"/>
  <c r="H3986" i="1"/>
  <c r="G3986" i="1"/>
  <c r="F3986" i="1"/>
  <c r="J3985" i="1"/>
  <c r="I3985" i="1"/>
  <c r="H3985" i="1"/>
  <c r="G3985" i="1"/>
  <c r="F3985" i="1"/>
  <c r="I3984" i="1"/>
  <c r="J3984" i="1" s="1"/>
  <c r="H3984" i="1"/>
  <c r="G3984" i="1"/>
  <c r="F3984" i="1"/>
  <c r="I3983" i="1"/>
  <c r="J3983" i="1" s="1"/>
  <c r="H3983" i="1"/>
  <c r="G3983" i="1"/>
  <c r="F3983" i="1"/>
  <c r="I3982" i="1"/>
  <c r="J3982" i="1" s="1"/>
  <c r="H3982" i="1"/>
  <c r="G3982" i="1"/>
  <c r="F3982" i="1"/>
  <c r="I3981" i="1"/>
  <c r="J3981" i="1" s="1"/>
  <c r="H3981" i="1"/>
  <c r="G3981" i="1"/>
  <c r="F3981" i="1"/>
  <c r="J3980" i="1"/>
  <c r="I3980" i="1"/>
  <c r="H3980" i="1"/>
  <c r="G3980" i="1"/>
  <c r="F3980" i="1"/>
  <c r="I3979" i="1"/>
  <c r="J3979" i="1" s="1"/>
  <c r="H3979" i="1"/>
  <c r="G3979" i="1"/>
  <c r="F3979" i="1"/>
  <c r="J3978" i="1"/>
  <c r="I3978" i="1"/>
  <c r="H3978" i="1"/>
  <c r="G3978" i="1"/>
  <c r="F3978" i="1"/>
  <c r="J3977" i="1"/>
  <c r="I3977" i="1"/>
  <c r="H3977" i="1"/>
  <c r="G3977" i="1"/>
  <c r="F3977" i="1"/>
  <c r="I3976" i="1"/>
  <c r="J3976" i="1" s="1"/>
  <c r="H3976" i="1"/>
  <c r="G3976" i="1"/>
  <c r="F3976" i="1"/>
  <c r="I3975" i="1"/>
  <c r="J3975" i="1" s="1"/>
  <c r="H3975" i="1"/>
  <c r="G3975" i="1"/>
  <c r="F3975" i="1"/>
  <c r="I3974" i="1"/>
  <c r="J3974" i="1" s="1"/>
  <c r="H3974" i="1"/>
  <c r="G3974" i="1"/>
  <c r="F3974" i="1"/>
  <c r="I3973" i="1"/>
  <c r="J3973" i="1" s="1"/>
  <c r="H3973" i="1"/>
  <c r="G3973" i="1"/>
  <c r="F3973" i="1"/>
  <c r="J3972" i="1"/>
  <c r="I3972" i="1"/>
  <c r="H3972" i="1"/>
  <c r="G3972" i="1"/>
  <c r="F3972" i="1"/>
  <c r="J3971" i="1"/>
  <c r="I3971" i="1"/>
  <c r="H3971" i="1"/>
  <c r="G3971" i="1"/>
  <c r="F3971" i="1"/>
  <c r="J3970" i="1"/>
  <c r="I3970" i="1"/>
  <c r="H3970" i="1"/>
  <c r="G3970" i="1"/>
  <c r="F3970" i="1"/>
  <c r="I3969" i="1"/>
  <c r="J3969" i="1" s="1"/>
  <c r="H3969" i="1"/>
  <c r="G3969" i="1"/>
  <c r="F3969" i="1"/>
  <c r="I3968" i="1"/>
  <c r="J3968" i="1" s="1"/>
  <c r="H3968" i="1"/>
  <c r="G3968" i="1"/>
  <c r="F3968" i="1"/>
  <c r="I3967" i="1"/>
  <c r="J3967" i="1" s="1"/>
  <c r="H3967" i="1"/>
  <c r="G3967" i="1"/>
  <c r="F3967" i="1"/>
  <c r="I3966" i="1"/>
  <c r="J3966" i="1" s="1"/>
  <c r="H3966" i="1"/>
  <c r="G3966" i="1"/>
  <c r="F3966" i="1"/>
  <c r="J3965" i="1"/>
  <c r="I3965" i="1"/>
  <c r="H3965" i="1"/>
  <c r="G3965" i="1"/>
  <c r="F3965" i="1"/>
  <c r="I3964" i="1"/>
  <c r="J3964" i="1" s="1"/>
  <c r="H3964" i="1"/>
  <c r="G3964" i="1"/>
  <c r="F3964" i="1"/>
  <c r="I3963" i="1"/>
  <c r="J3963" i="1" s="1"/>
  <c r="H3963" i="1"/>
  <c r="G3963" i="1"/>
  <c r="F3963" i="1"/>
  <c r="I3962" i="1"/>
  <c r="J3962" i="1" s="1"/>
  <c r="H3962" i="1"/>
  <c r="G3962" i="1"/>
  <c r="F3962" i="1"/>
  <c r="J3961" i="1"/>
  <c r="I3961" i="1"/>
  <c r="H3961" i="1"/>
  <c r="G3961" i="1"/>
  <c r="F3961" i="1"/>
  <c r="I3960" i="1"/>
  <c r="J3960" i="1" s="1"/>
  <c r="H3960" i="1"/>
  <c r="G3960" i="1"/>
  <c r="F3960" i="1"/>
  <c r="J3959" i="1"/>
  <c r="I3959" i="1"/>
  <c r="H3959" i="1"/>
  <c r="G3959" i="1"/>
  <c r="F3959" i="1"/>
  <c r="I3958" i="1"/>
  <c r="J3958" i="1" s="1"/>
  <c r="H3958" i="1"/>
  <c r="G3958" i="1"/>
  <c r="F3958" i="1"/>
  <c r="J3957" i="1"/>
  <c r="I3957" i="1"/>
  <c r="H3957" i="1"/>
  <c r="G3957" i="1"/>
  <c r="F3957" i="1"/>
  <c r="J3956" i="1"/>
  <c r="I3956" i="1"/>
  <c r="H3956" i="1"/>
  <c r="G3956" i="1"/>
  <c r="F3956" i="1"/>
  <c r="J3955" i="1"/>
  <c r="I3955" i="1"/>
  <c r="H3955" i="1"/>
  <c r="G3955" i="1"/>
  <c r="F3955" i="1"/>
  <c r="I3954" i="1"/>
  <c r="J3954" i="1" s="1"/>
  <c r="H3954" i="1"/>
  <c r="G3954" i="1"/>
  <c r="F3954" i="1"/>
  <c r="J3953" i="1"/>
  <c r="I3953" i="1"/>
  <c r="H3953" i="1"/>
  <c r="G3953" i="1"/>
  <c r="F3953" i="1"/>
  <c r="J3952" i="1"/>
  <c r="I3952" i="1"/>
  <c r="H3952" i="1"/>
  <c r="G3952" i="1"/>
  <c r="F3952" i="1"/>
  <c r="J3951" i="1"/>
  <c r="I3951" i="1"/>
  <c r="H3951" i="1"/>
  <c r="G3951" i="1"/>
  <c r="F3951" i="1"/>
  <c r="J3950" i="1"/>
  <c r="I3950" i="1"/>
  <c r="H3950" i="1"/>
  <c r="G3950" i="1"/>
  <c r="F3950" i="1"/>
  <c r="I3949" i="1"/>
  <c r="J3949" i="1" s="1"/>
  <c r="H3949" i="1"/>
  <c r="G3949" i="1"/>
  <c r="F3949" i="1"/>
  <c r="J3948" i="1"/>
  <c r="I3948" i="1"/>
  <c r="H3948" i="1"/>
  <c r="G3948" i="1"/>
  <c r="F3948" i="1"/>
  <c r="J3947" i="1"/>
  <c r="I3947" i="1"/>
  <c r="H3947" i="1"/>
  <c r="G3947" i="1"/>
  <c r="F3947" i="1"/>
  <c r="J3946" i="1"/>
  <c r="I3946" i="1"/>
  <c r="H3946" i="1"/>
  <c r="G3946" i="1"/>
  <c r="F3946" i="1"/>
  <c r="I3945" i="1"/>
  <c r="J3945" i="1" s="1"/>
  <c r="H3945" i="1"/>
  <c r="G3945" i="1"/>
  <c r="F3945" i="1"/>
  <c r="J3944" i="1"/>
  <c r="I3944" i="1"/>
  <c r="H3944" i="1"/>
  <c r="G3944" i="1"/>
  <c r="F3944" i="1"/>
  <c r="J3943" i="1"/>
  <c r="I3943" i="1"/>
  <c r="H3943" i="1"/>
  <c r="G3943" i="1"/>
  <c r="F3943" i="1"/>
  <c r="J3942" i="1"/>
  <c r="I3942" i="1"/>
  <c r="H3942" i="1"/>
  <c r="G3942" i="1"/>
  <c r="F3942" i="1"/>
  <c r="I3941" i="1"/>
  <c r="J3941" i="1" s="1"/>
  <c r="H3941" i="1"/>
  <c r="G3941" i="1"/>
  <c r="F3941" i="1"/>
  <c r="I3940" i="1"/>
  <c r="J3940" i="1" s="1"/>
  <c r="H3940" i="1"/>
  <c r="G3940" i="1"/>
  <c r="F3940" i="1"/>
  <c r="J3939" i="1"/>
  <c r="I3939" i="1"/>
  <c r="H3939" i="1"/>
  <c r="G3939" i="1"/>
  <c r="F3939" i="1"/>
  <c r="I3938" i="1"/>
  <c r="J3938" i="1" s="1"/>
  <c r="H3938" i="1"/>
  <c r="G3938" i="1"/>
  <c r="F3938" i="1"/>
  <c r="J3937" i="1"/>
  <c r="I3937" i="1"/>
  <c r="H3937" i="1"/>
  <c r="G3937" i="1"/>
  <c r="F3937" i="1"/>
  <c r="J3936" i="1"/>
  <c r="I3936" i="1"/>
  <c r="H3936" i="1"/>
  <c r="G3936" i="1"/>
  <c r="F3936" i="1"/>
  <c r="J3935" i="1"/>
  <c r="I3935" i="1"/>
  <c r="H3935" i="1"/>
  <c r="G3935" i="1"/>
  <c r="F3935" i="1"/>
  <c r="J3934" i="1"/>
  <c r="I3934" i="1"/>
  <c r="H3934" i="1"/>
  <c r="G3934" i="1"/>
  <c r="F3934" i="1"/>
  <c r="J3933" i="1"/>
  <c r="I3933" i="1"/>
  <c r="H3933" i="1"/>
  <c r="G3933" i="1"/>
  <c r="F3933" i="1"/>
  <c r="I3932" i="1"/>
  <c r="J3932" i="1" s="1"/>
  <c r="H3932" i="1"/>
  <c r="G3932" i="1"/>
  <c r="F3932" i="1"/>
  <c r="J3931" i="1"/>
  <c r="I3931" i="1"/>
  <c r="H3931" i="1"/>
  <c r="G3931" i="1"/>
  <c r="F3931" i="1"/>
  <c r="J3930" i="1"/>
  <c r="I3930" i="1"/>
  <c r="H3930" i="1"/>
  <c r="G3930" i="1"/>
  <c r="F3930" i="1"/>
  <c r="J3929" i="1"/>
  <c r="I3929" i="1"/>
  <c r="H3929" i="1"/>
  <c r="G3929" i="1"/>
  <c r="F3929" i="1"/>
  <c r="I3928" i="1"/>
  <c r="J3928" i="1" s="1"/>
  <c r="H3928" i="1"/>
  <c r="G3928" i="1"/>
  <c r="F3928" i="1"/>
  <c r="J3927" i="1"/>
  <c r="I3927" i="1"/>
  <c r="H3927" i="1"/>
  <c r="G3927" i="1"/>
  <c r="F3927" i="1"/>
  <c r="I3926" i="1"/>
  <c r="J3926" i="1" s="1"/>
  <c r="H3926" i="1"/>
  <c r="G3926" i="1"/>
  <c r="F3926" i="1"/>
  <c r="I3925" i="1"/>
  <c r="J3925" i="1" s="1"/>
  <c r="H3925" i="1"/>
  <c r="G3925" i="1"/>
  <c r="F3925" i="1"/>
  <c r="J3924" i="1"/>
  <c r="I3924" i="1"/>
  <c r="H3924" i="1"/>
  <c r="G3924" i="1"/>
  <c r="F3924" i="1"/>
  <c r="J3923" i="1"/>
  <c r="I3923" i="1"/>
  <c r="H3923" i="1"/>
  <c r="G3923" i="1"/>
  <c r="F3923" i="1"/>
  <c r="J3922" i="1"/>
  <c r="I3922" i="1"/>
  <c r="H3922" i="1"/>
  <c r="G3922" i="1"/>
  <c r="F3922" i="1"/>
  <c r="I3921" i="1"/>
  <c r="J3921" i="1" s="1"/>
  <c r="H3921" i="1"/>
  <c r="G3921" i="1"/>
  <c r="F3921" i="1"/>
  <c r="J3920" i="1"/>
  <c r="I3920" i="1"/>
  <c r="H3920" i="1"/>
  <c r="G3920" i="1"/>
  <c r="F3920" i="1"/>
  <c r="J3919" i="1"/>
  <c r="I3919" i="1"/>
  <c r="H3919" i="1"/>
  <c r="G3919" i="1"/>
  <c r="F3919" i="1"/>
  <c r="J3918" i="1"/>
  <c r="I3918" i="1"/>
  <c r="H3918" i="1"/>
  <c r="G3918" i="1"/>
  <c r="F3918" i="1"/>
  <c r="I3917" i="1"/>
  <c r="J3917" i="1" s="1"/>
  <c r="H3917" i="1"/>
  <c r="G3917" i="1"/>
  <c r="F3917" i="1"/>
  <c r="J3916" i="1"/>
  <c r="I3916" i="1"/>
  <c r="H3916" i="1"/>
  <c r="G3916" i="1"/>
  <c r="F3916" i="1"/>
  <c r="J3915" i="1"/>
  <c r="I3915" i="1"/>
  <c r="H3915" i="1"/>
  <c r="G3915" i="1"/>
  <c r="F3915" i="1"/>
  <c r="J3914" i="1"/>
  <c r="I3914" i="1"/>
  <c r="H3914" i="1"/>
  <c r="G3914" i="1"/>
  <c r="F3914" i="1"/>
  <c r="I3913" i="1"/>
  <c r="J3913" i="1" s="1"/>
  <c r="H3913" i="1"/>
  <c r="G3913" i="1"/>
  <c r="F3913" i="1"/>
  <c r="I3912" i="1"/>
  <c r="J3912" i="1" s="1"/>
  <c r="H3912" i="1"/>
  <c r="G3912" i="1"/>
  <c r="F3912" i="1"/>
  <c r="J3911" i="1"/>
  <c r="I3911" i="1"/>
  <c r="H3911" i="1"/>
  <c r="G3911" i="1"/>
  <c r="F3911" i="1"/>
  <c r="I3910" i="1"/>
  <c r="J3910" i="1" s="1"/>
  <c r="H3910" i="1"/>
  <c r="G3910" i="1"/>
  <c r="F3910" i="1"/>
  <c r="J3909" i="1"/>
  <c r="I3909" i="1"/>
  <c r="H3909" i="1"/>
  <c r="G3909" i="1"/>
  <c r="F3909" i="1"/>
  <c r="I3908" i="1"/>
  <c r="J3908" i="1" s="1"/>
  <c r="H3908" i="1"/>
  <c r="G3908" i="1"/>
  <c r="F3908" i="1"/>
  <c r="J3907" i="1"/>
  <c r="I3907" i="1"/>
  <c r="H3907" i="1"/>
  <c r="G3907" i="1"/>
  <c r="F3907" i="1"/>
  <c r="J3906" i="1"/>
  <c r="I3906" i="1"/>
  <c r="H3906" i="1"/>
  <c r="G3906" i="1"/>
  <c r="F3906" i="1"/>
  <c r="I3905" i="1"/>
  <c r="J3905" i="1" s="1"/>
  <c r="H3905" i="1"/>
  <c r="G3905" i="1"/>
  <c r="F3905" i="1"/>
  <c r="I3904" i="1"/>
  <c r="J3904" i="1" s="1"/>
  <c r="H3904" i="1"/>
  <c r="G3904" i="1"/>
  <c r="F3904" i="1"/>
  <c r="I3903" i="1"/>
  <c r="J3903" i="1" s="1"/>
  <c r="H3903" i="1"/>
  <c r="G3903" i="1"/>
  <c r="F3903" i="1"/>
  <c r="I3902" i="1"/>
  <c r="J3902" i="1" s="1"/>
  <c r="H3902" i="1"/>
  <c r="G3902" i="1"/>
  <c r="F3902" i="1"/>
  <c r="J3901" i="1"/>
  <c r="I3901" i="1"/>
  <c r="H3901" i="1"/>
  <c r="G3901" i="1"/>
  <c r="F3901" i="1"/>
  <c r="I3900" i="1"/>
  <c r="J3900" i="1" s="1"/>
  <c r="H3900" i="1"/>
  <c r="G3900" i="1"/>
  <c r="F3900" i="1"/>
  <c r="J3899" i="1"/>
  <c r="I3899" i="1"/>
  <c r="H3899" i="1"/>
  <c r="G3899" i="1"/>
  <c r="F3899" i="1"/>
  <c r="I3898" i="1"/>
  <c r="J3898" i="1" s="1"/>
  <c r="H3898" i="1"/>
  <c r="G3898" i="1"/>
  <c r="F3898" i="1"/>
  <c r="I3897" i="1"/>
  <c r="J3897" i="1" s="1"/>
  <c r="H3897" i="1"/>
  <c r="G3897" i="1"/>
  <c r="F3897" i="1"/>
  <c r="J3896" i="1"/>
  <c r="I3896" i="1"/>
  <c r="H3896" i="1"/>
  <c r="G3896" i="1"/>
  <c r="F3896" i="1"/>
  <c r="I3895" i="1"/>
  <c r="J3895" i="1" s="1"/>
  <c r="H3895" i="1"/>
  <c r="G3895" i="1"/>
  <c r="F3895" i="1"/>
  <c r="J3894" i="1"/>
  <c r="I3894" i="1"/>
  <c r="H3894" i="1"/>
  <c r="G3894" i="1"/>
  <c r="F3894" i="1"/>
  <c r="J3893" i="1"/>
  <c r="I3893" i="1"/>
  <c r="H3893" i="1"/>
  <c r="G3893" i="1"/>
  <c r="F3893" i="1"/>
  <c r="J3892" i="1"/>
  <c r="I3892" i="1"/>
  <c r="H3892" i="1"/>
  <c r="G3892" i="1"/>
  <c r="F3892" i="1"/>
  <c r="I3891" i="1"/>
  <c r="J3891" i="1" s="1"/>
  <c r="H3891" i="1"/>
  <c r="G3891" i="1"/>
  <c r="F3891" i="1"/>
  <c r="J3890" i="1"/>
  <c r="I3890" i="1"/>
  <c r="H3890" i="1"/>
  <c r="G3890" i="1"/>
  <c r="F3890" i="1"/>
  <c r="J3889" i="1"/>
  <c r="I3889" i="1"/>
  <c r="H3889" i="1"/>
  <c r="G3889" i="1"/>
  <c r="F3889" i="1"/>
  <c r="J3888" i="1"/>
  <c r="I3888" i="1"/>
  <c r="H3888" i="1"/>
  <c r="G3888" i="1"/>
  <c r="F3888" i="1"/>
  <c r="J3887" i="1"/>
  <c r="I3887" i="1"/>
  <c r="H3887" i="1"/>
  <c r="G3887" i="1"/>
  <c r="F3887" i="1"/>
  <c r="J3886" i="1"/>
  <c r="I3886" i="1"/>
  <c r="H3886" i="1"/>
  <c r="G3886" i="1"/>
  <c r="F3886" i="1"/>
  <c r="I3885" i="1"/>
  <c r="J3885" i="1" s="1"/>
  <c r="H3885" i="1"/>
  <c r="G3885" i="1"/>
  <c r="F3885" i="1"/>
  <c r="I3884" i="1"/>
  <c r="J3884" i="1" s="1"/>
  <c r="H3884" i="1"/>
  <c r="G3884" i="1"/>
  <c r="F3884" i="1"/>
  <c r="J3883" i="1"/>
  <c r="I3883" i="1"/>
  <c r="H3883" i="1"/>
  <c r="G3883" i="1"/>
  <c r="F3883" i="1"/>
  <c r="I3882" i="1"/>
  <c r="J3882" i="1" s="1"/>
  <c r="H3882" i="1"/>
  <c r="G3882" i="1"/>
  <c r="F3882" i="1"/>
  <c r="J3881" i="1"/>
  <c r="I3881" i="1"/>
  <c r="H3881" i="1"/>
  <c r="G3881" i="1"/>
  <c r="F3881" i="1"/>
  <c r="I3880" i="1"/>
  <c r="J3880" i="1" s="1"/>
  <c r="H3880" i="1"/>
  <c r="G3880" i="1"/>
  <c r="F3880" i="1"/>
  <c r="J3879" i="1"/>
  <c r="I3879" i="1"/>
  <c r="H3879" i="1"/>
  <c r="G3879" i="1"/>
  <c r="F3879" i="1"/>
  <c r="I3878" i="1"/>
  <c r="J3878" i="1" s="1"/>
  <c r="H3878" i="1"/>
  <c r="G3878" i="1"/>
  <c r="F3878" i="1"/>
  <c r="J3877" i="1"/>
  <c r="I3877" i="1"/>
  <c r="H3877" i="1"/>
  <c r="G3877" i="1"/>
  <c r="F3877" i="1"/>
  <c r="J3876" i="1"/>
  <c r="I3876" i="1"/>
  <c r="H3876" i="1"/>
  <c r="G3876" i="1"/>
  <c r="F3876" i="1"/>
  <c r="I3875" i="1"/>
  <c r="J3875" i="1" s="1"/>
  <c r="H3875" i="1"/>
  <c r="G3875" i="1"/>
  <c r="F3875" i="1"/>
  <c r="I3874" i="1"/>
  <c r="J3874" i="1" s="1"/>
  <c r="H3874" i="1"/>
  <c r="G3874" i="1"/>
  <c r="F3874" i="1"/>
  <c r="J3873" i="1"/>
  <c r="I3873" i="1"/>
  <c r="H3873" i="1"/>
  <c r="G3873" i="1"/>
  <c r="F3873" i="1"/>
  <c r="I3872" i="1"/>
  <c r="J3872" i="1" s="1"/>
  <c r="H3872" i="1"/>
  <c r="G3872" i="1"/>
  <c r="F3872" i="1"/>
  <c r="J3871" i="1"/>
  <c r="I3871" i="1"/>
  <c r="H3871" i="1"/>
  <c r="G3871" i="1"/>
  <c r="F3871" i="1"/>
  <c r="I3870" i="1"/>
  <c r="J3870" i="1" s="1"/>
  <c r="H3870" i="1"/>
  <c r="G3870" i="1"/>
  <c r="F3870" i="1"/>
  <c r="I3869" i="1"/>
  <c r="J3869" i="1" s="1"/>
  <c r="H3869" i="1"/>
  <c r="G3869" i="1"/>
  <c r="F3869" i="1"/>
  <c r="I3868" i="1"/>
  <c r="J3868" i="1" s="1"/>
  <c r="H3868" i="1"/>
  <c r="G3868" i="1"/>
  <c r="F3868" i="1"/>
  <c r="I3867" i="1"/>
  <c r="J3867" i="1" s="1"/>
  <c r="H3867" i="1"/>
  <c r="G3867" i="1"/>
  <c r="F3867" i="1"/>
  <c r="I3866" i="1"/>
  <c r="J3866" i="1" s="1"/>
  <c r="H3866" i="1"/>
  <c r="G3866" i="1"/>
  <c r="F3866" i="1"/>
  <c r="J3865" i="1"/>
  <c r="I3865" i="1"/>
  <c r="H3865" i="1"/>
  <c r="G3865" i="1"/>
  <c r="F3865" i="1"/>
  <c r="J3864" i="1"/>
  <c r="I3864" i="1"/>
  <c r="H3864" i="1"/>
  <c r="G3864" i="1"/>
  <c r="F3864" i="1"/>
  <c r="I3863" i="1"/>
  <c r="J3863" i="1" s="1"/>
  <c r="H3863" i="1"/>
  <c r="G3863" i="1"/>
  <c r="F3863" i="1"/>
  <c r="J3862" i="1"/>
  <c r="I3862" i="1"/>
  <c r="H3862" i="1"/>
  <c r="G3862" i="1"/>
  <c r="F3862" i="1"/>
  <c r="I3861" i="1"/>
  <c r="J3861" i="1" s="1"/>
  <c r="H3861" i="1"/>
  <c r="G3861" i="1"/>
  <c r="F3861" i="1"/>
  <c r="J3860" i="1"/>
  <c r="I3860" i="1"/>
  <c r="H3860" i="1"/>
  <c r="G3860" i="1"/>
  <c r="F3860" i="1"/>
  <c r="J3859" i="1"/>
  <c r="I3859" i="1"/>
  <c r="H3859" i="1"/>
  <c r="G3859" i="1"/>
  <c r="F3859" i="1"/>
  <c r="J3858" i="1"/>
  <c r="I3858" i="1"/>
  <c r="H3858" i="1"/>
  <c r="G3858" i="1"/>
  <c r="F3858" i="1"/>
  <c r="I3857" i="1"/>
  <c r="J3857" i="1" s="1"/>
  <c r="H3857" i="1"/>
  <c r="G3857" i="1"/>
  <c r="F3857" i="1"/>
  <c r="I3856" i="1"/>
  <c r="J3856" i="1" s="1"/>
  <c r="H3856" i="1"/>
  <c r="G3856" i="1"/>
  <c r="F3856" i="1"/>
  <c r="I3855" i="1"/>
  <c r="J3855" i="1" s="1"/>
  <c r="H3855" i="1"/>
  <c r="G3855" i="1"/>
  <c r="F3855" i="1"/>
  <c r="I3854" i="1"/>
  <c r="J3854" i="1" s="1"/>
  <c r="H3854" i="1"/>
  <c r="G3854" i="1"/>
  <c r="F3854" i="1"/>
  <c r="J3853" i="1"/>
  <c r="I3853" i="1"/>
  <c r="H3853" i="1"/>
  <c r="G3853" i="1"/>
  <c r="F3853" i="1"/>
  <c r="I3852" i="1"/>
  <c r="J3852" i="1" s="1"/>
  <c r="H3852" i="1"/>
  <c r="G3852" i="1"/>
  <c r="F3852" i="1"/>
  <c r="I3851" i="1"/>
  <c r="J3851" i="1" s="1"/>
  <c r="H3851" i="1"/>
  <c r="G3851" i="1"/>
  <c r="F3851" i="1"/>
  <c r="I3850" i="1"/>
  <c r="J3850" i="1" s="1"/>
  <c r="H3850" i="1"/>
  <c r="G3850" i="1"/>
  <c r="F3850" i="1"/>
  <c r="I3849" i="1"/>
  <c r="J3849" i="1" s="1"/>
  <c r="H3849" i="1"/>
  <c r="G3849" i="1"/>
  <c r="F3849" i="1"/>
  <c r="I3848" i="1"/>
  <c r="J3848" i="1" s="1"/>
  <c r="H3848" i="1"/>
  <c r="G3848" i="1"/>
  <c r="F3848" i="1"/>
  <c r="J3847" i="1"/>
  <c r="I3847" i="1"/>
  <c r="H3847" i="1"/>
  <c r="G3847" i="1"/>
  <c r="F3847" i="1"/>
  <c r="J3846" i="1"/>
  <c r="I3846" i="1"/>
  <c r="H3846" i="1"/>
  <c r="G3846" i="1"/>
  <c r="F3846" i="1"/>
  <c r="J3845" i="1"/>
  <c r="I3845" i="1"/>
  <c r="H3845" i="1"/>
  <c r="G3845" i="1"/>
  <c r="F3845" i="1"/>
  <c r="I3844" i="1"/>
  <c r="J3844" i="1" s="1"/>
  <c r="H3844" i="1"/>
  <c r="G3844" i="1"/>
  <c r="F3844" i="1"/>
  <c r="J3843" i="1"/>
  <c r="I3843" i="1"/>
  <c r="H3843" i="1"/>
  <c r="G3843" i="1"/>
  <c r="F3843" i="1"/>
  <c r="I3842" i="1"/>
  <c r="J3842" i="1" s="1"/>
  <c r="H3842" i="1"/>
  <c r="G3842" i="1"/>
  <c r="F3842" i="1"/>
  <c r="I3841" i="1"/>
  <c r="J3841" i="1" s="1"/>
  <c r="H3841" i="1"/>
  <c r="G3841" i="1"/>
  <c r="F3841" i="1"/>
  <c r="J3840" i="1"/>
  <c r="I3840" i="1"/>
  <c r="H3840" i="1"/>
  <c r="G3840" i="1"/>
  <c r="F3840" i="1"/>
  <c r="I3839" i="1"/>
  <c r="J3839" i="1" s="1"/>
  <c r="H3839" i="1"/>
  <c r="G3839" i="1"/>
  <c r="F3839" i="1"/>
  <c r="I3838" i="1"/>
  <c r="J3838" i="1" s="1"/>
  <c r="H3838" i="1"/>
  <c r="G3838" i="1"/>
  <c r="F3838" i="1"/>
  <c r="I3837" i="1"/>
  <c r="J3837" i="1" s="1"/>
  <c r="H3837" i="1"/>
  <c r="G3837" i="1"/>
  <c r="F3837" i="1"/>
  <c r="J3836" i="1"/>
  <c r="I3836" i="1"/>
  <c r="H3836" i="1"/>
  <c r="G3836" i="1"/>
  <c r="F3836" i="1"/>
  <c r="I3835" i="1"/>
  <c r="J3835" i="1" s="1"/>
  <c r="H3835" i="1"/>
  <c r="G3835" i="1"/>
  <c r="F3835" i="1"/>
  <c r="J3834" i="1"/>
  <c r="I3834" i="1"/>
  <c r="H3834" i="1"/>
  <c r="G3834" i="1"/>
  <c r="F3834" i="1"/>
  <c r="I3833" i="1"/>
  <c r="J3833" i="1" s="1"/>
  <c r="H3833" i="1"/>
  <c r="G3833" i="1"/>
  <c r="F3833" i="1"/>
  <c r="I3832" i="1"/>
  <c r="J3832" i="1" s="1"/>
  <c r="H3832" i="1"/>
  <c r="G3832" i="1"/>
  <c r="F3832" i="1"/>
  <c r="J3831" i="1"/>
  <c r="I3831" i="1"/>
  <c r="H3831" i="1"/>
  <c r="G3831" i="1"/>
  <c r="F3831" i="1"/>
  <c r="J3830" i="1"/>
  <c r="I3830" i="1"/>
  <c r="H3830" i="1"/>
  <c r="G3830" i="1"/>
  <c r="F3830" i="1"/>
  <c r="J3829" i="1"/>
  <c r="I3829" i="1"/>
  <c r="H3829" i="1"/>
  <c r="G3829" i="1"/>
  <c r="F3829" i="1"/>
  <c r="I3828" i="1"/>
  <c r="J3828" i="1" s="1"/>
  <c r="H3828" i="1"/>
  <c r="G3828" i="1"/>
  <c r="F3828" i="1"/>
  <c r="J3827" i="1"/>
  <c r="I3827" i="1"/>
  <c r="H3827" i="1"/>
  <c r="G3827" i="1"/>
  <c r="F3827" i="1"/>
  <c r="J3826" i="1"/>
  <c r="I3826" i="1"/>
  <c r="H3826" i="1"/>
  <c r="G3826" i="1"/>
  <c r="F3826" i="1"/>
  <c r="J3825" i="1"/>
  <c r="I3825" i="1"/>
  <c r="H3825" i="1"/>
  <c r="G3825" i="1"/>
  <c r="F3825" i="1"/>
  <c r="I3824" i="1"/>
  <c r="J3824" i="1" s="1"/>
  <c r="H3824" i="1"/>
  <c r="G3824" i="1"/>
  <c r="F3824" i="1"/>
  <c r="J3823" i="1"/>
  <c r="I3823" i="1"/>
  <c r="H3823" i="1"/>
  <c r="G3823" i="1"/>
  <c r="F3823" i="1"/>
  <c r="J3822" i="1"/>
  <c r="I3822" i="1"/>
  <c r="H3822" i="1"/>
  <c r="G3822" i="1"/>
  <c r="F3822" i="1"/>
  <c r="J3821" i="1"/>
  <c r="I3821" i="1"/>
  <c r="H3821" i="1"/>
  <c r="G3821" i="1"/>
  <c r="F3821" i="1"/>
  <c r="I3820" i="1"/>
  <c r="J3820" i="1" s="1"/>
  <c r="H3820" i="1"/>
  <c r="G3820" i="1"/>
  <c r="F3820" i="1"/>
  <c r="J3819" i="1"/>
  <c r="I3819" i="1"/>
  <c r="H3819" i="1"/>
  <c r="G3819" i="1"/>
  <c r="F3819" i="1"/>
  <c r="J3818" i="1"/>
  <c r="I3818" i="1"/>
  <c r="H3818" i="1"/>
  <c r="G3818" i="1"/>
  <c r="F3818" i="1"/>
  <c r="J3817" i="1"/>
  <c r="I3817" i="1"/>
  <c r="H3817" i="1"/>
  <c r="G3817" i="1"/>
  <c r="F3817" i="1"/>
  <c r="I3816" i="1"/>
  <c r="J3816" i="1" s="1"/>
  <c r="H3816" i="1"/>
  <c r="G3816" i="1"/>
  <c r="F3816" i="1"/>
  <c r="J3815" i="1"/>
  <c r="I3815" i="1"/>
  <c r="H3815" i="1"/>
  <c r="G3815" i="1"/>
  <c r="F3815" i="1"/>
  <c r="I3814" i="1"/>
  <c r="J3814" i="1" s="1"/>
  <c r="H3814" i="1"/>
  <c r="G3814" i="1"/>
  <c r="F3814" i="1"/>
  <c r="I3813" i="1"/>
  <c r="J3813" i="1" s="1"/>
  <c r="H3813" i="1"/>
  <c r="G3813" i="1"/>
  <c r="F3813" i="1"/>
  <c r="J3812" i="1"/>
  <c r="I3812" i="1"/>
  <c r="H3812" i="1"/>
  <c r="G3812" i="1"/>
  <c r="F3812" i="1"/>
  <c r="J3811" i="1"/>
  <c r="I3811" i="1"/>
  <c r="H3811" i="1"/>
  <c r="G3811" i="1"/>
  <c r="F3811" i="1"/>
  <c r="J3810" i="1"/>
  <c r="I3810" i="1"/>
  <c r="H3810" i="1"/>
  <c r="G3810" i="1"/>
  <c r="F3810" i="1"/>
  <c r="J3809" i="1"/>
  <c r="I3809" i="1"/>
  <c r="H3809" i="1"/>
  <c r="G3809" i="1"/>
  <c r="F3809" i="1"/>
  <c r="I3808" i="1"/>
  <c r="J3808" i="1" s="1"/>
  <c r="H3808" i="1"/>
  <c r="G3808" i="1"/>
  <c r="F3808" i="1"/>
  <c r="I3807" i="1"/>
  <c r="J3807" i="1" s="1"/>
  <c r="H3807" i="1"/>
  <c r="G3807" i="1"/>
  <c r="F3807" i="1"/>
  <c r="J3806" i="1"/>
  <c r="I3806" i="1"/>
  <c r="H3806" i="1"/>
  <c r="G3806" i="1"/>
  <c r="F3806" i="1"/>
  <c r="I3805" i="1"/>
  <c r="J3805" i="1" s="1"/>
  <c r="H3805" i="1"/>
  <c r="G3805" i="1"/>
  <c r="F3805" i="1"/>
  <c r="J3804" i="1"/>
  <c r="I3804" i="1"/>
  <c r="H3804" i="1"/>
  <c r="G3804" i="1"/>
  <c r="F3804" i="1"/>
  <c r="J3803" i="1"/>
  <c r="I3803" i="1"/>
  <c r="H3803" i="1"/>
  <c r="G3803" i="1"/>
  <c r="F3803" i="1"/>
  <c r="J3802" i="1"/>
  <c r="I3802" i="1"/>
  <c r="H3802" i="1"/>
  <c r="G3802" i="1"/>
  <c r="F3802" i="1"/>
  <c r="I3801" i="1"/>
  <c r="J3801" i="1" s="1"/>
  <c r="H3801" i="1"/>
  <c r="G3801" i="1"/>
  <c r="F3801" i="1"/>
  <c r="I3800" i="1"/>
  <c r="J3800" i="1" s="1"/>
  <c r="H3800" i="1"/>
  <c r="G3800" i="1"/>
  <c r="F3800" i="1"/>
  <c r="J3799" i="1"/>
  <c r="I3799" i="1"/>
  <c r="H3799" i="1"/>
  <c r="G3799" i="1"/>
  <c r="F3799" i="1"/>
  <c r="I3798" i="1"/>
  <c r="J3798" i="1" s="1"/>
  <c r="H3798" i="1"/>
  <c r="G3798" i="1"/>
  <c r="F3798" i="1"/>
  <c r="I3797" i="1"/>
  <c r="J3797" i="1" s="1"/>
  <c r="H3797" i="1"/>
  <c r="G3797" i="1"/>
  <c r="F3797" i="1"/>
  <c r="I3796" i="1"/>
  <c r="J3796" i="1" s="1"/>
  <c r="H3796" i="1"/>
  <c r="G3796" i="1"/>
  <c r="F3796" i="1"/>
  <c r="I3795" i="1"/>
  <c r="J3795" i="1" s="1"/>
  <c r="H3795" i="1"/>
  <c r="G3795" i="1"/>
  <c r="F3795" i="1"/>
  <c r="I3794" i="1"/>
  <c r="J3794" i="1" s="1"/>
  <c r="H3794" i="1"/>
  <c r="G3794" i="1"/>
  <c r="F3794" i="1"/>
  <c r="J3793" i="1"/>
  <c r="I3793" i="1"/>
  <c r="H3793" i="1"/>
  <c r="G3793" i="1"/>
  <c r="F3793" i="1"/>
  <c r="I3792" i="1"/>
  <c r="J3792" i="1" s="1"/>
  <c r="H3792" i="1"/>
  <c r="G3792" i="1"/>
  <c r="F3792" i="1"/>
  <c r="I3791" i="1"/>
  <c r="J3791" i="1" s="1"/>
  <c r="H3791" i="1"/>
  <c r="G3791" i="1"/>
  <c r="F3791" i="1"/>
  <c r="I3790" i="1"/>
  <c r="J3790" i="1" s="1"/>
  <c r="H3790" i="1"/>
  <c r="G3790" i="1"/>
  <c r="F3790" i="1"/>
  <c r="J3789" i="1"/>
  <c r="I3789" i="1"/>
  <c r="H3789" i="1"/>
  <c r="G3789" i="1"/>
  <c r="F3789" i="1"/>
  <c r="I3788" i="1"/>
  <c r="J3788" i="1" s="1"/>
  <c r="H3788" i="1"/>
  <c r="G3788" i="1"/>
  <c r="F3788" i="1"/>
  <c r="J3787" i="1"/>
  <c r="I3787" i="1"/>
  <c r="H3787" i="1"/>
  <c r="G3787" i="1"/>
  <c r="F3787" i="1"/>
  <c r="I3786" i="1"/>
  <c r="J3786" i="1" s="1"/>
  <c r="H3786" i="1"/>
  <c r="G3786" i="1"/>
  <c r="F3786" i="1"/>
  <c r="I3785" i="1"/>
  <c r="J3785" i="1" s="1"/>
  <c r="H3785" i="1"/>
  <c r="G3785" i="1"/>
  <c r="F3785" i="1"/>
  <c r="J3784" i="1"/>
  <c r="I3784" i="1"/>
  <c r="H3784" i="1"/>
  <c r="G3784" i="1"/>
  <c r="F3784" i="1"/>
  <c r="I3783" i="1"/>
  <c r="J3783" i="1" s="1"/>
  <c r="H3783" i="1"/>
  <c r="G3783" i="1"/>
  <c r="F3783" i="1"/>
  <c r="J3782" i="1"/>
  <c r="I3782" i="1"/>
  <c r="H3782" i="1"/>
  <c r="G3782" i="1"/>
  <c r="F3782" i="1"/>
  <c r="J3781" i="1"/>
  <c r="I3781" i="1"/>
  <c r="H3781" i="1"/>
  <c r="G3781" i="1"/>
  <c r="F3781" i="1"/>
  <c r="J3780" i="1"/>
  <c r="I3780" i="1"/>
  <c r="H3780" i="1"/>
  <c r="G3780" i="1"/>
  <c r="F3780" i="1"/>
  <c r="I3779" i="1"/>
  <c r="J3779" i="1" s="1"/>
  <c r="H3779" i="1"/>
  <c r="G3779" i="1"/>
  <c r="F3779" i="1"/>
  <c r="J3778" i="1"/>
  <c r="I3778" i="1"/>
  <c r="H3778" i="1"/>
  <c r="G3778" i="1"/>
  <c r="F3778" i="1"/>
  <c r="J3777" i="1"/>
  <c r="I3777" i="1"/>
  <c r="H3777" i="1"/>
  <c r="G3777" i="1"/>
  <c r="F3777" i="1"/>
  <c r="J3776" i="1"/>
  <c r="I3776" i="1"/>
  <c r="H3776" i="1"/>
  <c r="G3776" i="1"/>
  <c r="F3776" i="1"/>
  <c r="J3775" i="1"/>
  <c r="I3775" i="1"/>
  <c r="H3775" i="1"/>
  <c r="G3775" i="1"/>
  <c r="F3775" i="1"/>
  <c r="J3774" i="1"/>
  <c r="I3774" i="1"/>
  <c r="H3774" i="1"/>
  <c r="G3774" i="1"/>
  <c r="F3774" i="1"/>
  <c r="I3773" i="1"/>
  <c r="J3773" i="1" s="1"/>
  <c r="H3773" i="1"/>
  <c r="G3773" i="1"/>
  <c r="F3773" i="1"/>
  <c r="I3772" i="1"/>
  <c r="J3772" i="1" s="1"/>
  <c r="H3772" i="1"/>
  <c r="G3772" i="1"/>
  <c r="F3772" i="1"/>
  <c r="J3771" i="1"/>
  <c r="I3771" i="1"/>
  <c r="H3771" i="1"/>
  <c r="G3771" i="1"/>
  <c r="F3771" i="1"/>
  <c r="I3770" i="1"/>
  <c r="J3770" i="1" s="1"/>
  <c r="H3770" i="1"/>
  <c r="G3770" i="1"/>
  <c r="F3770" i="1"/>
  <c r="J3769" i="1"/>
  <c r="I3769" i="1"/>
  <c r="H3769" i="1"/>
  <c r="G3769" i="1"/>
  <c r="F3769" i="1"/>
  <c r="J3768" i="1"/>
  <c r="I3768" i="1"/>
  <c r="H3768" i="1"/>
  <c r="G3768" i="1"/>
  <c r="F3768" i="1"/>
  <c r="J3767" i="1"/>
  <c r="I3767" i="1"/>
  <c r="H3767" i="1"/>
  <c r="G3767" i="1"/>
  <c r="F3767" i="1"/>
  <c r="I3766" i="1"/>
  <c r="J3766" i="1" s="1"/>
  <c r="H3766" i="1"/>
  <c r="G3766" i="1"/>
  <c r="F3766" i="1"/>
  <c r="J3765" i="1"/>
  <c r="I3765" i="1"/>
  <c r="H3765" i="1"/>
  <c r="G3765" i="1"/>
  <c r="F3765" i="1"/>
  <c r="J3764" i="1"/>
  <c r="I3764" i="1"/>
  <c r="H3764" i="1"/>
  <c r="G3764" i="1"/>
  <c r="F3764" i="1"/>
  <c r="J3763" i="1"/>
  <c r="I3763" i="1"/>
  <c r="H3763" i="1"/>
  <c r="G3763" i="1"/>
  <c r="F3763" i="1"/>
  <c r="I3762" i="1"/>
  <c r="J3762" i="1" s="1"/>
  <c r="H3762" i="1"/>
  <c r="G3762" i="1"/>
  <c r="F3762" i="1"/>
  <c r="J3761" i="1"/>
  <c r="I3761" i="1"/>
  <c r="H3761" i="1"/>
  <c r="G3761" i="1"/>
  <c r="F3761" i="1"/>
  <c r="J3760" i="1"/>
  <c r="I3760" i="1"/>
  <c r="H3760" i="1"/>
  <c r="G3760" i="1"/>
  <c r="F3760" i="1"/>
  <c r="J3759" i="1"/>
  <c r="I3759" i="1"/>
  <c r="H3759" i="1"/>
  <c r="G3759" i="1"/>
  <c r="F3759" i="1"/>
  <c r="I3758" i="1"/>
  <c r="J3758" i="1" s="1"/>
  <c r="H3758" i="1"/>
  <c r="G3758" i="1"/>
  <c r="F3758" i="1"/>
  <c r="J3757" i="1"/>
  <c r="I3757" i="1"/>
  <c r="H3757" i="1"/>
  <c r="G3757" i="1"/>
  <c r="F3757" i="1"/>
  <c r="J3756" i="1"/>
  <c r="I3756" i="1"/>
  <c r="H3756" i="1"/>
  <c r="G3756" i="1"/>
  <c r="F3756" i="1"/>
  <c r="I3755" i="1"/>
  <c r="J3755" i="1" s="1"/>
  <c r="H3755" i="1"/>
  <c r="G3755" i="1"/>
  <c r="F3755" i="1"/>
  <c r="J3754" i="1"/>
  <c r="I3754" i="1"/>
  <c r="H3754" i="1"/>
  <c r="G3754" i="1"/>
  <c r="F3754" i="1"/>
  <c r="I3753" i="1"/>
  <c r="J3753" i="1" s="1"/>
  <c r="H3753" i="1"/>
  <c r="G3753" i="1"/>
  <c r="F3753" i="1"/>
  <c r="J3752" i="1"/>
  <c r="I3752" i="1"/>
  <c r="H3752" i="1"/>
  <c r="G3752" i="1"/>
  <c r="F3752" i="1"/>
  <c r="J3751" i="1"/>
  <c r="I3751" i="1"/>
  <c r="H3751" i="1"/>
  <c r="G3751" i="1"/>
  <c r="F3751" i="1"/>
  <c r="I3750" i="1"/>
  <c r="J3750" i="1" s="1"/>
  <c r="H3750" i="1"/>
  <c r="G3750" i="1"/>
  <c r="F3750" i="1"/>
  <c r="I3749" i="1"/>
  <c r="J3749" i="1" s="1"/>
  <c r="H3749" i="1"/>
  <c r="G3749" i="1"/>
  <c r="F3749" i="1"/>
  <c r="J3748" i="1"/>
  <c r="I3748" i="1"/>
  <c r="H3748" i="1"/>
  <c r="G3748" i="1"/>
  <c r="F3748" i="1"/>
  <c r="J3747" i="1"/>
  <c r="I3747" i="1"/>
  <c r="H3747" i="1"/>
  <c r="G3747" i="1"/>
  <c r="F3747" i="1"/>
  <c r="J3746" i="1"/>
  <c r="I3746" i="1"/>
  <c r="H3746" i="1"/>
  <c r="G3746" i="1"/>
  <c r="F3746" i="1"/>
  <c r="I3745" i="1"/>
  <c r="J3745" i="1" s="1"/>
  <c r="H3745" i="1"/>
  <c r="G3745" i="1"/>
  <c r="F3745" i="1"/>
  <c r="I3744" i="1"/>
  <c r="J3744" i="1" s="1"/>
  <c r="H3744" i="1"/>
  <c r="G3744" i="1"/>
  <c r="F3744" i="1"/>
  <c r="I3743" i="1"/>
  <c r="J3743" i="1" s="1"/>
  <c r="H3743" i="1"/>
  <c r="G3743" i="1"/>
  <c r="F3743" i="1"/>
  <c r="I3742" i="1"/>
  <c r="J3742" i="1" s="1"/>
  <c r="H3742" i="1"/>
  <c r="G3742" i="1"/>
  <c r="F3742" i="1"/>
  <c r="J3741" i="1"/>
  <c r="I3741" i="1"/>
  <c r="H3741" i="1"/>
  <c r="G3741" i="1"/>
  <c r="F3741" i="1"/>
  <c r="I3740" i="1"/>
  <c r="J3740" i="1" s="1"/>
  <c r="H3740" i="1"/>
  <c r="G3740" i="1"/>
  <c r="F3740" i="1"/>
  <c r="J3739" i="1"/>
  <c r="I3739" i="1"/>
  <c r="H3739" i="1"/>
  <c r="G3739" i="1"/>
  <c r="F3739" i="1"/>
  <c r="I3738" i="1"/>
  <c r="J3738" i="1" s="1"/>
  <c r="H3738" i="1"/>
  <c r="G3738" i="1"/>
  <c r="F3738" i="1"/>
  <c r="J3737" i="1"/>
  <c r="I3737" i="1"/>
  <c r="H3737" i="1"/>
  <c r="G3737" i="1"/>
  <c r="F3737" i="1"/>
  <c r="I3736" i="1"/>
  <c r="J3736" i="1" s="1"/>
  <c r="H3736" i="1"/>
  <c r="G3736" i="1"/>
  <c r="F3736" i="1"/>
  <c r="J3735" i="1"/>
  <c r="I3735" i="1"/>
  <c r="H3735" i="1"/>
  <c r="G3735" i="1"/>
  <c r="F3735" i="1"/>
  <c r="J3734" i="1"/>
  <c r="I3734" i="1"/>
  <c r="H3734" i="1"/>
  <c r="G3734" i="1"/>
  <c r="F3734" i="1"/>
  <c r="J3733" i="1"/>
  <c r="I3733" i="1"/>
  <c r="H3733" i="1"/>
  <c r="G3733" i="1"/>
  <c r="F3733" i="1"/>
  <c r="I3732" i="1"/>
  <c r="J3732" i="1" s="1"/>
  <c r="H3732" i="1"/>
  <c r="G3732" i="1"/>
  <c r="F3732" i="1"/>
  <c r="J3731" i="1"/>
  <c r="I3731" i="1"/>
  <c r="H3731" i="1"/>
  <c r="G3731" i="1"/>
  <c r="F3731" i="1"/>
  <c r="I3730" i="1"/>
  <c r="J3730" i="1" s="1"/>
  <c r="H3730" i="1"/>
  <c r="G3730" i="1"/>
  <c r="F3730" i="1"/>
  <c r="I3729" i="1"/>
  <c r="J3729" i="1" s="1"/>
  <c r="H3729" i="1"/>
  <c r="G3729" i="1"/>
  <c r="F3729" i="1"/>
  <c r="J3728" i="1"/>
  <c r="I3728" i="1"/>
  <c r="H3728" i="1"/>
  <c r="G3728" i="1"/>
  <c r="F3728" i="1"/>
  <c r="J3727" i="1"/>
  <c r="I3727" i="1"/>
  <c r="H3727" i="1"/>
  <c r="G3727" i="1"/>
  <c r="F3727" i="1"/>
  <c r="I3726" i="1"/>
  <c r="J3726" i="1" s="1"/>
  <c r="H3726" i="1"/>
  <c r="G3726" i="1"/>
  <c r="F3726" i="1"/>
  <c r="I3725" i="1"/>
  <c r="J3725" i="1" s="1"/>
  <c r="H3725" i="1"/>
  <c r="G3725" i="1"/>
  <c r="F3725" i="1"/>
  <c r="J3724" i="1"/>
  <c r="I3724" i="1"/>
  <c r="H3724" i="1"/>
  <c r="G3724" i="1"/>
  <c r="F3724" i="1"/>
  <c r="I3723" i="1"/>
  <c r="J3723" i="1" s="1"/>
  <c r="H3723" i="1"/>
  <c r="G3723" i="1"/>
  <c r="F3723" i="1"/>
  <c r="J3722" i="1"/>
  <c r="I3722" i="1"/>
  <c r="H3722" i="1"/>
  <c r="G3722" i="1"/>
  <c r="F3722" i="1"/>
  <c r="I3721" i="1"/>
  <c r="J3721" i="1" s="1"/>
  <c r="H3721" i="1"/>
  <c r="G3721" i="1"/>
  <c r="F3721" i="1"/>
  <c r="J3720" i="1"/>
  <c r="I3720" i="1"/>
  <c r="H3720" i="1"/>
  <c r="G3720" i="1"/>
  <c r="F3720" i="1"/>
  <c r="J3719" i="1"/>
  <c r="I3719" i="1"/>
  <c r="H3719" i="1"/>
  <c r="G3719" i="1"/>
  <c r="F3719" i="1"/>
  <c r="J3718" i="1"/>
  <c r="I3718" i="1"/>
  <c r="H3718" i="1"/>
  <c r="G3718" i="1"/>
  <c r="F3718" i="1"/>
  <c r="I3717" i="1"/>
  <c r="J3717" i="1" s="1"/>
  <c r="H3717" i="1"/>
  <c r="G3717" i="1"/>
  <c r="F3717" i="1"/>
  <c r="I3716" i="1"/>
  <c r="J3716" i="1" s="1"/>
  <c r="H3716" i="1"/>
  <c r="G3716" i="1"/>
  <c r="F3716" i="1"/>
  <c r="J3715" i="1"/>
  <c r="I3715" i="1"/>
  <c r="H3715" i="1"/>
  <c r="G3715" i="1"/>
  <c r="F3715" i="1"/>
  <c r="I3714" i="1"/>
  <c r="J3714" i="1" s="1"/>
  <c r="H3714" i="1"/>
  <c r="G3714" i="1"/>
  <c r="F3714" i="1"/>
  <c r="J3713" i="1"/>
  <c r="I3713" i="1"/>
  <c r="H3713" i="1"/>
  <c r="G3713" i="1"/>
  <c r="F3713" i="1"/>
  <c r="I3712" i="1"/>
  <c r="J3712" i="1" s="1"/>
  <c r="H3712" i="1"/>
  <c r="G3712" i="1"/>
  <c r="F3712" i="1"/>
  <c r="J3711" i="1"/>
  <c r="I3711" i="1"/>
  <c r="H3711" i="1"/>
  <c r="G3711" i="1"/>
  <c r="F3711" i="1"/>
  <c r="J3710" i="1"/>
  <c r="I3710" i="1"/>
  <c r="H3710" i="1"/>
  <c r="G3710" i="1"/>
  <c r="F3710" i="1"/>
  <c r="J3709" i="1"/>
  <c r="I3709" i="1"/>
  <c r="H3709" i="1"/>
  <c r="G3709" i="1"/>
  <c r="F3709" i="1"/>
  <c r="I3708" i="1"/>
  <c r="J3708" i="1" s="1"/>
  <c r="H3708" i="1"/>
  <c r="G3708" i="1"/>
  <c r="F3708" i="1"/>
  <c r="J3707" i="1"/>
  <c r="I3707" i="1"/>
  <c r="H3707" i="1"/>
  <c r="G3707" i="1"/>
  <c r="F3707" i="1"/>
  <c r="J3706" i="1"/>
  <c r="I3706" i="1"/>
  <c r="H3706" i="1"/>
  <c r="G3706" i="1"/>
  <c r="F3706" i="1"/>
  <c r="J3705" i="1"/>
  <c r="I3705" i="1"/>
  <c r="H3705" i="1"/>
  <c r="G3705" i="1"/>
  <c r="F3705" i="1"/>
  <c r="J3704" i="1"/>
  <c r="I3704" i="1"/>
  <c r="H3704" i="1"/>
  <c r="G3704" i="1"/>
  <c r="F3704" i="1"/>
  <c r="J3703" i="1"/>
  <c r="I3703" i="1"/>
  <c r="H3703" i="1"/>
  <c r="G3703" i="1"/>
  <c r="F3703" i="1"/>
  <c r="I3702" i="1"/>
  <c r="J3702" i="1" s="1"/>
  <c r="H3702" i="1"/>
  <c r="G3702" i="1"/>
  <c r="F3702" i="1"/>
  <c r="J3701" i="1"/>
  <c r="I3701" i="1"/>
  <c r="H3701" i="1"/>
  <c r="G3701" i="1"/>
  <c r="F3701" i="1"/>
  <c r="J3700" i="1"/>
  <c r="I3700" i="1"/>
  <c r="H3700" i="1"/>
  <c r="G3700" i="1"/>
  <c r="F3700" i="1"/>
  <c r="I3699" i="1"/>
  <c r="J3699" i="1" s="1"/>
  <c r="H3699" i="1"/>
  <c r="G3699" i="1"/>
  <c r="F3699" i="1"/>
  <c r="J3698" i="1"/>
  <c r="I3698" i="1"/>
  <c r="H3698" i="1"/>
  <c r="G3698" i="1"/>
  <c r="F3698" i="1"/>
  <c r="J3697" i="1"/>
  <c r="I3697" i="1"/>
  <c r="H3697" i="1"/>
  <c r="G3697" i="1"/>
  <c r="F3697" i="1"/>
  <c r="I3696" i="1"/>
  <c r="J3696" i="1" s="1"/>
  <c r="H3696" i="1"/>
  <c r="G3696" i="1"/>
  <c r="F3696" i="1"/>
  <c r="I3695" i="1"/>
  <c r="J3695" i="1" s="1"/>
  <c r="H3695" i="1"/>
  <c r="G3695" i="1"/>
  <c r="F3695" i="1"/>
  <c r="J3694" i="1"/>
  <c r="I3694" i="1"/>
  <c r="H3694" i="1"/>
  <c r="G3694" i="1"/>
  <c r="F3694" i="1"/>
  <c r="I3693" i="1"/>
  <c r="J3693" i="1" s="1"/>
  <c r="H3693" i="1"/>
  <c r="G3693" i="1"/>
  <c r="F3693" i="1"/>
  <c r="J3692" i="1"/>
  <c r="I3692" i="1"/>
  <c r="H3692" i="1"/>
  <c r="G3692" i="1"/>
  <c r="F3692" i="1"/>
  <c r="J3691" i="1"/>
  <c r="I3691" i="1"/>
  <c r="H3691" i="1"/>
  <c r="G3691" i="1"/>
  <c r="F3691" i="1"/>
  <c r="J3690" i="1"/>
  <c r="I3690" i="1"/>
  <c r="H3690" i="1"/>
  <c r="G3690" i="1"/>
  <c r="F3690" i="1"/>
  <c r="I3689" i="1"/>
  <c r="J3689" i="1" s="1"/>
  <c r="H3689" i="1"/>
  <c r="G3689" i="1"/>
  <c r="F3689" i="1"/>
  <c r="I3688" i="1"/>
  <c r="J3688" i="1" s="1"/>
  <c r="H3688" i="1"/>
  <c r="G3688" i="1"/>
  <c r="F3688" i="1"/>
  <c r="J3687" i="1"/>
  <c r="I3687" i="1"/>
  <c r="H3687" i="1"/>
  <c r="G3687" i="1"/>
  <c r="F3687" i="1"/>
  <c r="I3686" i="1"/>
  <c r="J3686" i="1" s="1"/>
  <c r="H3686" i="1"/>
  <c r="G3686" i="1"/>
  <c r="F3686" i="1"/>
  <c r="J3685" i="1"/>
  <c r="I3685" i="1"/>
  <c r="H3685" i="1"/>
  <c r="G3685" i="1"/>
  <c r="F3685" i="1"/>
  <c r="I3684" i="1"/>
  <c r="J3684" i="1" s="1"/>
  <c r="H3684" i="1"/>
  <c r="G3684" i="1"/>
  <c r="F3684" i="1"/>
  <c r="I3683" i="1"/>
  <c r="J3683" i="1" s="1"/>
  <c r="H3683" i="1"/>
  <c r="G3683" i="1"/>
  <c r="F3683" i="1"/>
  <c r="I3682" i="1"/>
  <c r="J3682" i="1" s="1"/>
  <c r="H3682" i="1"/>
  <c r="G3682" i="1"/>
  <c r="F3682" i="1"/>
  <c r="J3681" i="1"/>
  <c r="I3681" i="1"/>
  <c r="H3681" i="1"/>
  <c r="G3681" i="1"/>
  <c r="F3681" i="1"/>
  <c r="I3680" i="1"/>
  <c r="J3680" i="1" s="1"/>
  <c r="H3680" i="1"/>
  <c r="G3680" i="1"/>
  <c r="F3680" i="1"/>
  <c r="I3679" i="1"/>
  <c r="J3679" i="1" s="1"/>
  <c r="H3679" i="1"/>
  <c r="G3679" i="1"/>
  <c r="F3679" i="1"/>
  <c r="I3678" i="1"/>
  <c r="J3678" i="1" s="1"/>
  <c r="H3678" i="1"/>
  <c r="G3678" i="1"/>
  <c r="F3678" i="1"/>
  <c r="J3677" i="1"/>
  <c r="I3677" i="1"/>
  <c r="H3677" i="1"/>
  <c r="G3677" i="1"/>
  <c r="F3677" i="1"/>
  <c r="I3676" i="1"/>
  <c r="J3676" i="1" s="1"/>
  <c r="H3676" i="1"/>
  <c r="G3676" i="1"/>
  <c r="F3676" i="1"/>
  <c r="J3675" i="1"/>
  <c r="I3675" i="1"/>
  <c r="H3675" i="1"/>
  <c r="G3675" i="1"/>
  <c r="F3675" i="1"/>
  <c r="I3674" i="1"/>
  <c r="J3674" i="1" s="1"/>
  <c r="H3674" i="1"/>
  <c r="G3674" i="1"/>
  <c r="F3674" i="1"/>
  <c r="I3673" i="1"/>
  <c r="J3673" i="1" s="1"/>
  <c r="H3673" i="1"/>
  <c r="G3673" i="1"/>
  <c r="F3673" i="1"/>
  <c r="J3672" i="1"/>
  <c r="I3672" i="1"/>
  <c r="H3672" i="1"/>
  <c r="G3672" i="1"/>
  <c r="F3672" i="1"/>
  <c r="I3671" i="1"/>
  <c r="J3671" i="1" s="1"/>
  <c r="H3671" i="1"/>
  <c r="G3671" i="1"/>
  <c r="F3671" i="1"/>
  <c r="I3670" i="1"/>
  <c r="J3670" i="1" s="1"/>
  <c r="H3670" i="1"/>
  <c r="G3670" i="1"/>
  <c r="F3670" i="1"/>
  <c r="J3669" i="1"/>
  <c r="I3669" i="1"/>
  <c r="H3669" i="1"/>
  <c r="G3669" i="1"/>
  <c r="F3669" i="1"/>
  <c r="J3668" i="1"/>
  <c r="I3668" i="1"/>
  <c r="H3668" i="1"/>
  <c r="G3668" i="1"/>
  <c r="F3668" i="1"/>
  <c r="J3667" i="1"/>
  <c r="I3667" i="1"/>
  <c r="H3667" i="1"/>
  <c r="G3667" i="1"/>
  <c r="F3667" i="1"/>
  <c r="J3666" i="1"/>
  <c r="I3666" i="1"/>
  <c r="H3666" i="1"/>
  <c r="G3666" i="1"/>
  <c r="F3666" i="1"/>
  <c r="I3665" i="1"/>
  <c r="J3665" i="1" s="1"/>
  <c r="H3665" i="1"/>
  <c r="G3665" i="1"/>
  <c r="F3665" i="1"/>
  <c r="J3664" i="1"/>
  <c r="I3664" i="1"/>
  <c r="H3664" i="1"/>
  <c r="G3664" i="1"/>
  <c r="F3664" i="1"/>
  <c r="J3663" i="1"/>
  <c r="I3663" i="1"/>
  <c r="H3663" i="1"/>
  <c r="G3663" i="1"/>
  <c r="F3663" i="1"/>
  <c r="J3662" i="1"/>
  <c r="I3662" i="1"/>
  <c r="H3662" i="1"/>
  <c r="G3662" i="1"/>
  <c r="F3662" i="1"/>
  <c r="I3661" i="1"/>
  <c r="J3661" i="1" s="1"/>
  <c r="H3661" i="1"/>
  <c r="G3661" i="1"/>
  <c r="F3661" i="1"/>
  <c r="I3660" i="1"/>
  <c r="J3660" i="1" s="1"/>
  <c r="H3660" i="1"/>
  <c r="G3660" i="1"/>
  <c r="F3660" i="1"/>
  <c r="J3659" i="1"/>
  <c r="I3659" i="1"/>
  <c r="H3659" i="1"/>
  <c r="G3659" i="1"/>
  <c r="F3659" i="1"/>
  <c r="I3658" i="1"/>
  <c r="J3658" i="1" s="1"/>
  <c r="H3658" i="1"/>
  <c r="G3658" i="1"/>
  <c r="F3658" i="1"/>
  <c r="J3657" i="1"/>
  <c r="I3657" i="1"/>
  <c r="H3657" i="1"/>
  <c r="G3657" i="1"/>
  <c r="F3657" i="1"/>
  <c r="J3656" i="1"/>
  <c r="I3656" i="1"/>
  <c r="H3656" i="1"/>
  <c r="G3656" i="1"/>
  <c r="F3656" i="1"/>
  <c r="J3655" i="1"/>
  <c r="I3655" i="1"/>
  <c r="H3655" i="1"/>
  <c r="G3655" i="1"/>
  <c r="F3655" i="1"/>
  <c r="I3654" i="1"/>
  <c r="J3654" i="1" s="1"/>
  <c r="H3654" i="1"/>
  <c r="G3654" i="1"/>
  <c r="F3654" i="1"/>
  <c r="J3653" i="1"/>
  <c r="I3653" i="1"/>
  <c r="H3653" i="1"/>
  <c r="G3653" i="1"/>
  <c r="F3653" i="1"/>
  <c r="J3652" i="1"/>
  <c r="I3652" i="1"/>
  <c r="H3652" i="1"/>
  <c r="G3652" i="1"/>
  <c r="F3652" i="1"/>
  <c r="J3651" i="1"/>
  <c r="I3651" i="1"/>
  <c r="H3651" i="1"/>
  <c r="G3651" i="1"/>
  <c r="F3651" i="1"/>
  <c r="J3650" i="1"/>
  <c r="I3650" i="1"/>
  <c r="H3650" i="1"/>
  <c r="G3650" i="1"/>
  <c r="F3650" i="1"/>
  <c r="J3649" i="1"/>
  <c r="I3649" i="1"/>
  <c r="H3649" i="1"/>
  <c r="G3649" i="1"/>
  <c r="F3649" i="1"/>
  <c r="I3648" i="1"/>
  <c r="J3648" i="1" s="1"/>
  <c r="H3648" i="1"/>
  <c r="G3648" i="1"/>
  <c r="F3648" i="1"/>
  <c r="J3647" i="1"/>
  <c r="I3647" i="1"/>
  <c r="H3647" i="1"/>
  <c r="G3647" i="1"/>
  <c r="F3647" i="1"/>
  <c r="I3646" i="1"/>
  <c r="J3646" i="1" s="1"/>
  <c r="H3646" i="1"/>
  <c r="G3646" i="1"/>
  <c r="F3646" i="1"/>
  <c r="I3645" i="1"/>
  <c r="J3645" i="1" s="1"/>
  <c r="H3645" i="1"/>
  <c r="G3645" i="1"/>
  <c r="F3645" i="1"/>
  <c r="J3644" i="1"/>
  <c r="I3644" i="1"/>
  <c r="H3644" i="1"/>
  <c r="G3644" i="1"/>
  <c r="F3644" i="1"/>
  <c r="J3643" i="1"/>
  <c r="I3643" i="1"/>
  <c r="H3643" i="1"/>
  <c r="G3643" i="1"/>
  <c r="F3643" i="1"/>
  <c r="J3642" i="1"/>
  <c r="I3642" i="1"/>
  <c r="H3642" i="1"/>
  <c r="G3642" i="1"/>
  <c r="F3642" i="1"/>
  <c r="I3641" i="1"/>
  <c r="J3641" i="1" s="1"/>
  <c r="H3641" i="1"/>
  <c r="G3641" i="1"/>
  <c r="F3641" i="1"/>
  <c r="J3640" i="1"/>
  <c r="I3640" i="1"/>
  <c r="H3640" i="1"/>
  <c r="G3640" i="1"/>
  <c r="F3640" i="1"/>
  <c r="J3639" i="1"/>
  <c r="I3639" i="1"/>
  <c r="H3639" i="1"/>
  <c r="G3639" i="1"/>
  <c r="F3639" i="1"/>
  <c r="J3638" i="1"/>
  <c r="I3638" i="1"/>
  <c r="H3638" i="1"/>
  <c r="G3638" i="1"/>
  <c r="F3638" i="1"/>
  <c r="I3637" i="1"/>
  <c r="J3637" i="1" s="1"/>
  <c r="H3637" i="1"/>
  <c r="G3637" i="1"/>
  <c r="F3637" i="1"/>
  <c r="J3636" i="1"/>
  <c r="I3636" i="1"/>
  <c r="H3636" i="1"/>
  <c r="G3636" i="1"/>
  <c r="F3636" i="1"/>
  <c r="J3635" i="1"/>
  <c r="I3635" i="1"/>
  <c r="H3635" i="1"/>
  <c r="G3635" i="1"/>
  <c r="F3635" i="1"/>
  <c r="J3634" i="1"/>
  <c r="I3634" i="1"/>
  <c r="H3634" i="1"/>
  <c r="G3634" i="1"/>
  <c r="F3634" i="1"/>
  <c r="J3633" i="1"/>
  <c r="I3633" i="1"/>
  <c r="H3633" i="1"/>
  <c r="G3633" i="1"/>
  <c r="F3633" i="1"/>
  <c r="I3632" i="1"/>
  <c r="J3632" i="1" s="1"/>
  <c r="H3632" i="1"/>
  <c r="G3632" i="1"/>
  <c r="F3632" i="1"/>
  <c r="J3631" i="1"/>
  <c r="I3631" i="1"/>
  <c r="H3631" i="1"/>
  <c r="G3631" i="1"/>
  <c r="F3631" i="1"/>
  <c r="J3630" i="1"/>
  <c r="I3630" i="1"/>
  <c r="H3630" i="1"/>
  <c r="G3630" i="1"/>
  <c r="F3630" i="1"/>
  <c r="I3629" i="1"/>
  <c r="J3629" i="1" s="1"/>
  <c r="H3629" i="1"/>
  <c r="G3629" i="1"/>
  <c r="F3629" i="1"/>
  <c r="I3628" i="1"/>
  <c r="J3628" i="1" s="1"/>
  <c r="H3628" i="1"/>
  <c r="G3628" i="1"/>
  <c r="F3628" i="1"/>
  <c r="J3627" i="1"/>
  <c r="I3627" i="1"/>
  <c r="H3627" i="1"/>
  <c r="G3627" i="1"/>
  <c r="F3627" i="1"/>
  <c r="I3626" i="1"/>
  <c r="J3626" i="1" s="1"/>
  <c r="H3626" i="1"/>
  <c r="G3626" i="1"/>
  <c r="F3626" i="1"/>
  <c r="J3625" i="1"/>
  <c r="I3625" i="1"/>
  <c r="H3625" i="1"/>
  <c r="G3625" i="1"/>
  <c r="F3625" i="1"/>
  <c r="I3624" i="1"/>
  <c r="J3624" i="1" s="1"/>
  <c r="H3624" i="1"/>
  <c r="G3624" i="1"/>
  <c r="F3624" i="1"/>
  <c r="J3623" i="1"/>
  <c r="I3623" i="1"/>
  <c r="H3623" i="1"/>
  <c r="G3623" i="1"/>
  <c r="F3623" i="1"/>
  <c r="J3622" i="1"/>
  <c r="I3622" i="1"/>
  <c r="H3622" i="1"/>
  <c r="G3622" i="1"/>
  <c r="F3622" i="1"/>
  <c r="J3621" i="1"/>
  <c r="I3621" i="1"/>
  <c r="H3621" i="1"/>
  <c r="G3621" i="1"/>
  <c r="F3621" i="1"/>
  <c r="I3620" i="1"/>
  <c r="J3620" i="1" s="1"/>
  <c r="H3620" i="1"/>
  <c r="G3620" i="1"/>
  <c r="F3620" i="1"/>
  <c r="J3619" i="1"/>
  <c r="I3619" i="1"/>
  <c r="H3619" i="1"/>
  <c r="G3619" i="1"/>
  <c r="F3619" i="1"/>
  <c r="I3618" i="1"/>
  <c r="J3618" i="1" s="1"/>
  <c r="H3618" i="1"/>
  <c r="G3618" i="1"/>
  <c r="F3618" i="1"/>
  <c r="I3617" i="1"/>
  <c r="J3617" i="1" s="1"/>
  <c r="H3617" i="1"/>
  <c r="G3617" i="1"/>
  <c r="F3617" i="1"/>
  <c r="I3616" i="1"/>
  <c r="J3616" i="1" s="1"/>
  <c r="H3616" i="1"/>
  <c r="G3616" i="1"/>
  <c r="F3616" i="1"/>
  <c r="J3615" i="1"/>
  <c r="I3615" i="1"/>
  <c r="H3615" i="1"/>
  <c r="G3615" i="1"/>
  <c r="F3615" i="1"/>
  <c r="J3614" i="1"/>
  <c r="I3614" i="1"/>
  <c r="H3614" i="1"/>
  <c r="G3614" i="1"/>
  <c r="F3614" i="1"/>
  <c r="J3613" i="1"/>
  <c r="I3613" i="1"/>
  <c r="H3613" i="1"/>
  <c r="G3613" i="1"/>
  <c r="F3613" i="1"/>
  <c r="I3612" i="1"/>
  <c r="J3612" i="1" s="1"/>
  <c r="H3612" i="1"/>
  <c r="G3612" i="1"/>
  <c r="F3612" i="1"/>
  <c r="I3611" i="1"/>
  <c r="J3611" i="1" s="1"/>
  <c r="H3611" i="1"/>
  <c r="G3611" i="1"/>
  <c r="F3611" i="1"/>
  <c r="J3610" i="1"/>
  <c r="I3610" i="1"/>
  <c r="H3610" i="1"/>
  <c r="G3610" i="1"/>
  <c r="F3610" i="1"/>
  <c r="I3609" i="1"/>
  <c r="J3609" i="1" s="1"/>
  <c r="H3609" i="1"/>
  <c r="G3609" i="1"/>
  <c r="F3609" i="1"/>
  <c r="J3608" i="1"/>
  <c r="I3608" i="1"/>
  <c r="H3608" i="1"/>
  <c r="G3608" i="1"/>
  <c r="F3608" i="1"/>
  <c r="J3607" i="1"/>
  <c r="I3607" i="1"/>
  <c r="H3607" i="1"/>
  <c r="G3607" i="1"/>
  <c r="F3607" i="1"/>
  <c r="J3606" i="1"/>
  <c r="I3606" i="1"/>
  <c r="H3606" i="1"/>
  <c r="G3606" i="1"/>
  <c r="F3606" i="1"/>
  <c r="I3605" i="1"/>
  <c r="J3605" i="1" s="1"/>
  <c r="H3605" i="1"/>
  <c r="G3605" i="1"/>
  <c r="F3605" i="1"/>
  <c r="I3604" i="1"/>
  <c r="J3604" i="1" s="1"/>
  <c r="H3604" i="1"/>
  <c r="G3604" i="1"/>
  <c r="F3604" i="1"/>
  <c r="J3603" i="1"/>
  <c r="I3603" i="1"/>
  <c r="H3603" i="1"/>
  <c r="G3603" i="1"/>
  <c r="F3603" i="1"/>
  <c r="I3602" i="1"/>
  <c r="J3602" i="1" s="1"/>
  <c r="H3602" i="1"/>
  <c r="G3602" i="1"/>
  <c r="F3602" i="1"/>
  <c r="J3601" i="1"/>
  <c r="I3601" i="1"/>
  <c r="H3601" i="1"/>
  <c r="G3601" i="1"/>
  <c r="F3601" i="1"/>
  <c r="I3600" i="1"/>
  <c r="J3600" i="1" s="1"/>
  <c r="H3600" i="1"/>
  <c r="G3600" i="1"/>
  <c r="F3600" i="1"/>
  <c r="I3599" i="1"/>
  <c r="J3599" i="1" s="1"/>
  <c r="H3599" i="1"/>
  <c r="G3599" i="1"/>
  <c r="F3599" i="1"/>
  <c r="J3598" i="1"/>
  <c r="I3598" i="1"/>
  <c r="H3598" i="1"/>
  <c r="G3598" i="1"/>
  <c r="F3598" i="1"/>
  <c r="J3597" i="1"/>
  <c r="I3597" i="1"/>
  <c r="H3597" i="1"/>
  <c r="G3597" i="1"/>
  <c r="F3597" i="1"/>
  <c r="J3596" i="1"/>
  <c r="I3596" i="1"/>
  <c r="H3596" i="1"/>
  <c r="G3596" i="1"/>
  <c r="F3596" i="1"/>
  <c r="J3595" i="1"/>
  <c r="I3595" i="1"/>
  <c r="H3595" i="1"/>
  <c r="G3595" i="1"/>
  <c r="F3595" i="1"/>
  <c r="I3594" i="1"/>
  <c r="J3594" i="1" s="1"/>
  <c r="H3594" i="1"/>
  <c r="G3594" i="1"/>
  <c r="F3594" i="1"/>
  <c r="J3593" i="1"/>
  <c r="I3593" i="1"/>
  <c r="H3593" i="1"/>
  <c r="G3593" i="1"/>
  <c r="F3593" i="1"/>
  <c r="J3592" i="1"/>
  <c r="I3592" i="1"/>
  <c r="H3592" i="1"/>
  <c r="G3592" i="1"/>
  <c r="F3592" i="1"/>
  <c r="J3591" i="1"/>
  <c r="I3591" i="1"/>
  <c r="H3591" i="1"/>
  <c r="G3591" i="1"/>
  <c r="F3591" i="1"/>
  <c r="I3590" i="1"/>
  <c r="J3590" i="1" s="1"/>
  <c r="H3590" i="1"/>
  <c r="G3590" i="1"/>
  <c r="F3590" i="1"/>
  <c r="J3589" i="1"/>
  <c r="I3589" i="1"/>
  <c r="H3589" i="1"/>
  <c r="G3589" i="1"/>
  <c r="F3589" i="1"/>
  <c r="J3588" i="1"/>
  <c r="I3588" i="1"/>
  <c r="H3588" i="1"/>
  <c r="G3588" i="1"/>
  <c r="F3588" i="1"/>
  <c r="I3587" i="1"/>
  <c r="J3587" i="1" s="1"/>
  <c r="H3587" i="1"/>
  <c r="G3587" i="1"/>
  <c r="F3587" i="1"/>
  <c r="J3586" i="1"/>
  <c r="I3586" i="1"/>
  <c r="H3586" i="1"/>
  <c r="G3586" i="1"/>
  <c r="F3586" i="1"/>
  <c r="J3585" i="1"/>
  <c r="I3585" i="1"/>
  <c r="H3585" i="1"/>
  <c r="G3585" i="1"/>
  <c r="F3585" i="1"/>
  <c r="I3584" i="1"/>
  <c r="J3584" i="1" s="1"/>
  <c r="H3584" i="1"/>
  <c r="G3584" i="1"/>
  <c r="F3584" i="1"/>
  <c r="I3583" i="1"/>
  <c r="J3583" i="1" s="1"/>
  <c r="H3583" i="1"/>
  <c r="G3583" i="1"/>
  <c r="F3583" i="1"/>
  <c r="J3582" i="1"/>
  <c r="I3582" i="1"/>
  <c r="H3582" i="1"/>
  <c r="G3582" i="1"/>
  <c r="F3582" i="1"/>
  <c r="I3581" i="1"/>
  <c r="J3581" i="1" s="1"/>
  <c r="H3581" i="1"/>
  <c r="G3581" i="1"/>
  <c r="F3581" i="1"/>
  <c r="J3580" i="1"/>
  <c r="I3580" i="1"/>
  <c r="H3580" i="1"/>
  <c r="G3580" i="1"/>
  <c r="F3580" i="1"/>
  <c r="J3579" i="1"/>
  <c r="I3579" i="1"/>
  <c r="H3579" i="1"/>
  <c r="G3579" i="1"/>
  <c r="F3579" i="1"/>
  <c r="J3578" i="1"/>
  <c r="I3578" i="1"/>
  <c r="H3578" i="1"/>
  <c r="G3578" i="1"/>
  <c r="F3578" i="1"/>
  <c r="I3577" i="1"/>
  <c r="J3577" i="1" s="1"/>
  <c r="H3577" i="1"/>
  <c r="G3577" i="1"/>
  <c r="F3577" i="1"/>
  <c r="I3576" i="1"/>
  <c r="J3576" i="1" s="1"/>
  <c r="H3576" i="1"/>
  <c r="G3576" i="1"/>
  <c r="F3576" i="1"/>
  <c r="I3575" i="1"/>
  <c r="J3575" i="1" s="1"/>
  <c r="H3575" i="1"/>
  <c r="G3575" i="1"/>
  <c r="F3575" i="1"/>
  <c r="I3574" i="1"/>
  <c r="J3574" i="1" s="1"/>
  <c r="H3574" i="1"/>
  <c r="G3574" i="1"/>
  <c r="F3574" i="1"/>
  <c r="J3573" i="1"/>
  <c r="I3573" i="1"/>
  <c r="H3573" i="1"/>
  <c r="G3573" i="1"/>
  <c r="F3573" i="1"/>
  <c r="I3572" i="1"/>
  <c r="J3572" i="1" s="1"/>
  <c r="H3572" i="1"/>
  <c r="G3572" i="1"/>
  <c r="F3572" i="1"/>
  <c r="J3571" i="1"/>
  <c r="I3571" i="1"/>
  <c r="H3571" i="1"/>
  <c r="G3571" i="1"/>
  <c r="F3571" i="1"/>
  <c r="I3570" i="1"/>
  <c r="J3570" i="1" s="1"/>
  <c r="H3570" i="1"/>
  <c r="G3570" i="1"/>
  <c r="F3570" i="1"/>
  <c r="J3569" i="1"/>
  <c r="I3569" i="1"/>
  <c r="H3569" i="1"/>
  <c r="G3569" i="1"/>
  <c r="F3569" i="1"/>
  <c r="J3568" i="1"/>
  <c r="I3568" i="1"/>
  <c r="H3568" i="1"/>
  <c r="G3568" i="1"/>
  <c r="F3568" i="1"/>
  <c r="I3567" i="1"/>
  <c r="J3567" i="1" s="1"/>
  <c r="H3567" i="1"/>
  <c r="G3567" i="1"/>
  <c r="F3567" i="1"/>
  <c r="I3566" i="1"/>
  <c r="J3566" i="1" s="1"/>
  <c r="H3566" i="1"/>
  <c r="G3566" i="1"/>
  <c r="F3566" i="1"/>
  <c r="J3565" i="1"/>
  <c r="I3565" i="1"/>
  <c r="H3565" i="1"/>
  <c r="G3565" i="1"/>
  <c r="F3565" i="1"/>
  <c r="I3564" i="1"/>
  <c r="J3564" i="1" s="1"/>
  <c r="H3564" i="1"/>
  <c r="G3564" i="1"/>
  <c r="F3564" i="1"/>
  <c r="J3563" i="1"/>
  <c r="I3563" i="1"/>
  <c r="H3563" i="1"/>
  <c r="G3563" i="1"/>
  <c r="F3563" i="1"/>
  <c r="I3562" i="1"/>
  <c r="J3562" i="1" s="1"/>
  <c r="H3562" i="1"/>
  <c r="G3562" i="1"/>
  <c r="F3562" i="1"/>
  <c r="I3561" i="1"/>
  <c r="J3561" i="1" s="1"/>
  <c r="H3561" i="1"/>
  <c r="G3561" i="1"/>
  <c r="F3561" i="1"/>
  <c r="J3560" i="1"/>
  <c r="I3560" i="1"/>
  <c r="H3560" i="1"/>
  <c r="G3560" i="1"/>
  <c r="F3560" i="1"/>
  <c r="I3559" i="1"/>
  <c r="J3559" i="1" s="1"/>
  <c r="H3559" i="1"/>
  <c r="G3559" i="1"/>
  <c r="F3559" i="1"/>
  <c r="I3558" i="1"/>
  <c r="J3558" i="1" s="1"/>
  <c r="H3558" i="1"/>
  <c r="G3558" i="1"/>
  <c r="F3558" i="1"/>
  <c r="I3557" i="1"/>
  <c r="J3557" i="1" s="1"/>
  <c r="H3557" i="1"/>
  <c r="G3557" i="1"/>
  <c r="F3557" i="1"/>
  <c r="J3556" i="1"/>
  <c r="I3556" i="1"/>
  <c r="H3556" i="1"/>
  <c r="G3556" i="1"/>
  <c r="F3556" i="1"/>
  <c r="I3555" i="1"/>
  <c r="J3555" i="1" s="1"/>
  <c r="H3555" i="1"/>
  <c r="G3555" i="1"/>
  <c r="F3555" i="1"/>
  <c r="I3554" i="1"/>
  <c r="J3554" i="1" s="1"/>
  <c r="H3554" i="1"/>
  <c r="G3554" i="1"/>
  <c r="F3554" i="1"/>
  <c r="I3553" i="1"/>
  <c r="J3553" i="1" s="1"/>
  <c r="H3553" i="1"/>
  <c r="G3553" i="1"/>
  <c r="F3553" i="1"/>
  <c r="J3552" i="1"/>
  <c r="I3552" i="1"/>
  <c r="H3552" i="1"/>
  <c r="G3552" i="1"/>
  <c r="F3552" i="1"/>
  <c r="J3551" i="1"/>
  <c r="I3551" i="1"/>
  <c r="H3551" i="1"/>
  <c r="G3551" i="1"/>
  <c r="F3551" i="1"/>
  <c r="I3550" i="1"/>
  <c r="J3550" i="1" s="1"/>
  <c r="H3550" i="1"/>
  <c r="G3550" i="1"/>
  <c r="F3550" i="1"/>
  <c r="I3549" i="1"/>
  <c r="J3549" i="1" s="1"/>
  <c r="H3549" i="1"/>
  <c r="G3549" i="1"/>
  <c r="F3549" i="1"/>
  <c r="I3548" i="1"/>
  <c r="J3548" i="1" s="1"/>
  <c r="H3548" i="1"/>
  <c r="G3548" i="1"/>
  <c r="F3548" i="1"/>
  <c r="I3547" i="1"/>
  <c r="J3547" i="1" s="1"/>
  <c r="H3547" i="1"/>
  <c r="G3547" i="1"/>
  <c r="F3547" i="1"/>
  <c r="I3546" i="1"/>
  <c r="J3546" i="1" s="1"/>
  <c r="H3546" i="1"/>
  <c r="G3546" i="1"/>
  <c r="F3546" i="1"/>
  <c r="J3545" i="1"/>
  <c r="I3545" i="1"/>
  <c r="H3545" i="1"/>
  <c r="G3545" i="1"/>
  <c r="F3545" i="1"/>
  <c r="I3544" i="1"/>
  <c r="J3544" i="1" s="1"/>
  <c r="H3544" i="1"/>
  <c r="G3544" i="1"/>
  <c r="F3544" i="1"/>
  <c r="J3543" i="1"/>
  <c r="I3543" i="1"/>
  <c r="H3543" i="1"/>
  <c r="G3543" i="1"/>
  <c r="F3543" i="1"/>
  <c r="I3542" i="1"/>
  <c r="J3542" i="1" s="1"/>
  <c r="H3542" i="1"/>
  <c r="G3542" i="1"/>
  <c r="F3542" i="1"/>
  <c r="I3541" i="1"/>
  <c r="J3541" i="1" s="1"/>
  <c r="H3541" i="1"/>
  <c r="G3541" i="1"/>
  <c r="F3541" i="1"/>
  <c r="I3540" i="1"/>
  <c r="J3540" i="1" s="1"/>
  <c r="H3540" i="1"/>
  <c r="G3540" i="1"/>
  <c r="F3540" i="1"/>
  <c r="J3539" i="1"/>
  <c r="I3539" i="1"/>
  <c r="H3539" i="1"/>
  <c r="G3539" i="1"/>
  <c r="F3539" i="1"/>
  <c r="I3538" i="1"/>
  <c r="J3538" i="1" s="1"/>
  <c r="H3538" i="1"/>
  <c r="G3538" i="1"/>
  <c r="F3538" i="1"/>
  <c r="J3537" i="1"/>
  <c r="I3537" i="1"/>
  <c r="H3537" i="1"/>
  <c r="G3537" i="1"/>
  <c r="F3537" i="1"/>
  <c r="I3536" i="1"/>
  <c r="J3536" i="1" s="1"/>
  <c r="H3536" i="1"/>
  <c r="G3536" i="1"/>
  <c r="F3536" i="1"/>
  <c r="J3535" i="1"/>
  <c r="I3535" i="1"/>
  <c r="H3535" i="1"/>
  <c r="G3535" i="1"/>
  <c r="F3535" i="1"/>
  <c r="I3534" i="1"/>
  <c r="J3534" i="1" s="1"/>
  <c r="H3534" i="1"/>
  <c r="G3534" i="1"/>
  <c r="F3534" i="1"/>
  <c r="I3533" i="1"/>
  <c r="J3533" i="1" s="1"/>
  <c r="H3533" i="1"/>
  <c r="G3533" i="1"/>
  <c r="F3533" i="1"/>
  <c r="J3532" i="1"/>
  <c r="I3532" i="1"/>
  <c r="H3532" i="1"/>
  <c r="G3532" i="1"/>
  <c r="F3532" i="1"/>
  <c r="I3531" i="1"/>
  <c r="J3531" i="1" s="1"/>
  <c r="H3531" i="1"/>
  <c r="G3531" i="1"/>
  <c r="F3531" i="1"/>
  <c r="I3530" i="1"/>
  <c r="J3530" i="1" s="1"/>
  <c r="H3530" i="1"/>
  <c r="G3530" i="1"/>
  <c r="F3530" i="1"/>
  <c r="I3529" i="1"/>
  <c r="J3529" i="1" s="1"/>
  <c r="H3529" i="1"/>
  <c r="G3529" i="1"/>
  <c r="F3529" i="1"/>
  <c r="J3528" i="1"/>
  <c r="I3528" i="1"/>
  <c r="H3528" i="1"/>
  <c r="G3528" i="1"/>
  <c r="F3528" i="1"/>
  <c r="I3527" i="1"/>
  <c r="J3527" i="1" s="1"/>
  <c r="H3527" i="1"/>
  <c r="G3527" i="1"/>
  <c r="F3527" i="1"/>
  <c r="J3526" i="1"/>
  <c r="I3526" i="1"/>
  <c r="H3526" i="1"/>
  <c r="G3526" i="1"/>
  <c r="F3526" i="1"/>
  <c r="J3525" i="1"/>
  <c r="I3525" i="1"/>
  <c r="H3525" i="1"/>
  <c r="G3525" i="1"/>
  <c r="F3525" i="1"/>
  <c r="J3524" i="1"/>
  <c r="I3524" i="1"/>
  <c r="H3524" i="1"/>
  <c r="G3524" i="1"/>
  <c r="F3524" i="1"/>
  <c r="J3523" i="1"/>
  <c r="I3523" i="1"/>
  <c r="H3523" i="1"/>
  <c r="G3523" i="1"/>
  <c r="F3523" i="1"/>
  <c r="J3522" i="1"/>
  <c r="I3522" i="1"/>
  <c r="H3522" i="1"/>
  <c r="G3522" i="1"/>
  <c r="F3522" i="1"/>
  <c r="J3521" i="1"/>
  <c r="I3521" i="1"/>
  <c r="H3521" i="1"/>
  <c r="G3521" i="1"/>
  <c r="F3521" i="1"/>
  <c r="I3520" i="1"/>
  <c r="J3520" i="1" s="1"/>
  <c r="H3520" i="1"/>
  <c r="G3520" i="1"/>
  <c r="F3520" i="1"/>
  <c r="J3519" i="1"/>
  <c r="I3519" i="1"/>
  <c r="H3519" i="1"/>
  <c r="G3519" i="1"/>
  <c r="F3519" i="1"/>
  <c r="J3518" i="1"/>
  <c r="I3518" i="1"/>
  <c r="H3518" i="1"/>
  <c r="G3518" i="1"/>
  <c r="F3518" i="1"/>
  <c r="J3517" i="1"/>
  <c r="I3517" i="1"/>
  <c r="H3517" i="1"/>
  <c r="G3517" i="1"/>
  <c r="F3517" i="1"/>
  <c r="I3516" i="1"/>
  <c r="J3516" i="1" s="1"/>
  <c r="H3516" i="1"/>
  <c r="G3516" i="1"/>
  <c r="F3516" i="1"/>
  <c r="J3515" i="1"/>
  <c r="I3515" i="1"/>
  <c r="H3515" i="1"/>
  <c r="G3515" i="1"/>
  <c r="F3515" i="1"/>
  <c r="J3514" i="1"/>
  <c r="I3514" i="1"/>
  <c r="H3514" i="1"/>
  <c r="G3514" i="1"/>
  <c r="F3514" i="1"/>
  <c r="I3513" i="1"/>
  <c r="J3513" i="1" s="1"/>
  <c r="H3513" i="1"/>
  <c r="G3513" i="1"/>
  <c r="F3513" i="1"/>
  <c r="I3512" i="1"/>
  <c r="J3512" i="1" s="1"/>
  <c r="H3512" i="1"/>
  <c r="G3512" i="1"/>
  <c r="F3512" i="1"/>
  <c r="J3511" i="1"/>
  <c r="I3511" i="1"/>
  <c r="H3511" i="1"/>
  <c r="G3511" i="1"/>
  <c r="F3511" i="1"/>
  <c r="I3510" i="1"/>
  <c r="J3510" i="1" s="1"/>
  <c r="H3510" i="1"/>
  <c r="G3510" i="1"/>
  <c r="F3510" i="1"/>
  <c r="J3509" i="1"/>
  <c r="I3509" i="1"/>
  <c r="H3509" i="1"/>
  <c r="G3509" i="1"/>
  <c r="F3509" i="1"/>
  <c r="I3508" i="1"/>
  <c r="J3508" i="1" s="1"/>
  <c r="H3508" i="1"/>
  <c r="G3508" i="1"/>
  <c r="F3508" i="1"/>
  <c r="J3507" i="1"/>
  <c r="I3507" i="1"/>
  <c r="H3507" i="1"/>
  <c r="G3507" i="1"/>
  <c r="F3507" i="1"/>
  <c r="I3506" i="1"/>
  <c r="J3506" i="1" s="1"/>
  <c r="H3506" i="1"/>
  <c r="G3506" i="1"/>
  <c r="F3506" i="1"/>
  <c r="I3505" i="1"/>
  <c r="J3505" i="1" s="1"/>
  <c r="H3505" i="1"/>
  <c r="G3505" i="1"/>
  <c r="F3505" i="1"/>
  <c r="J3504" i="1"/>
  <c r="I3504" i="1"/>
  <c r="H3504" i="1"/>
  <c r="G3504" i="1"/>
  <c r="F3504" i="1"/>
  <c r="I3503" i="1"/>
  <c r="J3503" i="1" s="1"/>
  <c r="H3503" i="1"/>
  <c r="G3503" i="1"/>
  <c r="F3503" i="1"/>
  <c r="J3502" i="1"/>
  <c r="I3502" i="1"/>
  <c r="H3502" i="1"/>
  <c r="G3502" i="1"/>
  <c r="F3502" i="1"/>
  <c r="J3501" i="1"/>
  <c r="I3501" i="1"/>
  <c r="H3501" i="1"/>
  <c r="G3501" i="1"/>
  <c r="F3501" i="1"/>
  <c r="I3500" i="1"/>
  <c r="J3500" i="1" s="1"/>
  <c r="H3500" i="1"/>
  <c r="G3500" i="1"/>
  <c r="F3500" i="1"/>
  <c r="I3499" i="1"/>
  <c r="J3499" i="1" s="1"/>
  <c r="H3499" i="1"/>
  <c r="G3499" i="1"/>
  <c r="F3499" i="1"/>
  <c r="J3498" i="1"/>
  <c r="I3498" i="1"/>
  <c r="H3498" i="1"/>
  <c r="G3498" i="1"/>
  <c r="F3498" i="1"/>
  <c r="I3497" i="1"/>
  <c r="J3497" i="1" s="1"/>
  <c r="H3497" i="1"/>
  <c r="G3497" i="1"/>
  <c r="F3497" i="1"/>
  <c r="J3496" i="1"/>
  <c r="I3496" i="1"/>
  <c r="H3496" i="1"/>
  <c r="G3496" i="1"/>
  <c r="F3496" i="1"/>
  <c r="J3495" i="1"/>
  <c r="I3495" i="1"/>
  <c r="H3495" i="1"/>
  <c r="G3495" i="1"/>
  <c r="F3495" i="1"/>
  <c r="I3494" i="1"/>
  <c r="J3494" i="1" s="1"/>
  <c r="H3494" i="1"/>
  <c r="G3494" i="1"/>
  <c r="F3494" i="1"/>
  <c r="J3493" i="1"/>
  <c r="I3493" i="1"/>
  <c r="H3493" i="1"/>
  <c r="G3493" i="1"/>
  <c r="F3493" i="1"/>
  <c r="I3492" i="1"/>
  <c r="J3492" i="1" s="1"/>
  <c r="H3492" i="1"/>
  <c r="G3492" i="1"/>
  <c r="F3492" i="1"/>
  <c r="I3491" i="1"/>
  <c r="J3491" i="1" s="1"/>
  <c r="H3491" i="1"/>
  <c r="G3491" i="1"/>
  <c r="F3491" i="1"/>
  <c r="J3490" i="1"/>
  <c r="I3490" i="1"/>
  <c r="H3490" i="1"/>
  <c r="G3490" i="1"/>
  <c r="F3490" i="1"/>
  <c r="J3489" i="1"/>
  <c r="I3489" i="1"/>
  <c r="H3489" i="1"/>
  <c r="G3489" i="1"/>
  <c r="F3489" i="1"/>
  <c r="J3488" i="1"/>
  <c r="I3488" i="1"/>
  <c r="H3488" i="1"/>
  <c r="G3488" i="1"/>
  <c r="F3488" i="1"/>
  <c r="J3487" i="1"/>
  <c r="I3487" i="1"/>
  <c r="H3487" i="1"/>
  <c r="G3487" i="1"/>
  <c r="F3487" i="1"/>
  <c r="I3486" i="1"/>
  <c r="J3486" i="1" s="1"/>
  <c r="H3486" i="1"/>
  <c r="G3486" i="1"/>
  <c r="F3486" i="1"/>
  <c r="J3485" i="1"/>
  <c r="I3485" i="1"/>
  <c r="H3485" i="1"/>
  <c r="G3485" i="1"/>
  <c r="F3485" i="1"/>
  <c r="J3484" i="1"/>
  <c r="I3484" i="1"/>
  <c r="H3484" i="1"/>
  <c r="G3484" i="1"/>
  <c r="F3484" i="1"/>
  <c r="J3483" i="1"/>
  <c r="I3483" i="1"/>
  <c r="H3483" i="1"/>
  <c r="G3483" i="1"/>
  <c r="F3483" i="1"/>
  <c r="I3482" i="1"/>
  <c r="J3482" i="1" s="1"/>
  <c r="H3482" i="1"/>
  <c r="G3482" i="1"/>
  <c r="F3482" i="1"/>
  <c r="J3481" i="1"/>
  <c r="I3481" i="1"/>
  <c r="H3481" i="1"/>
  <c r="G3481" i="1"/>
  <c r="F3481" i="1"/>
  <c r="J3480" i="1"/>
  <c r="I3480" i="1"/>
  <c r="H3480" i="1"/>
  <c r="G3480" i="1"/>
  <c r="F3480" i="1"/>
  <c r="J3479" i="1"/>
  <c r="I3479" i="1"/>
  <c r="H3479" i="1"/>
  <c r="G3479" i="1"/>
  <c r="F3479" i="1"/>
  <c r="I3478" i="1"/>
  <c r="J3478" i="1" s="1"/>
  <c r="H3478" i="1"/>
  <c r="G3478" i="1"/>
  <c r="F3478" i="1"/>
  <c r="J3477" i="1"/>
  <c r="I3477" i="1"/>
  <c r="H3477" i="1"/>
  <c r="G3477" i="1"/>
  <c r="F3477" i="1"/>
  <c r="J3476" i="1"/>
  <c r="I3476" i="1"/>
  <c r="H3476" i="1"/>
  <c r="G3476" i="1"/>
  <c r="F3476" i="1"/>
  <c r="I3475" i="1"/>
  <c r="J3475" i="1" s="1"/>
  <c r="H3475" i="1"/>
  <c r="G3475" i="1"/>
  <c r="F3475" i="1"/>
  <c r="J3474" i="1"/>
  <c r="I3474" i="1"/>
  <c r="H3474" i="1"/>
  <c r="G3474" i="1"/>
  <c r="F3474" i="1"/>
  <c r="J3473" i="1"/>
  <c r="I3473" i="1"/>
  <c r="H3473" i="1"/>
  <c r="G3473" i="1"/>
  <c r="F3473" i="1"/>
  <c r="J3472" i="1"/>
  <c r="I3472" i="1"/>
  <c r="H3472" i="1"/>
  <c r="G3472" i="1"/>
  <c r="F3472" i="1"/>
  <c r="J3471" i="1"/>
  <c r="I3471" i="1"/>
  <c r="H3471" i="1"/>
  <c r="G3471" i="1"/>
  <c r="F3471" i="1"/>
  <c r="I3470" i="1"/>
  <c r="J3470" i="1" s="1"/>
  <c r="H3470" i="1"/>
  <c r="G3470" i="1"/>
  <c r="F3470" i="1"/>
  <c r="I3469" i="1"/>
  <c r="J3469" i="1" s="1"/>
  <c r="H3469" i="1"/>
  <c r="G3469" i="1"/>
  <c r="F3469" i="1"/>
  <c r="J3468" i="1"/>
  <c r="I3468" i="1"/>
  <c r="H3468" i="1"/>
  <c r="G3468" i="1"/>
  <c r="F3468" i="1"/>
  <c r="J3467" i="1"/>
  <c r="I3467" i="1"/>
  <c r="H3467" i="1"/>
  <c r="G3467" i="1"/>
  <c r="F3467" i="1"/>
  <c r="J3466" i="1"/>
  <c r="I3466" i="1"/>
  <c r="H3466" i="1"/>
  <c r="G3466" i="1"/>
  <c r="F3466" i="1"/>
  <c r="I3465" i="1"/>
  <c r="J3465" i="1" s="1"/>
  <c r="H3465" i="1"/>
  <c r="G3465" i="1"/>
  <c r="F3465" i="1"/>
  <c r="I3464" i="1"/>
  <c r="J3464" i="1" s="1"/>
  <c r="H3464" i="1"/>
  <c r="G3464" i="1"/>
  <c r="F3464" i="1"/>
  <c r="I3463" i="1"/>
  <c r="J3463" i="1" s="1"/>
  <c r="H3463" i="1"/>
  <c r="G3463" i="1"/>
  <c r="F3463" i="1"/>
  <c r="I3462" i="1"/>
  <c r="J3462" i="1" s="1"/>
  <c r="H3462" i="1"/>
  <c r="G3462" i="1"/>
  <c r="F3462" i="1"/>
  <c r="J3461" i="1"/>
  <c r="I3461" i="1"/>
  <c r="H3461" i="1"/>
  <c r="G3461" i="1"/>
  <c r="F3461" i="1"/>
  <c r="I3460" i="1"/>
  <c r="J3460" i="1" s="1"/>
  <c r="H3460" i="1"/>
  <c r="G3460" i="1"/>
  <c r="F3460" i="1"/>
  <c r="J3459" i="1"/>
  <c r="I3459" i="1"/>
  <c r="H3459" i="1"/>
  <c r="G3459" i="1"/>
  <c r="F3459" i="1"/>
  <c r="I3458" i="1"/>
  <c r="J3458" i="1" s="1"/>
  <c r="H3458" i="1"/>
  <c r="G3458" i="1"/>
  <c r="F3458" i="1"/>
  <c r="I3457" i="1"/>
  <c r="J3457" i="1" s="1"/>
  <c r="H3457" i="1"/>
  <c r="G3457" i="1"/>
  <c r="F3457" i="1"/>
  <c r="J3456" i="1"/>
  <c r="I3456" i="1"/>
  <c r="H3456" i="1"/>
  <c r="G3456" i="1"/>
  <c r="F3456" i="1"/>
  <c r="J3455" i="1"/>
  <c r="I3455" i="1"/>
  <c r="H3455" i="1"/>
  <c r="G3455" i="1"/>
  <c r="F3455" i="1"/>
  <c r="J3454" i="1"/>
  <c r="I3454" i="1"/>
  <c r="H3454" i="1"/>
  <c r="G3454" i="1"/>
  <c r="F3454" i="1"/>
  <c r="J3453" i="1"/>
  <c r="I3453" i="1"/>
  <c r="H3453" i="1"/>
  <c r="G3453" i="1"/>
  <c r="F3453" i="1"/>
  <c r="I3452" i="1"/>
  <c r="J3452" i="1" s="1"/>
  <c r="H3452" i="1"/>
  <c r="G3452" i="1"/>
  <c r="F3452" i="1"/>
  <c r="J3451" i="1"/>
  <c r="I3451" i="1"/>
  <c r="H3451" i="1"/>
  <c r="G3451" i="1"/>
  <c r="F3451" i="1"/>
  <c r="I3450" i="1"/>
  <c r="J3450" i="1" s="1"/>
  <c r="H3450" i="1"/>
  <c r="G3450" i="1"/>
  <c r="F3450" i="1"/>
  <c r="I3449" i="1"/>
  <c r="J3449" i="1" s="1"/>
  <c r="H3449" i="1"/>
  <c r="G3449" i="1"/>
  <c r="F3449" i="1"/>
  <c r="J3448" i="1"/>
  <c r="I3448" i="1"/>
  <c r="H3448" i="1"/>
  <c r="G3448" i="1"/>
  <c r="F3448" i="1"/>
  <c r="J3447" i="1"/>
  <c r="I3447" i="1"/>
  <c r="H3447" i="1"/>
  <c r="G3447" i="1"/>
  <c r="F3447" i="1"/>
  <c r="I3446" i="1"/>
  <c r="J3446" i="1" s="1"/>
  <c r="H3446" i="1"/>
  <c r="G3446" i="1"/>
  <c r="F3446" i="1"/>
  <c r="I3445" i="1"/>
  <c r="J3445" i="1" s="1"/>
  <c r="H3445" i="1"/>
  <c r="G3445" i="1"/>
  <c r="F3445" i="1"/>
  <c r="J3444" i="1"/>
  <c r="I3444" i="1"/>
  <c r="H3444" i="1"/>
  <c r="G3444" i="1"/>
  <c r="F3444" i="1"/>
  <c r="I3443" i="1"/>
  <c r="J3443" i="1" s="1"/>
  <c r="H3443" i="1"/>
  <c r="G3443" i="1"/>
  <c r="F3443" i="1"/>
  <c r="J3442" i="1"/>
  <c r="I3442" i="1"/>
  <c r="H3442" i="1"/>
  <c r="G3442" i="1"/>
  <c r="F3442" i="1"/>
  <c r="I3441" i="1"/>
  <c r="J3441" i="1" s="1"/>
  <c r="H3441" i="1"/>
  <c r="G3441" i="1"/>
  <c r="F3441" i="1"/>
  <c r="I3440" i="1"/>
  <c r="J3440" i="1" s="1"/>
  <c r="H3440" i="1"/>
  <c r="G3440" i="1"/>
  <c r="F3440" i="1"/>
  <c r="J3439" i="1"/>
  <c r="I3439" i="1"/>
  <c r="H3439" i="1"/>
  <c r="G3439" i="1"/>
  <c r="F3439" i="1"/>
  <c r="J3438" i="1"/>
  <c r="I3438" i="1"/>
  <c r="H3438" i="1"/>
  <c r="G3438" i="1"/>
  <c r="F3438" i="1"/>
  <c r="I3437" i="1"/>
  <c r="J3437" i="1" s="1"/>
  <c r="H3437" i="1"/>
  <c r="G3437" i="1"/>
  <c r="F3437" i="1"/>
  <c r="I3436" i="1"/>
  <c r="J3436" i="1" s="1"/>
  <c r="H3436" i="1"/>
  <c r="G3436" i="1"/>
  <c r="F3436" i="1"/>
  <c r="J3435" i="1"/>
  <c r="I3435" i="1"/>
  <c r="H3435" i="1"/>
  <c r="G3435" i="1"/>
  <c r="F3435" i="1"/>
  <c r="I3434" i="1"/>
  <c r="J3434" i="1" s="1"/>
  <c r="H3434" i="1"/>
  <c r="G3434" i="1"/>
  <c r="F3434" i="1"/>
  <c r="I3433" i="1"/>
  <c r="J3433" i="1" s="1"/>
  <c r="H3433" i="1"/>
  <c r="G3433" i="1"/>
  <c r="F3433" i="1"/>
  <c r="I3432" i="1"/>
  <c r="J3432" i="1" s="1"/>
  <c r="H3432" i="1"/>
  <c r="G3432" i="1"/>
  <c r="F3432" i="1"/>
  <c r="J3431" i="1"/>
  <c r="I3431" i="1"/>
  <c r="H3431" i="1"/>
  <c r="G3431" i="1"/>
  <c r="F3431" i="1"/>
  <c r="I3430" i="1"/>
  <c r="J3430" i="1" s="1"/>
  <c r="H3430" i="1"/>
  <c r="G3430" i="1"/>
  <c r="F3430" i="1"/>
  <c r="I3429" i="1"/>
  <c r="J3429" i="1" s="1"/>
  <c r="H3429" i="1"/>
  <c r="G3429" i="1"/>
  <c r="F3429" i="1"/>
  <c r="I3428" i="1"/>
  <c r="J3428" i="1" s="1"/>
  <c r="H3428" i="1"/>
  <c r="G3428" i="1"/>
  <c r="F3428" i="1"/>
  <c r="J3427" i="1"/>
  <c r="I3427" i="1"/>
  <c r="H3427" i="1"/>
  <c r="G3427" i="1"/>
  <c r="F3427" i="1"/>
  <c r="I3426" i="1"/>
  <c r="J3426" i="1" s="1"/>
  <c r="H3426" i="1"/>
  <c r="G3426" i="1"/>
  <c r="F3426" i="1"/>
  <c r="J3425" i="1"/>
  <c r="I3425" i="1"/>
  <c r="H3425" i="1"/>
  <c r="G3425" i="1"/>
  <c r="F3425" i="1"/>
  <c r="I3424" i="1"/>
  <c r="J3424" i="1" s="1"/>
  <c r="H3424" i="1"/>
  <c r="G3424" i="1"/>
  <c r="F3424" i="1"/>
  <c r="I3423" i="1"/>
  <c r="J3423" i="1" s="1"/>
  <c r="H3423" i="1"/>
  <c r="G3423" i="1"/>
  <c r="F3423" i="1"/>
  <c r="I3422" i="1"/>
  <c r="J3422" i="1" s="1"/>
  <c r="H3422" i="1"/>
  <c r="G3422" i="1"/>
  <c r="F3422" i="1"/>
  <c r="I3421" i="1"/>
  <c r="J3421" i="1" s="1"/>
  <c r="H3421" i="1"/>
  <c r="G3421" i="1"/>
  <c r="F3421" i="1"/>
  <c r="I3420" i="1"/>
  <c r="J3420" i="1" s="1"/>
  <c r="H3420" i="1"/>
  <c r="G3420" i="1"/>
  <c r="F3420" i="1"/>
  <c r="J3419" i="1"/>
  <c r="I3419" i="1"/>
  <c r="H3419" i="1"/>
  <c r="G3419" i="1"/>
  <c r="F3419" i="1"/>
  <c r="J3418" i="1"/>
  <c r="I3418" i="1"/>
  <c r="H3418" i="1"/>
  <c r="G3418" i="1"/>
  <c r="F3418" i="1"/>
  <c r="I3417" i="1"/>
  <c r="J3417" i="1" s="1"/>
  <c r="H3417" i="1"/>
  <c r="G3417" i="1"/>
  <c r="F3417" i="1"/>
  <c r="J3416" i="1"/>
  <c r="I3416" i="1"/>
  <c r="H3416" i="1"/>
  <c r="G3416" i="1"/>
  <c r="F3416" i="1"/>
  <c r="I3415" i="1"/>
  <c r="J3415" i="1" s="1"/>
  <c r="H3415" i="1"/>
  <c r="G3415" i="1"/>
  <c r="F3415" i="1"/>
  <c r="J3414" i="1"/>
  <c r="I3414" i="1"/>
  <c r="H3414" i="1"/>
  <c r="G3414" i="1"/>
  <c r="F3414" i="1"/>
  <c r="J3413" i="1"/>
  <c r="I3413" i="1"/>
  <c r="H3413" i="1"/>
  <c r="G3413" i="1"/>
  <c r="F3413" i="1"/>
  <c r="J3412" i="1"/>
  <c r="I3412" i="1"/>
  <c r="H3412" i="1"/>
  <c r="G3412" i="1"/>
  <c r="F3412" i="1"/>
  <c r="J3411" i="1"/>
  <c r="I3411" i="1"/>
  <c r="H3411" i="1"/>
  <c r="G3411" i="1"/>
  <c r="F3411" i="1"/>
  <c r="J3410" i="1"/>
  <c r="I3410" i="1"/>
  <c r="H3410" i="1"/>
  <c r="G3410" i="1"/>
  <c r="F3410" i="1"/>
  <c r="J3409" i="1"/>
  <c r="I3409" i="1"/>
  <c r="H3409" i="1"/>
  <c r="G3409" i="1"/>
  <c r="F3409" i="1"/>
  <c r="I3408" i="1"/>
  <c r="J3408" i="1" s="1"/>
  <c r="H3408" i="1"/>
  <c r="G3408" i="1"/>
  <c r="F3408" i="1"/>
  <c r="J3407" i="1"/>
  <c r="I3407" i="1"/>
  <c r="H3407" i="1"/>
  <c r="G3407" i="1"/>
  <c r="F3407" i="1"/>
  <c r="J3406" i="1"/>
  <c r="I3406" i="1"/>
  <c r="H3406" i="1"/>
  <c r="G3406" i="1"/>
  <c r="F3406" i="1"/>
  <c r="J3405" i="1"/>
  <c r="I3405" i="1"/>
  <c r="H3405" i="1"/>
  <c r="G3405" i="1"/>
  <c r="F3405" i="1"/>
  <c r="I3404" i="1"/>
  <c r="J3404" i="1" s="1"/>
  <c r="H3404" i="1"/>
  <c r="G3404" i="1"/>
  <c r="F3404" i="1"/>
  <c r="J3403" i="1"/>
  <c r="I3403" i="1"/>
  <c r="H3403" i="1"/>
  <c r="G3403" i="1"/>
  <c r="F3403" i="1"/>
  <c r="J3402" i="1"/>
  <c r="I3402" i="1"/>
  <c r="H3402" i="1"/>
  <c r="G3402" i="1"/>
  <c r="F3402" i="1"/>
  <c r="J3401" i="1"/>
  <c r="I3401" i="1"/>
  <c r="H3401" i="1"/>
  <c r="G3401" i="1"/>
  <c r="F3401" i="1"/>
  <c r="J3400" i="1"/>
  <c r="I3400" i="1"/>
  <c r="H3400" i="1"/>
  <c r="G3400" i="1"/>
  <c r="F3400" i="1"/>
  <c r="I3399" i="1"/>
  <c r="J3399" i="1" s="1"/>
  <c r="H3399" i="1"/>
  <c r="G3399" i="1"/>
  <c r="F3399" i="1"/>
  <c r="I3398" i="1"/>
  <c r="J3398" i="1" s="1"/>
  <c r="H3398" i="1"/>
  <c r="G3398" i="1"/>
  <c r="F3398" i="1"/>
  <c r="J3397" i="1"/>
  <c r="I3397" i="1"/>
  <c r="H3397" i="1"/>
  <c r="G3397" i="1"/>
  <c r="F3397" i="1"/>
  <c r="I3396" i="1"/>
  <c r="J3396" i="1" s="1"/>
  <c r="H3396" i="1"/>
  <c r="G3396" i="1"/>
  <c r="F3396" i="1"/>
  <c r="J3395" i="1"/>
  <c r="I3395" i="1"/>
  <c r="H3395" i="1"/>
  <c r="G3395" i="1"/>
  <c r="F3395" i="1"/>
  <c r="I3394" i="1"/>
  <c r="J3394" i="1" s="1"/>
  <c r="H3394" i="1"/>
  <c r="G3394" i="1"/>
  <c r="F3394" i="1"/>
  <c r="I3393" i="1"/>
  <c r="J3393" i="1" s="1"/>
  <c r="H3393" i="1"/>
  <c r="G3393" i="1"/>
  <c r="F3393" i="1"/>
  <c r="J3392" i="1"/>
  <c r="I3392" i="1"/>
  <c r="H3392" i="1"/>
  <c r="G3392" i="1"/>
  <c r="F3392" i="1"/>
  <c r="I3391" i="1"/>
  <c r="J3391" i="1" s="1"/>
  <c r="H3391" i="1"/>
  <c r="G3391" i="1"/>
  <c r="F3391" i="1"/>
  <c r="J3390" i="1"/>
  <c r="I3390" i="1"/>
  <c r="H3390" i="1"/>
  <c r="G3390" i="1"/>
  <c r="F3390" i="1"/>
  <c r="J3389" i="1"/>
  <c r="I3389" i="1"/>
  <c r="H3389" i="1"/>
  <c r="G3389" i="1"/>
  <c r="F3389" i="1"/>
  <c r="I3388" i="1"/>
  <c r="J3388" i="1" s="1"/>
  <c r="H3388" i="1"/>
  <c r="G3388" i="1"/>
  <c r="F3388" i="1"/>
  <c r="I3387" i="1"/>
  <c r="J3387" i="1" s="1"/>
  <c r="H3387" i="1"/>
  <c r="G3387" i="1"/>
  <c r="F3387" i="1"/>
  <c r="J3386" i="1"/>
  <c r="I3386" i="1"/>
  <c r="H3386" i="1"/>
  <c r="G3386" i="1"/>
  <c r="F3386" i="1"/>
  <c r="I3385" i="1"/>
  <c r="J3385" i="1" s="1"/>
  <c r="H3385" i="1"/>
  <c r="G3385" i="1"/>
  <c r="F3385" i="1"/>
  <c r="J3384" i="1"/>
  <c r="I3384" i="1"/>
  <c r="H3384" i="1"/>
  <c r="G3384" i="1"/>
  <c r="F3384" i="1"/>
  <c r="J3383" i="1"/>
  <c r="I3383" i="1"/>
  <c r="H3383" i="1"/>
  <c r="G3383" i="1"/>
  <c r="F3383" i="1"/>
  <c r="I3382" i="1"/>
  <c r="J3382" i="1" s="1"/>
  <c r="H3382" i="1"/>
  <c r="G3382" i="1"/>
  <c r="F3382" i="1"/>
  <c r="I3381" i="1"/>
  <c r="J3381" i="1" s="1"/>
  <c r="H3381" i="1"/>
  <c r="G3381" i="1"/>
  <c r="F3381" i="1"/>
  <c r="I3380" i="1"/>
  <c r="J3380" i="1" s="1"/>
  <c r="H3380" i="1"/>
  <c r="G3380" i="1"/>
  <c r="F3380" i="1"/>
  <c r="I3379" i="1"/>
  <c r="J3379" i="1" s="1"/>
  <c r="H3379" i="1"/>
  <c r="G3379" i="1"/>
  <c r="F3379" i="1"/>
  <c r="I3378" i="1"/>
  <c r="J3378" i="1" s="1"/>
  <c r="H3378" i="1"/>
  <c r="G3378" i="1"/>
  <c r="F3378" i="1"/>
  <c r="J3377" i="1"/>
  <c r="I3377" i="1"/>
  <c r="H3377" i="1"/>
  <c r="G3377" i="1"/>
  <c r="F3377" i="1"/>
  <c r="I3376" i="1"/>
  <c r="J3376" i="1" s="1"/>
  <c r="H3376" i="1"/>
  <c r="G3376" i="1"/>
  <c r="F3376" i="1"/>
  <c r="J3375" i="1"/>
  <c r="I3375" i="1"/>
  <c r="H3375" i="1"/>
  <c r="G3375" i="1"/>
  <c r="F3375" i="1"/>
  <c r="I3374" i="1"/>
  <c r="J3374" i="1" s="1"/>
  <c r="H3374" i="1"/>
  <c r="G3374" i="1"/>
  <c r="F3374" i="1"/>
  <c r="J3373" i="1"/>
  <c r="I3373" i="1"/>
  <c r="H3373" i="1"/>
  <c r="G3373" i="1"/>
  <c r="F3373" i="1"/>
  <c r="J3372" i="1"/>
  <c r="I3372" i="1"/>
  <c r="H3372" i="1"/>
  <c r="G3372" i="1"/>
  <c r="F3372" i="1"/>
  <c r="I3371" i="1"/>
  <c r="J3371" i="1" s="1"/>
  <c r="H3371" i="1"/>
  <c r="G3371" i="1"/>
  <c r="F3371" i="1"/>
  <c r="I3370" i="1"/>
  <c r="J3370" i="1" s="1"/>
  <c r="H3370" i="1"/>
  <c r="G3370" i="1"/>
  <c r="F3370" i="1"/>
  <c r="J3369" i="1"/>
  <c r="I3369" i="1"/>
  <c r="H3369" i="1"/>
  <c r="G3369" i="1"/>
  <c r="F3369" i="1"/>
  <c r="I3368" i="1"/>
  <c r="J3368" i="1" s="1"/>
  <c r="H3368" i="1"/>
  <c r="G3368" i="1"/>
  <c r="F3368" i="1"/>
  <c r="J3367" i="1"/>
  <c r="I3367" i="1"/>
  <c r="H3367" i="1"/>
  <c r="G3367" i="1"/>
  <c r="F3367" i="1"/>
  <c r="J3366" i="1"/>
  <c r="I3366" i="1"/>
  <c r="H3366" i="1"/>
  <c r="G3366" i="1"/>
  <c r="F3366" i="1"/>
  <c r="J3365" i="1"/>
  <c r="I3365" i="1"/>
  <c r="H3365" i="1"/>
  <c r="G3365" i="1"/>
  <c r="F3365" i="1"/>
  <c r="I3364" i="1"/>
  <c r="J3364" i="1" s="1"/>
  <c r="H3364" i="1"/>
  <c r="G3364" i="1"/>
  <c r="F3364" i="1"/>
  <c r="J3363" i="1"/>
  <c r="I3363" i="1"/>
  <c r="H3363" i="1"/>
  <c r="G3363" i="1"/>
  <c r="F3363" i="1"/>
  <c r="J3362" i="1"/>
  <c r="I3362" i="1"/>
  <c r="H3362" i="1"/>
  <c r="G3362" i="1"/>
  <c r="F3362" i="1"/>
  <c r="J3361" i="1"/>
  <c r="I3361" i="1"/>
  <c r="H3361" i="1"/>
  <c r="G3361" i="1"/>
  <c r="F3361" i="1"/>
  <c r="I3360" i="1"/>
  <c r="J3360" i="1" s="1"/>
  <c r="H3360" i="1"/>
  <c r="G3360" i="1"/>
  <c r="F3360" i="1"/>
  <c r="J3359" i="1"/>
  <c r="I3359" i="1"/>
  <c r="H3359" i="1"/>
  <c r="G3359" i="1"/>
  <c r="F3359" i="1"/>
  <c r="J3358" i="1"/>
  <c r="I3358" i="1"/>
  <c r="H3358" i="1"/>
  <c r="G3358" i="1"/>
  <c r="F3358" i="1"/>
  <c r="J3357" i="1"/>
  <c r="I3357" i="1"/>
  <c r="H3357" i="1"/>
  <c r="G3357" i="1"/>
  <c r="F3357" i="1"/>
  <c r="I3356" i="1"/>
  <c r="J3356" i="1" s="1"/>
  <c r="H3356" i="1"/>
  <c r="G3356" i="1"/>
  <c r="F3356" i="1"/>
  <c r="J3355" i="1"/>
  <c r="I3355" i="1"/>
  <c r="H3355" i="1"/>
  <c r="G3355" i="1"/>
  <c r="F3355" i="1"/>
  <c r="J3354" i="1"/>
  <c r="I3354" i="1"/>
  <c r="H3354" i="1"/>
  <c r="G3354" i="1"/>
  <c r="F3354" i="1"/>
  <c r="J3353" i="1"/>
  <c r="I3353" i="1"/>
  <c r="H3353" i="1"/>
  <c r="G3353" i="1"/>
  <c r="F3353" i="1"/>
  <c r="J3352" i="1"/>
  <c r="I3352" i="1"/>
  <c r="H3352" i="1"/>
  <c r="G3352" i="1"/>
  <c r="F3352" i="1"/>
  <c r="I3351" i="1"/>
  <c r="J3351" i="1" s="1"/>
  <c r="H3351" i="1"/>
  <c r="G3351" i="1"/>
  <c r="F3351" i="1"/>
  <c r="I3350" i="1"/>
  <c r="J3350" i="1" s="1"/>
  <c r="H3350" i="1"/>
  <c r="G3350" i="1"/>
  <c r="F3350" i="1"/>
  <c r="J3349" i="1"/>
  <c r="I3349" i="1"/>
  <c r="H3349" i="1"/>
  <c r="G3349" i="1"/>
  <c r="F3349" i="1"/>
  <c r="I3348" i="1"/>
  <c r="J3348" i="1" s="1"/>
  <c r="H3348" i="1"/>
  <c r="G3348" i="1"/>
  <c r="F3348" i="1"/>
  <c r="J3347" i="1"/>
  <c r="I3347" i="1"/>
  <c r="H3347" i="1"/>
  <c r="G3347" i="1"/>
  <c r="F3347" i="1"/>
  <c r="I3346" i="1"/>
  <c r="J3346" i="1" s="1"/>
  <c r="H3346" i="1"/>
  <c r="G3346" i="1"/>
  <c r="F3346" i="1"/>
  <c r="J3345" i="1"/>
  <c r="I3345" i="1"/>
  <c r="H3345" i="1"/>
  <c r="G3345" i="1"/>
  <c r="F3345" i="1"/>
  <c r="J3344" i="1"/>
  <c r="I3344" i="1"/>
  <c r="H3344" i="1"/>
  <c r="G3344" i="1"/>
  <c r="F3344" i="1"/>
  <c r="I3343" i="1"/>
  <c r="J3343" i="1" s="1"/>
  <c r="H3343" i="1"/>
  <c r="G3343" i="1"/>
  <c r="F3343" i="1"/>
  <c r="I3342" i="1"/>
  <c r="J3342" i="1" s="1"/>
  <c r="H3342" i="1"/>
  <c r="G3342" i="1"/>
  <c r="F3342" i="1"/>
  <c r="J3341" i="1"/>
  <c r="I3341" i="1"/>
  <c r="H3341" i="1"/>
  <c r="G3341" i="1"/>
  <c r="F3341" i="1"/>
  <c r="I3340" i="1"/>
  <c r="J3340" i="1" s="1"/>
  <c r="H3340" i="1"/>
  <c r="G3340" i="1"/>
  <c r="F3340" i="1"/>
  <c r="J3339" i="1"/>
  <c r="I3339" i="1"/>
  <c r="H3339" i="1"/>
  <c r="G3339" i="1"/>
  <c r="F3339" i="1"/>
  <c r="I3338" i="1"/>
  <c r="J3338" i="1" s="1"/>
  <c r="H3338" i="1"/>
  <c r="G3338" i="1"/>
  <c r="F3338" i="1"/>
  <c r="J3337" i="1"/>
  <c r="I3337" i="1"/>
  <c r="H3337" i="1"/>
  <c r="G3337" i="1"/>
  <c r="F3337" i="1"/>
  <c r="I3336" i="1"/>
  <c r="J3336" i="1" s="1"/>
  <c r="H3336" i="1"/>
  <c r="G3336" i="1"/>
  <c r="F3336" i="1"/>
  <c r="J3335" i="1"/>
  <c r="I3335" i="1"/>
  <c r="H3335" i="1"/>
  <c r="G3335" i="1"/>
  <c r="F3335" i="1"/>
  <c r="J3334" i="1"/>
  <c r="I3334" i="1"/>
  <c r="H3334" i="1"/>
  <c r="G3334" i="1"/>
  <c r="F3334" i="1"/>
  <c r="I3333" i="1"/>
  <c r="J3333" i="1" s="1"/>
  <c r="H3333" i="1"/>
  <c r="G3333" i="1"/>
  <c r="F3333" i="1"/>
  <c r="I3332" i="1"/>
  <c r="J3332" i="1" s="1"/>
  <c r="H3332" i="1"/>
  <c r="G3332" i="1"/>
  <c r="F3332" i="1"/>
  <c r="J3331" i="1"/>
  <c r="I3331" i="1"/>
  <c r="H3331" i="1"/>
  <c r="G3331" i="1"/>
  <c r="F3331" i="1"/>
  <c r="I3330" i="1"/>
  <c r="J3330" i="1" s="1"/>
  <c r="H3330" i="1"/>
  <c r="G3330" i="1"/>
  <c r="F3330" i="1"/>
  <c r="I3329" i="1"/>
  <c r="J3329" i="1" s="1"/>
  <c r="H3329" i="1"/>
  <c r="G3329" i="1"/>
  <c r="F3329" i="1"/>
  <c r="I3328" i="1"/>
  <c r="J3328" i="1" s="1"/>
  <c r="H3328" i="1"/>
  <c r="G3328" i="1"/>
  <c r="F3328" i="1"/>
  <c r="I3327" i="1"/>
  <c r="J3327" i="1" s="1"/>
  <c r="H3327" i="1"/>
  <c r="G3327" i="1"/>
  <c r="F3327" i="1"/>
  <c r="I3326" i="1"/>
  <c r="J3326" i="1" s="1"/>
  <c r="H3326" i="1"/>
  <c r="G3326" i="1"/>
  <c r="F3326" i="1"/>
  <c r="J3325" i="1"/>
  <c r="I3325" i="1"/>
  <c r="H3325" i="1"/>
  <c r="G3325" i="1"/>
  <c r="F3325" i="1"/>
  <c r="J3324" i="1"/>
  <c r="I3324" i="1"/>
  <c r="H3324" i="1"/>
  <c r="G3324" i="1"/>
  <c r="F3324" i="1"/>
  <c r="J3323" i="1"/>
  <c r="I3323" i="1"/>
  <c r="H3323" i="1"/>
  <c r="G3323" i="1"/>
  <c r="F3323" i="1"/>
  <c r="I3322" i="1"/>
  <c r="J3322" i="1" s="1"/>
  <c r="H3322" i="1"/>
  <c r="G3322" i="1"/>
  <c r="F3322" i="1"/>
  <c r="J3321" i="1"/>
  <c r="I3321" i="1"/>
  <c r="H3321" i="1"/>
  <c r="G3321" i="1"/>
  <c r="F3321" i="1"/>
  <c r="J3320" i="1"/>
  <c r="I3320" i="1"/>
  <c r="H3320" i="1"/>
  <c r="G3320" i="1"/>
  <c r="F3320" i="1"/>
  <c r="J3319" i="1"/>
  <c r="I3319" i="1"/>
  <c r="H3319" i="1"/>
  <c r="G3319" i="1"/>
  <c r="F3319" i="1"/>
  <c r="I3318" i="1"/>
  <c r="J3318" i="1" s="1"/>
  <c r="H3318" i="1"/>
  <c r="G3318" i="1"/>
  <c r="F3318" i="1"/>
  <c r="J3317" i="1"/>
  <c r="I3317" i="1"/>
  <c r="H3317" i="1"/>
  <c r="G3317" i="1"/>
  <c r="F3317" i="1"/>
  <c r="J3316" i="1"/>
  <c r="I3316" i="1"/>
  <c r="H3316" i="1"/>
  <c r="G3316" i="1"/>
  <c r="F3316" i="1"/>
  <c r="J3315" i="1"/>
  <c r="I3315" i="1"/>
  <c r="H3315" i="1"/>
  <c r="G3315" i="1"/>
  <c r="F3315" i="1"/>
  <c r="I3314" i="1"/>
  <c r="J3314" i="1" s="1"/>
  <c r="H3314" i="1"/>
  <c r="G3314" i="1"/>
  <c r="F3314" i="1"/>
  <c r="J3313" i="1"/>
  <c r="I3313" i="1"/>
  <c r="H3313" i="1"/>
  <c r="G3313" i="1"/>
  <c r="F3313" i="1"/>
  <c r="J3312" i="1"/>
  <c r="I3312" i="1"/>
  <c r="H3312" i="1"/>
  <c r="G3312" i="1"/>
  <c r="F3312" i="1"/>
  <c r="J3311" i="1"/>
  <c r="I3311" i="1"/>
  <c r="H3311" i="1"/>
  <c r="G3311" i="1"/>
  <c r="F3311" i="1"/>
  <c r="I3310" i="1"/>
  <c r="J3310" i="1" s="1"/>
  <c r="H3310" i="1"/>
  <c r="G3310" i="1"/>
  <c r="F3310" i="1"/>
  <c r="J3309" i="1"/>
  <c r="I3309" i="1"/>
  <c r="H3309" i="1"/>
  <c r="G3309" i="1"/>
  <c r="F3309" i="1"/>
  <c r="I3308" i="1"/>
  <c r="J3308" i="1" s="1"/>
  <c r="H3308" i="1"/>
  <c r="G3308" i="1"/>
  <c r="F3308" i="1"/>
  <c r="J3307" i="1"/>
  <c r="I3307" i="1"/>
  <c r="H3307" i="1"/>
  <c r="G3307" i="1"/>
  <c r="F3307" i="1"/>
  <c r="J3306" i="1"/>
  <c r="I3306" i="1"/>
  <c r="H3306" i="1"/>
  <c r="G3306" i="1"/>
  <c r="F3306" i="1"/>
  <c r="I3305" i="1"/>
  <c r="J3305" i="1" s="1"/>
  <c r="H3305" i="1"/>
  <c r="G3305" i="1"/>
  <c r="F3305" i="1"/>
  <c r="I3304" i="1"/>
  <c r="J3304" i="1" s="1"/>
  <c r="H3304" i="1"/>
  <c r="G3304" i="1"/>
  <c r="F3304" i="1"/>
  <c r="J3303" i="1"/>
  <c r="I3303" i="1"/>
  <c r="H3303" i="1"/>
  <c r="G3303" i="1"/>
  <c r="F3303" i="1"/>
  <c r="I3302" i="1"/>
  <c r="J3302" i="1" s="1"/>
  <c r="H3302" i="1"/>
  <c r="G3302" i="1"/>
  <c r="F3302" i="1"/>
  <c r="J3301" i="1"/>
  <c r="I3301" i="1"/>
  <c r="H3301" i="1"/>
  <c r="G3301" i="1"/>
  <c r="F3301" i="1"/>
  <c r="I3300" i="1"/>
  <c r="J3300" i="1" s="1"/>
  <c r="H3300" i="1"/>
  <c r="G3300" i="1"/>
  <c r="F3300" i="1"/>
  <c r="I3299" i="1"/>
  <c r="J3299" i="1" s="1"/>
  <c r="H3299" i="1"/>
  <c r="G3299" i="1"/>
  <c r="F3299" i="1"/>
  <c r="J3298" i="1"/>
  <c r="I3298" i="1"/>
  <c r="H3298" i="1"/>
  <c r="G3298" i="1"/>
  <c r="F3298" i="1"/>
  <c r="J3297" i="1"/>
  <c r="I3297" i="1"/>
  <c r="H3297" i="1"/>
  <c r="G3297" i="1"/>
  <c r="F3297" i="1"/>
  <c r="I3296" i="1"/>
  <c r="J3296" i="1" s="1"/>
  <c r="H3296" i="1"/>
  <c r="G3296" i="1"/>
  <c r="F3296" i="1"/>
  <c r="I3295" i="1"/>
  <c r="J3295" i="1" s="1"/>
  <c r="H3295" i="1"/>
  <c r="G3295" i="1"/>
  <c r="F3295" i="1"/>
  <c r="I3294" i="1"/>
  <c r="J3294" i="1" s="1"/>
  <c r="H3294" i="1"/>
  <c r="G3294" i="1"/>
  <c r="F3294" i="1"/>
  <c r="I3293" i="1"/>
  <c r="J3293" i="1" s="1"/>
  <c r="H3293" i="1"/>
  <c r="G3293" i="1"/>
  <c r="F3293" i="1"/>
  <c r="I3292" i="1"/>
  <c r="J3292" i="1" s="1"/>
  <c r="H3292" i="1"/>
  <c r="G3292" i="1"/>
  <c r="F3292" i="1"/>
  <c r="I3291" i="1"/>
  <c r="J3291" i="1" s="1"/>
  <c r="H3291" i="1"/>
  <c r="G3291" i="1"/>
  <c r="F3291" i="1"/>
  <c r="J3290" i="1"/>
  <c r="I3290" i="1"/>
  <c r="H3290" i="1"/>
  <c r="G3290" i="1"/>
  <c r="F3290" i="1"/>
  <c r="J3289" i="1"/>
  <c r="I3289" i="1"/>
  <c r="H3289" i="1"/>
  <c r="G3289" i="1"/>
  <c r="F3289" i="1"/>
  <c r="J3288" i="1"/>
  <c r="I3288" i="1"/>
  <c r="H3288" i="1"/>
  <c r="G3288" i="1"/>
  <c r="F3288" i="1"/>
  <c r="J3287" i="1"/>
  <c r="I3287" i="1"/>
  <c r="H3287" i="1"/>
  <c r="G3287" i="1"/>
  <c r="F3287" i="1"/>
  <c r="I3286" i="1"/>
  <c r="J3286" i="1" s="1"/>
  <c r="H3286" i="1"/>
  <c r="G3286" i="1"/>
  <c r="F3286" i="1"/>
  <c r="J3285" i="1"/>
  <c r="I3285" i="1"/>
  <c r="H3285" i="1"/>
  <c r="G3285" i="1"/>
  <c r="F3285" i="1"/>
  <c r="J3284" i="1"/>
  <c r="I3284" i="1"/>
  <c r="H3284" i="1"/>
  <c r="G3284" i="1"/>
  <c r="F3284" i="1"/>
  <c r="J3283" i="1"/>
  <c r="I3283" i="1"/>
  <c r="H3283" i="1"/>
  <c r="G3283" i="1"/>
  <c r="F3283" i="1"/>
  <c r="J3282" i="1"/>
  <c r="I3282" i="1"/>
  <c r="H3282" i="1"/>
  <c r="G3282" i="1"/>
  <c r="F3282" i="1"/>
  <c r="I3281" i="1"/>
  <c r="J3281" i="1" s="1"/>
  <c r="H3281" i="1"/>
  <c r="G3281" i="1"/>
  <c r="F3281" i="1"/>
  <c r="I3280" i="1"/>
  <c r="J3280" i="1" s="1"/>
  <c r="H3280" i="1"/>
  <c r="G3280" i="1"/>
  <c r="F3280" i="1"/>
  <c r="J3279" i="1"/>
  <c r="I3279" i="1"/>
  <c r="H3279" i="1"/>
  <c r="G3279" i="1"/>
  <c r="F3279" i="1"/>
  <c r="I3278" i="1"/>
  <c r="J3278" i="1" s="1"/>
  <c r="H3278" i="1"/>
  <c r="G3278" i="1"/>
  <c r="F3278" i="1"/>
  <c r="J3277" i="1"/>
  <c r="I3277" i="1"/>
  <c r="H3277" i="1"/>
  <c r="G3277" i="1"/>
  <c r="F3277" i="1"/>
  <c r="I3276" i="1"/>
  <c r="J3276" i="1" s="1"/>
  <c r="H3276" i="1"/>
  <c r="G3276" i="1"/>
  <c r="F3276" i="1"/>
  <c r="J3275" i="1"/>
  <c r="I3275" i="1"/>
  <c r="H3275" i="1"/>
  <c r="G3275" i="1"/>
  <c r="F3275" i="1"/>
  <c r="I3274" i="1"/>
  <c r="J3274" i="1" s="1"/>
  <c r="H3274" i="1"/>
  <c r="G3274" i="1"/>
  <c r="F3274" i="1"/>
  <c r="J3273" i="1"/>
  <c r="I3273" i="1"/>
  <c r="H3273" i="1"/>
  <c r="G3273" i="1"/>
  <c r="F3273" i="1"/>
  <c r="I3272" i="1"/>
  <c r="J3272" i="1" s="1"/>
  <c r="H3272" i="1"/>
  <c r="G3272" i="1"/>
  <c r="F3272" i="1"/>
  <c r="I3271" i="1"/>
  <c r="J3271" i="1" s="1"/>
  <c r="H3271" i="1"/>
  <c r="G3271" i="1"/>
  <c r="F3271" i="1"/>
  <c r="I3270" i="1"/>
  <c r="J3270" i="1" s="1"/>
  <c r="H3270" i="1"/>
  <c r="G3270" i="1"/>
  <c r="F3270" i="1"/>
  <c r="J3269" i="1"/>
  <c r="I3269" i="1"/>
  <c r="H3269" i="1"/>
  <c r="G3269" i="1"/>
  <c r="F3269" i="1"/>
  <c r="I3268" i="1"/>
  <c r="J3268" i="1" s="1"/>
  <c r="H3268" i="1"/>
  <c r="G3268" i="1"/>
  <c r="F3268" i="1"/>
  <c r="I3267" i="1"/>
  <c r="J3267" i="1" s="1"/>
  <c r="H3267" i="1"/>
  <c r="G3267" i="1"/>
  <c r="F3267" i="1"/>
  <c r="I3266" i="1"/>
  <c r="J3266" i="1" s="1"/>
  <c r="H3266" i="1"/>
  <c r="G3266" i="1"/>
  <c r="F3266" i="1"/>
  <c r="I3265" i="1"/>
  <c r="J3265" i="1" s="1"/>
  <c r="H3265" i="1"/>
  <c r="G3265" i="1"/>
  <c r="F3265" i="1"/>
  <c r="J3264" i="1"/>
  <c r="I3264" i="1"/>
  <c r="H3264" i="1"/>
  <c r="G3264" i="1"/>
  <c r="F3264" i="1"/>
  <c r="J3263" i="1"/>
  <c r="I3263" i="1"/>
  <c r="H3263" i="1"/>
  <c r="G3263" i="1"/>
  <c r="F3263" i="1"/>
  <c r="J3262" i="1"/>
  <c r="I3262" i="1"/>
  <c r="H3262" i="1"/>
  <c r="G3262" i="1"/>
  <c r="F3262" i="1"/>
  <c r="J3261" i="1"/>
  <c r="I3261" i="1"/>
  <c r="H3261" i="1"/>
  <c r="G3261" i="1"/>
  <c r="F3261" i="1"/>
  <c r="J3260" i="1"/>
  <c r="I3260" i="1"/>
  <c r="H3260" i="1"/>
  <c r="G3260" i="1"/>
  <c r="F3260" i="1"/>
  <c r="J3259" i="1"/>
  <c r="I3259" i="1"/>
  <c r="H3259" i="1"/>
  <c r="G3259" i="1"/>
  <c r="F3259" i="1"/>
  <c r="I3258" i="1"/>
  <c r="J3258" i="1" s="1"/>
  <c r="H3258" i="1"/>
  <c r="G3258" i="1"/>
  <c r="F3258" i="1"/>
  <c r="J3257" i="1"/>
  <c r="I3257" i="1"/>
  <c r="H3257" i="1"/>
  <c r="G3257" i="1"/>
  <c r="F3257" i="1"/>
  <c r="J3256" i="1"/>
  <c r="I3256" i="1"/>
  <c r="H3256" i="1"/>
  <c r="G3256" i="1"/>
  <c r="F3256" i="1"/>
  <c r="J3255" i="1"/>
  <c r="I3255" i="1"/>
  <c r="H3255" i="1"/>
  <c r="G3255" i="1"/>
  <c r="F3255" i="1"/>
  <c r="J3254" i="1"/>
  <c r="I3254" i="1"/>
  <c r="H3254" i="1"/>
  <c r="G3254" i="1"/>
  <c r="F3254" i="1"/>
  <c r="I3253" i="1"/>
  <c r="J3253" i="1" s="1"/>
  <c r="H3253" i="1"/>
  <c r="G3253" i="1"/>
  <c r="F3253" i="1"/>
  <c r="I3252" i="1"/>
  <c r="J3252" i="1" s="1"/>
  <c r="H3252" i="1"/>
  <c r="G3252" i="1"/>
  <c r="F3252" i="1"/>
  <c r="J3251" i="1"/>
  <c r="I3251" i="1"/>
  <c r="H3251" i="1"/>
  <c r="G3251" i="1"/>
  <c r="F3251" i="1"/>
  <c r="I3250" i="1"/>
  <c r="J3250" i="1" s="1"/>
  <c r="H3250" i="1"/>
  <c r="G3250" i="1"/>
  <c r="F3250" i="1"/>
  <c r="J3249" i="1"/>
  <c r="I3249" i="1"/>
  <c r="H3249" i="1"/>
  <c r="G3249" i="1"/>
  <c r="F3249" i="1"/>
  <c r="I3248" i="1"/>
  <c r="J3248" i="1" s="1"/>
  <c r="H3248" i="1"/>
  <c r="G3248" i="1"/>
  <c r="F3248" i="1"/>
  <c r="J3247" i="1"/>
  <c r="I3247" i="1"/>
  <c r="H3247" i="1"/>
  <c r="G3247" i="1"/>
  <c r="F3247" i="1"/>
  <c r="I3246" i="1"/>
  <c r="J3246" i="1" s="1"/>
  <c r="H3246" i="1"/>
  <c r="G3246" i="1"/>
  <c r="F3246" i="1"/>
  <c r="I3245" i="1"/>
  <c r="J3245" i="1" s="1"/>
  <c r="H3245" i="1"/>
  <c r="G3245" i="1"/>
  <c r="F3245" i="1"/>
  <c r="I3244" i="1"/>
  <c r="J3244" i="1" s="1"/>
  <c r="H3244" i="1"/>
  <c r="G3244" i="1"/>
  <c r="F3244" i="1"/>
  <c r="I3243" i="1"/>
  <c r="J3243" i="1" s="1"/>
  <c r="H3243" i="1"/>
  <c r="G3243" i="1"/>
  <c r="F3243" i="1"/>
  <c r="I3242" i="1"/>
  <c r="J3242" i="1" s="1"/>
  <c r="H3242" i="1"/>
  <c r="G3242" i="1"/>
  <c r="F3242" i="1"/>
  <c r="J3241" i="1"/>
  <c r="I3241" i="1"/>
  <c r="H3241" i="1"/>
  <c r="G3241" i="1"/>
  <c r="F3241" i="1"/>
  <c r="J3240" i="1"/>
  <c r="I3240" i="1"/>
  <c r="H3240" i="1"/>
  <c r="G3240" i="1"/>
  <c r="F3240" i="1"/>
  <c r="J3239" i="1"/>
  <c r="I3239" i="1"/>
  <c r="H3239" i="1"/>
  <c r="G3239" i="1"/>
  <c r="F3239" i="1"/>
  <c r="I3238" i="1"/>
  <c r="J3238" i="1" s="1"/>
  <c r="H3238" i="1"/>
  <c r="G3238" i="1"/>
  <c r="F3238" i="1"/>
  <c r="J3237" i="1"/>
  <c r="I3237" i="1"/>
  <c r="H3237" i="1"/>
  <c r="G3237" i="1"/>
  <c r="F3237" i="1"/>
  <c r="J3236" i="1"/>
  <c r="I3236" i="1"/>
  <c r="H3236" i="1"/>
  <c r="G3236" i="1"/>
  <c r="F3236" i="1"/>
  <c r="J3235" i="1"/>
  <c r="I3235" i="1"/>
  <c r="H3235" i="1"/>
  <c r="G3235" i="1"/>
  <c r="F3235" i="1"/>
  <c r="J3234" i="1"/>
  <c r="I3234" i="1"/>
  <c r="H3234" i="1"/>
  <c r="G3234" i="1"/>
  <c r="F3234" i="1"/>
  <c r="J3233" i="1"/>
  <c r="I3233" i="1"/>
  <c r="H3233" i="1"/>
  <c r="G3233" i="1"/>
  <c r="F3233" i="1"/>
  <c r="I3232" i="1"/>
  <c r="J3232" i="1" s="1"/>
  <c r="H3232" i="1"/>
  <c r="G3232" i="1"/>
  <c r="F3232" i="1"/>
  <c r="J3231" i="1"/>
  <c r="I3231" i="1"/>
  <c r="H3231" i="1"/>
  <c r="G3231" i="1"/>
  <c r="F3231" i="1"/>
  <c r="I3230" i="1"/>
  <c r="J3230" i="1" s="1"/>
  <c r="H3230" i="1"/>
  <c r="G3230" i="1"/>
  <c r="F3230" i="1"/>
  <c r="I3229" i="1"/>
  <c r="J3229" i="1" s="1"/>
  <c r="H3229" i="1"/>
  <c r="G3229" i="1"/>
  <c r="F3229" i="1"/>
  <c r="J3228" i="1"/>
  <c r="I3228" i="1"/>
  <c r="H3228" i="1"/>
  <c r="G3228" i="1"/>
  <c r="F3228" i="1"/>
  <c r="J3227" i="1"/>
  <c r="I3227" i="1"/>
  <c r="H3227" i="1"/>
  <c r="G3227" i="1"/>
  <c r="F3227" i="1"/>
  <c r="J3226" i="1"/>
  <c r="I3226" i="1"/>
  <c r="H3226" i="1"/>
  <c r="G3226" i="1"/>
  <c r="F3226" i="1"/>
  <c r="I3225" i="1"/>
  <c r="J3225" i="1" s="1"/>
  <c r="H3225" i="1"/>
  <c r="G3225" i="1"/>
  <c r="F3225" i="1"/>
  <c r="I3224" i="1"/>
  <c r="J3224" i="1" s="1"/>
  <c r="H3224" i="1"/>
  <c r="G3224" i="1"/>
  <c r="F3224" i="1"/>
  <c r="J3223" i="1"/>
  <c r="I3223" i="1"/>
  <c r="H3223" i="1"/>
  <c r="G3223" i="1"/>
  <c r="F3223" i="1"/>
  <c r="I3222" i="1"/>
  <c r="J3222" i="1" s="1"/>
  <c r="H3222" i="1"/>
  <c r="G3222" i="1"/>
  <c r="F3222" i="1"/>
  <c r="J3221" i="1"/>
  <c r="I3221" i="1"/>
  <c r="H3221" i="1"/>
  <c r="G3221" i="1"/>
  <c r="F3221" i="1"/>
  <c r="I3220" i="1"/>
  <c r="J3220" i="1" s="1"/>
  <c r="H3220" i="1"/>
  <c r="G3220" i="1"/>
  <c r="F3220" i="1"/>
  <c r="J3219" i="1"/>
  <c r="I3219" i="1"/>
  <c r="H3219" i="1"/>
  <c r="G3219" i="1"/>
  <c r="F3219" i="1"/>
  <c r="J3218" i="1"/>
  <c r="I3218" i="1"/>
  <c r="H3218" i="1"/>
  <c r="G3218" i="1"/>
  <c r="F3218" i="1"/>
  <c r="J3217" i="1"/>
  <c r="I3217" i="1"/>
  <c r="H3217" i="1"/>
  <c r="G3217" i="1"/>
  <c r="F3217" i="1"/>
  <c r="I3216" i="1"/>
  <c r="J3216" i="1" s="1"/>
  <c r="H3216" i="1"/>
  <c r="G3216" i="1"/>
  <c r="F3216" i="1"/>
  <c r="J3215" i="1"/>
  <c r="I3215" i="1"/>
  <c r="H3215" i="1"/>
  <c r="G3215" i="1"/>
  <c r="F3215" i="1"/>
  <c r="J3214" i="1"/>
  <c r="I3214" i="1"/>
  <c r="H3214" i="1"/>
  <c r="G3214" i="1"/>
  <c r="F3214" i="1"/>
  <c r="J3213" i="1"/>
  <c r="I3213" i="1"/>
  <c r="H3213" i="1"/>
  <c r="G3213" i="1"/>
  <c r="F3213" i="1"/>
  <c r="J3212" i="1"/>
  <c r="I3212" i="1"/>
  <c r="H3212" i="1"/>
  <c r="G3212" i="1"/>
  <c r="F3212" i="1"/>
  <c r="J3211" i="1"/>
  <c r="I3211" i="1"/>
  <c r="H3211" i="1"/>
  <c r="G3211" i="1"/>
  <c r="F3211" i="1"/>
  <c r="I3210" i="1"/>
  <c r="J3210" i="1" s="1"/>
  <c r="H3210" i="1"/>
  <c r="G3210" i="1"/>
  <c r="F3210" i="1"/>
  <c r="J3209" i="1"/>
  <c r="I3209" i="1"/>
  <c r="H3209" i="1"/>
  <c r="G3209" i="1"/>
  <c r="F3209" i="1"/>
  <c r="J3208" i="1"/>
  <c r="I3208" i="1"/>
  <c r="H3208" i="1"/>
  <c r="G3208" i="1"/>
  <c r="F3208" i="1"/>
  <c r="J3207" i="1"/>
  <c r="I3207" i="1"/>
  <c r="H3207" i="1"/>
  <c r="G3207" i="1"/>
  <c r="F3207" i="1"/>
  <c r="I3206" i="1"/>
  <c r="J3206" i="1" s="1"/>
  <c r="H3206" i="1"/>
  <c r="G3206" i="1"/>
  <c r="F3206" i="1"/>
  <c r="J3205" i="1"/>
  <c r="I3205" i="1"/>
  <c r="H3205" i="1"/>
  <c r="G3205" i="1"/>
  <c r="F3205" i="1"/>
  <c r="I3204" i="1"/>
  <c r="J3204" i="1" s="1"/>
  <c r="H3204" i="1"/>
  <c r="G3204" i="1"/>
  <c r="F3204" i="1"/>
  <c r="J3203" i="1"/>
  <c r="I3203" i="1"/>
  <c r="H3203" i="1"/>
  <c r="G3203" i="1"/>
  <c r="F3203" i="1"/>
  <c r="I3202" i="1"/>
  <c r="J3202" i="1" s="1"/>
  <c r="H3202" i="1"/>
  <c r="G3202" i="1"/>
  <c r="F3202" i="1"/>
  <c r="I3201" i="1"/>
  <c r="J3201" i="1" s="1"/>
  <c r="H3201" i="1"/>
  <c r="G3201" i="1"/>
  <c r="F3201" i="1"/>
  <c r="J3200" i="1"/>
  <c r="I3200" i="1"/>
  <c r="H3200" i="1"/>
  <c r="G3200" i="1"/>
  <c r="F3200" i="1"/>
  <c r="J3199" i="1"/>
  <c r="I3199" i="1"/>
  <c r="H3199" i="1"/>
  <c r="G3199" i="1"/>
  <c r="F3199" i="1"/>
  <c r="I3198" i="1"/>
  <c r="J3198" i="1" s="1"/>
  <c r="H3198" i="1"/>
  <c r="G3198" i="1"/>
  <c r="F3198" i="1"/>
  <c r="I3197" i="1"/>
  <c r="J3197" i="1" s="1"/>
  <c r="H3197" i="1"/>
  <c r="G3197" i="1"/>
  <c r="F3197" i="1"/>
  <c r="I3196" i="1"/>
  <c r="J3196" i="1" s="1"/>
  <c r="H3196" i="1"/>
  <c r="G3196" i="1"/>
  <c r="F3196" i="1"/>
  <c r="J3195" i="1"/>
  <c r="I3195" i="1"/>
  <c r="H3195" i="1"/>
  <c r="G3195" i="1"/>
  <c r="F3195" i="1"/>
  <c r="I3194" i="1"/>
  <c r="J3194" i="1" s="1"/>
  <c r="H3194" i="1"/>
  <c r="G3194" i="1"/>
  <c r="F3194" i="1"/>
  <c r="I3193" i="1"/>
  <c r="J3193" i="1" s="1"/>
  <c r="H3193" i="1"/>
  <c r="G3193" i="1"/>
  <c r="F3193" i="1"/>
  <c r="I3192" i="1"/>
  <c r="J3192" i="1" s="1"/>
  <c r="H3192" i="1"/>
  <c r="G3192" i="1"/>
  <c r="F3192" i="1"/>
  <c r="J3191" i="1"/>
  <c r="I3191" i="1"/>
  <c r="H3191" i="1"/>
  <c r="G3191" i="1"/>
  <c r="F3191" i="1"/>
  <c r="J3190" i="1"/>
  <c r="I3190" i="1"/>
  <c r="H3190" i="1"/>
  <c r="G3190" i="1"/>
  <c r="F3190" i="1"/>
  <c r="J3189" i="1"/>
  <c r="I3189" i="1"/>
  <c r="H3189" i="1"/>
  <c r="G3189" i="1"/>
  <c r="F3189" i="1"/>
  <c r="I3188" i="1"/>
  <c r="J3188" i="1" s="1"/>
  <c r="H3188" i="1"/>
  <c r="G3188" i="1"/>
  <c r="F3188" i="1"/>
  <c r="J3187" i="1"/>
  <c r="I3187" i="1"/>
  <c r="H3187" i="1"/>
  <c r="G3187" i="1"/>
  <c r="F3187" i="1"/>
  <c r="J3186" i="1"/>
  <c r="I3186" i="1"/>
  <c r="H3186" i="1"/>
  <c r="G3186" i="1"/>
  <c r="F3186" i="1"/>
  <c r="J3185" i="1"/>
  <c r="I3185" i="1"/>
  <c r="H3185" i="1"/>
  <c r="G3185" i="1"/>
  <c r="F3185" i="1"/>
  <c r="J3184" i="1"/>
  <c r="I3184" i="1"/>
  <c r="H3184" i="1"/>
  <c r="G3184" i="1"/>
  <c r="F3184" i="1"/>
  <c r="I3183" i="1"/>
  <c r="J3183" i="1" s="1"/>
  <c r="H3183" i="1"/>
  <c r="G3183" i="1"/>
  <c r="F3183" i="1"/>
  <c r="I3182" i="1"/>
  <c r="J3182" i="1" s="1"/>
  <c r="H3182" i="1"/>
  <c r="G3182" i="1"/>
  <c r="F3182" i="1"/>
  <c r="J3181" i="1"/>
  <c r="I3181" i="1"/>
  <c r="H3181" i="1"/>
  <c r="G3181" i="1"/>
  <c r="F3181" i="1"/>
  <c r="I3180" i="1"/>
  <c r="J3180" i="1" s="1"/>
  <c r="H3180" i="1"/>
  <c r="G3180" i="1"/>
  <c r="F3180" i="1"/>
  <c r="J3179" i="1"/>
  <c r="I3179" i="1"/>
  <c r="H3179" i="1"/>
  <c r="G3179" i="1"/>
  <c r="F3179" i="1"/>
  <c r="I3178" i="1"/>
  <c r="J3178" i="1" s="1"/>
  <c r="H3178" i="1"/>
  <c r="G3178" i="1"/>
  <c r="F3178" i="1"/>
  <c r="J3177" i="1"/>
  <c r="I3177" i="1"/>
  <c r="H3177" i="1"/>
  <c r="G3177" i="1"/>
  <c r="F3177" i="1"/>
  <c r="I3176" i="1"/>
  <c r="J3176" i="1" s="1"/>
  <c r="H3176" i="1"/>
  <c r="G3176" i="1"/>
  <c r="F3176" i="1"/>
  <c r="I3175" i="1"/>
  <c r="J3175" i="1" s="1"/>
  <c r="H3175" i="1"/>
  <c r="G3175" i="1"/>
  <c r="F3175" i="1"/>
  <c r="I3174" i="1"/>
  <c r="J3174" i="1" s="1"/>
  <c r="H3174" i="1"/>
  <c r="G3174" i="1"/>
  <c r="F3174" i="1"/>
  <c r="I3173" i="1"/>
  <c r="J3173" i="1" s="1"/>
  <c r="H3173" i="1"/>
  <c r="G3173" i="1"/>
  <c r="F3173" i="1"/>
  <c r="J3172" i="1"/>
  <c r="I3172" i="1"/>
  <c r="H3172" i="1"/>
  <c r="G3172" i="1"/>
  <c r="F3172" i="1"/>
  <c r="J3171" i="1"/>
  <c r="I3171" i="1"/>
  <c r="H3171" i="1"/>
  <c r="G3171" i="1"/>
  <c r="F3171" i="1"/>
  <c r="I3170" i="1"/>
  <c r="J3170" i="1" s="1"/>
  <c r="H3170" i="1"/>
  <c r="G3170" i="1"/>
  <c r="F3170" i="1"/>
  <c r="J3169" i="1"/>
  <c r="I3169" i="1"/>
  <c r="H3169" i="1"/>
  <c r="G3169" i="1"/>
  <c r="F3169" i="1"/>
  <c r="I3168" i="1"/>
  <c r="J3168" i="1" s="1"/>
  <c r="H3168" i="1"/>
  <c r="G3168" i="1"/>
  <c r="F3168" i="1"/>
  <c r="I3167" i="1"/>
  <c r="J3167" i="1" s="1"/>
  <c r="H3167" i="1"/>
  <c r="G3167" i="1"/>
  <c r="F3167" i="1"/>
  <c r="I3166" i="1"/>
  <c r="J3166" i="1" s="1"/>
  <c r="H3166" i="1"/>
  <c r="G3166" i="1"/>
  <c r="F3166" i="1"/>
  <c r="J3165" i="1"/>
  <c r="I3165" i="1"/>
  <c r="H3165" i="1"/>
  <c r="G3165" i="1"/>
  <c r="F3165" i="1"/>
  <c r="J3164" i="1"/>
  <c r="I3164" i="1"/>
  <c r="H3164" i="1"/>
  <c r="G3164" i="1"/>
  <c r="F3164" i="1"/>
  <c r="J3163" i="1"/>
  <c r="I3163" i="1"/>
  <c r="H3163" i="1"/>
  <c r="G3163" i="1"/>
  <c r="F3163" i="1"/>
  <c r="J3162" i="1"/>
  <c r="I3162" i="1"/>
  <c r="H3162" i="1"/>
  <c r="G3162" i="1"/>
  <c r="F3162" i="1"/>
  <c r="J3161" i="1"/>
  <c r="I3161" i="1"/>
  <c r="H3161" i="1"/>
  <c r="G3161" i="1"/>
  <c r="F3161" i="1"/>
  <c r="I3160" i="1"/>
  <c r="J3160" i="1" s="1"/>
  <c r="H3160" i="1"/>
  <c r="G3160" i="1"/>
  <c r="F3160" i="1"/>
  <c r="J3159" i="1"/>
  <c r="I3159" i="1"/>
  <c r="H3159" i="1"/>
  <c r="G3159" i="1"/>
  <c r="F3159" i="1"/>
  <c r="J3158" i="1"/>
  <c r="I3158" i="1"/>
  <c r="H3158" i="1"/>
  <c r="G3158" i="1"/>
  <c r="F3158" i="1"/>
  <c r="J3157" i="1"/>
  <c r="I3157" i="1"/>
  <c r="H3157" i="1"/>
  <c r="G3157" i="1"/>
  <c r="F3157" i="1"/>
  <c r="J3156" i="1"/>
  <c r="I3156" i="1"/>
  <c r="H3156" i="1"/>
  <c r="G3156" i="1"/>
  <c r="F3156" i="1"/>
  <c r="I3155" i="1"/>
  <c r="J3155" i="1" s="1"/>
  <c r="H3155" i="1"/>
  <c r="G3155" i="1"/>
  <c r="F3155" i="1"/>
  <c r="I3154" i="1"/>
  <c r="J3154" i="1" s="1"/>
  <c r="H3154" i="1"/>
  <c r="G3154" i="1"/>
  <c r="F3154" i="1"/>
  <c r="J3153" i="1"/>
  <c r="I3153" i="1"/>
  <c r="H3153" i="1"/>
  <c r="G3153" i="1"/>
  <c r="F3153" i="1"/>
  <c r="I3152" i="1"/>
  <c r="J3152" i="1" s="1"/>
  <c r="H3152" i="1"/>
  <c r="G3152" i="1"/>
  <c r="F3152" i="1"/>
  <c r="J3151" i="1"/>
  <c r="I3151" i="1"/>
  <c r="H3151" i="1"/>
  <c r="G3151" i="1"/>
  <c r="F3151" i="1"/>
  <c r="I3150" i="1"/>
  <c r="J3150" i="1" s="1"/>
  <c r="H3150" i="1"/>
  <c r="G3150" i="1"/>
  <c r="F3150" i="1"/>
  <c r="J3149" i="1"/>
  <c r="I3149" i="1"/>
  <c r="H3149" i="1"/>
  <c r="G3149" i="1"/>
  <c r="F3149" i="1"/>
  <c r="I3148" i="1"/>
  <c r="J3148" i="1" s="1"/>
  <c r="H3148" i="1"/>
  <c r="G3148" i="1"/>
  <c r="F3148" i="1"/>
  <c r="I3147" i="1"/>
  <c r="J3147" i="1" s="1"/>
  <c r="H3147" i="1"/>
  <c r="G3147" i="1"/>
  <c r="F3147" i="1"/>
  <c r="I3146" i="1"/>
  <c r="J3146" i="1" s="1"/>
  <c r="H3146" i="1"/>
  <c r="G3146" i="1"/>
  <c r="F3146" i="1"/>
  <c r="I3145" i="1"/>
  <c r="J3145" i="1" s="1"/>
  <c r="H3145" i="1"/>
  <c r="G3145" i="1"/>
  <c r="F3145" i="1"/>
  <c r="I3144" i="1"/>
  <c r="J3144" i="1" s="1"/>
  <c r="H3144" i="1"/>
  <c r="G3144" i="1"/>
  <c r="F3144" i="1"/>
  <c r="J3143" i="1"/>
  <c r="I3143" i="1"/>
  <c r="H3143" i="1"/>
  <c r="G3143" i="1"/>
  <c r="F3143" i="1"/>
  <c r="J3142" i="1"/>
  <c r="I3142" i="1"/>
  <c r="H3142" i="1"/>
  <c r="G3142" i="1"/>
  <c r="F3142" i="1"/>
  <c r="J3141" i="1"/>
  <c r="I3141" i="1"/>
  <c r="H3141" i="1"/>
  <c r="G3141" i="1"/>
  <c r="F3141" i="1"/>
  <c r="I3140" i="1"/>
  <c r="J3140" i="1" s="1"/>
  <c r="H3140" i="1"/>
  <c r="G3140" i="1"/>
  <c r="F3140" i="1"/>
  <c r="J3139" i="1"/>
  <c r="I3139" i="1"/>
  <c r="H3139" i="1"/>
  <c r="G3139" i="1"/>
  <c r="F3139" i="1"/>
  <c r="J3138" i="1"/>
  <c r="I3138" i="1"/>
  <c r="H3138" i="1"/>
  <c r="G3138" i="1"/>
  <c r="F3138" i="1"/>
  <c r="J3137" i="1"/>
  <c r="I3137" i="1"/>
  <c r="H3137" i="1"/>
  <c r="G3137" i="1"/>
  <c r="F3137" i="1"/>
  <c r="J3136" i="1"/>
  <c r="I3136" i="1"/>
  <c r="H3136" i="1"/>
  <c r="G3136" i="1"/>
  <c r="F3136" i="1"/>
  <c r="J3135" i="1"/>
  <c r="I3135" i="1"/>
  <c r="H3135" i="1"/>
  <c r="G3135" i="1"/>
  <c r="F3135" i="1"/>
  <c r="I3134" i="1"/>
  <c r="J3134" i="1" s="1"/>
  <c r="H3134" i="1"/>
  <c r="G3134" i="1"/>
  <c r="F3134" i="1"/>
  <c r="J3133" i="1"/>
  <c r="I3133" i="1"/>
  <c r="H3133" i="1"/>
  <c r="G3133" i="1"/>
  <c r="F3133" i="1"/>
  <c r="I3132" i="1"/>
  <c r="J3132" i="1" s="1"/>
  <c r="H3132" i="1"/>
  <c r="G3132" i="1"/>
  <c r="F3132" i="1"/>
  <c r="I3131" i="1"/>
  <c r="J3131" i="1" s="1"/>
  <c r="H3131" i="1"/>
  <c r="G3131" i="1"/>
  <c r="F3131" i="1"/>
  <c r="J3130" i="1"/>
  <c r="I3130" i="1"/>
  <c r="H3130" i="1"/>
  <c r="G3130" i="1"/>
  <c r="F3130" i="1"/>
  <c r="J3129" i="1"/>
  <c r="I3129" i="1"/>
  <c r="H3129" i="1"/>
  <c r="G3129" i="1"/>
  <c r="F3129" i="1"/>
  <c r="J3128" i="1"/>
  <c r="I3128" i="1"/>
  <c r="H3128" i="1"/>
  <c r="G3128" i="1"/>
  <c r="F3128" i="1"/>
  <c r="I3127" i="1"/>
  <c r="J3127" i="1" s="1"/>
  <c r="H3127" i="1"/>
  <c r="G3127" i="1"/>
  <c r="F3127" i="1"/>
  <c r="I3126" i="1"/>
  <c r="J3126" i="1" s="1"/>
  <c r="H3126" i="1"/>
  <c r="G3126" i="1"/>
  <c r="F3126" i="1"/>
  <c r="J3125" i="1"/>
  <c r="I3125" i="1"/>
  <c r="H3125" i="1"/>
  <c r="G3125" i="1"/>
  <c r="F3125" i="1"/>
  <c r="I3124" i="1"/>
  <c r="J3124" i="1" s="1"/>
  <c r="H3124" i="1"/>
  <c r="G3124" i="1"/>
  <c r="F3124" i="1"/>
  <c r="I3123" i="1"/>
  <c r="J3123" i="1" s="1"/>
  <c r="H3123" i="1"/>
  <c r="G3123" i="1"/>
  <c r="F3123" i="1"/>
  <c r="I3122" i="1"/>
  <c r="J3122" i="1" s="1"/>
  <c r="H3122" i="1"/>
  <c r="G3122" i="1"/>
  <c r="F3122" i="1"/>
  <c r="J3121" i="1"/>
  <c r="I3121" i="1"/>
  <c r="H3121" i="1"/>
  <c r="G3121" i="1"/>
  <c r="F3121" i="1"/>
  <c r="I3120" i="1"/>
  <c r="J3120" i="1" s="1"/>
  <c r="H3120" i="1"/>
  <c r="G3120" i="1"/>
  <c r="F3120" i="1"/>
  <c r="J3119" i="1"/>
  <c r="I3119" i="1"/>
  <c r="H3119" i="1"/>
  <c r="G3119" i="1"/>
  <c r="F3119" i="1"/>
  <c r="I3118" i="1"/>
  <c r="J3118" i="1" s="1"/>
  <c r="H3118" i="1"/>
  <c r="G3118" i="1"/>
  <c r="F3118" i="1"/>
  <c r="I3117" i="1"/>
  <c r="J3117" i="1" s="1"/>
  <c r="H3117" i="1"/>
  <c r="G3117" i="1"/>
  <c r="F3117" i="1"/>
  <c r="J3116" i="1"/>
  <c r="I3116" i="1"/>
  <c r="H3116" i="1"/>
  <c r="G3116" i="1"/>
  <c r="F3116" i="1"/>
  <c r="J3115" i="1"/>
  <c r="I3115" i="1"/>
  <c r="H3115" i="1"/>
  <c r="G3115" i="1"/>
  <c r="F3115" i="1"/>
  <c r="J3114" i="1"/>
  <c r="I3114" i="1"/>
  <c r="H3114" i="1"/>
  <c r="G3114" i="1"/>
  <c r="F3114" i="1"/>
  <c r="J3113" i="1"/>
  <c r="I3113" i="1"/>
  <c r="H3113" i="1"/>
  <c r="G3113" i="1"/>
  <c r="F3113" i="1"/>
  <c r="I3112" i="1"/>
  <c r="J3112" i="1" s="1"/>
  <c r="H3112" i="1"/>
  <c r="G3112" i="1"/>
  <c r="F3112" i="1"/>
  <c r="J3111" i="1"/>
  <c r="I3111" i="1"/>
  <c r="H3111" i="1"/>
  <c r="G3111" i="1"/>
  <c r="F3111" i="1"/>
  <c r="J3110" i="1"/>
  <c r="I3110" i="1"/>
  <c r="H3110" i="1"/>
  <c r="G3110" i="1"/>
  <c r="F3110" i="1"/>
  <c r="J3109" i="1"/>
  <c r="I3109" i="1"/>
  <c r="H3109" i="1"/>
  <c r="G3109" i="1"/>
  <c r="F3109" i="1"/>
  <c r="I3108" i="1"/>
  <c r="J3108" i="1" s="1"/>
  <c r="H3108" i="1"/>
  <c r="G3108" i="1"/>
  <c r="F3108" i="1"/>
  <c r="J3107" i="1"/>
  <c r="I3107" i="1"/>
  <c r="H3107" i="1"/>
  <c r="G3107" i="1"/>
  <c r="F3107" i="1"/>
  <c r="I3106" i="1"/>
  <c r="J3106" i="1" s="1"/>
  <c r="H3106" i="1"/>
  <c r="G3106" i="1"/>
  <c r="F3106" i="1"/>
  <c r="J3105" i="1"/>
  <c r="I3105" i="1"/>
  <c r="H3105" i="1"/>
  <c r="G3105" i="1"/>
  <c r="F3105" i="1"/>
  <c r="I3104" i="1"/>
  <c r="J3104" i="1" s="1"/>
  <c r="H3104" i="1"/>
  <c r="G3104" i="1"/>
  <c r="F3104" i="1"/>
  <c r="I3103" i="1"/>
  <c r="J3103" i="1" s="1"/>
  <c r="H3103" i="1"/>
  <c r="G3103" i="1"/>
  <c r="F3103" i="1"/>
  <c r="J3102" i="1"/>
  <c r="I3102" i="1"/>
  <c r="H3102" i="1"/>
  <c r="G3102" i="1"/>
  <c r="F3102" i="1"/>
  <c r="J3101" i="1"/>
  <c r="I3101" i="1"/>
  <c r="H3101" i="1"/>
  <c r="G3101" i="1"/>
  <c r="F3101" i="1"/>
  <c r="I3100" i="1"/>
  <c r="J3100" i="1" s="1"/>
  <c r="H3100" i="1"/>
  <c r="G3100" i="1"/>
  <c r="F3100" i="1"/>
  <c r="I3099" i="1"/>
  <c r="J3099" i="1" s="1"/>
  <c r="H3099" i="1"/>
  <c r="G3099" i="1"/>
  <c r="F3099" i="1"/>
  <c r="I3098" i="1"/>
  <c r="J3098" i="1" s="1"/>
  <c r="H3098" i="1"/>
  <c r="G3098" i="1"/>
  <c r="F3098" i="1"/>
  <c r="J3097" i="1"/>
  <c r="I3097" i="1"/>
  <c r="H3097" i="1"/>
  <c r="G3097" i="1"/>
  <c r="F3097" i="1"/>
  <c r="I3096" i="1"/>
  <c r="J3096" i="1" s="1"/>
  <c r="H3096" i="1"/>
  <c r="G3096" i="1"/>
  <c r="F3096" i="1"/>
  <c r="I3095" i="1"/>
  <c r="J3095" i="1" s="1"/>
  <c r="H3095" i="1"/>
  <c r="G3095" i="1"/>
  <c r="F3095" i="1"/>
  <c r="J3094" i="1"/>
  <c r="I3094" i="1"/>
  <c r="H3094" i="1"/>
  <c r="G3094" i="1"/>
  <c r="F3094" i="1"/>
  <c r="J3093" i="1"/>
  <c r="I3093" i="1"/>
  <c r="H3093" i="1"/>
  <c r="G3093" i="1"/>
  <c r="F3093" i="1"/>
  <c r="J3092" i="1"/>
  <c r="I3092" i="1"/>
  <c r="H3092" i="1"/>
  <c r="G3092" i="1"/>
  <c r="F3092" i="1"/>
  <c r="J3091" i="1"/>
  <c r="I3091" i="1"/>
  <c r="H3091" i="1"/>
  <c r="G3091" i="1"/>
  <c r="F3091" i="1"/>
  <c r="I3090" i="1"/>
  <c r="J3090" i="1" s="1"/>
  <c r="H3090" i="1"/>
  <c r="G3090" i="1"/>
  <c r="F3090" i="1"/>
  <c r="J3089" i="1"/>
  <c r="I3089" i="1"/>
  <c r="H3089" i="1"/>
  <c r="G3089" i="1"/>
  <c r="F3089" i="1"/>
  <c r="J3088" i="1"/>
  <c r="I3088" i="1"/>
  <c r="H3088" i="1"/>
  <c r="G3088" i="1"/>
  <c r="F3088" i="1"/>
  <c r="J3087" i="1"/>
  <c r="I3087" i="1"/>
  <c r="H3087" i="1"/>
  <c r="G3087" i="1"/>
  <c r="F3087" i="1"/>
  <c r="J3086" i="1"/>
  <c r="I3086" i="1"/>
  <c r="H3086" i="1"/>
  <c r="G3086" i="1"/>
  <c r="F3086" i="1"/>
  <c r="I3085" i="1"/>
  <c r="J3085" i="1" s="1"/>
  <c r="H3085" i="1"/>
  <c r="G3085" i="1"/>
  <c r="F3085" i="1"/>
  <c r="I3084" i="1"/>
  <c r="J3084" i="1" s="1"/>
  <c r="H3084" i="1"/>
  <c r="G3084" i="1"/>
  <c r="F3084" i="1"/>
  <c r="J3083" i="1"/>
  <c r="I3083" i="1"/>
  <c r="H3083" i="1"/>
  <c r="G3083" i="1"/>
  <c r="F3083" i="1"/>
  <c r="I3082" i="1"/>
  <c r="J3082" i="1" s="1"/>
  <c r="H3082" i="1"/>
  <c r="G3082" i="1"/>
  <c r="F3082" i="1"/>
  <c r="J3081" i="1"/>
  <c r="I3081" i="1"/>
  <c r="H3081" i="1"/>
  <c r="G3081" i="1"/>
  <c r="F3081" i="1"/>
  <c r="I3080" i="1"/>
  <c r="J3080" i="1" s="1"/>
  <c r="H3080" i="1"/>
  <c r="G3080" i="1"/>
  <c r="F3080" i="1"/>
  <c r="J3079" i="1"/>
  <c r="I3079" i="1"/>
  <c r="H3079" i="1"/>
  <c r="G3079" i="1"/>
  <c r="F3079" i="1"/>
  <c r="I3078" i="1"/>
  <c r="J3078" i="1" s="1"/>
  <c r="H3078" i="1"/>
  <c r="G3078" i="1"/>
  <c r="F3078" i="1"/>
  <c r="I3077" i="1"/>
  <c r="J3077" i="1" s="1"/>
  <c r="H3077" i="1"/>
  <c r="G3077" i="1"/>
  <c r="F3077" i="1"/>
  <c r="I3076" i="1"/>
  <c r="J3076" i="1" s="1"/>
  <c r="H3076" i="1"/>
  <c r="G3076" i="1"/>
  <c r="F3076" i="1"/>
  <c r="I3075" i="1"/>
  <c r="J3075" i="1" s="1"/>
  <c r="H3075" i="1"/>
  <c r="G3075" i="1"/>
  <c r="F3075" i="1"/>
  <c r="J3074" i="1"/>
  <c r="I3074" i="1"/>
  <c r="H3074" i="1"/>
  <c r="G3074" i="1"/>
  <c r="F3074" i="1"/>
  <c r="J3073" i="1"/>
  <c r="I3073" i="1"/>
  <c r="H3073" i="1"/>
  <c r="G3073" i="1"/>
  <c r="F3073" i="1"/>
  <c r="I3072" i="1"/>
  <c r="J3072" i="1" s="1"/>
  <c r="H3072" i="1"/>
  <c r="G3072" i="1"/>
  <c r="F3072" i="1"/>
  <c r="J3071" i="1"/>
  <c r="I3071" i="1"/>
  <c r="H3071" i="1"/>
  <c r="G3071" i="1"/>
  <c r="F3071" i="1"/>
  <c r="I3070" i="1"/>
  <c r="J3070" i="1" s="1"/>
  <c r="H3070" i="1"/>
  <c r="G3070" i="1"/>
  <c r="F3070" i="1"/>
  <c r="I3069" i="1"/>
  <c r="J3069" i="1" s="1"/>
  <c r="H3069" i="1"/>
  <c r="G3069" i="1"/>
  <c r="F3069" i="1"/>
  <c r="J3068" i="1"/>
  <c r="I3068" i="1"/>
  <c r="H3068" i="1"/>
  <c r="G3068" i="1"/>
  <c r="F3068" i="1"/>
  <c r="J3067" i="1"/>
  <c r="I3067" i="1"/>
  <c r="H3067" i="1"/>
  <c r="G3067" i="1"/>
  <c r="F3067" i="1"/>
  <c r="J3066" i="1"/>
  <c r="I3066" i="1"/>
  <c r="H3066" i="1"/>
  <c r="G3066" i="1"/>
  <c r="F3066" i="1"/>
  <c r="J3065" i="1"/>
  <c r="I3065" i="1"/>
  <c r="H3065" i="1"/>
  <c r="G3065" i="1"/>
  <c r="F3065" i="1"/>
  <c r="I3064" i="1"/>
  <c r="J3064" i="1" s="1"/>
  <c r="H3064" i="1"/>
  <c r="G3064" i="1"/>
  <c r="F3064" i="1"/>
  <c r="J3063" i="1"/>
  <c r="I3063" i="1"/>
  <c r="H3063" i="1"/>
  <c r="G3063" i="1"/>
  <c r="F3063" i="1"/>
  <c r="I3062" i="1"/>
  <c r="J3062" i="1" s="1"/>
  <c r="H3062" i="1"/>
  <c r="G3062" i="1"/>
  <c r="F3062" i="1"/>
  <c r="I3061" i="1"/>
  <c r="J3061" i="1" s="1"/>
  <c r="H3061" i="1"/>
  <c r="G3061" i="1"/>
  <c r="F3061" i="1"/>
  <c r="J3060" i="1"/>
  <c r="I3060" i="1"/>
  <c r="H3060" i="1"/>
  <c r="G3060" i="1"/>
  <c r="F3060" i="1"/>
  <c r="J3059" i="1"/>
  <c r="I3059" i="1"/>
  <c r="H3059" i="1"/>
  <c r="G3059" i="1"/>
  <c r="F3059" i="1"/>
  <c r="J3058" i="1"/>
  <c r="I3058" i="1"/>
  <c r="H3058" i="1"/>
  <c r="G3058" i="1"/>
  <c r="F3058" i="1"/>
  <c r="I3057" i="1"/>
  <c r="J3057" i="1" s="1"/>
  <c r="H3057" i="1"/>
  <c r="G3057" i="1"/>
  <c r="F3057" i="1"/>
  <c r="I3056" i="1"/>
  <c r="J3056" i="1" s="1"/>
  <c r="H3056" i="1"/>
  <c r="G3056" i="1"/>
  <c r="F3056" i="1"/>
  <c r="J3055" i="1"/>
  <c r="I3055" i="1"/>
  <c r="H3055" i="1"/>
  <c r="G3055" i="1"/>
  <c r="F3055" i="1"/>
  <c r="I3054" i="1"/>
  <c r="J3054" i="1" s="1"/>
  <c r="H3054" i="1"/>
  <c r="G3054" i="1"/>
  <c r="F3054" i="1"/>
  <c r="J3053" i="1"/>
  <c r="I3053" i="1"/>
  <c r="H3053" i="1"/>
  <c r="G3053" i="1"/>
  <c r="F3053" i="1"/>
  <c r="I3052" i="1"/>
  <c r="J3052" i="1" s="1"/>
  <c r="H3052" i="1"/>
  <c r="G3052" i="1"/>
  <c r="F3052" i="1"/>
  <c r="J3051" i="1"/>
  <c r="I3051" i="1"/>
  <c r="H3051" i="1"/>
  <c r="G3051" i="1"/>
  <c r="F3051" i="1"/>
  <c r="I3050" i="1"/>
  <c r="J3050" i="1" s="1"/>
  <c r="H3050" i="1"/>
  <c r="G3050" i="1"/>
  <c r="F3050" i="1"/>
  <c r="I3049" i="1"/>
  <c r="J3049" i="1" s="1"/>
  <c r="H3049" i="1"/>
  <c r="G3049" i="1"/>
  <c r="F3049" i="1"/>
  <c r="I3048" i="1"/>
  <c r="J3048" i="1" s="1"/>
  <c r="H3048" i="1"/>
  <c r="G3048" i="1"/>
  <c r="F3048" i="1"/>
  <c r="I3047" i="1"/>
  <c r="J3047" i="1" s="1"/>
  <c r="H3047" i="1"/>
  <c r="G3047" i="1"/>
  <c r="F3047" i="1"/>
  <c r="I3046" i="1"/>
  <c r="J3046" i="1" s="1"/>
  <c r="H3046" i="1"/>
  <c r="G3046" i="1"/>
  <c r="F3046" i="1"/>
  <c r="J3045" i="1"/>
  <c r="I3045" i="1"/>
  <c r="H3045" i="1"/>
  <c r="G3045" i="1"/>
  <c r="F3045" i="1"/>
  <c r="J3044" i="1"/>
  <c r="I3044" i="1"/>
  <c r="H3044" i="1"/>
  <c r="G3044" i="1"/>
  <c r="F3044" i="1"/>
  <c r="J3043" i="1"/>
  <c r="I3043" i="1"/>
  <c r="H3043" i="1"/>
  <c r="G3043" i="1"/>
  <c r="F3043" i="1"/>
  <c r="J3042" i="1"/>
  <c r="I3042" i="1"/>
  <c r="H3042" i="1"/>
  <c r="G3042" i="1"/>
  <c r="F3042" i="1"/>
  <c r="I3041" i="1"/>
  <c r="J3041" i="1" s="1"/>
  <c r="H3041" i="1"/>
  <c r="G3041" i="1"/>
  <c r="F3041" i="1"/>
  <c r="J3040" i="1"/>
  <c r="I3040" i="1"/>
  <c r="H3040" i="1"/>
  <c r="G3040" i="1"/>
  <c r="F3040" i="1"/>
  <c r="I3039" i="1"/>
  <c r="J3039" i="1" s="1"/>
  <c r="H3039" i="1"/>
  <c r="G3039" i="1"/>
  <c r="F3039" i="1"/>
  <c r="J3038" i="1"/>
  <c r="I3038" i="1"/>
  <c r="H3038" i="1"/>
  <c r="G3038" i="1"/>
  <c r="F3038" i="1"/>
  <c r="I3037" i="1"/>
  <c r="J3037" i="1" s="1"/>
  <c r="H3037" i="1"/>
  <c r="G3037" i="1"/>
  <c r="F3037" i="1"/>
  <c r="J3036" i="1"/>
  <c r="I3036" i="1"/>
  <c r="H3036" i="1"/>
  <c r="G3036" i="1"/>
  <c r="F3036" i="1"/>
  <c r="I3035" i="1"/>
  <c r="J3035" i="1" s="1"/>
  <c r="H3035" i="1"/>
  <c r="G3035" i="1"/>
  <c r="F3035" i="1"/>
  <c r="J3034" i="1"/>
  <c r="I3034" i="1"/>
  <c r="H3034" i="1"/>
  <c r="G3034" i="1"/>
  <c r="F3034" i="1"/>
  <c r="I3033" i="1"/>
  <c r="J3033" i="1" s="1"/>
  <c r="H3033" i="1"/>
  <c r="G3033" i="1"/>
  <c r="F3033" i="1"/>
  <c r="I3032" i="1"/>
  <c r="J3032" i="1" s="1"/>
  <c r="H3032" i="1"/>
  <c r="G3032" i="1"/>
  <c r="F3032" i="1"/>
  <c r="I3031" i="1"/>
  <c r="J3031" i="1" s="1"/>
  <c r="H3031" i="1"/>
  <c r="G3031" i="1"/>
  <c r="F3031" i="1"/>
  <c r="J3030" i="1"/>
  <c r="I3030" i="1"/>
  <c r="H3030" i="1"/>
  <c r="G3030" i="1"/>
  <c r="F3030" i="1"/>
  <c r="J3029" i="1"/>
  <c r="I3029" i="1"/>
  <c r="H3029" i="1"/>
  <c r="G3029" i="1"/>
  <c r="F3029" i="1"/>
  <c r="J3028" i="1"/>
  <c r="I3028" i="1"/>
  <c r="H3028" i="1"/>
  <c r="G3028" i="1"/>
  <c r="F3028" i="1"/>
  <c r="I3027" i="1"/>
  <c r="J3027" i="1" s="1"/>
  <c r="H3027" i="1"/>
  <c r="G3027" i="1"/>
  <c r="F3027" i="1"/>
  <c r="J3026" i="1"/>
  <c r="I3026" i="1"/>
  <c r="H3026" i="1"/>
  <c r="G3026" i="1"/>
  <c r="F3026" i="1"/>
  <c r="I3025" i="1"/>
  <c r="J3025" i="1" s="1"/>
  <c r="H3025" i="1"/>
  <c r="G3025" i="1"/>
  <c r="F3025" i="1"/>
  <c r="J3024" i="1"/>
  <c r="I3024" i="1"/>
  <c r="H3024" i="1"/>
  <c r="G3024" i="1"/>
  <c r="F3024" i="1"/>
  <c r="I3023" i="1"/>
  <c r="J3023" i="1" s="1"/>
  <c r="H3023" i="1"/>
  <c r="G3023" i="1"/>
  <c r="F3023" i="1"/>
  <c r="J3022" i="1"/>
  <c r="I3022" i="1"/>
  <c r="H3022" i="1"/>
  <c r="G3022" i="1"/>
  <c r="F3022" i="1"/>
  <c r="I3021" i="1"/>
  <c r="J3021" i="1" s="1"/>
  <c r="H3021" i="1"/>
  <c r="G3021" i="1"/>
  <c r="F3021" i="1"/>
  <c r="J3020" i="1"/>
  <c r="I3020" i="1"/>
  <c r="H3020" i="1"/>
  <c r="G3020" i="1"/>
  <c r="F3020" i="1"/>
  <c r="I3019" i="1"/>
  <c r="J3019" i="1" s="1"/>
  <c r="H3019" i="1"/>
  <c r="G3019" i="1"/>
  <c r="F3019" i="1"/>
  <c r="I3018" i="1"/>
  <c r="J3018" i="1" s="1"/>
  <c r="H3018" i="1"/>
  <c r="G3018" i="1"/>
  <c r="F3018" i="1"/>
  <c r="J3017" i="1"/>
  <c r="I3017" i="1"/>
  <c r="H3017" i="1"/>
  <c r="G3017" i="1"/>
  <c r="F3017" i="1"/>
  <c r="J3016" i="1"/>
  <c r="I3016" i="1"/>
  <c r="H3016" i="1"/>
  <c r="G3016" i="1"/>
  <c r="F3016" i="1"/>
  <c r="J3015" i="1"/>
  <c r="I3015" i="1"/>
  <c r="H3015" i="1"/>
  <c r="G3015" i="1"/>
  <c r="F3015" i="1"/>
  <c r="J3014" i="1"/>
  <c r="I3014" i="1"/>
  <c r="H3014" i="1"/>
  <c r="G3014" i="1"/>
  <c r="F3014" i="1"/>
  <c r="I3013" i="1"/>
  <c r="J3013" i="1" s="1"/>
  <c r="H3013" i="1"/>
  <c r="G3013" i="1"/>
  <c r="F3013" i="1"/>
  <c r="J3012" i="1"/>
  <c r="I3012" i="1"/>
  <c r="H3012" i="1"/>
  <c r="G3012" i="1"/>
  <c r="F3012" i="1"/>
  <c r="I3011" i="1"/>
  <c r="J3011" i="1" s="1"/>
  <c r="H3011" i="1"/>
  <c r="G3011" i="1"/>
  <c r="F3011" i="1"/>
  <c r="J3010" i="1"/>
  <c r="I3010" i="1"/>
  <c r="H3010" i="1"/>
  <c r="G3010" i="1"/>
  <c r="F3010" i="1"/>
  <c r="I3009" i="1"/>
  <c r="J3009" i="1" s="1"/>
  <c r="H3009" i="1"/>
  <c r="G3009" i="1"/>
  <c r="F3009" i="1"/>
  <c r="J3008" i="1"/>
  <c r="I3008" i="1"/>
  <c r="H3008" i="1"/>
  <c r="G3008" i="1"/>
  <c r="F3008" i="1"/>
  <c r="I3007" i="1"/>
  <c r="J3007" i="1" s="1"/>
  <c r="H3007" i="1"/>
  <c r="G3007" i="1"/>
  <c r="F3007" i="1"/>
  <c r="I3006" i="1"/>
  <c r="J3006" i="1" s="1"/>
  <c r="H3006" i="1"/>
  <c r="G3006" i="1"/>
  <c r="F3006" i="1"/>
  <c r="I3005" i="1"/>
  <c r="J3005" i="1" s="1"/>
  <c r="H3005" i="1"/>
  <c r="G3005" i="1"/>
  <c r="F3005" i="1"/>
  <c r="I3004" i="1"/>
  <c r="J3004" i="1" s="1"/>
  <c r="H3004" i="1"/>
  <c r="G3004" i="1"/>
  <c r="F3004" i="1"/>
  <c r="J3003" i="1"/>
  <c r="I3003" i="1"/>
  <c r="H3003" i="1"/>
  <c r="G3003" i="1"/>
  <c r="F3003" i="1"/>
  <c r="J3002" i="1"/>
  <c r="I3002" i="1"/>
  <c r="H3002" i="1"/>
  <c r="G3002" i="1"/>
  <c r="F3002" i="1"/>
  <c r="J3001" i="1"/>
  <c r="I3001" i="1"/>
  <c r="H3001" i="1"/>
  <c r="G3001" i="1"/>
  <c r="F3001" i="1"/>
  <c r="J3000" i="1"/>
  <c r="I3000" i="1"/>
  <c r="H3000" i="1"/>
  <c r="G3000" i="1"/>
  <c r="F3000" i="1"/>
  <c r="I2999" i="1"/>
  <c r="J2999" i="1" s="1"/>
  <c r="H2999" i="1"/>
  <c r="G2999" i="1"/>
  <c r="F2999" i="1"/>
  <c r="J2998" i="1"/>
  <c r="I2998" i="1"/>
  <c r="H2998" i="1"/>
  <c r="G2998" i="1"/>
  <c r="F2998" i="1"/>
  <c r="I2997" i="1"/>
  <c r="J2997" i="1" s="1"/>
  <c r="H2997" i="1"/>
  <c r="G2997" i="1"/>
  <c r="F2997" i="1"/>
  <c r="J2996" i="1"/>
  <c r="I2996" i="1"/>
  <c r="H2996" i="1"/>
  <c r="G2996" i="1"/>
  <c r="F2996" i="1"/>
  <c r="I2995" i="1"/>
  <c r="J2995" i="1" s="1"/>
  <c r="H2995" i="1"/>
  <c r="G2995" i="1"/>
  <c r="F2995" i="1"/>
  <c r="J2994" i="1"/>
  <c r="I2994" i="1"/>
  <c r="H2994" i="1"/>
  <c r="G2994" i="1"/>
  <c r="F2994" i="1"/>
  <c r="I2993" i="1"/>
  <c r="J2993" i="1" s="1"/>
  <c r="H2993" i="1"/>
  <c r="G2993" i="1"/>
  <c r="F2993" i="1"/>
  <c r="J2992" i="1"/>
  <c r="I2992" i="1"/>
  <c r="H2992" i="1"/>
  <c r="G2992" i="1"/>
  <c r="F2992" i="1"/>
  <c r="I2991" i="1"/>
  <c r="J2991" i="1" s="1"/>
  <c r="H2991" i="1"/>
  <c r="G2991" i="1"/>
  <c r="F2991" i="1"/>
  <c r="J2990" i="1"/>
  <c r="I2990" i="1"/>
  <c r="H2990" i="1"/>
  <c r="G2990" i="1"/>
  <c r="F2990" i="1"/>
  <c r="J2989" i="1"/>
  <c r="I2989" i="1"/>
  <c r="H2989" i="1"/>
  <c r="G2989" i="1"/>
  <c r="F2989" i="1"/>
  <c r="J2988" i="1"/>
  <c r="I2988" i="1"/>
  <c r="H2988" i="1"/>
  <c r="G2988" i="1"/>
  <c r="F2988" i="1"/>
  <c r="J2987" i="1"/>
  <c r="I2987" i="1"/>
  <c r="H2987" i="1"/>
  <c r="G2987" i="1"/>
  <c r="F2987" i="1"/>
  <c r="J2986" i="1"/>
  <c r="I2986" i="1"/>
  <c r="H2986" i="1"/>
  <c r="G2986" i="1"/>
  <c r="F2986" i="1"/>
  <c r="I2985" i="1"/>
  <c r="J2985" i="1" s="1"/>
  <c r="H2985" i="1"/>
  <c r="G2985" i="1"/>
  <c r="F2985" i="1"/>
  <c r="J2984" i="1"/>
  <c r="I2984" i="1"/>
  <c r="H2984" i="1"/>
  <c r="G2984" i="1"/>
  <c r="F2984" i="1"/>
  <c r="I2983" i="1"/>
  <c r="J2983" i="1" s="1"/>
  <c r="H2983" i="1"/>
  <c r="G2983" i="1"/>
  <c r="F2983" i="1"/>
  <c r="J2982" i="1"/>
  <c r="I2982" i="1"/>
  <c r="H2982" i="1"/>
  <c r="G2982" i="1"/>
  <c r="F2982" i="1"/>
  <c r="I2981" i="1"/>
  <c r="J2981" i="1" s="1"/>
  <c r="H2981" i="1"/>
  <c r="G2981" i="1"/>
  <c r="F2981" i="1"/>
  <c r="J2980" i="1"/>
  <c r="I2980" i="1"/>
  <c r="H2980" i="1"/>
  <c r="G2980" i="1"/>
  <c r="F2980" i="1"/>
  <c r="I2979" i="1"/>
  <c r="J2979" i="1" s="1"/>
  <c r="H2979" i="1"/>
  <c r="G2979" i="1"/>
  <c r="F2979" i="1"/>
  <c r="J2978" i="1"/>
  <c r="I2978" i="1"/>
  <c r="H2978" i="1"/>
  <c r="G2978" i="1"/>
  <c r="F2978" i="1"/>
  <c r="I2977" i="1"/>
  <c r="J2977" i="1" s="1"/>
  <c r="H2977" i="1"/>
  <c r="G2977" i="1"/>
  <c r="F2977" i="1"/>
  <c r="J2976" i="1"/>
  <c r="I2976" i="1"/>
  <c r="H2976" i="1"/>
  <c r="G2976" i="1"/>
  <c r="F2976" i="1"/>
  <c r="J2975" i="1"/>
  <c r="I2975" i="1"/>
  <c r="H2975" i="1"/>
  <c r="G2975" i="1"/>
  <c r="F2975" i="1"/>
  <c r="J2974" i="1"/>
  <c r="I2974" i="1"/>
  <c r="H2974" i="1"/>
  <c r="G2974" i="1"/>
  <c r="F2974" i="1"/>
  <c r="J2973" i="1"/>
  <c r="I2973" i="1"/>
  <c r="H2973" i="1"/>
  <c r="G2973" i="1"/>
  <c r="F2973" i="1"/>
  <c r="I2972" i="1"/>
  <c r="J2972" i="1" s="1"/>
  <c r="H2972" i="1"/>
  <c r="G2972" i="1"/>
  <c r="F2972" i="1"/>
  <c r="I2971" i="1"/>
  <c r="J2971" i="1" s="1"/>
  <c r="H2971" i="1"/>
  <c r="G2971" i="1"/>
  <c r="F2971" i="1"/>
  <c r="J2970" i="1"/>
  <c r="I2970" i="1"/>
  <c r="H2970" i="1"/>
  <c r="G2970" i="1"/>
  <c r="F2970" i="1"/>
  <c r="I2969" i="1"/>
  <c r="J2969" i="1" s="1"/>
  <c r="H2969" i="1"/>
  <c r="G2969" i="1"/>
  <c r="F2969" i="1"/>
  <c r="J2968" i="1"/>
  <c r="I2968" i="1"/>
  <c r="H2968" i="1"/>
  <c r="G2968" i="1"/>
  <c r="F2968" i="1"/>
  <c r="I2967" i="1"/>
  <c r="J2967" i="1" s="1"/>
  <c r="H2967" i="1"/>
  <c r="G2967" i="1"/>
  <c r="F2967" i="1"/>
  <c r="J2966" i="1"/>
  <c r="I2966" i="1"/>
  <c r="H2966" i="1"/>
  <c r="G2966" i="1"/>
  <c r="F2966" i="1"/>
  <c r="I2965" i="1"/>
  <c r="J2965" i="1" s="1"/>
  <c r="H2965" i="1"/>
  <c r="G2965" i="1"/>
  <c r="F2965" i="1"/>
  <c r="J2964" i="1"/>
  <c r="I2964" i="1"/>
  <c r="H2964" i="1"/>
  <c r="G2964" i="1"/>
  <c r="F2964" i="1"/>
  <c r="I2963" i="1"/>
  <c r="J2963" i="1" s="1"/>
  <c r="H2963" i="1"/>
  <c r="G2963" i="1"/>
  <c r="F2963" i="1"/>
  <c r="J2962" i="1"/>
  <c r="I2962" i="1"/>
  <c r="H2962" i="1"/>
  <c r="G2962" i="1"/>
  <c r="F2962" i="1"/>
  <c r="J2961" i="1"/>
  <c r="I2961" i="1"/>
  <c r="H2961" i="1"/>
  <c r="G2961" i="1"/>
  <c r="F2961" i="1"/>
  <c r="J2960" i="1"/>
  <c r="I2960" i="1"/>
  <c r="H2960" i="1"/>
  <c r="G2960" i="1"/>
  <c r="F2960" i="1"/>
  <c r="J2959" i="1"/>
  <c r="I2959" i="1"/>
  <c r="H2959" i="1"/>
  <c r="G2959" i="1"/>
  <c r="F2959" i="1"/>
  <c r="I2958" i="1"/>
  <c r="J2958" i="1" s="1"/>
  <c r="H2958" i="1"/>
  <c r="G2958" i="1"/>
  <c r="F2958" i="1"/>
  <c r="I2957" i="1"/>
  <c r="J2957" i="1" s="1"/>
  <c r="H2957" i="1"/>
  <c r="G2957" i="1"/>
  <c r="F2957" i="1"/>
  <c r="J2956" i="1"/>
  <c r="I2956" i="1"/>
  <c r="H2956" i="1"/>
  <c r="G2956" i="1"/>
  <c r="F2956" i="1"/>
  <c r="I2955" i="1"/>
  <c r="J2955" i="1" s="1"/>
  <c r="H2955" i="1"/>
  <c r="G2955" i="1"/>
  <c r="F2955" i="1"/>
  <c r="J2954" i="1"/>
  <c r="I2954" i="1"/>
  <c r="H2954" i="1"/>
  <c r="G2954" i="1"/>
  <c r="F2954" i="1"/>
  <c r="I2953" i="1"/>
  <c r="J2953" i="1" s="1"/>
  <c r="H2953" i="1"/>
  <c r="G2953" i="1"/>
  <c r="F2953" i="1"/>
  <c r="J2952" i="1"/>
  <c r="I2952" i="1"/>
  <c r="H2952" i="1"/>
  <c r="G2952" i="1"/>
  <c r="F2952" i="1"/>
  <c r="I2951" i="1"/>
  <c r="J2951" i="1" s="1"/>
  <c r="H2951" i="1"/>
  <c r="G2951" i="1"/>
  <c r="F2951" i="1"/>
  <c r="I2950" i="1"/>
  <c r="J2950" i="1" s="1"/>
  <c r="H2950" i="1"/>
  <c r="G2950" i="1"/>
  <c r="F2950" i="1"/>
  <c r="I2949" i="1"/>
  <c r="J2949" i="1" s="1"/>
  <c r="H2949" i="1"/>
  <c r="G2949" i="1"/>
  <c r="F2949" i="1"/>
  <c r="I2948" i="1"/>
  <c r="J2948" i="1" s="1"/>
  <c r="H2948" i="1"/>
  <c r="G2948" i="1"/>
  <c r="F2948" i="1"/>
  <c r="I2947" i="1"/>
  <c r="J2947" i="1" s="1"/>
  <c r="H2947" i="1"/>
  <c r="G2947" i="1"/>
  <c r="F2947" i="1"/>
  <c r="J2946" i="1"/>
  <c r="I2946" i="1"/>
  <c r="H2946" i="1"/>
  <c r="G2946" i="1"/>
  <c r="F2946" i="1"/>
  <c r="J2945" i="1"/>
  <c r="I2945" i="1"/>
  <c r="H2945" i="1"/>
  <c r="G2945" i="1"/>
  <c r="F2945" i="1"/>
  <c r="J2944" i="1"/>
  <c r="I2944" i="1"/>
  <c r="H2944" i="1"/>
  <c r="G2944" i="1"/>
  <c r="F2944" i="1"/>
  <c r="I2943" i="1"/>
  <c r="J2943" i="1" s="1"/>
  <c r="H2943" i="1"/>
  <c r="G2943" i="1"/>
  <c r="F2943" i="1"/>
  <c r="J2942" i="1"/>
  <c r="I2942" i="1"/>
  <c r="H2942" i="1"/>
  <c r="G2942" i="1"/>
  <c r="F2942" i="1"/>
  <c r="J2941" i="1"/>
  <c r="I2941" i="1"/>
  <c r="H2941" i="1"/>
  <c r="G2941" i="1"/>
  <c r="F2941" i="1"/>
  <c r="J2940" i="1"/>
  <c r="I2940" i="1"/>
  <c r="H2940" i="1"/>
  <c r="G2940" i="1"/>
  <c r="F2940" i="1"/>
  <c r="I2939" i="1"/>
  <c r="J2939" i="1" s="1"/>
  <c r="H2939" i="1"/>
  <c r="G2939" i="1"/>
  <c r="F2939" i="1"/>
  <c r="J2938" i="1"/>
  <c r="I2938" i="1"/>
  <c r="H2938" i="1"/>
  <c r="G2938" i="1"/>
  <c r="F2938" i="1"/>
  <c r="I2937" i="1"/>
  <c r="J2937" i="1" s="1"/>
  <c r="H2937" i="1"/>
  <c r="G2937" i="1"/>
  <c r="F2937" i="1"/>
  <c r="J2936" i="1"/>
  <c r="I2936" i="1"/>
  <c r="H2936" i="1"/>
  <c r="G2936" i="1"/>
  <c r="F2936" i="1"/>
  <c r="I2935" i="1"/>
  <c r="J2935" i="1" s="1"/>
  <c r="H2935" i="1"/>
  <c r="G2935" i="1"/>
  <c r="F2935" i="1"/>
  <c r="I2934" i="1"/>
  <c r="J2934" i="1" s="1"/>
  <c r="H2934" i="1"/>
  <c r="G2934" i="1"/>
  <c r="F2934" i="1"/>
  <c r="J2933" i="1"/>
  <c r="I2933" i="1"/>
  <c r="H2933" i="1"/>
  <c r="G2933" i="1"/>
  <c r="F2933" i="1"/>
  <c r="J2932" i="1"/>
  <c r="I2932" i="1"/>
  <c r="H2932" i="1"/>
  <c r="G2932" i="1"/>
  <c r="F2932" i="1"/>
  <c r="J2931" i="1"/>
  <c r="I2931" i="1"/>
  <c r="H2931" i="1"/>
  <c r="G2931" i="1"/>
  <c r="F2931" i="1"/>
  <c r="J2930" i="1"/>
  <c r="I2930" i="1"/>
  <c r="H2930" i="1"/>
  <c r="G2930" i="1"/>
  <c r="F2930" i="1"/>
  <c r="I2929" i="1"/>
  <c r="J2929" i="1" s="1"/>
  <c r="H2929" i="1"/>
  <c r="G2929" i="1"/>
  <c r="F2929" i="1"/>
  <c r="J2928" i="1"/>
  <c r="I2928" i="1"/>
  <c r="H2928" i="1"/>
  <c r="G2928" i="1"/>
  <c r="F2928" i="1"/>
  <c r="J2927" i="1"/>
  <c r="I2927" i="1"/>
  <c r="H2927" i="1"/>
  <c r="G2927" i="1"/>
  <c r="F2927" i="1"/>
  <c r="J2926" i="1"/>
  <c r="I2926" i="1"/>
  <c r="H2926" i="1"/>
  <c r="G2926" i="1"/>
  <c r="F2926" i="1"/>
  <c r="I2925" i="1"/>
  <c r="J2925" i="1" s="1"/>
  <c r="H2925" i="1"/>
  <c r="G2925" i="1"/>
  <c r="F2925" i="1"/>
  <c r="J2924" i="1"/>
  <c r="I2924" i="1"/>
  <c r="H2924" i="1"/>
  <c r="G2924" i="1"/>
  <c r="F2924" i="1"/>
  <c r="I2923" i="1"/>
  <c r="J2923" i="1" s="1"/>
  <c r="H2923" i="1"/>
  <c r="G2923" i="1"/>
  <c r="F2923" i="1"/>
  <c r="I2922" i="1"/>
  <c r="J2922" i="1" s="1"/>
  <c r="H2922" i="1"/>
  <c r="G2922" i="1"/>
  <c r="F2922" i="1"/>
  <c r="I2921" i="1"/>
  <c r="J2921" i="1" s="1"/>
  <c r="H2921" i="1"/>
  <c r="G2921" i="1"/>
  <c r="F2921" i="1"/>
  <c r="J2920" i="1"/>
  <c r="I2920" i="1"/>
  <c r="H2920" i="1"/>
  <c r="G2920" i="1"/>
  <c r="F2920" i="1"/>
  <c r="I2919" i="1"/>
  <c r="J2919" i="1" s="1"/>
  <c r="H2919" i="1"/>
  <c r="G2919" i="1"/>
  <c r="F2919" i="1"/>
  <c r="J2918" i="1"/>
  <c r="I2918" i="1"/>
  <c r="H2918" i="1"/>
  <c r="G2918" i="1"/>
  <c r="F2918" i="1"/>
  <c r="J2917" i="1"/>
  <c r="I2917" i="1"/>
  <c r="H2917" i="1"/>
  <c r="G2917" i="1"/>
  <c r="F2917" i="1"/>
  <c r="J2916" i="1"/>
  <c r="I2916" i="1"/>
  <c r="H2916" i="1"/>
  <c r="G2916" i="1"/>
  <c r="F2916" i="1"/>
  <c r="I2915" i="1"/>
  <c r="J2915" i="1" s="1"/>
  <c r="H2915" i="1"/>
  <c r="G2915" i="1"/>
  <c r="F2915" i="1"/>
  <c r="J2914" i="1"/>
  <c r="I2914" i="1"/>
  <c r="H2914" i="1"/>
  <c r="G2914" i="1"/>
  <c r="F2914" i="1"/>
  <c r="J2913" i="1"/>
  <c r="I2913" i="1"/>
  <c r="H2913" i="1"/>
  <c r="G2913" i="1"/>
  <c r="F2913" i="1"/>
  <c r="J2912" i="1"/>
  <c r="I2912" i="1"/>
  <c r="H2912" i="1"/>
  <c r="G2912" i="1"/>
  <c r="F2912" i="1"/>
  <c r="I2911" i="1"/>
  <c r="J2911" i="1" s="1"/>
  <c r="H2911" i="1"/>
  <c r="G2911" i="1"/>
  <c r="F2911" i="1"/>
  <c r="J2910" i="1"/>
  <c r="I2910" i="1"/>
  <c r="H2910" i="1"/>
  <c r="G2910" i="1"/>
  <c r="F2910" i="1"/>
  <c r="I2909" i="1"/>
  <c r="J2909" i="1" s="1"/>
  <c r="H2909" i="1"/>
  <c r="G2909" i="1"/>
  <c r="F2909" i="1"/>
  <c r="I2908" i="1"/>
  <c r="J2908" i="1" s="1"/>
  <c r="H2908" i="1"/>
  <c r="G2908" i="1"/>
  <c r="F2908" i="1"/>
  <c r="I2907" i="1"/>
  <c r="J2907" i="1" s="1"/>
  <c r="H2907" i="1"/>
  <c r="G2907" i="1"/>
  <c r="F2907" i="1"/>
  <c r="J2906" i="1"/>
  <c r="I2906" i="1"/>
  <c r="H2906" i="1"/>
  <c r="G2906" i="1"/>
  <c r="F2906" i="1"/>
  <c r="I2905" i="1"/>
  <c r="J2905" i="1" s="1"/>
  <c r="H2905" i="1"/>
  <c r="G2905" i="1"/>
  <c r="F2905" i="1"/>
  <c r="J2904" i="1"/>
  <c r="I2904" i="1"/>
  <c r="H2904" i="1"/>
  <c r="G2904" i="1"/>
  <c r="F2904" i="1"/>
  <c r="J2903" i="1"/>
  <c r="I2903" i="1"/>
  <c r="H2903" i="1"/>
  <c r="G2903" i="1"/>
  <c r="F2903" i="1"/>
  <c r="J2902" i="1"/>
  <c r="I2902" i="1"/>
  <c r="H2902" i="1"/>
  <c r="G2902" i="1"/>
  <c r="F2902" i="1"/>
  <c r="I2901" i="1"/>
  <c r="J2901" i="1" s="1"/>
  <c r="H2901" i="1"/>
  <c r="G2901" i="1"/>
  <c r="F2901" i="1"/>
  <c r="J2900" i="1"/>
  <c r="I2900" i="1"/>
  <c r="H2900" i="1"/>
  <c r="G2900" i="1"/>
  <c r="F2900" i="1"/>
  <c r="J2899" i="1"/>
  <c r="I2899" i="1"/>
  <c r="H2899" i="1"/>
  <c r="G2899" i="1"/>
  <c r="F2899" i="1"/>
  <c r="J2898" i="1"/>
  <c r="I2898" i="1"/>
  <c r="H2898" i="1"/>
  <c r="G2898" i="1"/>
  <c r="F2898" i="1"/>
  <c r="I2897" i="1"/>
  <c r="J2897" i="1" s="1"/>
  <c r="H2897" i="1"/>
  <c r="G2897" i="1"/>
  <c r="F2897" i="1"/>
  <c r="J2896" i="1"/>
  <c r="I2896" i="1"/>
  <c r="H2896" i="1"/>
  <c r="G2896" i="1"/>
  <c r="F2896" i="1"/>
  <c r="I2895" i="1"/>
  <c r="J2895" i="1" s="1"/>
  <c r="H2895" i="1"/>
  <c r="G2895" i="1"/>
  <c r="F2895" i="1"/>
  <c r="I2894" i="1"/>
  <c r="J2894" i="1" s="1"/>
  <c r="H2894" i="1"/>
  <c r="G2894" i="1"/>
  <c r="F2894" i="1"/>
  <c r="I2893" i="1"/>
  <c r="J2893" i="1" s="1"/>
  <c r="H2893" i="1"/>
  <c r="G2893" i="1"/>
  <c r="F2893" i="1"/>
  <c r="J2892" i="1"/>
  <c r="I2892" i="1"/>
  <c r="H2892" i="1"/>
  <c r="G2892" i="1"/>
  <c r="F2892" i="1"/>
  <c r="I2891" i="1"/>
  <c r="J2891" i="1" s="1"/>
  <c r="H2891" i="1"/>
  <c r="G2891" i="1"/>
  <c r="F2891" i="1"/>
  <c r="J2890" i="1"/>
  <c r="I2890" i="1"/>
  <c r="H2890" i="1"/>
  <c r="G2890" i="1"/>
  <c r="F2890" i="1"/>
  <c r="J2889" i="1"/>
  <c r="I2889" i="1"/>
  <c r="H2889" i="1"/>
  <c r="G2889" i="1"/>
  <c r="F2889" i="1"/>
  <c r="J2888" i="1"/>
  <c r="I2888" i="1"/>
  <c r="H2888" i="1"/>
  <c r="G2888" i="1"/>
  <c r="F2888" i="1"/>
  <c r="I2887" i="1"/>
  <c r="J2887" i="1" s="1"/>
  <c r="H2887" i="1"/>
  <c r="G2887" i="1"/>
  <c r="F2887" i="1"/>
  <c r="J2886" i="1"/>
  <c r="I2886" i="1"/>
  <c r="H2886" i="1"/>
  <c r="G2886" i="1"/>
  <c r="F2886" i="1"/>
  <c r="J2885" i="1"/>
  <c r="I2885" i="1"/>
  <c r="H2885" i="1"/>
  <c r="G2885" i="1"/>
  <c r="F2885" i="1"/>
  <c r="J2884" i="1"/>
  <c r="I2884" i="1"/>
  <c r="H2884" i="1"/>
  <c r="G2884" i="1"/>
  <c r="F2884" i="1"/>
  <c r="I2883" i="1"/>
  <c r="J2883" i="1" s="1"/>
  <c r="H2883" i="1"/>
  <c r="G2883" i="1"/>
  <c r="F2883" i="1"/>
  <c r="J2882" i="1"/>
  <c r="I2882" i="1"/>
  <c r="H2882" i="1"/>
  <c r="G2882" i="1"/>
  <c r="F2882" i="1"/>
  <c r="I2881" i="1"/>
  <c r="J2881" i="1" s="1"/>
  <c r="H2881" i="1"/>
  <c r="G2881" i="1"/>
  <c r="F2881" i="1"/>
  <c r="J2880" i="1"/>
  <c r="I2880" i="1"/>
  <c r="H2880" i="1"/>
  <c r="G2880" i="1"/>
  <c r="F2880" i="1"/>
  <c r="I2879" i="1"/>
  <c r="J2879" i="1" s="1"/>
  <c r="H2879" i="1"/>
  <c r="G2879" i="1"/>
  <c r="F2879" i="1"/>
  <c r="J2878" i="1"/>
  <c r="I2878" i="1"/>
  <c r="H2878" i="1"/>
  <c r="G2878" i="1"/>
  <c r="F2878" i="1"/>
  <c r="J2877" i="1"/>
  <c r="I2877" i="1"/>
  <c r="H2877" i="1"/>
  <c r="G2877" i="1"/>
  <c r="F2877" i="1"/>
  <c r="J2876" i="1"/>
  <c r="I2876" i="1"/>
  <c r="H2876" i="1"/>
  <c r="G2876" i="1"/>
  <c r="F2876" i="1"/>
  <c r="J2875" i="1"/>
  <c r="I2875" i="1"/>
  <c r="H2875" i="1"/>
  <c r="G2875" i="1"/>
  <c r="F2875" i="1"/>
  <c r="I2874" i="1"/>
  <c r="J2874" i="1" s="1"/>
  <c r="H2874" i="1"/>
  <c r="G2874" i="1"/>
  <c r="F2874" i="1"/>
  <c r="I2873" i="1"/>
  <c r="J2873" i="1" s="1"/>
  <c r="H2873" i="1"/>
  <c r="G2873" i="1"/>
  <c r="F2873" i="1"/>
  <c r="J2872" i="1"/>
  <c r="I2872" i="1"/>
  <c r="H2872" i="1"/>
  <c r="G2872" i="1"/>
  <c r="F2872" i="1"/>
  <c r="I2871" i="1"/>
  <c r="J2871" i="1" s="1"/>
  <c r="H2871" i="1"/>
  <c r="G2871" i="1"/>
  <c r="F2871" i="1"/>
  <c r="J2870" i="1"/>
  <c r="I2870" i="1"/>
  <c r="H2870" i="1"/>
  <c r="G2870" i="1"/>
  <c r="F2870" i="1"/>
  <c r="I2869" i="1"/>
  <c r="J2869" i="1" s="1"/>
  <c r="H2869" i="1"/>
  <c r="G2869" i="1"/>
  <c r="F2869" i="1"/>
  <c r="J2868" i="1"/>
  <c r="I2868" i="1"/>
  <c r="H2868" i="1"/>
  <c r="G2868" i="1"/>
  <c r="F2868" i="1"/>
  <c r="I2867" i="1"/>
  <c r="J2867" i="1" s="1"/>
  <c r="H2867" i="1"/>
  <c r="G2867" i="1"/>
  <c r="F2867" i="1"/>
  <c r="J2866" i="1"/>
  <c r="I2866" i="1"/>
  <c r="H2866" i="1"/>
  <c r="G2866" i="1"/>
  <c r="F2866" i="1"/>
  <c r="I2865" i="1"/>
  <c r="J2865" i="1" s="1"/>
  <c r="H2865" i="1"/>
  <c r="G2865" i="1"/>
  <c r="F2865" i="1"/>
  <c r="J2864" i="1"/>
  <c r="I2864" i="1"/>
  <c r="H2864" i="1"/>
  <c r="G2864" i="1"/>
  <c r="F2864" i="1"/>
  <c r="J2863" i="1"/>
  <c r="I2863" i="1"/>
  <c r="H2863" i="1"/>
  <c r="G2863" i="1"/>
  <c r="F2863" i="1"/>
  <c r="J2862" i="1"/>
  <c r="I2862" i="1"/>
  <c r="H2862" i="1"/>
  <c r="G2862" i="1"/>
  <c r="F2862" i="1"/>
  <c r="I2861" i="1"/>
  <c r="J2861" i="1" s="1"/>
  <c r="H2861" i="1"/>
  <c r="G2861" i="1"/>
  <c r="F2861" i="1"/>
  <c r="I2860" i="1"/>
  <c r="J2860" i="1" s="1"/>
  <c r="H2860" i="1"/>
  <c r="G2860" i="1"/>
  <c r="F2860" i="1"/>
  <c r="I2859" i="1"/>
  <c r="J2859" i="1" s="1"/>
  <c r="H2859" i="1"/>
  <c r="G2859" i="1"/>
  <c r="F2859" i="1"/>
  <c r="J2858" i="1"/>
  <c r="I2858" i="1"/>
  <c r="H2858" i="1"/>
  <c r="G2858" i="1"/>
  <c r="F2858" i="1"/>
  <c r="I2857" i="1"/>
  <c r="J2857" i="1" s="1"/>
  <c r="H2857" i="1"/>
  <c r="G2857" i="1"/>
  <c r="F2857" i="1"/>
  <c r="J2856" i="1"/>
  <c r="I2856" i="1"/>
  <c r="H2856" i="1"/>
  <c r="G2856" i="1"/>
  <c r="F2856" i="1"/>
  <c r="I2855" i="1"/>
  <c r="J2855" i="1" s="1"/>
  <c r="H2855" i="1"/>
  <c r="G2855" i="1"/>
  <c r="F2855" i="1"/>
  <c r="J2854" i="1"/>
  <c r="I2854" i="1"/>
  <c r="H2854" i="1"/>
  <c r="G2854" i="1"/>
  <c r="F2854" i="1"/>
  <c r="I2853" i="1"/>
  <c r="J2853" i="1" s="1"/>
  <c r="H2853" i="1"/>
  <c r="G2853" i="1"/>
  <c r="F2853" i="1"/>
  <c r="I2852" i="1"/>
  <c r="J2852" i="1" s="1"/>
  <c r="H2852" i="1"/>
  <c r="G2852" i="1"/>
  <c r="F2852" i="1"/>
  <c r="I2851" i="1"/>
  <c r="J2851" i="1" s="1"/>
  <c r="H2851" i="1"/>
  <c r="G2851" i="1"/>
  <c r="F2851" i="1"/>
  <c r="I2850" i="1"/>
  <c r="J2850" i="1" s="1"/>
  <c r="H2850" i="1"/>
  <c r="G2850" i="1"/>
  <c r="F2850" i="1"/>
  <c r="I2849" i="1"/>
  <c r="J2849" i="1" s="1"/>
  <c r="H2849" i="1"/>
  <c r="G2849" i="1"/>
  <c r="F2849" i="1"/>
  <c r="J2848" i="1"/>
  <c r="I2848" i="1"/>
  <c r="H2848" i="1"/>
  <c r="G2848" i="1"/>
  <c r="F2848" i="1"/>
  <c r="J2847" i="1"/>
  <c r="I2847" i="1"/>
  <c r="H2847" i="1"/>
  <c r="G2847" i="1"/>
  <c r="F2847" i="1"/>
  <c r="J2846" i="1"/>
  <c r="I2846" i="1"/>
  <c r="H2846" i="1"/>
  <c r="G2846" i="1"/>
  <c r="F2846" i="1"/>
  <c r="I2845" i="1"/>
  <c r="J2845" i="1" s="1"/>
  <c r="H2845" i="1"/>
  <c r="G2845" i="1"/>
  <c r="F2845" i="1"/>
  <c r="J2844" i="1"/>
  <c r="I2844" i="1"/>
  <c r="H2844" i="1"/>
  <c r="G2844" i="1"/>
  <c r="F2844" i="1"/>
  <c r="J2843" i="1"/>
  <c r="I2843" i="1"/>
  <c r="H2843" i="1"/>
  <c r="G2843" i="1"/>
  <c r="F2843" i="1"/>
  <c r="J2842" i="1"/>
  <c r="I2842" i="1"/>
  <c r="H2842" i="1"/>
  <c r="G2842" i="1"/>
  <c r="F2842" i="1"/>
  <c r="I2841" i="1"/>
  <c r="J2841" i="1" s="1"/>
  <c r="H2841" i="1"/>
  <c r="G2841" i="1"/>
  <c r="F2841" i="1"/>
  <c r="J2840" i="1"/>
  <c r="I2840" i="1"/>
  <c r="H2840" i="1"/>
  <c r="G2840" i="1"/>
  <c r="F2840" i="1"/>
  <c r="I2839" i="1"/>
  <c r="J2839" i="1" s="1"/>
  <c r="H2839" i="1"/>
  <c r="G2839" i="1"/>
  <c r="F2839" i="1"/>
  <c r="J2838" i="1"/>
  <c r="I2838" i="1"/>
  <c r="H2838" i="1"/>
  <c r="G2838" i="1"/>
  <c r="F2838" i="1"/>
  <c r="I2837" i="1"/>
  <c r="J2837" i="1" s="1"/>
  <c r="H2837" i="1"/>
  <c r="G2837" i="1"/>
  <c r="F2837" i="1"/>
  <c r="I2836" i="1"/>
  <c r="J2836" i="1" s="1"/>
  <c r="H2836" i="1"/>
  <c r="G2836" i="1"/>
  <c r="F2836" i="1"/>
  <c r="J2835" i="1"/>
  <c r="I2835" i="1"/>
  <c r="H2835" i="1"/>
  <c r="G2835" i="1"/>
  <c r="F2835" i="1"/>
  <c r="J2834" i="1"/>
  <c r="I2834" i="1"/>
  <c r="H2834" i="1"/>
  <c r="G2834" i="1"/>
  <c r="F2834" i="1"/>
  <c r="J2833" i="1"/>
  <c r="I2833" i="1"/>
  <c r="H2833" i="1"/>
  <c r="G2833" i="1"/>
  <c r="F2833" i="1"/>
  <c r="J2832" i="1"/>
  <c r="I2832" i="1"/>
  <c r="H2832" i="1"/>
  <c r="G2832" i="1"/>
  <c r="F2832" i="1"/>
  <c r="I2831" i="1"/>
  <c r="J2831" i="1" s="1"/>
  <c r="H2831" i="1"/>
  <c r="G2831" i="1"/>
  <c r="F2831" i="1"/>
  <c r="J2830" i="1"/>
  <c r="I2830" i="1"/>
  <c r="H2830" i="1"/>
  <c r="G2830" i="1"/>
  <c r="F2830" i="1"/>
  <c r="I2829" i="1"/>
  <c r="J2829" i="1" s="1"/>
  <c r="H2829" i="1"/>
  <c r="G2829" i="1"/>
  <c r="F2829" i="1"/>
  <c r="J2828" i="1"/>
  <c r="I2828" i="1"/>
  <c r="H2828" i="1"/>
  <c r="G2828" i="1"/>
  <c r="F2828" i="1"/>
  <c r="I2827" i="1"/>
  <c r="J2827" i="1" s="1"/>
  <c r="H2827" i="1"/>
  <c r="G2827" i="1"/>
  <c r="F2827" i="1"/>
  <c r="J2826" i="1"/>
  <c r="I2826" i="1"/>
  <c r="H2826" i="1"/>
  <c r="G2826" i="1"/>
  <c r="F2826" i="1"/>
  <c r="I2825" i="1"/>
  <c r="J2825" i="1" s="1"/>
  <c r="H2825" i="1"/>
  <c r="G2825" i="1"/>
  <c r="F2825" i="1"/>
  <c r="I2824" i="1"/>
  <c r="J2824" i="1" s="1"/>
  <c r="H2824" i="1"/>
  <c r="G2824" i="1"/>
  <c r="F2824" i="1"/>
  <c r="I2823" i="1"/>
  <c r="J2823" i="1" s="1"/>
  <c r="H2823" i="1"/>
  <c r="G2823" i="1"/>
  <c r="F2823" i="1"/>
  <c r="I2822" i="1"/>
  <c r="J2822" i="1" s="1"/>
  <c r="H2822" i="1"/>
  <c r="G2822" i="1"/>
  <c r="F2822" i="1"/>
  <c r="J2821" i="1"/>
  <c r="I2821" i="1"/>
  <c r="H2821" i="1"/>
  <c r="G2821" i="1"/>
  <c r="F2821" i="1"/>
  <c r="I2820" i="1"/>
  <c r="J2820" i="1" s="1"/>
  <c r="H2820" i="1"/>
  <c r="G2820" i="1"/>
  <c r="F2820" i="1"/>
  <c r="J2819" i="1"/>
  <c r="I2819" i="1"/>
  <c r="H2819" i="1"/>
  <c r="G2819" i="1"/>
  <c r="F2819" i="1"/>
  <c r="J2818" i="1"/>
  <c r="I2818" i="1"/>
  <c r="H2818" i="1"/>
  <c r="G2818" i="1"/>
  <c r="F2818" i="1"/>
  <c r="J2817" i="1"/>
  <c r="I2817" i="1"/>
  <c r="H2817" i="1"/>
  <c r="G2817" i="1"/>
  <c r="F2817" i="1"/>
  <c r="J2816" i="1"/>
  <c r="I2816" i="1"/>
  <c r="H2816" i="1"/>
  <c r="G2816" i="1"/>
  <c r="F2816" i="1"/>
  <c r="I2815" i="1"/>
  <c r="J2815" i="1" s="1"/>
  <c r="H2815" i="1"/>
  <c r="G2815" i="1"/>
  <c r="F2815" i="1"/>
  <c r="J2814" i="1"/>
  <c r="I2814" i="1"/>
  <c r="H2814" i="1"/>
  <c r="G2814" i="1"/>
  <c r="F2814" i="1"/>
  <c r="I2813" i="1"/>
  <c r="J2813" i="1" s="1"/>
  <c r="H2813" i="1"/>
  <c r="G2813" i="1"/>
  <c r="F2813" i="1"/>
  <c r="J2812" i="1"/>
  <c r="I2812" i="1"/>
  <c r="H2812" i="1"/>
  <c r="G2812" i="1"/>
  <c r="F2812" i="1"/>
  <c r="I2811" i="1"/>
  <c r="J2811" i="1" s="1"/>
  <c r="H2811" i="1"/>
  <c r="G2811" i="1"/>
  <c r="F2811" i="1"/>
  <c r="J2810" i="1"/>
  <c r="I2810" i="1"/>
  <c r="H2810" i="1"/>
  <c r="G2810" i="1"/>
  <c r="F2810" i="1"/>
  <c r="I2809" i="1"/>
  <c r="J2809" i="1" s="1"/>
  <c r="H2809" i="1"/>
  <c r="G2809" i="1"/>
  <c r="F2809" i="1"/>
  <c r="J2808" i="1"/>
  <c r="I2808" i="1"/>
  <c r="H2808" i="1"/>
  <c r="G2808" i="1"/>
  <c r="F2808" i="1"/>
  <c r="J2807" i="1"/>
  <c r="I2807" i="1"/>
  <c r="H2807" i="1"/>
  <c r="G2807" i="1"/>
  <c r="F2807" i="1"/>
  <c r="I2806" i="1"/>
  <c r="J2806" i="1" s="1"/>
  <c r="H2806" i="1"/>
  <c r="G2806" i="1"/>
  <c r="F2806" i="1"/>
  <c r="I2805" i="1"/>
  <c r="J2805" i="1" s="1"/>
  <c r="H2805" i="1"/>
  <c r="G2805" i="1"/>
  <c r="F2805" i="1"/>
  <c r="I2804" i="1"/>
  <c r="J2804" i="1" s="1"/>
  <c r="H2804" i="1"/>
  <c r="G2804" i="1"/>
  <c r="F2804" i="1"/>
  <c r="J2803" i="1"/>
  <c r="I2803" i="1"/>
  <c r="H2803" i="1"/>
  <c r="G2803" i="1"/>
  <c r="F2803" i="1"/>
  <c r="J2802" i="1"/>
  <c r="I2802" i="1"/>
  <c r="H2802" i="1"/>
  <c r="G2802" i="1"/>
  <c r="F2802" i="1"/>
  <c r="I2801" i="1"/>
  <c r="J2801" i="1" s="1"/>
  <c r="H2801" i="1"/>
  <c r="G2801" i="1"/>
  <c r="F2801" i="1"/>
  <c r="J2800" i="1"/>
  <c r="I2800" i="1"/>
  <c r="H2800" i="1"/>
  <c r="G2800" i="1"/>
  <c r="F2800" i="1"/>
  <c r="I2799" i="1"/>
  <c r="J2799" i="1" s="1"/>
  <c r="H2799" i="1"/>
  <c r="G2799" i="1"/>
  <c r="F2799" i="1"/>
  <c r="J2798" i="1"/>
  <c r="I2798" i="1"/>
  <c r="H2798" i="1"/>
  <c r="G2798" i="1"/>
  <c r="F2798" i="1"/>
  <c r="I2797" i="1"/>
  <c r="J2797" i="1" s="1"/>
  <c r="H2797" i="1"/>
  <c r="G2797" i="1"/>
  <c r="F2797" i="1"/>
  <c r="J2796" i="1"/>
  <c r="I2796" i="1"/>
  <c r="H2796" i="1"/>
  <c r="G2796" i="1"/>
  <c r="F2796" i="1"/>
  <c r="I2795" i="1"/>
  <c r="J2795" i="1" s="1"/>
  <c r="H2795" i="1"/>
  <c r="G2795" i="1"/>
  <c r="F2795" i="1"/>
  <c r="J2794" i="1"/>
  <c r="I2794" i="1"/>
  <c r="H2794" i="1"/>
  <c r="G2794" i="1"/>
  <c r="F2794" i="1"/>
  <c r="J2793" i="1"/>
  <c r="I2793" i="1"/>
  <c r="H2793" i="1"/>
  <c r="G2793" i="1"/>
  <c r="F2793" i="1"/>
  <c r="I2792" i="1"/>
  <c r="J2792" i="1" s="1"/>
  <c r="H2792" i="1"/>
  <c r="G2792" i="1"/>
  <c r="F2792" i="1"/>
  <c r="J2791" i="1"/>
  <c r="I2791" i="1"/>
  <c r="H2791" i="1"/>
  <c r="G2791" i="1"/>
  <c r="F2791" i="1"/>
  <c r="I2790" i="1"/>
  <c r="J2790" i="1" s="1"/>
  <c r="H2790" i="1"/>
  <c r="G2790" i="1"/>
  <c r="F2790" i="1"/>
  <c r="I2789" i="1"/>
  <c r="J2789" i="1" s="1"/>
  <c r="H2789" i="1"/>
  <c r="G2789" i="1"/>
  <c r="F2789" i="1"/>
  <c r="J2788" i="1"/>
  <c r="I2788" i="1"/>
  <c r="H2788" i="1"/>
  <c r="G2788" i="1"/>
  <c r="F2788" i="1"/>
  <c r="J2787" i="1"/>
  <c r="I2787" i="1"/>
  <c r="H2787" i="1"/>
  <c r="G2787" i="1"/>
  <c r="F2787" i="1"/>
  <c r="J2786" i="1"/>
  <c r="I2786" i="1"/>
  <c r="H2786" i="1"/>
  <c r="G2786" i="1"/>
  <c r="F2786" i="1"/>
  <c r="I2785" i="1"/>
  <c r="J2785" i="1" s="1"/>
  <c r="H2785" i="1"/>
  <c r="G2785" i="1"/>
  <c r="F2785" i="1"/>
  <c r="J2784" i="1"/>
  <c r="I2784" i="1"/>
  <c r="H2784" i="1"/>
  <c r="G2784" i="1"/>
  <c r="F2784" i="1"/>
  <c r="I2783" i="1"/>
  <c r="J2783" i="1" s="1"/>
  <c r="H2783" i="1"/>
  <c r="G2783" i="1"/>
  <c r="F2783" i="1"/>
  <c r="I2782" i="1"/>
  <c r="J2782" i="1" s="1"/>
  <c r="H2782" i="1"/>
  <c r="G2782" i="1"/>
  <c r="F2782" i="1"/>
  <c r="J2781" i="1"/>
  <c r="I2781" i="1"/>
  <c r="H2781" i="1"/>
  <c r="G2781" i="1"/>
  <c r="F2781" i="1"/>
  <c r="J2780" i="1"/>
  <c r="I2780" i="1"/>
  <c r="H2780" i="1"/>
  <c r="G2780" i="1"/>
  <c r="F2780" i="1"/>
  <c r="J2779" i="1"/>
  <c r="I2779" i="1"/>
  <c r="H2779" i="1"/>
  <c r="G2779" i="1"/>
  <c r="F2779" i="1"/>
  <c r="J2778" i="1"/>
  <c r="I2778" i="1"/>
  <c r="H2778" i="1"/>
  <c r="G2778" i="1"/>
  <c r="F2778" i="1"/>
  <c r="I2777" i="1"/>
  <c r="J2777" i="1" s="1"/>
  <c r="H2777" i="1"/>
  <c r="G2777" i="1"/>
  <c r="F2777" i="1"/>
  <c r="I2776" i="1"/>
  <c r="J2776" i="1" s="1"/>
  <c r="H2776" i="1"/>
  <c r="G2776" i="1"/>
  <c r="F2776" i="1"/>
  <c r="I2775" i="1"/>
  <c r="J2775" i="1" s="1"/>
  <c r="H2775" i="1"/>
  <c r="G2775" i="1"/>
  <c r="F2775" i="1"/>
  <c r="J2774" i="1"/>
  <c r="I2774" i="1"/>
  <c r="H2774" i="1"/>
  <c r="G2774" i="1"/>
  <c r="F2774" i="1"/>
  <c r="J2773" i="1"/>
  <c r="I2773" i="1"/>
  <c r="H2773" i="1"/>
  <c r="G2773" i="1"/>
  <c r="F2773" i="1"/>
  <c r="J2772" i="1"/>
  <c r="I2772" i="1"/>
  <c r="H2772" i="1"/>
  <c r="G2772" i="1"/>
  <c r="F2772" i="1"/>
  <c r="I2771" i="1"/>
  <c r="J2771" i="1" s="1"/>
  <c r="H2771" i="1"/>
  <c r="G2771" i="1"/>
  <c r="F2771" i="1"/>
  <c r="J2770" i="1"/>
  <c r="I2770" i="1"/>
  <c r="H2770" i="1"/>
  <c r="G2770" i="1"/>
  <c r="F2770" i="1"/>
  <c r="I2769" i="1"/>
  <c r="J2769" i="1" s="1"/>
  <c r="H2769" i="1"/>
  <c r="G2769" i="1"/>
  <c r="F2769" i="1"/>
  <c r="J2768" i="1"/>
  <c r="I2768" i="1"/>
  <c r="H2768" i="1"/>
  <c r="G2768" i="1"/>
  <c r="F2768" i="1"/>
  <c r="J2767" i="1"/>
  <c r="I2767" i="1"/>
  <c r="H2767" i="1"/>
  <c r="G2767" i="1"/>
  <c r="F2767" i="1"/>
  <c r="I2766" i="1"/>
  <c r="J2766" i="1" s="1"/>
  <c r="H2766" i="1"/>
  <c r="G2766" i="1"/>
  <c r="F2766" i="1"/>
  <c r="J2765" i="1"/>
  <c r="I2765" i="1"/>
  <c r="H2765" i="1"/>
  <c r="G2765" i="1"/>
  <c r="F2765" i="1"/>
  <c r="I2764" i="1"/>
  <c r="J2764" i="1" s="1"/>
  <c r="H2764" i="1"/>
  <c r="G2764" i="1"/>
  <c r="F2764" i="1"/>
  <c r="I2763" i="1"/>
  <c r="J2763" i="1" s="1"/>
  <c r="H2763" i="1"/>
  <c r="G2763" i="1"/>
  <c r="F2763" i="1"/>
  <c r="I2762" i="1"/>
  <c r="J2762" i="1" s="1"/>
  <c r="H2762" i="1"/>
  <c r="G2762" i="1"/>
  <c r="F2762" i="1"/>
  <c r="J2761" i="1"/>
  <c r="I2761" i="1"/>
  <c r="H2761" i="1"/>
  <c r="G2761" i="1"/>
  <c r="F2761" i="1"/>
  <c r="J2760" i="1"/>
  <c r="I2760" i="1"/>
  <c r="H2760" i="1"/>
  <c r="G2760" i="1"/>
  <c r="F2760" i="1"/>
  <c r="J2759" i="1"/>
  <c r="I2759" i="1"/>
  <c r="H2759" i="1"/>
  <c r="G2759" i="1"/>
  <c r="F2759" i="1"/>
  <c r="J2758" i="1"/>
  <c r="I2758" i="1"/>
  <c r="H2758" i="1"/>
  <c r="G2758" i="1"/>
  <c r="F2758" i="1"/>
  <c r="I2757" i="1"/>
  <c r="J2757" i="1" s="1"/>
  <c r="H2757" i="1"/>
  <c r="G2757" i="1"/>
  <c r="F2757" i="1"/>
  <c r="J2756" i="1"/>
  <c r="I2756" i="1"/>
  <c r="H2756" i="1"/>
  <c r="G2756" i="1"/>
  <c r="F2756" i="1"/>
  <c r="I2755" i="1"/>
  <c r="J2755" i="1" s="1"/>
  <c r="H2755" i="1"/>
  <c r="G2755" i="1"/>
  <c r="F2755" i="1"/>
  <c r="J2754" i="1"/>
  <c r="I2754" i="1"/>
  <c r="H2754" i="1"/>
  <c r="G2754" i="1"/>
  <c r="F2754" i="1"/>
  <c r="J2753" i="1"/>
  <c r="I2753" i="1"/>
  <c r="H2753" i="1"/>
  <c r="G2753" i="1"/>
  <c r="F2753" i="1"/>
  <c r="J2752" i="1"/>
  <c r="I2752" i="1"/>
  <c r="H2752" i="1"/>
  <c r="G2752" i="1"/>
  <c r="F2752" i="1"/>
  <c r="I2751" i="1"/>
  <c r="J2751" i="1" s="1"/>
  <c r="H2751" i="1"/>
  <c r="G2751" i="1"/>
  <c r="F2751" i="1"/>
  <c r="I2750" i="1"/>
  <c r="J2750" i="1" s="1"/>
  <c r="H2750" i="1"/>
  <c r="G2750" i="1"/>
  <c r="F2750" i="1"/>
  <c r="I2749" i="1"/>
  <c r="J2749" i="1" s="1"/>
  <c r="H2749" i="1"/>
  <c r="G2749" i="1"/>
  <c r="F2749" i="1"/>
  <c r="J2748" i="1"/>
  <c r="I2748" i="1"/>
  <c r="H2748" i="1"/>
  <c r="G2748" i="1"/>
  <c r="F2748" i="1"/>
  <c r="J2747" i="1"/>
  <c r="I2747" i="1"/>
  <c r="H2747" i="1"/>
  <c r="G2747" i="1"/>
  <c r="F2747" i="1"/>
  <c r="J2746" i="1"/>
  <c r="I2746" i="1"/>
  <c r="H2746" i="1"/>
  <c r="G2746" i="1"/>
  <c r="F2746" i="1"/>
  <c r="J2745" i="1"/>
  <c r="I2745" i="1"/>
  <c r="H2745" i="1"/>
  <c r="G2745" i="1"/>
  <c r="F2745" i="1"/>
  <c r="J2744" i="1"/>
  <c r="I2744" i="1"/>
  <c r="H2744" i="1"/>
  <c r="G2744" i="1"/>
  <c r="F2744" i="1"/>
  <c r="I2743" i="1"/>
  <c r="J2743" i="1" s="1"/>
  <c r="H2743" i="1"/>
  <c r="G2743" i="1"/>
  <c r="F2743" i="1"/>
  <c r="J2742" i="1"/>
  <c r="I2742" i="1"/>
  <c r="H2742" i="1"/>
  <c r="G2742" i="1"/>
  <c r="F2742" i="1"/>
  <c r="I2741" i="1"/>
  <c r="J2741" i="1" s="1"/>
  <c r="H2741" i="1"/>
  <c r="G2741" i="1"/>
  <c r="F2741" i="1"/>
  <c r="J2740" i="1"/>
  <c r="I2740" i="1"/>
  <c r="H2740" i="1"/>
  <c r="G2740" i="1"/>
  <c r="F2740" i="1"/>
  <c r="J2739" i="1"/>
  <c r="I2739" i="1"/>
  <c r="H2739" i="1"/>
  <c r="G2739" i="1"/>
  <c r="F2739" i="1"/>
  <c r="I2738" i="1"/>
  <c r="J2738" i="1" s="1"/>
  <c r="H2738" i="1"/>
  <c r="G2738" i="1"/>
  <c r="F2738" i="1"/>
  <c r="J2737" i="1"/>
  <c r="I2737" i="1"/>
  <c r="H2737" i="1"/>
  <c r="G2737" i="1"/>
  <c r="F2737" i="1"/>
  <c r="I2736" i="1"/>
  <c r="J2736" i="1" s="1"/>
  <c r="H2736" i="1"/>
  <c r="G2736" i="1"/>
  <c r="F2736" i="1"/>
  <c r="J2735" i="1"/>
  <c r="I2735" i="1"/>
  <c r="H2735" i="1"/>
  <c r="G2735" i="1"/>
  <c r="F2735" i="1"/>
  <c r="J2734" i="1"/>
  <c r="I2734" i="1"/>
  <c r="H2734" i="1"/>
  <c r="G2734" i="1"/>
  <c r="F2734" i="1"/>
  <c r="J2733" i="1"/>
  <c r="I2733" i="1"/>
  <c r="H2733" i="1"/>
  <c r="G2733" i="1"/>
  <c r="F2733" i="1"/>
  <c r="J2732" i="1"/>
  <c r="I2732" i="1"/>
  <c r="H2732" i="1"/>
  <c r="G2732" i="1"/>
  <c r="F2732" i="1"/>
  <c r="I2731" i="1"/>
  <c r="J2731" i="1" s="1"/>
  <c r="H2731" i="1"/>
  <c r="G2731" i="1"/>
  <c r="F2731" i="1"/>
  <c r="J2730" i="1"/>
  <c r="I2730" i="1"/>
  <c r="H2730" i="1"/>
  <c r="G2730" i="1"/>
  <c r="F2730" i="1"/>
  <c r="I2729" i="1"/>
  <c r="J2729" i="1" s="1"/>
  <c r="H2729" i="1"/>
  <c r="G2729" i="1"/>
  <c r="F2729" i="1"/>
  <c r="I2728" i="1"/>
  <c r="J2728" i="1" s="1"/>
  <c r="H2728" i="1"/>
  <c r="G2728" i="1"/>
  <c r="F2728" i="1"/>
  <c r="I2727" i="1"/>
  <c r="J2727" i="1" s="1"/>
  <c r="H2727" i="1"/>
  <c r="G2727" i="1"/>
  <c r="F2727" i="1"/>
  <c r="J2726" i="1"/>
  <c r="I2726" i="1"/>
  <c r="H2726" i="1"/>
  <c r="G2726" i="1"/>
  <c r="F2726" i="1"/>
  <c r="I2725" i="1"/>
  <c r="J2725" i="1" s="1"/>
  <c r="H2725" i="1"/>
  <c r="G2725" i="1"/>
  <c r="F2725" i="1"/>
  <c r="I2724" i="1"/>
  <c r="J2724" i="1" s="1"/>
  <c r="H2724" i="1"/>
  <c r="G2724" i="1"/>
  <c r="F2724" i="1"/>
  <c r="I2723" i="1"/>
  <c r="J2723" i="1" s="1"/>
  <c r="H2723" i="1"/>
  <c r="G2723" i="1"/>
  <c r="F2723" i="1"/>
  <c r="J2722" i="1"/>
  <c r="I2722" i="1"/>
  <c r="H2722" i="1"/>
  <c r="G2722" i="1"/>
  <c r="F2722" i="1"/>
  <c r="J2721" i="1"/>
  <c r="I2721" i="1"/>
  <c r="H2721" i="1"/>
  <c r="G2721" i="1"/>
  <c r="F2721" i="1"/>
  <c r="I2720" i="1"/>
  <c r="J2720" i="1" s="1"/>
  <c r="H2720" i="1"/>
  <c r="G2720" i="1"/>
  <c r="F2720" i="1"/>
  <c r="J2719" i="1"/>
  <c r="I2719" i="1"/>
  <c r="H2719" i="1"/>
  <c r="G2719" i="1"/>
  <c r="F2719" i="1"/>
  <c r="J2718" i="1"/>
  <c r="I2718" i="1"/>
  <c r="H2718" i="1"/>
  <c r="G2718" i="1"/>
  <c r="F2718" i="1"/>
  <c r="J2717" i="1"/>
  <c r="I2717" i="1"/>
  <c r="H2717" i="1"/>
  <c r="G2717" i="1"/>
  <c r="F2717" i="1"/>
  <c r="J2716" i="1"/>
  <c r="I2716" i="1"/>
  <c r="H2716" i="1"/>
  <c r="G2716" i="1"/>
  <c r="F2716" i="1"/>
  <c r="I2715" i="1"/>
  <c r="J2715" i="1" s="1"/>
  <c r="H2715" i="1"/>
  <c r="G2715" i="1"/>
  <c r="F2715" i="1"/>
  <c r="J2714" i="1"/>
  <c r="I2714" i="1"/>
  <c r="H2714" i="1"/>
  <c r="G2714" i="1"/>
  <c r="F2714" i="1"/>
  <c r="I2713" i="1"/>
  <c r="J2713" i="1" s="1"/>
  <c r="H2713" i="1"/>
  <c r="G2713" i="1"/>
  <c r="F2713" i="1"/>
  <c r="I2712" i="1"/>
  <c r="J2712" i="1" s="1"/>
  <c r="H2712" i="1"/>
  <c r="G2712" i="1"/>
  <c r="F2712" i="1"/>
  <c r="I2711" i="1"/>
  <c r="J2711" i="1" s="1"/>
  <c r="H2711" i="1"/>
  <c r="G2711" i="1"/>
  <c r="F2711" i="1"/>
  <c r="I2710" i="1"/>
  <c r="J2710" i="1" s="1"/>
  <c r="H2710" i="1"/>
  <c r="G2710" i="1"/>
  <c r="F2710" i="1"/>
  <c r="J2709" i="1"/>
  <c r="I2709" i="1"/>
  <c r="H2709" i="1"/>
  <c r="G2709" i="1"/>
  <c r="F2709" i="1"/>
  <c r="J2708" i="1"/>
  <c r="I2708" i="1"/>
  <c r="H2708" i="1"/>
  <c r="G2708" i="1"/>
  <c r="F2708" i="1"/>
  <c r="J2707" i="1"/>
  <c r="I2707" i="1"/>
  <c r="H2707" i="1"/>
  <c r="G2707" i="1"/>
  <c r="F2707" i="1"/>
  <c r="J2706" i="1"/>
  <c r="I2706" i="1"/>
  <c r="H2706" i="1"/>
  <c r="G2706" i="1"/>
  <c r="F2706" i="1"/>
  <c r="I2705" i="1"/>
  <c r="J2705" i="1" s="1"/>
  <c r="H2705" i="1"/>
  <c r="G2705" i="1"/>
  <c r="F2705" i="1"/>
  <c r="J2704" i="1"/>
  <c r="I2704" i="1"/>
  <c r="H2704" i="1"/>
  <c r="G2704" i="1"/>
  <c r="F2704" i="1"/>
  <c r="I2703" i="1"/>
  <c r="J2703" i="1" s="1"/>
  <c r="H2703" i="1"/>
  <c r="G2703" i="1"/>
  <c r="F2703" i="1"/>
  <c r="J2702" i="1"/>
  <c r="I2702" i="1"/>
  <c r="H2702" i="1"/>
  <c r="G2702" i="1"/>
  <c r="F2702" i="1"/>
  <c r="I2701" i="1"/>
  <c r="J2701" i="1" s="1"/>
  <c r="H2701" i="1"/>
  <c r="G2701" i="1"/>
  <c r="F2701" i="1"/>
  <c r="I2700" i="1"/>
  <c r="J2700" i="1" s="1"/>
  <c r="H2700" i="1"/>
  <c r="G2700" i="1"/>
  <c r="F2700" i="1"/>
  <c r="I2699" i="1"/>
  <c r="J2699" i="1" s="1"/>
  <c r="H2699" i="1"/>
  <c r="G2699" i="1"/>
  <c r="F2699" i="1"/>
  <c r="I2698" i="1"/>
  <c r="J2698" i="1" s="1"/>
  <c r="H2698" i="1"/>
  <c r="G2698" i="1"/>
  <c r="F2698" i="1"/>
  <c r="I2697" i="1"/>
  <c r="J2697" i="1" s="1"/>
  <c r="H2697" i="1"/>
  <c r="G2697" i="1"/>
  <c r="F2697" i="1"/>
  <c r="J2696" i="1"/>
  <c r="I2696" i="1"/>
  <c r="H2696" i="1"/>
  <c r="G2696" i="1"/>
  <c r="F2696" i="1"/>
  <c r="J2695" i="1"/>
  <c r="I2695" i="1"/>
  <c r="H2695" i="1"/>
  <c r="G2695" i="1"/>
  <c r="F2695" i="1"/>
  <c r="J2694" i="1"/>
  <c r="I2694" i="1"/>
  <c r="H2694" i="1"/>
  <c r="G2694" i="1"/>
  <c r="F2694" i="1"/>
  <c r="J2693" i="1"/>
  <c r="I2693" i="1"/>
  <c r="H2693" i="1"/>
  <c r="G2693" i="1"/>
  <c r="F2693" i="1"/>
  <c r="I2692" i="1"/>
  <c r="J2692" i="1" s="1"/>
  <c r="H2692" i="1"/>
  <c r="G2692" i="1"/>
  <c r="F2692" i="1"/>
  <c r="J2691" i="1"/>
  <c r="I2691" i="1"/>
  <c r="H2691" i="1"/>
  <c r="G2691" i="1"/>
  <c r="F2691" i="1"/>
  <c r="J2690" i="1"/>
  <c r="I2690" i="1"/>
  <c r="H2690" i="1"/>
  <c r="G2690" i="1"/>
  <c r="F2690" i="1"/>
  <c r="J2689" i="1"/>
  <c r="I2689" i="1"/>
  <c r="H2689" i="1"/>
  <c r="G2689" i="1"/>
  <c r="F2689" i="1"/>
  <c r="J2688" i="1"/>
  <c r="I2688" i="1"/>
  <c r="H2688" i="1"/>
  <c r="G2688" i="1"/>
  <c r="F2688" i="1"/>
  <c r="I2687" i="1"/>
  <c r="J2687" i="1" s="1"/>
  <c r="H2687" i="1"/>
  <c r="G2687" i="1"/>
  <c r="F2687" i="1"/>
  <c r="J2686" i="1"/>
  <c r="I2686" i="1"/>
  <c r="H2686" i="1"/>
  <c r="G2686" i="1"/>
  <c r="F2686" i="1"/>
  <c r="I2685" i="1"/>
  <c r="J2685" i="1" s="1"/>
  <c r="H2685" i="1"/>
  <c r="G2685" i="1"/>
  <c r="F2685" i="1"/>
  <c r="I2684" i="1"/>
  <c r="J2684" i="1" s="1"/>
  <c r="H2684" i="1"/>
  <c r="G2684" i="1"/>
  <c r="F2684" i="1"/>
  <c r="J2683" i="1"/>
  <c r="I2683" i="1"/>
  <c r="H2683" i="1"/>
  <c r="G2683" i="1"/>
  <c r="F2683" i="1"/>
  <c r="J2682" i="1"/>
  <c r="I2682" i="1"/>
  <c r="H2682" i="1"/>
  <c r="G2682" i="1"/>
  <c r="F2682" i="1"/>
  <c r="J2681" i="1"/>
  <c r="I2681" i="1"/>
  <c r="H2681" i="1"/>
  <c r="G2681" i="1"/>
  <c r="F2681" i="1"/>
  <c r="J2680" i="1"/>
  <c r="I2680" i="1"/>
  <c r="H2680" i="1"/>
  <c r="G2680" i="1"/>
  <c r="F2680" i="1"/>
  <c r="I2679" i="1"/>
  <c r="J2679" i="1" s="1"/>
  <c r="H2679" i="1"/>
  <c r="G2679" i="1"/>
  <c r="F2679" i="1"/>
  <c r="I2678" i="1"/>
  <c r="J2678" i="1" s="1"/>
  <c r="H2678" i="1"/>
  <c r="G2678" i="1"/>
  <c r="F2678" i="1"/>
  <c r="I2677" i="1"/>
  <c r="J2677" i="1" s="1"/>
  <c r="H2677" i="1"/>
  <c r="G2677" i="1"/>
  <c r="F2677" i="1"/>
  <c r="J2676" i="1"/>
  <c r="I2676" i="1"/>
  <c r="H2676" i="1"/>
  <c r="G2676" i="1"/>
  <c r="F2676" i="1"/>
  <c r="J2675" i="1"/>
  <c r="I2675" i="1"/>
  <c r="H2675" i="1"/>
  <c r="G2675" i="1"/>
  <c r="F2675" i="1"/>
  <c r="J2674" i="1"/>
  <c r="I2674" i="1"/>
  <c r="H2674" i="1"/>
  <c r="G2674" i="1"/>
  <c r="F2674" i="1"/>
  <c r="I2673" i="1"/>
  <c r="J2673" i="1" s="1"/>
  <c r="H2673" i="1"/>
  <c r="G2673" i="1"/>
  <c r="F2673" i="1"/>
  <c r="J2672" i="1"/>
  <c r="I2672" i="1"/>
  <c r="H2672" i="1"/>
  <c r="G2672" i="1"/>
  <c r="F2672" i="1"/>
  <c r="I2671" i="1"/>
  <c r="J2671" i="1" s="1"/>
  <c r="H2671" i="1"/>
  <c r="G2671" i="1"/>
  <c r="F2671" i="1"/>
  <c r="J2670" i="1"/>
  <c r="I2670" i="1"/>
  <c r="H2670" i="1"/>
  <c r="G2670" i="1"/>
  <c r="F2670" i="1"/>
  <c r="J2669" i="1"/>
  <c r="I2669" i="1"/>
  <c r="H2669" i="1"/>
  <c r="G2669" i="1"/>
  <c r="F2669" i="1"/>
  <c r="J2668" i="1"/>
  <c r="I2668" i="1"/>
  <c r="H2668" i="1"/>
  <c r="G2668" i="1"/>
  <c r="F2668" i="1"/>
  <c r="J2667" i="1"/>
  <c r="I2667" i="1"/>
  <c r="H2667" i="1"/>
  <c r="G2667" i="1"/>
  <c r="F2667" i="1"/>
  <c r="I2666" i="1"/>
  <c r="J2666" i="1" s="1"/>
  <c r="H2666" i="1"/>
  <c r="G2666" i="1"/>
  <c r="F2666" i="1"/>
  <c r="J2665" i="1"/>
  <c r="I2665" i="1"/>
  <c r="H2665" i="1"/>
  <c r="G2665" i="1"/>
  <c r="F2665" i="1"/>
  <c r="I2664" i="1"/>
  <c r="J2664" i="1" s="1"/>
  <c r="H2664" i="1"/>
  <c r="G2664" i="1"/>
  <c r="F2664" i="1"/>
  <c r="I2663" i="1"/>
  <c r="H2663" i="1"/>
  <c r="G2663" i="1"/>
  <c r="F2663" i="1"/>
  <c r="I2662" i="1"/>
  <c r="H2662" i="1"/>
  <c r="G2662" i="1"/>
  <c r="F2662" i="1"/>
  <c r="J2661" i="1"/>
  <c r="I2661" i="1"/>
  <c r="H2661" i="1"/>
  <c r="G2661" i="1"/>
  <c r="F2661" i="1"/>
  <c r="I2660" i="1"/>
  <c r="H2660" i="1"/>
  <c r="G2660" i="1"/>
  <c r="F2660" i="1"/>
  <c r="I2659" i="1"/>
  <c r="J2659" i="1" s="1"/>
  <c r="H2659" i="1"/>
  <c r="G2659" i="1"/>
  <c r="F2659" i="1"/>
  <c r="J2658" i="1"/>
  <c r="I2658" i="1"/>
  <c r="H2658" i="1"/>
  <c r="G2658" i="1"/>
  <c r="F2658" i="1"/>
  <c r="I2657" i="1"/>
  <c r="J2657" i="1" s="1"/>
  <c r="H2657" i="1"/>
  <c r="G2657" i="1"/>
  <c r="F2657" i="1"/>
  <c r="J2656" i="1"/>
  <c r="I2656" i="1"/>
  <c r="H2656" i="1"/>
  <c r="G2656" i="1"/>
  <c r="F2656" i="1"/>
  <c r="J2655" i="1"/>
  <c r="I2655" i="1"/>
  <c r="H2655" i="1"/>
  <c r="G2655" i="1"/>
  <c r="F2655" i="1"/>
  <c r="J2654" i="1"/>
  <c r="I2654" i="1"/>
  <c r="H2654" i="1"/>
  <c r="G2654" i="1"/>
  <c r="F2654" i="1"/>
  <c r="I2653" i="1"/>
  <c r="J2653" i="1" s="1"/>
  <c r="H2653" i="1"/>
  <c r="G2653" i="1"/>
  <c r="F2653" i="1"/>
  <c r="I2652" i="1"/>
  <c r="J2652" i="1" s="1"/>
  <c r="H2652" i="1"/>
  <c r="G2652" i="1"/>
  <c r="F2652" i="1"/>
  <c r="I2651" i="1"/>
  <c r="J2651" i="1" s="1"/>
  <c r="H2651" i="1"/>
  <c r="G2651" i="1"/>
  <c r="F2651" i="1"/>
  <c r="J2650" i="1"/>
  <c r="I2650" i="1"/>
  <c r="H2650" i="1"/>
  <c r="G2650" i="1"/>
  <c r="F2650" i="1"/>
  <c r="I2649" i="1"/>
  <c r="H2649" i="1"/>
  <c r="G2649" i="1"/>
  <c r="F2649" i="1"/>
  <c r="I2648" i="1"/>
  <c r="H2648" i="1"/>
  <c r="G2648" i="1"/>
  <c r="F2648" i="1"/>
  <c r="I2647" i="1"/>
  <c r="H2647" i="1"/>
  <c r="G2647" i="1"/>
  <c r="F2647" i="1"/>
  <c r="J2646" i="1"/>
  <c r="I2646" i="1"/>
  <c r="H2646" i="1"/>
  <c r="G2646" i="1"/>
  <c r="F2646" i="1"/>
  <c r="I2645" i="1"/>
  <c r="H2645" i="1"/>
  <c r="G2645" i="1"/>
  <c r="F2645" i="1"/>
  <c r="J2644" i="1"/>
  <c r="I2644" i="1"/>
  <c r="H2644" i="1"/>
  <c r="G2644" i="1"/>
  <c r="F2644" i="1"/>
  <c r="I2643" i="1"/>
  <c r="J2643" i="1" s="1"/>
  <c r="H2643" i="1"/>
  <c r="G2643" i="1"/>
  <c r="F2643" i="1"/>
  <c r="J2642" i="1"/>
  <c r="I2642" i="1"/>
  <c r="H2642" i="1"/>
  <c r="G2642" i="1"/>
  <c r="F2642" i="1"/>
  <c r="J2641" i="1"/>
  <c r="I2641" i="1"/>
  <c r="H2641" i="1"/>
  <c r="G2641" i="1"/>
  <c r="F2641" i="1"/>
  <c r="I2640" i="1"/>
  <c r="J2640" i="1" s="1"/>
  <c r="H2640" i="1"/>
  <c r="G2640" i="1"/>
  <c r="F2640" i="1"/>
  <c r="J2639" i="1"/>
  <c r="I2639" i="1"/>
  <c r="H2639" i="1"/>
  <c r="G2639" i="1"/>
  <c r="F2639" i="1"/>
  <c r="I2638" i="1"/>
  <c r="J2638" i="1" s="1"/>
  <c r="H2638" i="1"/>
  <c r="G2638" i="1"/>
  <c r="F2638" i="1"/>
  <c r="J2637" i="1"/>
  <c r="I2637" i="1"/>
  <c r="H2637" i="1"/>
  <c r="G2637" i="1"/>
  <c r="F2637" i="1"/>
  <c r="I2636" i="1"/>
  <c r="J2636" i="1" s="1"/>
  <c r="H2636" i="1"/>
  <c r="G2636" i="1"/>
  <c r="F2636" i="1"/>
  <c r="J2635" i="1"/>
  <c r="I2635" i="1"/>
  <c r="H2635" i="1"/>
  <c r="G2635" i="1"/>
  <c r="F2635" i="1"/>
  <c r="J2634" i="1"/>
  <c r="I2634" i="1"/>
  <c r="H2634" i="1"/>
  <c r="G2634" i="1"/>
  <c r="F2634" i="1"/>
  <c r="I2633" i="1"/>
  <c r="J2633" i="1" s="1"/>
  <c r="H2633" i="1"/>
  <c r="G2633" i="1"/>
  <c r="F2633" i="1"/>
  <c r="J2632" i="1"/>
  <c r="I2632" i="1"/>
  <c r="H2632" i="1"/>
  <c r="G2632" i="1"/>
  <c r="F2632" i="1"/>
  <c r="I2631" i="1"/>
  <c r="J2631" i="1" s="1"/>
  <c r="H2631" i="1"/>
  <c r="G2631" i="1"/>
  <c r="F2631" i="1"/>
  <c r="I2630" i="1"/>
  <c r="J2630" i="1" s="1"/>
  <c r="H2630" i="1"/>
  <c r="G2630" i="1"/>
  <c r="F2630" i="1"/>
  <c r="I2629" i="1"/>
  <c r="J2629" i="1" s="1"/>
  <c r="H2629" i="1"/>
  <c r="G2629" i="1"/>
  <c r="F2629" i="1"/>
  <c r="J2628" i="1"/>
  <c r="I2628" i="1"/>
  <c r="H2628" i="1"/>
  <c r="G2628" i="1"/>
  <c r="F2628" i="1"/>
  <c r="I2627" i="1"/>
  <c r="J2627" i="1" s="1"/>
  <c r="H2627" i="1"/>
  <c r="G2627" i="1"/>
  <c r="F2627" i="1"/>
  <c r="I2626" i="1"/>
  <c r="J2626" i="1" s="1"/>
  <c r="H2626" i="1"/>
  <c r="G2626" i="1"/>
  <c r="F2626" i="1"/>
  <c r="I2625" i="1"/>
  <c r="J2625" i="1" s="1"/>
  <c r="H2625" i="1"/>
  <c r="G2625" i="1"/>
  <c r="F2625" i="1"/>
  <c r="J2624" i="1"/>
  <c r="I2624" i="1"/>
  <c r="H2624" i="1"/>
  <c r="G2624" i="1"/>
  <c r="F2624" i="1"/>
  <c r="J2623" i="1"/>
  <c r="I2623" i="1"/>
  <c r="H2623" i="1"/>
  <c r="G2623" i="1"/>
  <c r="F2623" i="1"/>
  <c r="I2622" i="1"/>
  <c r="J2622" i="1" s="1"/>
  <c r="H2622" i="1"/>
  <c r="G2622" i="1"/>
  <c r="F2622" i="1"/>
  <c r="J2621" i="1"/>
  <c r="I2621" i="1"/>
  <c r="H2621" i="1"/>
  <c r="G2621" i="1"/>
  <c r="F2621" i="1"/>
  <c r="J2620" i="1"/>
  <c r="I2620" i="1"/>
  <c r="H2620" i="1"/>
  <c r="G2620" i="1"/>
  <c r="F2620" i="1"/>
  <c r="J2619" i="1"/>
  <c r="I2619" i="1"/>
  <c r="H2619" i="1"/>
  <c r="G2619" i="1"/>
  <c r="F2619" i="1"/>
  <c r="J2618" i="1"/>
  <c r="I2618" i="1"/>
  <c r="H2618" i="1"/>
  <c r="G2618" i="1"/>
  <c r="F2618" i="1"/>
  <c r="I2617" i="1"/>
  <c r="J2617" i="1" s="1"/>
  <c r="H2617" i="1"/>
  <c r="G2617" i="1"/>
  <c r="F2617" i="1"/>
  <c r="J2616" i="1"/>
  <c r="I2616" i="1"/>
  <c r="H2616" i="1"/>
  <c r="G2616" i="1"/>
  <c r="F2616" i="1"/>
  <c r="I2615" i="1"/>
  <c r="J2615" i="1" s="1"/>
  <c r="H2615" i="1"/>
  <c r="G2615" i="1"/>
  <c r="F2615" i="1"/>
  <c r="I2614" i="1"/>
  <c r="J2614" i="1" s="1"/>
  <c r="H2614" i="1"/>
  <c r="G2614" i="1"/>
  <c r="F2614" i="1"/>
  <c r="I2613" i="1"/>
  <c r="J2613" i="1" s="1"/>
  <c r="H2613" i="1"/>
  <c r="G2613" i="1"/>
  <c r="F2613" i="1"/>
  <c r="I2612" i="1"/>
  <c r="J2612" i="1" s="1"/>
  <c r="H2612" i="1"/>
  <c r="G2612" i="1"/>
  <c r="F2612" i="1"/>
  <c r="J2611" i="1"/>
  <c r="I2611" i="1"/>
  <c r="H2611" i="1"/>
  <c r="G2611" i="1"/>
  <c r="F2611" i="1"/>
  <c r="J2610" i="1"/>
  <c r="I2610" i="1"/>
  <c r="H2610" i="1"/>
  <c r="G2610" i="1"/>
  <c r="F2610" i="1"/>
  <c r="J2609" i="1"/>
  <c r="I2609" i="1"/>
  <c r="H2609" i="1"/>
  <c r="G2609" i="1"/>
  <c r="F2609" i="1"/>
  <c r="J2608" i="1"/>
  <c r="I2608" i="1"/>
  <c r="H2608" i="1"/>
  <c r="G2608" i="1"/>
  <c r="F2608" i="1"/>
  <c r="I2607" i="1"/>
  <c r="J2607" i="1" s="1"/>
  <c r="H2607" i="1"/>
  <c r="G2607" i="1"/>
  <c r="F2607" i="1"/>
  <c r="J2606" i="1"/>
  <c r="I2606" i="1"/>
  <c r="H2606" i="1"/>
  <c r="G2606" i="1"/>
  <c r="F2606" i="1"/>
  <c r="I2605" i="1"/>
  <c r="J2605" i="1" s="1"/>
  <c r="H2605" i="1"/>
  <c r="G2605" i="1"/>
  <c r="F2605" i="1"/>
  <c r="J2604" i="1"/>
  <c r="I2604" i="1"/>
  <c r="H2604" i="1"/>
  <c r="G2604" i="1"/>
  <c r="F2604" i="1"/>
  <c r="I2603" i="1"/>
  <c r="J2603" i="1" s="1"/>
  <c r="H2603" i="1"/>
  <c r="G2603" i="1"/>
  <c r="F2603" i="1"/>
  <c r="I2602" i="1"/>
  <c r="J2602" i="1" s="1"/>
  <c r="H2602" i="1"/>
  <c r="G2602" i="1"/>
  <c r="F2602" i="1"/>
  <c r="I2601" i="1"/>
  <c r="J2601" i="1" s="1"/>
  <c r="H2601" i="1"/>
  <c r="G2601" i="1"/>
  <c r="F2601" i="1"/>
  <c r="I2600" i="1"/>
  <c r="J2600" i="1" s="1"/>
  <c r="H2600" i="1"/>
  <c r="G2600" i="1"/>
  <c r="F2600" i="1"/>
  <c r="I2599" i="1"/>
  <c r="J2599" i="1" s="1"/>
  <c r="H2599" i="1"/>
  <c r="G2599" i="1"/>
  <c r="F2599" i="1"/>
  <c r="J2598" i="1"/>
  <c r="I2598" i="1"/>
  <c r="H2598" i="1"/>
  <c r="G2598" i="1"/>
  <c r="F2598" i="1"/>
  <c r="J2597" i="1"/>
  <c r="I2597" i="1"/>
  <c r="H2597" i="1"/>
  <c r="G2597" i="1"/>
  <c r="F2597" i="1"/>
  <c r="J2596" i="1"/>
  <c r="I2596" i="1"/>
  <c r="H2596" i="1"/>
  <c r="G2596" i="1"/>
  <c r="F2596" i="1"/>
  <c r="J2595" i="1"/>
  <c r="I2595" i="1"/>
  <c r="H2595" i="1"/>
  <c r="G2595" i="1"/>
  <c r="F2595" i="1"/>
  <c r="I2594" i="1"/>
  <c r="J2594" i="1" s="1"/>
  <c r="H2594" i="1"/>
  <c r="G2594" i="1"/>
  <c r="F2594" i="1"/>
  <c r="J2593" i="1"/>
  <c r="I2593" i="1"/>
  <c r="H2593" i="1"/>
  <c r="G2593" i="1"/>
  <c r="F2593" i="1"/>
  <c r="J2592" i="1"/>
  <c r="I2592" i="1"/>
  <c r="H2592" i="1"/>
  <c r="G2592" i="1"/>
  <c r="F2592" i="1"/>
  <c r="J2591" i="1"/>
  <c r="I2591" i="1"/>
  <c r="H2591" i="1"/>
  <c r="G2591" i="1"/>
  <c r="F2591" i="1"/>
  <c r="J2590" i="1"/>
  <c r="I2590" i="1"/>
  <c r="H2590" i="1"/>
  <c r="G2590" i="1"/>
  <c r="F2590" i="1"/>
  <c r="I2589" i="1"/>
  <c r="J2589" i="1" s="1"/>
  <c r="H2589" i="1"/>
  <c r="G2589" i="1"/>
  <c r="F2589" i="1"/>
  <c r="J2588" i="1"/>
  <c r="I2588" i="1"/>
  <c r="H2588" i="1"/>
  <c r="G2588" i="1"/>
  <c r="F2588" i="1"/>
  <c r="I2587" i="1"/>
  <c r="J2587" i="1" s="1"/>
  <c r="H2587" i="1"/>
  <c r="G2587" i="1"/>
  <c r="F2587" i="1"/>
  <c r="I2586" i="1"/>
  <c r="J2586" i="1" s="1"/>
  <c r="H2586" i="1"/>
  <c r="G2586" i="1"/>
  <c r="F2586" i="1"/>
  <c r="J2585" i="1"/>
  <c r="I2585" i="1"/>
  <c r="H2585" i="1"/>
  <c r="G2585" i="1"/>
  <c r="F2585" i="1"/>
  <c r="J2584" i="1"/>
  <c r="I2584" i="1"/>
  <c r="H2584" i="1"/>
  <c r="G2584" i="1"/>
  <c r="F2584" i="1"/>
  <c r="J2583" i="1"/>
  <c r="I2583" i="1"/>
  <c r="H2583" i="1"/>
  <c r="G2583" i="1"/>
  <c r="F2583" i="1"/>
  <c r="J2582" i="1"/>
  <c r="I2582" i="1"/>
  <c r="H2582" i="1"/>
  <c r="G2582" i="1"/>
  <c r="F2582" i="1"/>
  <c r="I2581" i="1"/>
  <c r="J2581" i="1" s="1"/>
  <c r="H2581" i="1"/>
  <c r="G2581" i="1"/>
  <c r="F2581" i="1"/>
  <c r="I2580" i="1"/>
  <c r="J2580" i="1" s="1"/>
  <c r="H2580" i="1"/>
  <c r="G2580" i="1"/>
  <c r="F2580" i="1"/>
  <c r="I2579" i="1"/>
  <c r="J2579" i="1" s="1"/>
  <c r="H2579" i="1"/>
  <c r="G2579" i="1"/>
  <c r="F2579" i="1"/>
  <c r="J2578" i="1"/>
  <c r="I2578" i="1"/>
  <c r="H2578" i="1"/>
  <c r="G2578" i="1"/>
  <c r="F2578" i="1"/>
  <c r="J2577" i="1"/>
  <c r="I2577" i="1"/>
  <c r="H2577" i="1"/>
  <c r="G2577" i="1"/>
  <c r="F2577" i="1"/>
  <c r="J2576" i="1"/>
  <c r="I2576" i="1"/>
  <c r="H2576" i="1"/>
  <c r="G2576" i="1"/>
  <c r="F2576" i="1"/>
  <c r="I2575" i="1"/>
  <c r="J2575" i="1" s="1"/>
  <c r="H2575" i="1"/>
  <c r="G2575" i="1"/>
  <c r="F2575" i="1"/>
  <c r="J2574" i="1"/>
  <c r="I2574" i="1"/>
  <c r="H2574" i="1"/>
  <c r="G2574" i="1"/>
  <c r="F2574" i="1"/>
  <c r="I2573" i="1"/>
  <c r="J2573" i="1" s="1"/>
  <c r="H2573" i="1"/>
  <c r="G2573" i="1"/>
  <c r="F2573" i="1"/>
  <c r="J2572" i="1"/>
  <c r="I2572" i="1"/>
  <c r="H2572" i="1"/>
  <c r="G2572" i="1"/>
  <c r="F2572" i="1"/>
  <c r="J2571" i="1"/>
  <c r="I2571" i="1"/>
  <c r="H2571" i="1"/>
  <c r="G2571" i="1"/>
  <c r="F2571" i="1"/>
  <c r="I2570" i="1"/>
  <c r="J2570" i="1" s="1"/>
  <c r="H2570" i="1"/>
  <c r="G2570" i="1"/>
  <c r="F2570" i="1"/>
  <c r="J2569" i="1"/>
  <c r="I2569" i="1"/>
  <c r="H2569" i="1"/>
  <c r="G2569" i="1"/>
  <c r="F2569" i="1"/>
  <c r="I2568" i="1"/>
  <c r="J2568" i="1" s="1"/>
  <c r="H2568" i="1"/>
  <c r="G2568" i="1"/>
  <c r="F2568" i="1"/>
  <c r="I2567" i="1"/>
  <c r="J2567" i="1" s="1"/>
  <c r="H2567" i="1"/>
  <c r="G2567" i="1"/>
  <c r="F2567" i="1"/>
  <c r="I2566" i="1"/>
  <c r="J2566" i="1" s="1"/>
  <c r="H2566" i="1"/>
  <c r="G2566" i="1"/>
  <c r="F2566" i="1"/>
  <c r="J2565" i="1"/>
  <c r="I2565" i="1"/>
  <c r="H2565" i="1"/>
  <c r="G2565" i="1"/>
  <c r="F2565" i="1"/>
  <c r="J2564" i="1"/>
  <c r="I2564" i="1"/>
  <c r="H2564" i="1"/>
  <c r="G2564" i="1"/>
  <c r="F2564" i="1"/>
  <c r="J2563" i="1"/>
  <c r="I2563" i="1"/>
  <c r="H2563" i="1"/>
  <c r="G2563" i="1"/>
  <c r="F2563" i="1"/>
  <c r="J2562" i="1"/>
  <c r="I2562" i="1"/>
  <c r="H2562" i="1"/>
  <c r="G2562" i="1"/>
  <c r="F2562" i="1"/>
  <c r="I2561" i="1"/>
  <c r="J2561" i="1" s="1"/>
  <c r="H2561" i="1"/>
  <c r="G2561" i="1"/>
  <c r="F2561" i="1"/>
  <c r="J2560" i="1"/>
  <c r="I2560" i="1"/>
  <c r="H2560" i="1"/>
  <c r="G2560" i="1"/>
  <c r="F2560" i="1"/>
  <c r="I2559" i="1"/>
  <c r="J2559" i="1" s="1"/>
  <c r="H2559" i="1"/>
  <c r="G2559" i="1"/>
  <c r="F2559" i="1"/>
  <c r="J2558" i="1"/>
  <c r="I2558" i="1"/>
  <c r="H2558" i="1"/>
  <c r="G2558" i="1"/>
  <c r="F2558" i="1"/>
  <c r="J2557" i="1"/>
  <c r="I2557" i="1"/>
  <c r="H2557" i="1"/>
  <c r="G2557" i="1"/>
  <c r="F2557" i="1"/>
  <c r="J2556" i="1"/>
  <c r="I2556" i="1"/>
  <c r="H2556" i="1"/>
  <c r="G2556" i="1"/>
  <c r="F2556" i="1"/>
  <c r="I2555" i="1"/>
  <c r="J2555" i="1" s="1"/>
  <c r="H2555" i="1"/>
  <c r="G2555" i="1"/>
  <c r="F2555" i="1"/>
  <c r="I2554" i="1"/>
  <c r="J2554" i="1" s="1"/>
  <c r="H2554" i="1"/>
  <c r="G2554" i="1"/>
  <c r="F2554" i="1"/>
  <c r="I2553" i="1"/>
  <c r="J2553" i="1" s="1"/>
  <c r="H2553" i="1"/>
  <c r="G2553" i="1"/>
  <c r="F2553" i="1"/>
  <c r="J2552" i="1"/>
  <c r="I2552" i="1"/>
  <c r="H2552" i="1"/>
  <c r="G2552" i="1"/>
  <c r="F2552" i="1"/>
  <c r="J2551" i="1"/>
  <c r="I2551" i="1"/>
  <c r="H2551" i="1"/>
  <c r="G2551" i="1"/>
  <c r="F2551" i="1"/>
  <c r="J2550" i="1"/>
  <c r="I2550" i="1"/>
  <c r="H2550" i="1"/>
  <c r="G2550" i="1"/>
  <c r="F2550" i="1"/>
  <c r="J2549" i="1"/>
  <c r="I2549" i="1"/>
  <c r="H2549" i="1"/>
  <c r="G2549" i="1"/>
  <c r="F2549" i="1"/>
  <c r="I2548" i="1"/>
  <c r="J2548" i="1" s="1"/>
  <c r="H2548" i="1"/>
  <c r="G2548" i="1"/>
  <c r="F2548" i="1"/>
  <c r="J2547" i="1"/>
  <c r="I2547" i="1"/>
  <c r="H2547" i="1"/>
  <c r="G2547" i="1"/>
  <c r="F2547" i="1"/>
  <c r="I2546" i="1"/>
  <c r="J2546" i="1" s="1"/>
  <c r="H2546" i="1"/>
  <c r="G2546" i="1"/>
  <c r="F2546" i="1"/>
  <c r="J2545" i="1"/>
  <c r="I2545" i="1"/>
  <c r="H2545" i="1"/>
  <c r="G2545" i="1"/>
  <c r="F2545" i="1"/>
  <c r="J2544" i="1"/>
  <c r="I2544" i="1"/>
  <c r="H2544" i="1"/>
  <c r="G2544" i="1"/>
  <c r="F2544" i="1"/>
  <c r="J2543" i="1"/>
  <c r="I2543" i="1"/>
  <c r="H2543" i="1"/>
  <c r="G2543" i="1"/>
  <c r="F2543" i="1"/>
  <c r="J2542" i="1"/>
  <c r="I2542" i="1"/>
  <c r="H2542" i="1"/>
  <c r="G2542" i="1"/>
  <c r="F2542" i="1"/>
  <c r="I2541" i="1"/>
  <c r="J2541" i="1" s="1"/>
  <c r="H2541" i="1"/>
  <c r="G2541" i="1"/>
  <c r="F2541" i="1"/>
  <c r="I2540" i="1"/>
  <c r="J2540" i="1" s="1"/>
  <c r="H2540" i="1"/>
  <c r="G2540" i="1"/>
  <c r="F2540" i="1"/>
  <c r="I2539" i="1"/>
  <c r="J2539" i="1" s="1"/>
  <c r="H2539" i="1"/>
  <c r="G2539" i="1"/>
  <c r="F2539" i="1"/>
  <c r="J2538" i="1"/>
  <c r="I2538" i="1"/>
  <c r="H2538" i="1"/>
  <c r="G2538" i="1"/>
  <c r="F2538" i="1"/>
  <c r="J2537" i="1"/>
  <c r="I2537" i="1"/>
  <c r="H2537" i="1"/>
  <c r="G2537" i="1"/>
  <c r="F2537" i="1"/>
  <c r="I2536" i="1"/>
  <c r="J2536" i="1" s="1"/>
  <c r="H2536" i="1"/>
  <c r="G2536" i="1"/>
  <c r="F2536" i="1"/>
  <c r="J2535" i="1"/>
  <c r="I2535" i="1"/>
  <c r="H2535" i="1"/>
  <c r="G2535" i="1"/>
  <c r="F2535" i="1"/>
  <c r="I2534" i="1"/>
  <c r="J2534" i="1" s="1"/>
  <c r="H2534" i="1"/>
  <c r="G2534" i="1"/>
  <c r="F2534" i="1"/>
  <c r="I2533" i="1"/>
  <c r="J2533" i="1" s="1"/>
  <c r="H2533" i="1"/>
  <c r="G2533" i="1"/>
  <c r="F2533" i="1"/>
  <c r="I2532" i="1"/>
  <c r="J2532" i="1" s="1"/>
  <c r="H2532" i="1"/>
  <c r="G2532" i="1"/>
  <c r="F2532" i="1"/>
  <c r="J2531" i="1"/>
  <c r="I2531" i="1"/>
  <c r="H2531" i="1"/>
  <c r="G2531" i="1"/>
  <c r="F2531" i="1"/>
  <c r="J2530" i="1"/>
  <c r="I2530" i="1"/>
  <c r="H2530" i="1"/>
  <c r="G2530" i="1"/>
  <c r="F2530" i="1"/>
  <c r="J2529" i="1"/>
  <c r="I2529" i="1"/>
  <c r="H2529" i="1"/>
  <c r="G2529" i="1"/>
  <c r="F2529" i="1"/>
  <c r="J2528" i="1"/>
  <c r="I2528" i="1"/>
  <c r="H2528" i="1"/>
  <c r="G2528" i="1"/>
  <c r="F2528" i="1"/>
  <c r="I2527" i="1"/>
  <c r="J2527" i="1" s="1"/>
  <c r="H2527" i="1"/>
  <c r="G2527" i="1"/>
  <c r="F2527" i="1"/>
  <c r="I2526" i="1"/>
  <c r="J2526" i="1" s="1"/>
  <c r="H2526" i="1"/>
  <c r="G2526" i="1"/>
  <c r="F2526" i="1"/>
  <c r="I2525" i="1"/>
  <c r="J2525" i="1" s="1"/>
  <c r="H2525" i="1"/>
  <c r="G2525" i="1"/>
  <c r="F2525" i="1"/>
  <c r="J2524" i="1"/>
  <c r="I2524" i="1"/>
  <c r="H2524" i="1"/>
  <c r="G2524" i="1"/>
  <c r="F2524" i="1"/>
  <c r="J2523" i="1"/>
  <c r="I2523" i="1"/>
  <c r="H2523" i="1"/>
  <c r="G2523" i="1"/>
  <c r="F2523" i="1"/>
  <c r="J2522" i="1"/>
  <c r="I2522" i="1"/>
  <c r="H2522" i="1"/>
  <c r="G2522" i="1"/>
  <c r="F2522" i="1"/>
  <c r="J2521" i="1"/>
  <c r="I2521" i="1"/>
  <c r="H2521" i="1"/>
  <c r="G2521" i="1"/>
  <c r="F2521" i="1"/>
  <c r="I2520" i="1"/>
  <c r="J2520" i="1" s="1"/>
  <c r="H2520" i="1"/>
  <c r="G2520" i="1"/>
  <c r="F2520" i="1"/>
  <c r="J2519" i="1"/>
  <c r="I2519" i="1"/>
  <c r="H2519" i="1"/>
  <c r="G2519" i="1"/>
  <c r="F2519" i="1"/>
  <c r="I2518" i="1"/>
  <c r="J2518" i="1" s="1"/>
  <c r="H2518" i="1"/>
  <c r="G2518" i="1"/>
  <c r="F2518" i="1"/>
  <c r="J2517" i="1"/>
  <c r="I2517" i="1"/>
  <c r="H2517" i="1"/>
  <c r="G2517" i="1"/>
  <c r="F2517" i="1"/>
  <c r="J2516" i="1"/>
  <c r="I2516" i="1"/>
  <c r="H2516" i="1"/>
  <c r="G2516" i="1"/>
  <c r="F2516" i="1"/>
  <c r="J2515" i="1"/>
  <c r="I2515" i="1"/>
  <c r="H2515" i="1"/>
  <c r="G2515" i="1"/>
  <c r="F2515" i="1"/>
  <c r="J2514" i="1"/>
  <c r="I2514" i="1"/>
  <c r="H2514" i="1"/>
  <c r="G2514" i="1"/>
  <c r="F2514" i="1"/>
  <c r="I2513" i="1"/>
  <c r="J2513" i="1" s="1"/>
  <c r="H2513" i="1"/>
  <c r="G2513" i="1"/>
  <c r="F2513" i="1"/>
  <c r="I2512" i="1"/>
  <c r="J2512" i="1" s="1"/>
  <c r="H2512" i="1"/>
  <c r="G2512" i="1"/>
  <c r="F2512" i="1"/>
  <c r="I2511" i="1"/>
  <c r="J2511" i="1" s="1"/>
  <c r="H2511" i="1"/>
  <c r="G2511" i="1"/>
  <c r="F2511" i="1"/>
  <c r="J2510" i="1"/>
  <c r="I2510" i="1"/>
  <c r="H2510" i="1"/>
  <c r="G2510" i="1"/>
  <c r="F2510" i="1"/>
  <c r="J2509" i="1"/>
  <c r="I2509" i="1"/>
  <c r="H2509" i="1"/>
  <c r="G2509" i="1"/>
  <c r="F2509" i="1"/>
  <c r="I2508" i="1"/>
  <c r="J2508" i="1" s="1"/>
  <c r="H2508" i="1"/>
  <c r="G2508" i="1"/>
  <c r="F2508" i="1"/>
  <c r="J2507" i="1"/>
  <c r="I2507" i="1"/>
  <c r="H2507" i="1"/>
  <c r="G2507" i="1"/>
  <c r="F2507" i="1"/>
  <c r="I2506" i="1"/>
  <c r="J2506" i="1" s="1"/>
  <c r="H2506" i="1"/>
  <c r="G2506" i="1"/>
  <c r="F2506" i="1"/>
  <c r="I2505" i="1"/>
  <c r="J2505" i="1" s="1"/>
  <c r="H2505" i="1"/>
  <c r="G2505" i="1"/>
  <c r="F2505" i="1"/>
  <c r="I2504" i="1"/>
  <c r="J2504" i="1" s="1"/>
  <c r="H2504" i="1"/>
  <c r="G2504" i="1"/>
  <c r="F2504" i="1"/>
  <c r="J2503" i="1"/>
  <c r="I2503" i="1"/>
  <c r="H2503" i="1"/>
  <c r="G2503" i="1"/>
  <c r="F2503" i="1"/>
  <c r="J2502" i="1"/>
  <c r="I2502" i="1"/>
  <c r="H2502" i="1"/>
  <c r="G2502" i="1"/>
  <c r="F2502" i="1"/>
  <c r="J2501" i="1"/>
  <c r="I2501" i="1"/>
  <c r="H2501" i="1"/>
  <c r="G2501" i="1"/>
  <c r="F2501" i="1"/>
  <c r="J2500" i="1"/>
  <c r="I2500" i="1"/>
  <c r="H2500" i="1"/>
  <c r="G2500" i="1"/>
  <c r="F2500" i="1"/>
  <c r="I2499" i="1"/>
  <c r="J2499" i="1" s="1"/>
  <c r="H2499" i="1"/>
  <c r="G2499" i="1"/>
  <c r="F2499" i="1"/>
  <c r="I2498" i="1"/>
  <c r="J2498" i="1" s="1"/>
  <c r="H2498" i="1"/>
  <c r="G2498" i="1"/>
  <c r="F2498" i="1"/>
  <c r="I2497" i="1"/>
  <c r="J2497" i="1" s="1"/>
  <c r="H2497" i="1"/>
  <c r="G2497" i="1"/>
  <c r="F2497" i="1"/>
  <c r="J2496" i="1"/>
  <c r="I2496" i="1"/>
  <c r="H2496" i="1"/>
  <c r="G2496" i="1"/>
  <c r="F2496" i="1"/>
  <c r="J2495" i="1"/>
  <c r="I2495" i="1"/>
  <c r="H2495" i="1"/>
  <c r="G2495" i="1"/>
  <c r="F2495" i="1"/>
  <c r="J2494" i="1"/>
  <c r="I2494" i="1"/>
  <c r="H2494" i="1"/>
  <c r="G2494" i="1"/>
  <c r="F2494" i="1"/>
  <c r="J2493" i="1"/>
  <c r="I2493" i="1"/>
  <c r="H2493" i="1"/>
  <c r="G2493" i="1"/>
  <c r="F2493" i="1"/>
  <c r="I2492" i="1"/>
  <c r="J2492" i="1" s="1"/>
  <c r="H2492" i="1"/>
  <c r="G2492" i="1"/>
  <c r="F2492" i="1"/>
  <c r="J2491" i="1"/>
  <c r="I2491" i="1"/>
  <c r="H2491" i="1"/>
  <c r="G2491" i="1"/>
  <c r="F2491" i="1"/>
  <c r="I2490" i="1"/>
  <c r="H2490" i="1"/>
  <c r="G2490" i="1"/>
  <c r="F2490" i="1"/>
  <c r="J2489" i="1"/>
  <c r="I2489" i="1"/>
  <c r="H2489" i="1"/>
  <c r="G2489" i="1"/>
  <c r="F2489" i="1"/>
  <c r="J2488" i="1"/>
  <c r="I2488" i="1"/>
  <c r="H2488" i="1"/>
  <c r="G2488" i="1"/>
  <c r="F2488" i="1"/>
  <c r="J2487" i="1"/>
  <c r="I2487" i="1"/>
  <c r="H2487" i="1"/>
  <c r="G2487" i="1"/>
  <c r="F2487" i="1"/>
  <c r="J2486" i="1"/>
  <c r="I2486" i="1"/>
  <c r="H2486" i="1"/>
  <c r="G2486" i="1"/>
  <c r="F2486" i="1"/>
  <c r="I2485" i="1"/>
  <c r="J2485" i="1" s="1"/>
  <c r="H2485" i="1"/>
  <c r="G2485" i="1"/>
  <c r="F2485" i="1"/>
  <c r="I2484" i="1"/>
  <c r="J2484" i="1" s="1"/>
  <c r="H2484" i="1"/>
  <c r="G2484" i="1"/>
  <c r="F2484" i="1"/>
  <c r="I2483" i="1"/>
  <c r="H2483" i="1"/>
  <c r="G2483" i="1"/>
  <c r="F2483" i="1"/>
  <c r="I2482" i="1"/>
  <c r="H2482" i="1"/>
  <c r="G2482" i="1"/>
  <c r="F2482" i="1"/>
  <c r="I2481" i="1"/>
  <c r="H2481" i="1"/>
  <c r="G2481" i="1"/>
  <c r="F2481" i="1"/>
  <c r="I2480" i="1"/>
  <c r="H2480" i="1"/>
  <c r="G2480" i="1"/>
  <c r="F2480" i="1"/>
  <c r="J2479" i="1"/>
  <c r="I2479" i="1"/>
  <c r="H2479" i="1"/>
  <c r="G2479" i="1"/>
  <c r="F2479" i="1"/>
  <c r="I2478" i="1"/>
  <c r="H2478" i="1"/>
  <c r="G2478" i="1"/>
  <c r="F2478" i="1"/>
  <c r="I2477" i="1"/>
  <c r="H2477" i="1"/>
  <c r="G2477" i="1"/>
  <c r="F2477" i="1"/>
  <c r="I2476" i="1"/>
  <c r="J2476" i="1" s="1"/>
  <c r="H2476" i="1"/>
  <c r="G2476" i="1"/>
  <c r="F2476" i="1"/>
  <c r="I2475" i="1"/>
  <c r="H2475" i="1"/>
  <c r="G2475" i="1"/>
  <c r="F2475" i="1"/>
  <c r="J2474" i="1"/>
  <c r="I2474" i="1"/>
  <c r="H2474" i="1"/>
  <c r="G2474" i="1"/>
  <c r="F2474" i="1"/>
  <c r="J2473" i="1"/>
  <c r="I2473" i="1"/>
  <c r="H2473" i="1"/>
  <c r="G2473" i="1"/>
  <c r="F2473" i="1"/>
  <c r="J2472" i="1"/>
  <c r="I2472" i="1"/>
  <c r="H2472" i="1"/>
  <c r="G2472" i="1"/>
  <c r="F2472" i="1"/>
  <c r="I2471" i="1"/>
  <c r="J2471" i="1" s="1"/>
  <c r="H2471" i="1"/>
  <c r="G2471" i="1"/>
  <c r="F2471" i="1"/>
  <c r="I2470" i="1"/>
  <c r="J2470" i="1" s="1"/>
  <c r="H2470" i="1"/>
  <c r="G2470" i="1"/>
  <c r="F2470" i="1"/>
  <c r="I2469" i="1"/>
  <c r="H2469" i="1"/>
  <c r="G2469" i="1"/>
  <c r="F2469" i="1"/>
  <c r="I2468" i="1"/>
  <c r="H2468" i="1"/>
  <c r="G2468" i="1"/>
  <c r="F2468" i="1"/>
  <c r="I2467" i="1"/>
  <c r="H2467" i="1"/>
  <c r="G2467" i="1"/>
  <c r="F2467" i="1"/>
  <c r="I2466" i="1"/>
  <c r="H2466" i="1"/>
  <c r="G2466" i="1"/>
  <c r="F2466" i="1"/>
  <c r="I2465" i="1"/>
  <c r="H2465" i="1"/>
  <c r="G2465" i="1"/>
  <c r="F2465" i="1"/>
  <c r="I2464" i="1"/>
  <c r="J2464" i="1" s="1"/>
  <c r="H2464" i="1"/>
  <c r="G2464" i="1"/>
  <c r="F2464" i="1"/>
  <c r="I2463" i="1"/>
  <c r="H2463" i="1"/>
  <c r="G2463" i="1"/>
  <c r="F2463" i="1"/>
  <c r="I2462" i="1"/>
  <c r="J2462" i="1" s="1"/>
  <c r="H2462" i="1"/>
  <c r="G2462" i="1"/>
  <c r="F2462" i="1"/>
  <c r="J2461" i="1"/>
  <c r="I2461" i="1"/>
  <c r="H2461" i="1"/>
  <c r="G2461" i="1"/>
  <c r="F2461" i="1"/>
  <c r="J2460" i="1"/>
  <c r="I2460" i="1"/>
  <c r="H2460" i="1"/>
  <c r="G2460" i="1"/>
  <c r="F2460" i="1"/>
  <c r="J2459" i="1"/>
  <c r="I2459" i="1"/>
  <c r="H2459" i="1"/>
  <c r="G2459" i="1"/>
  <c r="F2459" i="1"/>
  <c r="J2458" i="1"/>
  <c r="I2458" i="1"/>
  <c r="H2458" i="1"/>
  <c r="G2458" i="1"/>
  <c r="F2458" i="1"/>
  <c r="I2457" i="1"/>
  <c r="J2457" i="1" s="1"/>
  <c r="H2457" i="1"/>
  <c r="G2457" i="1"/>
  <c r="F2457" i="1"/>
  <c r="I2456" i="1"/>
  <c r="J2456" i="1" s="1"/>
  <c r="H2456" i="1"/>
  <c r="G2456" i="1"/>
  <c r="F2456" i="1"/>
  <c r="I2455" i="1"/>
  <c r="J2455" i="1" s="1"/>
  <c r="H2455" i="1"/>
  <c r="G2455" i="1"/>
  <c r="F2455" i="1"/>
  <c r="J2454" i="1"/>
  <c r="I2454" i="1"/>
  <c r="H2454" i="1"/>
  <c r="G2454" i="1"/>
  <c r="F2454" i="1"/>
  <c r="J2453" i="1"/>
  <c r="I2453" i="1"/>
  <c r="H2453" i="1"/>
  <c r="G2453" i="1"/>
  <c r="F2453" i="1"/>
  <c r="J2452" i="1"/>
  <c r="I2452" i="1"/>
  <c r="H2452" i="1"/>
  <c r="G2452" i="1"/>
  <c r="F2452" i="1"/>
  <c r="J2451" i="1"/>
  <c r="I2451" i="1"/>
  <c r="H2451" i="1"/>
  <c r="G2451" i="1"/>
  <c r="F2451" i="1"/>
  <c r="I2450" i="1"/>
  <c r="J2450" i="1" s="1"/>
  <c r="H2450" i="1"/>
  <c r="G2450" i="1"/>
  <c r="F2450" i="1"/>
  <c r="J2449" i="1"/>
  <c r="I2449" i="1"/>
  <c r="H2449" i="1"/>
  <c r="G2449" i="1"/>
  <c r="F2449" i="1"/>
  <c r="I2448" i="1"/>
  <c r="J2448" i="1" s="1"/>
  <c r="H2448" i="1"/>
  <c r="G2448" i="1"/>
  <c r="F2448" i="1"/>
  <c r="J2447" i="1"/>
  <c r="I2447" i="1"/>
  <c r="H2447" i="1"/>
  <c r="G2447" i="1"/>
  <c r="F2447" i="1"/>
  <c r="J2446" i="1"/>
  <c r="I2446" i="1"/>
  <c r="H2446" i="1"/>
  <c r="G2446" i="1"/>
  <c r="F2446" i="1"/>
  <c r="J2445" i="1"/>
  <c r="I2445" i="1"/>
  <c r="H2445" i="1"/>
  <c r="G2445" i="1"/>
  <c r="F2445" i="1"/>
  <c r="J2444" i="1"/>
  <c r="I2444" i="1"/>
  <c r="H2444" i="1"/>
  <c r="G2444" i="1"/>
  <c r="F2444" i="1"/>
  <c r="I2443" i="1"/>
  <c r="J2443" i="1" s="1"/>
  <c r="H2443" i="1"/>
  <c r="G2443" i="1"/>
  <c r="F2443" i="1"/>
  <c r="I2442" i="1"/>
  <c r="J2442" i="1" s="1"/>
  <c r="H2442" i="1"/>
  <c r="G2442" i="1"/>
  <c r="F2442" i="1"/>
  <c r="I2441" i="1"/>
  <c r="J2441" i="1" s="1"/>
  <c r="H2441" i="1"/>
  <c r="G2441" i="1"/>
  <c r="F2441" i="1"/>
  <c r="J2440" i="1"/>
  <c r="I2440" i="1"/>
  <c r="H2440" i="1"/>
  <c r="G2440" i="1"/>
  <c r="F2440" i="1"/>
  <c r="J2439" i="1"/>
  <c r="I2439" i="1"/>
  <c r="H2439" i="1"/>
  <c r="G2439" i="1"/>
  <c r="F2439" i="1"/>
  <c r="I2438" i="1"/>
  <c r="J2438" i="1" s="1"/>
  <c r="H2438" i="1"/>
  <c r="G2438" i="1"/>
  <c r="F2438" i="1"/>
  <c r="J2437" i="1"/>
  <c r="I2437" i="1"/>
  <c r="H2437" i="1"/>
  <c r="G2437" i="1"/>
  <c r="F2437" i="1"/>
  <c r="I2436" i="1"/>
  <c r="J2436" i="1" s="1"/>
  <c r="H2436" i="1"/>
  <c r="G2436" i="1"/>
  <c r="F2436" i="1"/>
  <c r="I2435" i="1"/>
  <c r="J2435" i="1" s="1"/>
  <c r="H2435" i="1"/>
  <c r="G2435" i="1"/>
  <c r="F2435" i="1"/>
  <c r="I2434" i="1"/>
  <c r="J2434" i="1" s="1"/>
  <c r="H2434" i="1"/>
  <c r="G2434" i="1"/>
  <c r="F2434" i="1"/>
  <c r="J2433" i="1"/>
  <c r="I2433" i="1"/>
  <c r="H2433" i="1"/>
  <c r="G2433" i="1"/>
  <c r="F2433" i="1"/>
  <c r="J2432" i="1"/>
  <c r="I2432" i="1"/>
  <c r="H2432" i="1"/>
  <c r="G2432" i="1"/>
  <c r="F2432" i="1"/>
  <c r="J2431" i="1"/>
  <c r="I2431" i="1"/>
  <c r="H2431" i="1"/>
  <c r="G2431" i="1"/>
  <c r="F2431" i="1"/>
  <c r="J2430" i="1"/>
  <c r="I2430" i="1"/>
  <c r="H2430" i="1"/>
  <c r="G2430" i="1"/>
  <c r="F2430" i="1"/>
  <c r="I2429" i="1"/>
  <c r="J2429" i="1" s="1"/>
  <c r="H2429" i="1"/>
  <c r="G2429" i="1"/>
  <c r="F2429" i="1"/>
  <c r="I2428" i="1"/>
  <c r="J2428" i="1" s="1"/>
  <c r="H2428" i="1"/>
  <c r="G2428" i="1"/>
  <c r="F2428" i="1"/>
  <c r="I2427" i="1"/>
  <c r="J2427" i="1" s="1"/>
  <c r="H2427" i="1"/>
  <c r="G2427" i="1"/>
  <c r="F2427" i="1"/>
  <c r="J2426" i="1"/>
  <c r="I2426" i="1"/>
  <c r="H2426" i="1"/>
  <c r="G2426" i="1"/>
  <c r="F2426" i="1"/>
  <c r="J2425" i="1"/>
  <c r="I2425" i="1"/>
  <c r="H2425" i="1"/>
  <c r="G2425" i="1"/>
  <c r="F2425" i="1"/>
  <c r="I2424" i="1"/>
  <c r="J2424" i="1" s="1"/>
  <c r="H2424" i="1"/>
  <c r="G2424" i="1"/>
  <c r="F2424" i="1"/>
  <c r="J2423" i="1"/>
  <c r="I2423" i="1"/>
  <c r="H2423" i="1"/>
  <c r="G2423" i="1"/>
  <c r="F2423" i="1"/>
  <c r="I2422" i="1"/>
  <c r="J2422" i="1" s="1"/>
  <c r="H2422" i="1"/>
  <c r="G2422" i="1"/>
  <c r="F2422" i="1"/>
  <c r="I2421" i="1"/>
  <c r="J2421" i="1" s="1"/>
  <c r="H2421" i="1"/>
  <c r="G2421" i="1"/>
  <c r="F2421" i="1"/>
  <c r="I2420" i="1"/>
  <c r="J2420" i="1" s="1"/>
  <c r="H2420" i="1"/>
  <c r="G2420" i="1"/>
  <c r="F2420" i="1"/>
  <c r="J2419" i="1"/>
  <c r="I2419" i="1"/>
  <c r="H2419" i="1"/>
  <c r="G2419" i="1"/>
  <c r="F2419" i="1"/>
  <c r="J2418" i="1"/>
  <c r="I2418" i="1"/>
  <c r="H2418" i="1"/>
  <c r="G2418" i="1"/>
  <c r="F2418" i="1"/>
  <c r="J2417" i="1"/>
  <c r="I2417" i="1"/>
  <c r="H2417" i="1"/>
  <c r="G2417" i="1"/>
  <c r="F2417" i="1"/>
  <c r="J2416" i="1"/>
  <c r="I2416" i="1"/>
  <c r="H2416" i="1"/>
  <c r="G2416" i="1"/>
  <c r="F2416" i="1"/>
  <c r="I2415" i="1"/>
  <c r="J2415" i="1" s="1"/>
  <c r="H2415" i="1"/>
  <c r="G2415" i="1"/>
  <c r="F2415" i="1"/>
  <c r="I2414" i="1"/>
  <c r="J2414" i="1" s="1"/>
  <c r="H2414" i="1"/>
  <c r="G2414" i="1"/>
  <c r="F2414" i="1"/>
  <c r="I2413" i="1"/>
  <c r="J2413" i="1" s="1"/>
  <c r="H2413" i="1"/>
  <c r="G2413" i="1"/>
  <c r="F2413" i="1"/>
  <c r="J2412" i="1"/>
  <c r="I2412" i="1"/>
  <c r="H2412" i="1"/>
  <c r="G2412" i="1"/>
  <c r="F2412" i="1"/>
  <c r="J2411" i="1"/>
  <c r="I2411" i="1"/>
  <c r="H2411" i="1"/>
  <c r="G2411" i="1"/>
  <c r="F2411" i="1"/>
  <c r="J2410" i="1"/>
  <c r="I2410" i="1"/>
  <c r="H2410" i="1"/>
  <c r="G2410" i="1"/>
  <c r="F2410" i="1"/>
  <c r="J2409" i="1"/>
  <c r="I2409" i="1"/>
  <c r="H2409" i="1"/>
  <c r="G2409" i="1"/>
  <c r="F2409" i="1"/>
  <c r="I2408" i="1"/>
  <c r="J2408" i="1" s="1"/>
  <c r="H2408" i="1"/>
  <c r="G2408" i="1"/>
  <c r="F2408" i="1"/>
  <c r="J2407" i="1"/>
  <c r="I2407" i="1"/>
  <c r="H2407" i="1"/>
  <c r="G2407" i="1"/>
  <c r="F2407" i="1"/>
  <c r="I2406" i="1"/>
  <c r="J2406" i="1" s="1"/>
  <c r="H2406" i="1"/>
  <c r="G2406" i="1"/>
  <c r="F2406" i="1"/>
  <c r="J2405" i="1"/>
  <c r="I2405" i="1"/>
  <c r="H2405" i="1"/>
  <c r="G2405" i="1"/>
  <c r="F2405" i="1"/>
  <c r="J2404" i="1"/>
  <c r="I2404" i="1"/>
  <c r="H2404" i="1"/>
  <c r="G2404" i="1"/>
  <c r="F2404" i="1"/>
  <c r="J2403" i="1"/>
  <c r="I2403" i="1"/>
  <c r="H2403" i="1"/>
  <c r="G2403" i="1"/>
  <c r="F2403" i="1"/>
  <c r="J2402" i="1"/>
  <c r="I2402" i="1"/>
  <c r="H2402" i="1"/>
  <c r="G2402" i="1"/>
  <c r="F2402" i="1"/>
  <c r="I2401" i="1"/>
  <c r="J2401" i="1" s="1"/>
  <c r="H2401" i="1"/>
  <c r="G2401" i="1"/>
  <c r="F2401" i="1"/>
  <c r="I2400" i="1"/>
  <c r="J2400" i="1" s="1"/>
  <c r="H2400" i="1"/>
  <c r="G2400" i="1"/>
  <c r="F2400" i="1"/>
  <c r="I2399" i="1"/>
  <c r="J2399" i="1" s="1"/>
  <c r="H2399" i="1"/>
  <c r="G2399" i="1"/>
  <c r="F2399" i="1"/>
  <c r="J2398" i="1"/>
  <c r="I2398" i="1"/>
  <c r="H2398" i="1"/>
  <c r="G2398" i="1"/>
  <c r="F2398" i="1"/>
  <c r="J2397" i="1"/>
  <c r="I2397" i="1"/>
  <c r="H2397" i="1"/>
  <c r="G2397" i="1"/>
  <c r="F2397" i="1"/>
  <c r="J2396" i="1"/>
  <c r="I2396" i="1"/>
  <c r="H2396" i="1"/>
  <c r="G2396" i="1"/>
  <c r="F2396" i="1"/>
  <c r="J2395" i="1"/>
  <c r="I2395" i="1"/>
  <c r="H2395" i="1"/>
  <c r="G2395" i="1"/>
  <c r="F2395" i="1"/>
  <c r="I2394" i="1"/>
  <c r="J2394" i="1" s="1"/>
  <c r="H2394" i="1"/>
  <c r="G2394" i="1"/>
  <c r="F2394" i="1"/>
  <c r="J2393" i="1"/>
  <c r="I2393" i="1"/>
  <c r="H2393" i="1"/>
  <c r="G2393" i="1"/>
  <c r="F2393" i="1"/>
  <c r="I2392" i="1"/>
  <c r="J2392" i="1" s="1"/>
  <c r="H2392" i="1"/>
  <c r="G2392" i="1"/>
  <c r="F2392" i="1"/>
  <c r="J2391" i="1"/>
  <c r="I2391" i="1"/>
  <c r="H2391" i="1"/>
  <c r="G2391" i="1"/>
  <c r="F2391" i="1"/>
  <c r="J2390" i="1"/>
  <c r="I2390" i="1"/>
  <c r="H2390" i="1"/>
  <c r="G2390" i="1"/>
  <c r="F2390" i="1"/>
  <c r="J2389" i="1"/>
  <c r="I2389" i="1"/>
  <c r="H2389" i="1"/>
  <c r="G2389" i="1"/>
  <c r="F2389" i="1"/>
  <c r="J2388" i="1"/>
  <c r="I2388" i="1"/>
  <c r="H2388" i="1"/>
  <c r="G2388" i="1"/>
  <c r="F2388" i="1"/>
  <c r="I2387" i="1"/>
  <c r="J2387" i="1" s="1"/>
  <c r="H2387" i="1"/>
  <c r="G2387" i="1"/>
  <c r="F2387" i="1"/>
  <c r="I2386" i="1"/>
  <c r="J2386" i="1" s="1"/>
  <c r="H2386" i="1"/>
  <c r="G2386" i="1"/>
  <c r="F2386" i="1"/>
  <c r="I2385" i="1"/>
  <c r="J2385" i="1" s="1"/>
  <c r="H2385" i="1"/>
  <c r="G2385" i="1"/>
  <c r="F2385" i="1"/>
  <c r="J2384" i="1"/>
  <c r="I2384" i="1"/>
  <c r="H2384" i="1"/>
  <c r="G2384" i="1"/>
  <c r="F2384" i="1"/>
  <c r="J2383" i="1"/>
  <c r="I2383" i="1"/>
  <c r="H2383" i="1"/>
  <c r="G2383" i="1"/>
  <c r="F2383" i="1"/>
  <c r="J2382" i="1"/>
  <c r="I2382" i="1"/>
  <c r="H2382" i="1"/>
  <c r="G2382" i="1"/>
  <c r="F2382" i="1"/>
  <c r="J2381" i="1"/>
  <c r="I2381" i="1"/>
  <c r="H2381" i="1"/>
  <c r="G2381" i="1"/>
  <c r="F2381" i="1"/>
  <c r="I2380" i="1"/>
  <c r="J2380" i="1" s="1"/>
  <c r="H2380" i="1"/>
  <c r="G2380" i="1"/>
  <c r="F2380" i="1"/>
  <c r="J2379" i="1"/>
  <c r="I2379" i="1"/>
  <c r="H2379" i="1"/>
  <c r="G2379" i="1"/>
  <c r="F2379" i="1"/>
  <c r="I2378" i="1"/>
  <c r="J2378" i="1" s="1"/>
  <c r="H2378" i="1"/>
  <c r="G2378" i="1"/>
  <c r="F2378" i="1"/>
  <c r="J2377" i="1"/>
  <c r="I2377" i="1"/>
  <c r="H2377" i="1"/>
  <c r="G2377" i="1"/>
  <c r="F2377" i="1"/>
  <c r="J2376" i="1"/>
  <c r="I2376" i="1"/>
  <c r="H2376" i="1"/>
  <c r="G2376" i="1"/>
  <c r="F2376" i="1"/>
  <c r="J2375" i="1"/>
  <c r="I2375" i="1"/>
  <c r="H2375" i="1"/>
  <c r="G2375" i="1"/>
  <c r="F2375" i="1"/>
  <c r="J2374" i="1"/>
  <c r="I2374" i="1"/>
  <c r="H2374" i="1"/>
  <c r="G2374" i="1"/>
  <c r="F2374" i="1"/>
  <c r="I2373" i="1"/>
  <c r="J2373" i="1" s="1"/>
  <c r="H2373" i="1"/>
  <c r="G2373" i="1"/>
  <c r="F2373" i="1"/>
  <c r="I2372" i="1"/>
  <c r="J2372" i="1" s="1"/>
  <c r="H2372" i="1"/>
  <c r="G2372" i="1"/>
  <c r="F2372" i="1"/>
  <c r="I2371" i="1"/>
  <c r="J2371" i="1" s="1"/>
  <c r="H2371" i="1"/>
  <c r="G2371" i="1"/>
  <c r="F2371" i="1"/>
  <c r="J2370" i="1"/>
  <c r="I2370" i="1"/>
  <c r="H2370" i="1"/>
  <c r="G2370" i="1"/>
  <c r="F2370" i="1"/>
  <c r="J2369" i="1"/>
  <c r="I2369" i="1"/>
  <c r="H2369" i="1"/>
  <c r="G2369" i="1"/>
  <c r="F2369" i="1"/>
  <c r="I2368" i="1"/>
  <c r="J2368" i="1" s="1"/>
  <c r="H2368" i="1"/>
  <c r="G2368" i="1"/>
  <c r="F2368" i="1"/>
  <c r="J2367" i="1"/>
  <c r="I2367" i="1"/>
  <c r="H2367" i="1"/>
  <c r="G2367" i="1"/>
  <c r="F2367" i="1"/>
  <c r="I2366" i="1"/>
  <c r="J2366" i="1" s="1"/>
  <c r="H2366" i="1"/>
  <c r="G2366" i="1"/>
  <c r="F2366" i="1"/>
  <c r="I2365" i="1"/>
  <c r="J2365" i="1" s="1"/>
  <c r="H2365" i="1"/>
  <c r="G2365" i="1"/>
  <c r="F2365" i="1"/>
  <c r="I2364" i="1"/>
  <c r="J2364" i="1" s="1"/>
  <c r="H2364" i="1"/>
  <c r="G2364" i="1"/>
  <c r="F2364" i="1"/>
  <c r="J2363" i="1"/>
  <c r="I2363" i="1"/>
  <c r="H2363" i="1"/>
  <c r="G2363" i="1"/>
  <c r="F2363" i="1"/>
  <c r="J2362" i="1"/>
  <c r="I2362" i="1"/>
  <c r="H2362" i="1"/>
  <c r="G2362" i="1"/>
  <c r="F2362" i="1"/>
  <c r="J2361" i="1"/>
  <c r="I2361" i="1"/>
  <c r="H2361" i="1"/>
  <c r="G2361" i="1"/>
  <c r="F2361" i="1"/>
  <c r="J2360" i="1"/>
  <c r="I2360" i="1"/>
  <c r="H2360" i="1"/>
  <c r="G2360" i="1"/>
  <c r="F2360" i="1"/>
  <c r="I2359" i="1"/>
  <c r="J2359" i="1" s="1"/>
  <c r="H2359" i="1"/>
  <c r="G2359" i="1"/>
  <c r="F2359" i="1"/>
  <c r="I2358" i="1"/>
  <c r="J2358" i="1" s="1"/>
  <c r="H2358" i="1"/>
  <c r="G2358" i="1"/>
  <c r="F2358" i="1"/>
  <c r="I2357" i="1"/>
  <c r="J2357" i="1" s="1"/>
  <c r="H2357" i="1"/>
  <c r="G2357" i="1"/>
  <c r="F2357" i="1"/>
  <c r="J2356" i="1"/>
  <c r="I2356" i="1"/>
  <c r="H2356" i="1"/>
  <c r="G2356" i="1"/>
  <c r="F2356" i="1"/>
  <c r="J2355" i="1"/>
  <c r="I2355" i="1"/>
  <c r="H2355" i="1"/>
  <c r="G2355" i="1"/>
  <c r="F2355" i="1"/>
  <c r="J2354" i="1"/>
  <c r="I2354" i="1"/>
  <c r="H2354" i="1"/>
  <c r="G2354" i="1"/>
  <c r="F2354" i="1"/>
  <c r="J2353" i="1"/>
  <c r="I2353" i="1"/>
  <c r="H2353" i="1"/>
  <c r="G2353" i="1"/>
  <c r="F2353" i="1"/>
  <c r="I2352" i="1"/>
  <c r="J2352" i="1" s="1"/>
  <c r="H2352" i="1"/>
  <c r="G2352" i="1"/>
  <c r="F2352" i="1"/>
  <c r="J2351" i="1"/>
  <c r="I2351" i="1"/>
  <c r="H2351" i="1"/>
  <c r="G2351" i="1"/>
  <c r="F2351" i="1"/>
  <c r="I2350" i="1"/>
  <c r="J2350" i="1" s="1"/>
  <c r="H2350" i="1"/>
  <c r="G2350" i="1"/>
  <c r="F2350" i="1"/>
  <c r="J2349" i="1"/>
  <c r="I2349" i="1"/>
  <c r="H2349" i="1"/>
  <c r="G2349" i="1"/>
  <c r="F2349" i="1"/>
  <c r="J2348" i="1"/>
  <c r="I2348" i="1"/>
  <c r="H2348" i="1"/>
  <c r="G2348" i="1"/>
  <c r="F2348" i="1"/>
  <c r="J2347" i="1"/>
  <c r="I2347" i="1"/>
  <c r="H2347" i="1"/>
  <c r="G2347" i="1"/>
  <c r="F2347" i="1"/>
  <c r="J2346" i="1"/>
  <c r="I2346" i="1"/>
  <c r="H2346" i="1"/>
  <c r="G2346" i="1"/>
  <c r="F2346" i="1"/>
  <c r="I2345" i="1"/>
  <c r="J2345" i="1" s="1"/>
  <c r="H2345" i="1"/>
  <c r="G2345" i="1"/>
  <c r="F2345" i="1"/>
  <c r="I2344" i="1"/>
  <c r="J2344" i="1" s="1"/>
  <c r="H2344" i="1"/>
  <c r="G2344" i="1"/>
  <c r="F2344" i="1"/>
  <c r="I2343" i="1"/>
  <c r="J2343" i="1" s="1"/>
  <c r="H2343" i="1"/>
  <c r="G2343" i="1"/>
  <c r="F2343" i="1"/>
  <c r="J2342" i="1"/>
  <c r="I2342" i="1"/>
  <c r="H2342" i="1"/>
  <c r="G2342" i="1"/>
  <c r="F2342" i="1"/>
  <c r="J2341" i="1"/>
  <c r="I2341" i="1"/>
  <c r="H2341" i="1"/>
  <c r="G2341" i="1"/>
  <c r="F2341" i="1"/>
  <c r="I2340" i="1"/>
  <c r="J2340" i="1" s="1"/>
  <c r="H2340" i="1"/>
  <c r="G2340" i="1"/>
  <c r="F2340" i="1"/>
  <c r="J2339" i="1"/>
  <c r="I2339" i="1"/>
  <c r="H2339" i="1"/>
  <c r="G2339" i="1"/>
  <c r="F2339" i="1"/>
  <c r="I2338" i="1"/>
  <c r="J2338" i="1" s="1"/>
  <c r="H2338" i="1"/>
  <c r="G2338" i="1"/>
  <c r="F2338" i="1"/>
  <c r="I2337" i="1"/>
  <c r="J2337" i="1" s="1"/>
  <c r="H2337" i="1"/>
  <c r="G2337" i="1"/>
  <c r="F2337" i="1"/>
  <c r="I2336" i="1"/>
  <c r="J2336" i="1" s="1"/>
  <c r="H2336" i="1"/>
  <c r="G2336" i="1"/>
  <c r="F2336" i="1"/>
  <c r="J2335" i="1"/>
  <c r="I2335" i="1"/>
  <c r="H2335" i="1"/>
  <c r="G2335" i="1"/>
  <c r="F2335" i="1"/>
  <c r="J2334" i="1"/>
  <c r="I2334" i="1"/>
  <c r="H2334" i="1"/>
  <c r="G2334" i="1"/>
  <c r="F2334" i="1"/>
  <c r="J2333" i="1"/>
  <c r="I2333" i="1"/>
  <c r="H2333" i="1"/>
  <c r="G2333" i="1"/>
  <c r="F2333" i="1"/>
  <c r="J2332" i="1"/>
  <c r="I2332" i="1"/>
  <c r="H2332" i="1"/>
  <c r="G2332" i="1"/>
  <c r="F2332" i="1"/>
  <c r="I2331" i="1"/>
  <c r="J2331" i="1" s="1"/>
  <c r="H2331" i="1"/>
  <c r="G2331" i="1"/>
  <c r="F2331" i="1"/>
  <c r="I2330" i="1"/>
  <c r="J2330" i="1" s="1"/>
  <c r="H2330" i="1"/>
  <c r="G2330" i="1"/>
  <c r="F2330" i="1"/>
  <c r="I2329" i="1"/>
  <c r="J2329" i="1" s="1"/>
  <c r="H2329" i="1"/>
  <c r="G2329" i="1"/>
  <c r="F2329" i="1"/>
  <c r="J2328" i="1"/>
  <c r="I2328" i="1"/>
  <c r="H2328" i="1"/>
  <c r="G2328" i="1"/>
  <c r="F2328" i="1"/>
  <c r="J2327" i="1"/>
  <c r="I2327" i="1"/>
  <c r="H2327" i="1"/>
  <c r="G2327" i="1"/>
  <c r="F2327" i="1"/>
  <c r="J2326" i="1"/>
  <c r="I2326" i="1"/>
  <c r="H2326" i="1"/>
  <c r="G2326" i="1"/>
  <c r="F2326" i="1"/>
  <c r="J2325" i="1"/>
  <c r="I2325" i="1"/>
  <c r="H2325" i="1"/>
  <c r="G2325" i="1"/>
  <c r="F2325" i="1"/>
  <c r="I2324" i="1"/>
  <c r="J2324" i="1" s="1"/>
  <c r="H2324" i="1"/>
  <c r="G2324" i="1"/>
  <c r="F2324" i="1"/>
  <c r="J2323" i="1"/>
  <c r="I2323" i="1"/>
  <c r="H2323" i="1"/>
  <c r="G2323" i="1"/>
  <c r="F2323" i="1"/>
  <c r="I2322" i="1"/>
  <c r="J2322" i="1" s="1"/>
  <c r="H2322" i="1"/>
  <c r="G2322" i="1"/>
  <c r="F2322" i="1"/>
  <c r="J2321" i="1"/>
  <c r="I2321" i="1"/>
  <c r="H2321" i="1"/>
  <c r="G2321" i="1"/>
  <c r="F2321" i="1"/>
  <c r="J2320" i="1"/>
  <c r="I2320" i="1"/>
  <c r="H2320" i="1"/>
  <c r="G2320" i="1"/>
  <c r="F2320" i="1"/>
  <c r="J2319" i="1"/>
  <c r="I2319" i="1"/>
  <c r="H2319" i="1"/>
  <c r="G2319" i="1"/>
  <c r="F2319" i="1"/>
  <c r="J2318" i="1"/>
  <c r="I2318" i="1"/>
  <c r="H2318" i="1"/>
  <c r="G2318" i="1"/>
  <c r="F2318" i="1"/>
  <c r="I2317" i="1"/>
  <c r="J2317" i="1" s="1"/>
  <c r="H2317" i="1"/>
  <c r="G2317" i="1"/>
  <c r="F2317" i="1"/>
  <c r="I2316" i="1"/>
  <c r="J2316" i="1" s="1"/>
  <c r="H2316" i="1"/>
  <c r="G2316" i="1"/>
  <c r="F2316" i="1"/>
  <c r="I2315" i="1"/>
  <c r="J2315" i="1" s="1"/>
  <c r="H2315" i="1"/>
  <c r="G2315" i="1"/>
  <c r="F2315" i="1"/>
  <c r="J2314" i="1"/>
  <c r="I2314" i="1"/>
  <c r="H2314" i="1"/>
  <c r="G2314" i="1"/>
  <c r="F2314" i="1"/>
  <c r="J2313" i="1"/>
  <c r="I2313" i="1"/>
  <c r="H2313" i="1"/>
  <c r="G2313" i="1"/>
  <c r="F2313" i="1"/>
  <c r="I2312" i="1"/>
  <c r="J2312" i="1" s="1"/>
  <c r="H2312" i="1"/>
  <c r="G2312" i="1"/>
  <c r="F2312" i="1"/>
  <c r="J2311" i="1"/>
  <c r="I2311" i="1"/>
  <c r="H2311" i="1"/>
  <c r="G2311" i="1"/>
  <c r="F2311" i="1"/>
  <c r="I2310" i="1"/>
  <c r="J2310" i="1" s="1"/>
  <c r="H2310" i="1"/>
  <c r="G2310" i="1"/>
  <c r="F2310" i="1"/>
  <c r="I2309" i="1"/>
  <c r="J2309" i="1" s="1"/>
  <c r="H2309" i="1"/>
  <c r="G2309" i="1"/>
  <c r="F2309" i="1"/>
  <c r="I2308" i="1"/>
  <c r="J2308" i="1" s="1"/>
  <c r="H2308" i="1"/>
  <c r="G2308" i="1"/>
  <c r="F2308" i="1"/>
  <c r="J2307" i="1"/>
  <c r="I2307" i="1"/>
  <c r="H2307" i="1"/>
  <c r="G2307" i="1"/>
  <c r="F2307" i="1"/>
  <c r="J2306" i="1"/>
  <c r="I2306" i="1"/>
  <c r="H2306" i="1"/>
  <c r="G2306" i="1"/>
  <c r="F2306" i="1"/>
  <c r="J2305" i="1"/>
  <c r="I2305" i="1"/>
  <c r="H2305" i="1"/>
  <c r="G2305" i="1"/>
  <c r="F2305" i="1"/>
  <c r="J2304" i="1"/>
  <c r="I2304" i="1"/>
  <c r="H2304" i="1"/>
  <c r="G2304" i="1"/>
  <c r="F2304" i="1"/>
  <c r="I2303" i="1"/>
  <c r="J2303" i="1" s="1"/>
  <c r="H2303" i="1"/>
  <c r="G2303" i="1"/>
  <c r="F2303" i="1"/>
  <c r="I2302" i="1"/>
  <c r="J2302" i="1" s="1"/>
  <c r="H2302" i="1"/>
  <c r="G2302" i="1"/>
  <c r="F2302" i="1"/>
  <c r="I2301" i="1"/>
  <c r="J2301" i="1" s="1"/>
  <c r="H2301" i="1"/>
  <c r="G2301" i="1"/>
  <c r="F2301" i="1"/>
  <c r="J2300" i="1"/>
  <c r="I2300" i="1"/>
  <c r="H2300" i="1"/>
  <c r="G2300" i="1"/>
  <c r="F2300" i="1"/>
  <c r="J2299" i="1"/>
  <c r="I2299" i="1"/>
  <c r="H2299" i="1"/>
  <c r="G2299" i="1"/>
  <c r="F2299" i="1"/>
  <c r="J2298" i="1"/>
  <c r="I2298" i="1"/>
  <c r="H2298" i="1"/>
  <c r="G2298" i="1"/>
  <c r="F2298" i="1"/>
  <c r="J2297" i="1"/>
  <c r="I2297" i="1"/>
  <c r="H2297" i="1"/>
  <c r="G2297" i="1"/>
  <c r="F2297" i="1"/>
  <c r="I2296" i="1"/>
  <c r="J2296" i="1" s="1"/>
  <c r="H2296" i="1"/>
  <c r="G2296" i="1"/>
  <c r="F2296" i="1"/>
  <c r="J2295" i="1"/>
  <c r="I2295" i="1"/>
  <c r="H2295" i="1"/>
  <c r="G2295" i="1"/>
  <c r="F2295" i="1"/>
  <c r="I2294" i="1"/>
  <c r="J2294" i="1" s="1"/>
  <c r="H2294" i="1"/>
  <c r="G2294" i="1"/>
  <c r="F2294" i="1"/>
  <c r="J2293" i="1"/>
  <c r="I2293" i="1"/>
  <c r="H2293" i="1"/>
  <c r="G2293" i="1"/>
  <c r="F2293" i="1"/>
  <c r="J2292" i="1"/>
  <c r="I2292" i="1"/>
  <c r="H2292" i="1"/>
  <c r="G2292" i="1"/>
  <c r="F2292" i="1"/>
  <c r="J2291" i="1"/>
  <c r="I2291" i="1"/>
  <c r="H2291" i="1"/>
  <c r="G2291" i="1"/>
  <c r="F2291" i="1"/>
  <c r="J2290" i="1"/>
  <c r="I2290" i="1"/>
  <c r="H2290" i="1"/>
  <c r="G2290" i="1"/>
  <c r="F2290" i="1"/>
  <c r="I2289" i="1"/>
  <c r="J2289" i="1" s="1"/>
  <c r="H2289" i="1"/>
  <c r="G2289" i="1"/>
  <c r="F2289" i="1"/>
  <c r="I2288" i="1"/>
  <c r="J2288" i="1" s="1"/>
  <c r="H2288" i="1"/>
  <c r="G2288" i="1"/>
  <c r="F2288" i="1"/>
  <c r="I2287" i="1"/>
  <c r="J2287" i="1" s="1"/>
  <c r="H2287" i="1"/>
  <c r="G2287" i="1"/>
  <c r="F2287" i="1"/>
  <c r="J2286" i="1"/>
  <c r="I2286" i="1"/>
  <c r="H2286" i="1"/>
  <c r="G2286" i="1"/>
  <c r="F2286" i="1"/>
  <c r="J2285" i="1"/>
  <c r="I2285" i="1"/>
  <c r="H2285" i="1"/>
  <c r="G2285" i="1"/>
  <c r="F2285" i="1"/>
  <c r="J2284" i="1"/>
  <c r="I2284" i="1"/>
  <c r="H2284" i="1"/>
  <c r="G2284" i="1"/>
  <c r="F2284" i="1"/>
  <c r="J2283" i="1"/>
  <c r="I2283" i="1"/>
  <c r="H2283" i="1"/>
  <c r="G2283" i="1"/>
  <c r="F2283" i="1"/>
  <c r="I2282" i="1"/>
  <c r="J2282" i="1" s="1"/>
  <c r="H2282" i="1"/>
  <c r="G2282" i="1"/>
  <c r="F2282" i="1"/>
  <c r="J2281" i="1"/>
  <c r="I2281" i="1"/>
  <c r="H2281" i="1"/>
  <c r="G2281" i="1"/>
  <c r="F2281" i="1"/>
  <c r="I2280" i="1"/>
  <c r="J2280" i="1" s="1"/>
  <c r="H2280" i="1"/>
  <c r="G2280" i="1"/>
  <c r="F2280" i="1"/>
  <c r="J2279" i="1"/>
  <c r="I2279" i="1"/>
  <c r="H2279" i="1"/>
  <c r="G2279" i="1"/>
  <c r="F2279" i="1"/>
  <c r="J2278" i="1"/>
  <c r="I2278" i="1"/>
  <c r="H2278" i="1"/>
  <c r="G2278" i="1"/>
  <c r="F2278" i="1"/>
  <c r="J2277" i="1"/>
  <c r="I2277" i="1"/>
  <c r="H2277" i="1"/>
  <c r="G2277" i="1"/>
  <c r="F2277" i="1"/>
  <c r="J2276" i="1"/>
  <c r="I2276" i="1"/>
  <c r="H2276" i="1"/>
  <c r="G2276" i="1"/>
  <c r="F2276" i="1"/>
  <c r="I2275" i="1"/>
  <c r="J2275" i="1" s="1"/>
  <c r="H2275" i="1"/>
  <c r="G2275" i="1"/>
  <c r="F2275" i="1"/>
  <c r="I2274" i="1"/>
  <c r="J2274" i="1" s="1"/>
  <c r="H2274" i="1"/>
  <c r="G2274" i="1"/>
  <c r="F2274" i="1"/>
  <c r="I2273" i="1"/>
  <c r="J2273" i="1" s="1"/>
  <c r="H2273" i="1"/>
  <c r="G2273" i="1"/>
  <c r="F2273" i="1"/>
  <c r="J2272" i="1"/>
  <c r="I2272" i="1"/>
  <c r="H2272" i="1"/>
  <c r="G2272" i="1"/>
  <c r="F2272" i="1"/>
  <c r="J2271" i="1"/>
  <c r="I2271" i="1"/>
  <c r="H2271" i="1"/>
  <c r="G2271" i="1"/>
  <c r="F2271" i="1"/>
  <c r="J2270" i="1"/>
  <c r="I2270" i="1"/>
  <c r="H2270" i="1"/>
  <c r="G2270" i="1"/>
  <c r="F2270" i="1"/>
  <c r="J2269" i="1"/>
  <c r="I2269" i="1"/>
  <c r="H2269" i="1"/>
  <c r="G2269" i="1"/>
  <c r="F2269" i="1"/>
  <c r="I2268" i="1"/>
  <c r="J2268" i="1" s="1"/>
  <c r="H2268" i="1"/>
  <c r="G2268" i="1"/>
  <c r="F2268" i="1"/>
  <c r="J2267" i="1"/>
  <c r="I2267" i="1"/>
  <c r="H2267" i="1"/>
  <c r="G2267" i="1"/>
  <c r="F2267" i="1"/>
  <c r="I2266" i="1"/>
  <c r="J2266" i="1" s="1"/>
  <c r="H2266" i="1"/>
  <c r="G2266" i="1"/>
  <c r="F2266" i="1"/>
  <c r="J2265" i="1"/>
  <c r="I2265" i="1"/>
  <c r="H2265" i="1"/>
  <c r="G2265" i="1"/>
  <c r="F2265" i="1"/>
  <c r="J2264" i="1"/>
  <c r="I2264" i="1"/>
  <c r="H2264" i="1"/>
  <c r="G2264" i="1"/>
  <c r="F2264" i="1"/>
  <c r="J2263" i="1"/>
  <c r="I2263" i="1"/>
  <c r="H2263" i="1"/>
  <c r="G2263" i="1"/>
  <c r="F2263" i="1"/>
  <c r="J2262" i="1"/>
  <c r="I2262" i="1"/>
  <c r="H2262" i="1"/>
  <c r="G2262" i="1"/>
  <c r="F2262" i="1"/>
  <c r="I2261" i="1"/>
  <c r="J2261" i="1" s="1"/>
  <c r="H2261" i="1"/>
  <c r="G2261" i="1"/>
  <c r="F2261" i="1"/>
  <c r="I2260" i="1"/>
  <c r="J2260" i="1" s="1"/>
  <c r="H2260" i="1"/>
  <c r="G2260" i="1"/>
  <c r="F2260" i="1"/>
  <c r="I2259" i="1"/>
  <c r="J2259" i="1" s="1"/>
  <c r="H2259" i="1"/>
  <c r="G2259" i="1"/>
  <c r="F2259" i="1"/>
  <c r="J2258" i="1"/>
  <c r="I2258" i="1"/>
  <c r="H2258" i="1"/>
  <c r="G2258" i="1"/>
  <c r="F2258" i="1"/>
  <c r="J2257" i="1"/>
  <c r="I2257" i="1"/>
  <c r="H2257" i="1"/>
  <c r="G2257" i="1"/>
  <c r="F2257" i="1"/>
  <c r="J2256" i="1"/>
  <c r="I2256" i="1"/>
  <c r="H2256" i="1"/>
  <c r="G2256" i="1"/>
  <c r="F2256" i="1"/>
  <c r="J2255" i="1"/>
  <c r="I2255" i="1"/>
  <c r="H2255" i="1"/>
  <c r="G2255" i="1"/>
  <c r="F2255" i="1"/>
  <c r="I2254" i="1"/>
  <c r="J2254" i="1" s="1"/>
  <c r="H2254" i="1"/>
  <c r="G2254" i="1"/>
  <c r="F2254" i="1"/>
  <c r="J2253" i="1"/>
  <c r="I2253" i="1"/>
  <c r="H2253" i="1"/>
  <c r="G2253" i="1"/>
  <c r="F2253" i="1"/>
  <c r="I2252" i="1"/>
  <c r="J2252" i="1" s="1"/>
  <c r="H2252" i="1"/>
  <c r="G2252" i="1"/>
  <c r="F2252" i="1"/>
  <c r="J2251" i="1"/>
  <c r="I2251" i="1"/>
  <c r="H2251" i="1"/>
  <c r="G2251" i="1"/>
  <c r="F2251" i="1"/>
  <c r="J2250" i="1"/>
  <c r="I2250" i="1"/>
  <c r="H2250" i="1"/>
  <c r="G2250" i="1"/>
  <c r="F2250" i="1"/>
  <c r="J2249" i="1"/>
  <c r="I2249" i="1"/>
  <c r="H2249" i="1"/>
  <c r="G2249" i="1"/>
  <c r="F2249" i="1"/>
  <c r="J2248" i="1"/>
  <c r="I2248" i="1"/>
  <c r="H2248" i="1"/>
  <c r="G2248" i="1"/>
  <c r="F2248" i="1"/>
  <c r="I2247" i="1"/>
  <c r="J2247" i="1" s="1"/>
  <c r="H2247" i="1"/>
  <c r="G2247" i="1"/>
  <c r="F2247" i="1"/>
  <c r="I2246" i="1"/>
  <c r="J2246" i="1" s="1"/>
  <c r="H2246" i="1"/>
  <c r="G2246" i="1"/>
  <c r="F2246" i="1"/>
  <c r="I2245" i="1"/>
  <c r="J2245" i="1" s="1"/>
  <c r="H2245" i="1"/>
  <c r="G2245" i="1"/>
  <c r="F2245" i="1"/>
  <c r="J2244" i="1"/>
  <c r="I2244" i="1"/>
  <c r="H2244" i="1"/>
  <c r="G2244" i="1"/>
  <c r="F2244" i="1"/>
  <c r="J2243" i="1"/>
  <c r="I2243" i="1"/>
  <c r="H2243" i="1"/>
  <c r="G2243" i="1"/>
  <c r="F2243" i="1"/>
  <c r="I2242" i="1"/>
  <c r="J2242" i="1" s="1"/>
  <c r="H2242" i="1"/>
  <c r="G2242" i="1"/>
  <c r="F2242" i="1"/>
  <c r="J2241" i="1"/>
  <c r="I2241" i="1"/>
  <c r="H2241" i="1"/>
  <c r="G2241" i="1"/>
  <c r="F2241" i="1"/>
  <c r="I2240" i="1"/>
  <c r="J2240" i="1" s="1"/>
  <c r="H2240" i="1"/>
  <c r="G2240" i="1"/>
  <c r="F2240" i="1"/>
  <c r="I2239" i="1"/>
  <c r="J2239" i="1" s="1"/>
  <c r="H2239" i="1"/>
  <c r="G2239" i="1"/>
  <c r="F2239" i="1"/>
  <c r="I2238" i="1"/>
  <c r="J2238" i="1" s="1"/>
  <c r="H2238" i="1"/>
  <c r="G2238" i="1"/>
  <c r="F2238" i="1"/>
  <c r="J2237" i="1"/>
  <c r="I2237" i="1"/>
  <c r="H2237" i="1"/>
  <c r="G2237" i="1"/>
  <c r="F2237" i="1"/>
  <c r="J2236" i="1"/>
  <c r="I2236" i="1"/>
  <c r="H2236" i="1"/>
  <c r="G2236" i="1"/>
  <c r="F2236" i="1"/>
  <c r="J2235" i="1"/>
  <c r="I2235" i="1"/>
  <c r="H2235" i="1"/>
  <c r="G2235" i="1"/>
  <c r="F2235" i="1"/>
  <c r="J2234" i="1"/>
  <c r="I2234" i="1"/>
  <c r="H2234" i="1"/>
  <c r="G2234" i="1"/>
  <c r="F2234" i="1"/>
  <c r="I2233" i="1"/>
  <c r="J2233" i="1" s="1"/>
  <c r="H2233" i="1"/>
  <c r="G2233" i="1"/>
  <c r="F2233" i="1"/>
  <c r="I2232" i="1"/>
  <c r="J2232" i="1" s="1"/>
  <c r="H2232" i="1"/>
  <c r="G2232" i="1"/>
  <c r="F2232" i="1"/>
  <c r="I2231" i="1"/>
  <c r="J2231" i="1" s="1"/>
  <c r="H2231" i="1"/>
  <c r="G2231" i="1"/>
  <c r="F2231" i="1"/>
  <c r="J2230" i="1"/>
  <c r="I2230" i="1"/>
  <c r="H2230" i="1"/>
  <c r="G2230" i="1"/>
  <c r="F2230" i="1"/>
  <c r="J2229" i="1"/>
  <c r="I2229" i="1"/>
  <c r="H2229" i="1"/>
  <c r="G2229" i="1"/>
  <c r="F2229" i="1"/>
  <c r="I2228" i="1"/>
  <c r="J2228" i="1" s="1"/>
  <c r="H2228" i="1"/>
  <c r="G2228" i="1"/>
  <c r="F2228" i="1"/>
  <c r="J2227" i="1"/>
  <c r="I2227" i="1"/>
  <c r="H2227" i="1"/>
  <c r="G2227" i="1"/>
  <c r="F2227" i="1"/>
  <c r="I2226" i="1"/>
  <c r="J2226" i="1" s="1"/>
  <c r="H2226" i="1"/>
  <c r="G2226" i="1"/>
  <c r="F2226" i="1"/>
  <c r="I2225" i="1"/>
  <c r="J2225" i="1" s="1"/>
  <c r="H2225" i="1"/>
  <c r="G2225" i="1"/>
  <c r="F2225" i="1"/>
  <c r="I2224" i="1"/>
  <c r="J2224" i="1" s="1"/>
  <c r="H2224" i="1"/>
  <c r="G2224" i="1"/>
  <c r="F2224" i="1"/>
  <c r="J2223" i="1"/>
  <c r="I2223" i="1"/>
  <c r="H2223" i="1"/>
  <c r="G2223" i="1"/>
  <c r="F2223" i="1"/>
  <c r="J2222" i="1"/>
  <c r="I2222" i="1"/>
  <c r="H2222" i="1"/>
  <c r="G2222" i="1"/>
  <c r="F2222" i="1"/>
  <c r="J2221" i="1"/>
  <c r="I2221" i="1"/>
  <c r="H2221" i="1"/>
  <c r="G2221" i="1"/>
  <c r="F2221" i="1"/>
  <c r="J2220" i="1"/>
  <c r="I2220" i="1"/>
  <c r="H2220" i="1"/>
  <c r="G2220" i="1"/>
  <c r="F2220" i="1"/>
  <c r="I2219" i="1"/>
  <c r="J2219" i="1" s="1"/>
  <c r="H2219" i="1"/>
  <c r="G2219" i="1"/>
  <c r="F2219" i="1"/>
  <c r="I2218" i="1"/>
  <c r="J2218" i="1" s="1"/>
  <c r="H2218" i="1"/>
  <c r="G2218" i="1"/>
  <c r="F2218" i="1"/>
  <c r="I2217" i="1"/>
  <c r="J2217" i="1" s="1"/>
  <c r="H2217" i="1"/>
  <c r="G2217" i="1"/>
  <c r="F2217" i="1"/>
  <c r="J2216" i="1"/>
  <c r="I2216" i="1"/>
  <c r="H2216" i="1"/>
  <c r="G2216" i="1"/>
  <c r="F2216" i="1"/>
  <c r="J2215" i="1"/>
  <c r="I2215" i="1"/>
  <c r="H2215" i="1"/>
  <c r="G2215" i="1"/>
  <c r="F2215" i="1"/>
  <c r="J2214" i="1"/>
  <c r="I2214" i="1"/>
  <c r="H2214" i="1"/>
  <c r="G2214" i="1"/>
  <c r="F2214" i="1"/>
  <c r="J2213" i="1"/>
  <c r="I2213" i="1"/>
  <c r="H2213" i="1"/>
  <c r="G2213" i="1"/>
  <c r="F2213" i="1"/>
  <c r="I2212" i="1"/>
  <c r="J2212" i="1" s="1"/>
  <c r="H2212" i="1"/>
  <c r="G2212" i="1"/>
  <c r="F2212" i="1"/>
  <c r="J2211" i="1"/>
  <c r="I2211" i="1"/>
  <c r="H2211" i="1"/>
  <c r="G2211" i="1"/>
  <c r="F2211" i="1"/>
  <c r="I2210" i="1"/>
  <c r="J2210" i="1" s="1"/>
  <c r="H2210" i="1"/>
  <c r="G2210" i="1"/>
  <c r="F2210" i="1"/>
  <c r="J2209" i="1"/>
  <c r="I2209" i="1"/>
  <c r="H2209" i="1"/>
  <c r="G2209" i="1"/>
  <c r="F2209" i="1"/>
  <c r="J2208" i="1"/>
  <c r="I2208" i="1"/>
  <c r="H2208" i="1"/>
  <c r="G2208" i="1"/>
  <c r="F2208" i="1"/>
  <c r="J2207" i="1"/>
  <c r="I2207" i="1"/>
  <c r="H2207" i="1"/>
  <c r="G2207" i="1"/>
  <c r="F2207" i="1"/>
  <c r="J2206" i="1"/>
  <c r="I2206" i="1"/>
  <c r="H2206" i="1"/>
  <c r="G2206" i="1"/>
  <c r="F2206" i="1"/>
  <c r="I2205" i="1"/>
  <c r="J2205" i="1" s="1"/>
  <c r="H2205" i="1"/>
  <c r="G2205" i="1"/>
  <c r="F2205" i="1"/>
  <c r="I2204" i="1"/>
  <c r="J2204" i="1" s="1"/>
  <c r="H2204" i="1"/>
  <c r="G2204" i="1"/>
  <c r="F2204" i="1"/>
  <c r="I2203" i="1"/>
  <c r="J2203" i="1" s="1"/>
  <c r="H2203" i="1"/>
  <c r="G2203" i="1"/>
  <c r="F2203" i="1"/>
  <c r="J2202" i="1"/>
  <c r="I2202" i="1"/>
  <c r="H2202" i="1"/>
  <c r="G2202" i="1"/>
  <c r="F2202" i="1"/>
  <c r="J2201" i="1"/>
  <c r="I2201" i="1"/>
  <c r="H2201" i="1"/>
  <c r="G2201" i="1"/>
  <c r="F2201" i="1"/>
  <c r="J2200" i="1"/>
  <c r="I2200" i="1"/>
  <c r="H2200" i="1"/>
  <c r="G2200" i="1"/>
  <c r="F2200" i="1"/>
  <c r="J2199" i="1"/>
  <c r="I2199" i="1"/>
  <c r="H2199" i="1"/>
  <c r="G2199" i="1"/>
  <c r="F2199" i="1"/>
  <c r="I2198" i="1"/>
  <c r="J2198" i="1" s="1"/>
  <c r="H2198" i="1"/>
  <c r="G2198" i="1"/>
  <c r="F2198" i="1"/>
  <c r="J2197" i="1"/>
  <c r="I2197" i="1"/>
  <c r="H2197" i="1"/>
  <c r="G2197" i="1"/>
  <c r="F2197" i="1"/>
  <c r="I2196" i="1"/>
  <c r="J2196" i="1" s="1"/>
  <c r="H2196" i="1"/>
  <c r="G2196" i="1"/>
  <c r="F2196" i="1"/>
  <c r="J2195" i="1"/>
  <c r="I2195" i="1"/>
  <c r="H2195" i="1"/>
  <c r="G2195" i="1"/>
  <c r="F2195" i="1"/>
  <c r="J2194" i="1"/>
  <c r="I2194" i="1"/>
  <c r="H2194" i="1"/>
  <c r="G2194" i="1"/>
  <c r="F2194" i="1"/>
  <c r="J2193" i="1"/>
  <c r="I2193" i="1"/>
  <c r="H2193" i="1"/>
  <c r="G2193" i="1"/>
  <c r="F2193" i="1"/>
  <c r="J2192" i="1"/>
  <c r="I2192" i="1"/>
  <c r="H2192" i="1"/>
  <c r="G2192" i="1"/>
  <c r="F2192" i="1"/>
  <c r="I2191" i="1"/>
  <c r="J2191" i="1" s="1"/>
  <c r="H2191" i="1"/>
  <c r="G2191" i="1"/>
  <c r="F2191" i="1"/>
  <c r="I2190" i="1"/>
  <c r="J2190" i="1" s="1"/>
  <c r="H2190" i="1"/>
  <c r="G2190" i="1"/>
  <c r="F2190" i="1"/>
  <c r="I2189" i="1"/>
  <c r="J2189" i="1" s="1"/>
  <c r="H2189" i="1"/>
  <c r="G2189" i="1"/>
  <c r="F2189" i="1"/>
  <c r="J2188" i="1"/>
  <c r="I2188" i="1"/>
  <c r="H2188" i="1"/>
  <c r="G2188" i="1"/>
  <c r="F2188" i="1"/>
  <c r="J2187" i="1"/>
  <c r="I2187" i="1"/>
  <c r="H2187" i="1"/>
  <c r="G2187" i="1"/>
  <c r="F2187" i="1"/>
  <c r="J2186" i="1"/>
  <c r="I2186" i="1"/>
  <c r="H2186" i="1"/>
  <c r="G2186" i="1"/>
  <c r="F2186" i="1"/>
  <c r="J2185" i="1"/>
  <c r="I2185" i="1"/>
  <c r="H2185" i="1"/>
  <c r="G2185" i="1"/>
  <c r="F2185" i="1"/>
  <c r="I2184" i="1"/>
  <c r="J2184" i="1" s="1"/>
  <c r="H2184" i="1"/>
  <c r="G2184" i="1"/>
  <c r="F2184" i="1"/>
  <c r="J2183" i="1"/>
  <c r="I2183" i="1"/>
  <c r="H2183" i="1"/>
  <c r="G2183" i="1"/>
  <c r="F2183" i="1"/>
  <c r="I2182" i="1"/>
  <c r="J2182" i="1" s="1"/>
  <c r="H2182" i="1"/>
  <c r="G2182" i="1"/>
  <c r="F2182" i="1"/>
  <c r="J2181" i="1"/>
  <c r="I2181" i="1"/>
  <c r="H2181" i="1"/>
  <c r="G2181" i="1"/>
  <c r="F2181" i="1"/>
  <c r="J2180" i="1"/>
  <c r="I2180" i="1"/>
  <c r="H2180" i="1"/>
  <c r="G2180" i="1"/>
  <c r="F2180" i="1"/>
  <c r="J2179" i="1"/>
  <c r="I2179" i="1"/>
  <c r="H2179" i="1"/>
  <c r="G2179" i="1"/>
  <c r="F2179" i="1"/>
  <c r="J2178" i="1"/>
  <c r="I2178" i="1"/>
  <c r="H2178" i="1"/>
  <c r="G2178" i="1"/>
  <c r="F2178" i="1"/>
  <c r="I2177" i="1"/>
  <c r="J2177" i="1" s="1"/>
  <c r="H2177" i="1"/>
  <c r="G2177" i="1"/>
  <c r="F2177" i="1"/>
  <c r="I2176" i="1"/>
  <c r="J2176" i="1" s="1"/>
  <c r="H2176" i="1"/>
  <c r="G2176" i="1"/>
  <c r="F2176" i="1"/>
  <c r="I2175" i="1"/>
  <c r="J2175" i="1" s="1"/>
  <c r="H2175" i="1"/>
  <c r="G2175" i="1"/>
  <c r="F2175" i="1"/>
  <c r="J2174" i="1"/>
  <c r="I2174" i="1"/>
  <c r="H2174" i="1"/>
  <c r="G2174" i="1"/>
  <c r="F2174" i="1"/>
  <c r="J2173" i="1"/>
  <c r="I2173" i="1"/>
  <c r="H2173" i="1"/>
  <c r="G2173" i="1"/>
  <c r="F2173" i="1"/>
  <c r="I2172" i="1"/>
  <c r="J2172" i="1" s="1"/>
  <c r="H2172" i="1"/>
  <c r="G2172" i="1"/>
  <c r="F2172" i="1"/>
  <c r="J2171" i="1"/>
  <c r="I2171" i="1"/>
  <c r="H2171" i="1"/>
  <c r="G2171" i="1"/>
  <c r="F2171" i="1"/>
  <c r="J2170" i="1"/>
  <c r="I2170" i="1"/>
  <c r="H2170" i="1"/>
  <c r="G2170" i="1"/>
  <c r="F2170" i="1"/>
  <c r="J2169" i="1"/>
  <c r="I2169" i="1"/>
  <c r="H2169" i="1"/>
  <c r="G2169" i="1"/>
  <c r="F2169" i="1"/>
  <c r="I2168" i="1"/>
  <c r="J2168" i="1" s="1"/>
  <c r="H2168" i="1"/>
  <c r="G2168" i="1"/>
  <c r="F2168" i="1"/>
  <c r="J2167" i="1"/>
  <c r="I2167" i="1"/>
  <c r="H2167" i="1"/>
  <c r="G2167" i="1"/>
  <c r="F2167" i="1"/>
  <c r="J2166" i="1"/>
  <c r="I2166" i="1"/>
  <c r="H2166" i="1"/>
  <c r="G2166" i="1"/>
  <c r="F2166" i="1"/>
  <c r="J2165" i="1"/>
  <c r="I2165" i="1"/>
  <c r="H2165" i="1"/>
  <c r="G2165" i="1"/>
  <c r="F2165" i="1"/>
  <c r="J2164" i="1"/>
  <c r="I2164" i="1"/>
  <c r="H2164" i="1"/>
  <c r="G2164" i="1"/>
  <c r="F2164" i="1"/>
  <c r="I2163" i="1"/>
  <c r="J2163" i="1" s="1"/>
  <c r="H2163" i="1"/>
  <c r="G2163" i="1"/>
  <c r="F2163" i="1"/>
  <c r="I2162" i="1"/>
  <c r="J2162" i="1" s="1"/>
  <c r="H2162" i="1"/>
  <c r="G2162" i="1"/>
  <c r="F2162" i="1"/>
  <c r="I2161" i="1"/>
  <c r="J2161" i="1" s="1"/>
  <c r="H2161" i="1"/>
  <c r="G2161" i="1"/>
  <c r="F2161" i="1"/>
  <c r="J2160" i="1"/>
  <c r="I2160" i="1"/>
  <c r="H2160" i="1"/>
  <c r="G2160" i="1"/>
  <c r="F2160" i="1"/>
  <c r="J2159" i="1"/>
  <c r="I2159" i="1"/>
  <c r="H2159" i="1"/>
  <c r="G2159" i="1"/>
  <c r="F2159" i="1"/>
  <c r="J2158" i="1"/>
  <c r="I2158" i="1"/>
  <c r="H2158" i="1"/>
  <c r="G2158" i="1"/>
  <c r="F2158" i="1"/>
  <c r="J2157" i="1"/>
  <c r="I2157" i="1"/>
  <c r="H2157" i="1"/>
  <c r="G2157" i="1"/>
  <c r="F2157" i="1"/>
  <c r="I2156" i="1"/>
  <c r="J2156" i="1" s="1"/>
  <c r="H2156" i="1"/>
  <c r="G2156" i="1"/>
  <c r="F2156" i="1"/>
  <c r="I2155" i="1"/>
  <c r="J2155" i="1" s="1"/>
  <c r="H2155" i="1"/>
  <c r="G2155" i="1"/>
  <c r="F2155" i="1"/>
  <c r="I2154" i="1"/>
  <c r="J2154" i="1" s="1"/>
  <c r="H2154" i="1"/>
  <c r="G2154" i="1"/>
  <c r="F2154" i="1"/>
  <c r="J2153" i="1"/>
  <c r="I2153" i="1"/>
  <c r="H2153" i="1"/>
  <c r="G2153" i="1"/>
  <c r="F2153" i="1"/>
  <c r="J2152" i="1"/>
  <c r="I2152" i="1"/>
  <c r="H2152" i="1"/>
  <c r="G2152" i="1"/>
  <c r="F2152" i="1"/>
  <c r="J2151" i="1"/>
  <c r="I2151" i="1"/>
  <c r="H2151" i="1"/>
  <c r="G2151" i="1"/>
  <c r="F2151" i="1"/>
  <c r="J2150" i="1"/>
  <c r="I2150" i="1"/>
  <c r="H2150" i="1"/>
  <c r="G2150" i="1"/>
  <c r="F2150" i="1"/>
  <c r="I2149" i="1"/>
  <c r="J2149" i="1" s="1"/>
  <c r="H2149" i="1"/>
  <c r="G2149" i="1"/>
  <c r="F2149" i="1"/>
  <c r="I2148" i="1"/>
  <c r="J2148" i="1" s="1"/>
  <c r="H2148" i="1"/>
  <c r="G2148" i="1"/>
  <c r="F2148" i="1"/>
  <c r="I2147" i="1"/>
  <c r="J2147" i="1" s="1"/>
  <c r="H2147" i="1"/>
  <c r="G2147" i="1"/>
  <c r="F2147" i="1"/>
  <c r="J2146" i="1"/>
  <c r="I2146" i="1"/>
  <c r="H2146" i="1"/>
  <c r="G2146" i="1"/>
  <c r="F2146" i="1"/>
  <c r="J2145" i="1"/>
  <c r="I2145" i="1"/>
  <c r="H2145" i="1"/>
  <c r="G2145" i="1"/>
  <c r="F2145" i="1"/>
  <c r="I2144" i="1"/>
  <c r="J2144" i="1" s="1"/>
  <c r="H2144" i="1"/>
  <c r="G2144" i="1"/>
  <c r="F2144" i="1"/>
  <c r="J2143" i="1"/>
  <c r="I2143" i="1"/>
  <c r="H2143" i="1"/>
  <c r="G2143" i="1"/>
  <c r="F2143" i="1"/>
  <c r="J2142" i="1"/>
  <c r="I2142" i="1"/>
  <c r="H2142" i="1"/>
  <c r="G2142" i="1"/>
  <c r="F2142" i="1"/>
  <c r="J2141" i="1"/>
  <c r="I2141" i="1"/>
  <c r="H2141" i="1"/>
  <c r="G2141" i="1"/>
  <c r="F2141" i="1"/>
  <c r="I2140" i="1"/>
  <c r="J2140" i="1" s="1"/>
  <c r="H2140" i="1"/>
  <c r="G2140" i="1"/>
  <c r="F2140" i="1"/>
  <c r="J2139" i="1"/>
  <c r="I2139" i="1"/>
  <c r="H2139" i="1"/>
  <c r="G2139" i="1"/>
  <c r="F2139" i="1"/>
  <c r="J2138" i="1"/>
  <c r="I2138" i="1"/>
  <c r="H2138" i="1"/>
  <c r="G2138" i="1"/>
  <c r="F2138" i="1"/>
  <c r="J2137" i="1"/>
  <c r="I2137" i="1"/>
  <c r="H2137" i="1"/>
  <c r="G2137" i="1"/>
  <c r="F2137" i="1"/>
  <c r="J2136" i="1"/>
  <c r="I2136" i="1"/>
  <c r="H2136" i="1"/>
  <c r="G2136" i="1"/>
  <c r="F2136" i="1"/>
  <c r="I2135" i="1"/>
  <c r="J2135" i="1" s="1"/>
  <c r="H2135" i="1"/>
  <c r="G2135" i="1"/>
  <c r="F2135" i="1"/>
  <c r="I2134" i="1"/>
  <c r="J2134" i="1" s="1"/>
  <c r="H2134" i="1"/>
  <c r="G2134" i="1"/>
  <c r="F2134" i="1"/>
  <c r="I2133" i="1"/>
  <c r="J2133" i="1" s="1"/>
  <c r="H2133" i="1"/>
  <c r="G2133" i="1"/>
  <c r="F2133" i="1"/>
  <c r="J2132" i="1"/>
  <c r="I2132" i="1"/>
  <c r="H2132" i="1"/>
  <c r="G2132" i="1"/>
  <c r="F2132" i="1"/>
  <c r="I2131" i="1"/>
  <c r="J2131" i="1" s="1"/>
  <c r="H2131" i="1"/>
  <c r="G2131" i="1"/>
  <c r="F2131" i="1"/>
  <c r="J2130" i="1"/>
  <c r="I2130" i="1"/>
  <c r="H2130" i="1"/>
  <c r="G2130" i="1"/>
  <c r="F2130" i="1"/>
  <c r="J2129" i="1"/>
  <c r="I2129" i="1"/>
  <c r="H2129" i="1"/>
  <c r="G2129" i="1"/>
  <c r="F2129" i="1"/>
  <c r="I2128" i="1"/>
  <c r="J2128" i="1" s="1"/>
  <c r="H2128" i="1"/>
  <c r="G2128" i="1"/>
  <c r="F2128" i="1"/>
  <c r="J2127" i="1"/>
  <c r="I2127" i="1"/>
  <c r="H2127" i="1"/>
  <c r="G2127" i="1"/>
  <c r="F2127" i="1"/>
  <c r="I2126" i="1"/>
  <c r="J2126" i="1" s="1"/>
  <c r="H2126" i="1"/>
  <c r="G2126" i="1"/>
  <c r="F2126" i="1"/>
  <c r="J2125" i="1"/>
  <c r="I2125" i="1"/>
  <c r="H2125" i="1"/>
  <c r="G2125" i="1"/>
  <c r="F2125" i="1"/>
  <c r="J2124" i="1"/>
  <c r="I2124" i="1"/>
  <c r="H2124" i="1"/>
  <c r="G2124" i="1"/>
  <c r="F2124" i="1"/>
  <c r="J2123" i="1"/>
  <c r="I2123" i="1"/>
  <c r="H2123" i="1"/>
  <c r="G2123" i="1"/>
  <c r="F2123" i="1"/>
  <c r="J2122" i="1"/>
  <c r="I2122" i="1"/>
  <c r="H2122" i="1"/>
  <c r="G2122" i="1"/>
  <c r="F2122" i="1"/>
  <c r="I2121" i="1"/>
  <c r="J2121" i="1" s="1"/>
  <c r="H2121" i="1"/>
  <c r="G2121" i="1"/>
  <c r="F2121" i="1"/>
  <c r="I2120" i="1"/>
  <c r="J2120" i="1" s="1"/>
  <c r="H2120" i="1"/>
  <c r="G2120" i="1"/>
  <c r="F2120" i="1"/>
  <c r="I2119" i="1"/>
  <c r="J2119" i="1" s="1"/>
  <c r="H2119" i="1"/>
  <c r="G2119" i="1"/>
  <c r="F2119" i="1"/>
  <c r="J2118" i="1"/>
  <c r="I2118" i="1"/>
  <c r="H2118" i="1"/>
  <c r="G2118" i="1"/>
  <c r="F2118" i="1"/>
  <c r="J2117" i="1"/>
  <c r="I2117" i="1"/>
  <c r="H2117" i="1"/>
  <c r="G2117" i="1"/>
  <c r="F2117" i="1"/>
  <c r="I2116" i="1"/>
  <c r="J2116" i="1" s="1"/>
  <c r="H2116" i="1"/>
  <c r="G2116" i="1"/>
  <c r="F2116" i="1"/>
  <c r="J2115" i="1"/>
  <c r="I2115" i="1"/>
  <c r="H2115" i="1"/>
  <c r="G2115" i="1"/>
  <c r="F2115" i="1"/>
  <c r="I2114" i="1"/>
  <c r="J2114" i="1" s="1"/>
  <c r="H2114" i="1"/>
  <c r="G2114" i="1"/>
  <c r="F2114" i="1"/>
  <c r="J2113" i="1"/>
  <c r="I2113" i="1"/>
  <c r="H2113" i="1"/>
  <c r="G2113" i="1"/>
  <c r="F2113" i="1"/>
  <c r="I2112" i="1"/>
  <c r="J2112" i="1" s="1"/>
  <c r="H2112" i="1"/>
  <c r="G2112" i="1"/>
  <c r="F2112" i="1"/>
  <c r="J2111" i="1"/>
  <c r="I2111" i="1"/>
  <c r="H2111" i="1"/>
  <c r="G2111" i="1"/>
  <c r="F2111" i="1"/>
  <c r="J2110" i="1"/>
  <c r="I2110" i="1"/>
  <c r="H2110" i="1"/>
  <c r="G2110" i="1"/>
  <c r="F2110" i="1"/>
  <c r="J2109" i="1"/>
  <c r="I2109" i="1"/>
  <c r="H2109" i="1"/>
  <c r="G2109" i="1"/>
  <c r="F2109" i="1"/>
  <c r="J2108" i="1"/>
  <c r="I2108" i="1"/>
  <c r="H2108" i="1"/>
  <c r="G2108" i="1"/>
  <c r="F2108" i="1"/>
  <c r="I2107" i="1"/>
  <c r="J2107" i="1" s="1"/>
  <c r="H2107" i="1"/>
  <c r="G2107" i="1"/>
  <c r="F2107" i="1"/>
  <c r="I2106" i="1"/>
  <c r="J2106" i="1" s="1"/>
  <c r="H2106" i="1"/>
  <c r="G2106" i="1"/>
  <c r="F2106" i="1"/>
  <c r="I2105" i="1"/>
  <c r="J2105" i="1" s="1"/>
  <c r="H2105" i="1"/>
  <c r="G2105" i="1"/>
  <c r="F2105" i="1"/>
  <c r="J2104" i="1"/>
  <c r="I2104" i="1"/>
  <c r="H2104" i="1"/>
  <c r="G2104" i="1"/>
  <c r="F2104" i="1"/>
  <c r="J2103" i="1"/>
  <c r="I2103" i="1"/>
  <c r="H2103" i="1"/>
  <c r="G2103" i="1"/>
  <c r="F2103" i="1"/>
  <c r="I2102" i="1"/>
  <c r="J2102" i="1" s="1"/>
  <c r="H2102" i="1"/>
  <c r="G2102" i="1"/>
  <c r="F2102" i="1"/>
  <c r="J2101" i="1"/>
  <c r="I2101" i="1"/>
  <c r="H2101" i="1"/>
  <c r="G2101" i="1"/>
  <c r="F2101" i="1"/>
  <c r="I2100" i="1"/>
  <c r="J2100" i="1" s="1"/>
  <c r="H2100" i="1"/>
  <c r="G2100" i="1"/>
  <c r="F2100" i="1"/>
  <c r="J2099" i="1"/>
  <c r="I2099" i="1"/>
  <c r="H2099" i="1"/>
  <c r="G2099" i="1"/>
  <c r="F2099" i="1"/>
  <c r="I2098" i="1"/>
  <c r="J2098" i="1" s="1"/>
  <c r="H2098" i="1"/>
  <c r="G2098" i="1"/>
  <c r="F2098" i="1"/>
  <c r="J2097" i="1"/>
  <c r="I2097" i="1"/>
  <c r="H2097" i="1"/>
  <c r="G2097" i="1"/>
  <c r="F2097" i="1"/>
  <c r="J2096" i="1"/>
  <c r="I2096" i="1"/>
  <c r="H2096" i="1"/>
  <c r="G2096" i="1"/>
  <c r="F2096" i="1"/>
  <c r="J2095" i="1"/>
  <c r="I2095" i="1"/>
  <c r="H2095" i="1"/>
  <c r="G2095" i="1"/>
  <c r="F2095" i="1"/>
  <c r="J2094" i="1"/>
  <c r="I2094" i="1"/>
  <c r="H2094" i="1"/>
  <c r="G2094" i="1"/>
  <c r="F2094" i="1"/>
  <c r="I2093" i="1"/>
  <c r="J2093" i="1" s="1"/>
  <c r="H2093" i="1"/>
  <c r="G2093" i="1"/>
  <c r="F2093" i="1"/>
  <c r="I2092" i="1"/>
  <c r="J2092" i="1" s="1"/>
  <c r="H2092" i="1"/>
  <c r="G2092" i="1"/>
  <c r="F2092" i="1"/>
  <c r="I2091" i="1"/>
  <c r="J2091" i="1" s="1"/>
  <c r="H2091" i="1"/>
  <c r="G2091" i="1"/>
  <c r="F2091" i="1"/>
  <c r="J2090" i="1"/>
  <c r="I2090" i="1"/>
  <c r="H2090" i="1"/>
  <c r="G2090" i="1"/>
  <c r="F2090" i="1"/>
  <c r="J2089" i="1"/>
  <c r="I2089" i="1"/>
  <c r="H2089" i="1"/>
  <c r="G2089" i="1"/>
  <c r="F2089" i="1"/>
  <c r="I2088" i="1"/>
  <c r="J2088" i="1" s="1"/>
  <c r="H2088" i="1"/>
  <c r="G2088" i="1"/>
  <c r="F2088" i="1"/>
  <c r="J2087" i="1"/>
  <c r="I2087" i="1"/>
  <c r="H2087" i="1"/>
  <c r="G2087" i="1"/>
  <c r="F2087" i="1"/>
  <c r="I2086" i="1"/>
  <c r="J2086" i="1" s="1"/>
  <c r="H2086" i="1"/>
  <c r="G2086" i="1"/>
  <c r="F2086" i="1"/>
  <c r="J2085" i="1"/>
  <c r="I2085" i="1"/>
  <c r="H2085" i="1"/>
  <c r="G2085" i="1"/>
  <c r="F2085" i="1"/>
  <c r="I2084" i="1"/>
  <c r="J2084" i="1" s="1"/>
  <c r="H2084" i="1"/>
  <c r="G2084" i="1"/>
  <c r="F2084" i="1"/>
  <c r="J2083" i="1"/>
  <c r="I2083" i="1"/>
  <c r="H2083" i="1"/>
  <c r="G2083" i="1"/>
  <c r="F2083" i="1"/>
  <c r="J2082" i="1"/>
  <c r="I2082" i="1"/>
  <c r="H2082" i="1"/>
  <c r="G2082" i="1"/>
  <c r="F2082" i="1"/>
  <c r="J2081" i="1"/>
  <c r="I2081" i="1"/>
  <c r="H2081" i="1"/>
  <c r="G2081" i="1"/>
  <c r="F2081" i="1"/>
  <c r="J2080" i="1"/>
  <c r="I2080" i="1"/>
  <c r="H2080" i="1"/>
  <c r="G2080" i="1"/>
  <c r="F2080" i="1"/>
  <c r="I2079" i="1"/>
  <c r="J2079" i="1" s="1"/>
  <c r="H2079" i="1"/>
  <c r="G2079" i="1"/>
  <c r="F2079" i="1"/>
  <c r="I2078" i="1"/>
  <c r="J2078" i="1" s="1"/>
  <c r="H2078" i="1"/>
  <c r="G2078" i="1"/>
  <c r="F2078" i="1"/>
  <c r="I2077" i="1"/>
  <c r="J2077" i="1" s="1"/>
  <c r="H2077" i="1"/>
  <c r="G2077" i="1"/>
  <c r="F2077" i="1"/>
  <c r="J2076" i="1"/>
  <c r="I2076" i="1"/>
  <c r="H2076" i="1"/>
  <c r="G2076" i="1"/>
  <c r="F2076" i="1"/>
  <c r="J2075" i="1"/>
  <c r="I2075" i="1"/>
  <c r="H2075" i="1"/>
  <c r="G2075" i="1"/>
  <c r="F2075" i="1"/>
  <c r="I2074" i="1"/>
  <c r="J2074" i="1" s="1"/>
  <c r="H2074" i="1"/>
  <c r="G2074" i="1"/>
  <c r="F2074" i="1"/>
  <c r="J2073" i="1"/>
  <c r="I2073" i="1"/>
  <c r="H2073" i="1"/>
  <c r="G2073" i="1"/>
  <c r="F2073" i="1"/>
  <c r="J2072" i="1"/>
  <c r="I2072" i="1"/>
  <c r="H2072" i="1"/>
  <c r="G2072" i="1"/>
  <c r="F2072" i="1"/>
  <c r="J2071" i="1"/>
  <c r="I2071" i="1"/>
  <c r="H2071" i="1"/>
  <c r="G2071" i="1"/>
  <c r="F2071" i="1"/>
  <c r="I2070" i="1"/>
  <c r="J2070" i="1" s="1"/>
  <c r="H2070" i="1"/>
  <c r="G2070" i="1"/>
  <c r="F2070" i="1"/>
  <c r="J2069" i="1"/>
  <c r="I2069" i="1"/>
  <c r="H2069" i="1"/>
  <c r="G2069" i="1"/>
  <c r="F2069" i="1"/>
  <c r="J2068" i="1"/>
  <c r="I2068" i="1"/>
  <c r="H2068" i="1"/>
  <c r="G2068" i="1"/>
  <c r="F2068" i="1"/>
  <c r="J2067" i="1"/>
  <c r="I2067" i="1"/>
  <c r="H2067" i="1"/>
  <c r="G2067" i="1"/>
  <c r="F2067" i="1"/>
  <c r="J2066" i="1"/>
  <c r="I2066" i="1"/>
  <c r="H2066" i="1"/>
  <c r="G2066" i="1"/>
  <c r="F2066" i="1"/>
  <c r="I2065" i="1"/>
  <c r="J2065" i="1" s="1"/>
  <c r="H2065" i="1"/>
  <c r="G2065" i="1"/>
  <c r="F2065" i="1"/>
  <c r="I2064" i="1"/>
  <c r="J2064" i="1" s="1"/>
  <c r="H2064" i="1"/>
  <c r="G2064" i="1"/>
  <c r="F2064" i="1"/>
  <c r="I2063" i="1"/>
  <c r="J2063" i="1" s="1"/>
  <c r="H2063" i="1"/>
  <c r="G2063" i="1"/>
  <c r="F2063" i="1"/>
  <c r="J2062" i="1"/>
  <c r="I2062" i="1"/>
  <c r="H2062" i="1"/>
  <c r="G2062" i="1"/>
  <c r="F2062" i="1"/>
  <c r="J2061" i="1"/>
  <c r="I2061" i="1"/>
  <c r="H2061" i="1"/>
  <c r="G2061" i="1"/>
  <c r="F2061" i="1"/>
  <c r="J2060" i="1"/>
  <c r="I2060" i="1"/>
  <c r="H2060" i="1"/>
  <c r="G2060" i="1"/>
  <c r="F2060" i="1"/>
  <c r="J2059" i="1"/>
  <c r="I2059" i="1"/>
  <c r="H2059" i="1"/>
  <c r="G2059" i="1"/>
  <c r="F2059" i="1"/>
  <c r="I2058" i="1"/>
  <c r="J2058" i="1" s="1"/>
  <c r="H2058" i="1"/>
  <c r="G2058" i="1"/>
  <c r="F2058" i="1"/>
  <c r="I2057" i="1"/>
  <c r="J2057" i="1" s="1"/>
  <c r="H2057" i="1"/>
  <c r="G2057" i="1"/>
  <c r="F2057" i="1"/>
  <c r="I2056" i="1"/>
  <c r="J2056" i="1" s="1"/>
  <c r="H2056" i="1"/>
  <c r="G2056" i="1"/>
  <c r="F2056" i="1"/>
  <c r="J2055" i="1"/>
  <c r="I2055" i="1"/>
  <c r="H2055" i="1"/>
  <c r="G2055" i="1"/>
  <c r="F2055" i="1"/>
  <c r="J2054" i="1"/>
  <c r="I2054" i="1"/>
  <c r="H2054" i="1"/>
  <c r="G2054" i="1"/>
  <c r="F2054" i="1"/>
  <c r="J2053" i="1"/>
  <c r="I2053" i="1"/>
  <c r="H2053" i="1"/>
  <c r="G2053" i="1"/>
  <c r="F2053" i="1"/>
  <c r="J2052" i="1"/>
  <c r="I2052" i="1"/>
  <c r="H2052" i="1"/>
  <c r="G2052" i="1"/>
  <c r="F2052" i="1"/>
  <c r="I2051" i="1"/>
  <c r="J2051" i="1" s="1"/>
  <c r="H2051" i="1"/>
  <c r="G2051" i="1"/>
  <c r="F2051" i="1"/>
  <c r="I2050" i="1"/>
  <c r="J2050" i="1" s="1"/>
  <c r="H2050" i="1"/>
  <c r="G2050" i="1"/>
  <c r="F2050" i="1"/>
  <c r="I2049" i="1"/>
  <c r="J2049" i="1" s="1"/>
  <c r="H2049" i="1"/>
  <c r="G2049" i="1"/>
  <c r="F2049" i="1"/>
  <c r="J2048" i="1"/>
  <c r="I2048" i="1"/>
  <c r="H2048" i="1"/>
  <c r="G2048" i="1"/>
  <c r="F2048" i="1"/>
  <c r="J2047" i="1"/>
  <c r="I2047" i="1"/>
  <c r="H2047" i="1"/>
  <c r="G2047" i="1"/>
  <c r="F2047" i="1"/>
  <c r="I2046" i="1"/>
  <c r="J2046" i="1" s="1"/>
  <c r="H2046" i="1"/>
  <c r="G2046" i="1"/>
  <c r="F2046" i="1"/>
  <c r="J2045" i="1"/>
  <c r="I2045" i="1"/>
  <c r="H2045" i="1"/>
  <c r="G2045" i="1"/>
  <c r="F2045" i="1"/>
  <c r="J2044" i="1"/>
  <c r="I2044" i="1"/>
  <c r="H2044" i="1"/>
  <c r="G2044" i="1"/>
  <c r="F2044" i="1"/>
  <c r="J2043" i="1"/>
  <c r="I2043" i="1"/>
  <c r="H2043" i="1"/>
  <c r="G2043" i="1"/>
  <c r="F2043" i="1"/>
  <c r="I2042" i="1"/>
  <c r="J2042" i="1" s="1"/>
  <c r="H2042" i="1"/>
  <c r="G2042" i="1"/>
  <c r="F2042" i="1"/>
  <c r="J2041" i="1"/>
  <c r="I2041" i="1"/>
  <c r="H2041" i="1"/>
  <c r="G2041" i="1"/>
  <c r="F2041" i="1"/>
  <c r="J2040" i="1"/>
  <c r="I2040" i="1"/>
  <c r="H2040" i="1"/>
  <c r="G2040" i="1"/>
  <c r="F2040" i="1"/>
  <c r="J2039" i="1"/>
  <c r="I2039" i="1"/>
  <c r="H2039" i="1"/>
  <c r="G2039" i="1"/>
  <c r="F2039" i="1"/>
  <c r="J2038" i="1"/>
  <c r="I2038" i="1"/>
  <c r="H2038" i="1"/>
  <c r="G2038" i="1"/>
  <c r="F2038" i="1"/>
  <c r="I2037" i="1"/>
  <c r="J2037" i="1" s="1"/>
  <c r="H2037" i="1"/>
  <c r="G2037" i="1"/>
  <c r="F2037" i="1"/>
  <c r="I2036" i="1"/>
  <c r="J2036" i="1" s="1"/>
  <c r="H2036" i="1"/>
  <c r="G2036" i="1"/>
  <c r="F2036" i="1"/>
  <c r="I2035" i="1"/>
  <c r="J2035" i="1" s="1"/>
  <c r="H2035" i="1"/>
  <c r="G2035" i="1"/>
  <c r="F2035" i="1"/>
  <c r="J2034" i="1"/>
  <c r="I2034" i="1"/>
  <c r="H2034" i="1"/>
  <c r="G2034" i="1"/>
  <c r="F2034" i="1"/>
  <c r="I2033" i="1"/>
  <c r="J2033" i="1" s="1"/>
  <c r="H2033" i="1"/>
  <c r="G2033" i="1"/>
  <c r="F2033" i="1"/>
  <c r="J2032" i="1"/>
  <c r="I2032" i="1"/>
  <c r="H2032" i="1"/>
  <c r="G2032" i="1"/>
  <c r="F2032" i="1"/>
  <c r="J2031" i="1"/>
  <c r="I2031" i="1"/>
  <c r="H2031" i="1"/>
  <c r="G2031" i="1"/>
  <c r="F2031" i="1"/>
  <c r="I2030" i="1"/>
  <c r="J2030" i="1" s="1"/>
  <c r="H2030" i="1"/>
  <c r="G2030" i="1"/>
  <c r="F2030" i="1"/>
  <c r="J2029" i="1"/>
  <c r="I2029" i="1"/>
  <c r="H2029" i="1"/>
  <c r="G2029" i="1"/>
  <c r="F2029" i="1"/>
  <c r="I2028" i="1"/>
  <c r="J2028" i="1" s="1"/>
  <c r="H2028" i="1"/>
  <c r="G2028" i="1"/>
  <c r="F2028" i="1"/>
  <c r="J2027" i="1"/>
  <c r="I2027" i="1"/>
  <c r="H2027" i="1"/>
  <c r="G2027" i="1"/>
  <c r="F2027" i="1"/>
  <c r="J2026" i="1"/>
  <c r="I2026" i="1"/>
  <c r="H2026" i="1"/>
  <c r="G2026" i="1"/>
  <c r="F2026" i="1"/>
  <c r="J2025" i="1"/>
  <c r="I2025" i="1"/>
  <c r="H2025" i="1"/>
  <c r="G2025" i="1"/>
  <c r="F2025" i="1"/>
  <c r="J2024" i="1"/>
  <c r="I2024" i="1"/>
  <c r="H2024" i="1"/>
  <c r="G2024" i="1"/>
  <c r="F2024" i="1"/>
  <c r="I2023" i="1"/>
  <c r="J2023" i="1" s="1"/>
  <c r="H2023" i="1"/>
  <c r="G2023" i="1"/>
  <c r="F2023" i="1"/>
  <c r="I2022" i="1"/>
  <c r="J2022" i="1" s="1"/>
  <c r="H2022" i="1"/>
  <c r="G2022" i="1"/>
  <c r="F2022" i="1"/>
  <c r="I2021" i="1"/>
  <c r="J2021" i="1" s="1"/>
  <c r="H2021" i="1"/>
  <c r="G2021" i="1"/>
  <c r="F2021" i="1"/>
  <c r="J2020" i="1"/>
  <c r="I2020" i="1"/>
  <c r="H2020" i="1"/>
  <c r="G2020" i="1"/>
  <c r="F2020" i="1"/>
  <c r="J2019" i="1"/>
  <c r="I2019" i="1"/>
  <c r="H2019" i="1"/>
  <c r="G2019" i="1"/>
  <c r="F2019" i="1"/>
  <c r="I2018" i="1"/>
  <c r="J2018" i="1" s="1"/>
  <c r="H2018" i="1"/>
  <c r="G2018" i="1"/>
  <c r="F2018" i="1"/>
  <c r="J2017" i="1"/>
  <c r="I2017" i="1"/>
  <c r="H2017" i="1"/>
  <c r="G2017" i="1"/>
  <c r="F2017" i="1"/>
  <c r="I2016" i="1"/>
  <c r="J2016" i="1" s="1"/>
  <c r="H2016" i="1"/>
  <c r="G2016" i="1"/>
  <c r="F2016" i="1"/>
  <c r="I2015" i="1"/>
  <c r="H2015" i="1"/>
  <c r="G2015" i="1"/>
  <c r="F2015" i="1"/>
  <c r="I2014" i="1"/>
  <c r="J2014" i="1" s="1"/>
  <c r="H2014" i="1"/>
  <c r="G2014" i="1"/>
  <c r="F2014" i="1"/>
  <c r="J2013" i="1"/>
  <c r="I2013" i="1"/>
  <c r="H2013" i="1"/>
  <c r="G2013" i="1"/>
  <c r="F2013" i="1"/>
  <c r="J2012" i="1"/>
  <c r="I2012" i="1"/>
  <c r="H2012" i="1"/>
  <c r="G2012" i="1"/>
  <c r="F2012" i="1"/>
  <c r="J2011" i="1"/>
  <c r="I2011" i="1"/>
  <c r="H2011" i="1"/>
  <c r="G2011" i="1"/>
  <c r="F2011" i="1"/>
  <c r="I2010" i="1"/>
  <c r="J2010" i="1" s="1"/>
  <c r="H2010" i="1"/>
  <c r="G2010" i="1"/>
  <c r="F2010" i="1"/>
  <c r="I2009" i="1"/>
  <c r="J2009" i="1" s="1"/>
  <c r="H2009" i="1"/>
  <c r="G2009" i="1"/>
  <c r="F2009" i="1"/>
  <c r="I2008" i="1"/>
  <c r="J2008" i="1" s="1"/>
  <c r="H2008" i="1"/>
  <c r="G2008" i="1"/>
  <c r="F2008" i="1"/>
  <c r="I2007" i="1"/>
  <c r="H2007" i="1"/>
  <c r="G2007" i="1"/>
  <c r="F2007" i="1"/>
  <c r="I2006" i="1"/>
  <c r="H2006" i="1"/>
  <c r="G2006" i="1"/>
  <c r="F2006" i="1"/>
  <c r="I2005" i="1"/>
  <c r="H2005" i="1"/>
  <c r="G2005" i="1"/>
  <c r="F2005" i="1"/>
  <c r="J2004" i="1"/>
  <c r="I2004" i="1"/>
  <c r="H2004" i="1"/>
  <c r="G2004" i="1"/>
  <c r="F2004" i="1"/>
  <c r="J2003" i="1"/>
  <c r="I2003" i="1"/>
  <c r="H2003" i="1"/>
  <c r="G2003" i="1"/>
  <c r="F2003" i="1"/>
  <c r="J2002" i="1"/>
  <c r="I2002" i="1"/>
  <c r="H2002" i="1"/>
  <c r="G2002" i="1"/>
  <c r="F2002" i="1"/>
  <c r="I2001" i="1"/>
  <c r="J2001" i="1" s="1"/>
  <c r="H2001" i="1"/>
  <c r="G2001" i="1"/>
  <c r="F2001" i="1"/>
  <c r="I2000" i="1"/>
  <c r="J2000" i="1" s="1"/>
  <c r="H2000" i="1"/>
  <c r="G2000" i="1"/>
  <c r="F2000" i="1"/>
  <c r="J1999" i="1"/>
  <c r="I1999" i="1"/>
  <c r="H1999" i="1"/>
  <c r="G1999" i="1"/>
  <c r="F1999" i="1"/>
  <c r="I1998" i="1"/>
  <c r="J1998" i="1" s="1"/>
  <c r="H1998" i="1"/>
  <c r="G1998" i="1"/>
  <c r="F1998" i="1"/>
  <c r="J1997" i="1"/>
  <c r="I1997" i="1"/>
  <c r="H1997" i="1"/>
  <c r="G1997" i="1"/>
  <c r="F1997" i="1"/>
  <c r="I1996" i="1"/>
  <c r="J1996" i="1" s="1"/>
  <c r="H1996" i="1"/>
  <c r="G1996" i="1"/>
  <c r="F1996" i="1"/>
  <c r="I1995" i="1"/>
  <c r="J1995" i="1" s="1"/>
  <c r="H1995" i="1"/>
  <c r="G1995" i="1"/>
  <c r="F1995" i="1"/>
  <c r="I1994" i="1"/>
  <c r="J1994" i="1" s="1"/>
  <c r="H1994" i="1"/>
  <c r="G1994" i="1"/>
  <c r="F1994" i="1"/>
  <c r="I1993" i="1"/>
  <c r="J1993" i="1" s="1"/>
  <c r="H1993" i="1"/>
  <c r="G1993" i="1"/>
  <c r="F1993" i="1"/>
  <c r="J1992" i="1"/>
  <c r="I1992" i="1"/>
  <c r="H1992" i="1"/>
  <c r="G1992" i="1"/>
  <c r="F1992" i="1"/>
  <c r="I1991" i="1"/>
  <c r="J1991" i="1" s="1"/>
  <c r="H1991" i="1"/>
  <c r="G1991" i="1"/>
  <c r="F1991" i="1"/>
  <c r="J1990" i="1"/>
  <c r="I1990" i="1"/>
  <c r="H1990" i="1"/>
  <c r="G1990" i="1"/>
  <c r="F1990" i="1"/>
  <c r="J1989" i="1"/>
  <c r="I1989" i="1"/>
  <c r="H1989" i="1"/>
  <c r="G1989" i="1"/>
  <c r="F1989" i="1"/>
  <c r="J1988" i="1"/>
  <c r="I1988" i="1"/>
  <c r="H1988" i="1"/>
  <c r="G1988" i="1"/>
  <c r="F1988" i="1"/>
  <c r="I1987" i="1"/>
  <c r="J1987" i="1" s="1"/>
  <c r="H1987" i="1"/>
  <c r="G1987" i="1"/>
  <c r="F1987" i="1"/>
  <c r="I1986" i="1"/>
  <c r="J1986" i="1" s="1"/>
  <c r="H1986" i="1"/>
  <c r="G1986" i="1"/>
  <c r="F1986" i="1"/>
  <c r="J1985" i="1"/>
  <c r="I1985" i="1"/>
  <c r="H1985" i="1"/>
  <c r="G1985" i="1"/>
  <c r="F1985" i="1"/>
  <c r="I1984" i="1"/>
  <c r="J1984" i="1" s="1"/>
  <c r="H1984" i="1"/>
  <c r="G1984" i="1"/>
  <c r="F1984" i="1"/>
  <c r="J1983" i="1"/>
  <c r="I1983" i="1"/>
  <c r="H1983" i="1"/>
  <c r="G1983" i="1"/>
  <c r="F1983" i="1"/>
  <c r="I1982" i="1"/>
  <c r="J1982" i="1" s="1"/>
  <c r="H1982" i="1"/>
  <c r="G1982" i="1"/>
  <c r="F1982" i="1"/>
  <c r="I1981" i="1"/>
  <c r="J1981" i="1" s="1"/>
  <c r="H1981" i="1"/>
  <c r="G1981" i="1"/>
  <c r="F1981" i="1"/>
  <c r="I1980" i="1"/>
  <c r="J1980" i="1" s="1"/>
  <c r="H1980" i="1"/>
  <c r="G1980" i="1"/>
  <c r="F1980" i="1"/>
  <c r="I1979" i="1"/>
  <c r="J1979" i="1" s="1"/>
  <c r="H1979" i="1"/>
  <c r="G1979" i="1"/>
  <c r="F1979" i="1"/>
  <c r="J1978" i="1"/>
  <c r="I1978" i="1"/>
  <c r="H1978" i="1"/>
  <c r="G1978" i="1"/>
  <c r="F1978" i="1"/>
  <c r="I1977" i="1"/>
  <c r="J1977" i="1" s="1"/>
  <c r="H1977" i="1"/>
  <c r="G1977" i="1"/>
  <c r="F1977" i="1"/>
  <c r="J1976" i="1"/>
  <c r="I1976" i="1"/>
  <c r="H1976" i="1"/>
  <c r="G1976" i="1"/>
  <c r="F1976" i="1"/>
  <c r="J1975" i="1"/>
  <c r="I1975" i="1"/>
  <c r="H1975" i="1"/>
  <c r="G1975" i="1"/>
  <c r="F1975" i="1"/>
  <c r="J1974" i="1"/>
  <c r="I1974" i="1"/>
  <c r="H1974" i="1"/>
  <c r="G1974" i="1"/>
  <c r="F1974" i="1"/>
  <c r="I1973" i="1"/>
  <c r="J1973" i="1" s="1"/>
  <c r="H1973" i="1"/>
  <c r="G1973" i="1"/>
  <c r="F1973" i="1"/>
  <c r="I1972" i="1"/>
  <c r="J1972" i="1" s="1"/>
  <c r="H1972" i="1"/>
  <c r="G1972" i="1"/>
  <c r="F1972" i="1"/>
  <c r="J1971" i="1"/>
  <c r="I1971" i="1"/>
  <c r="H1971" i="1"/>
  <c r="G1971" i="1"/>
  <c r="F1971" i="1"/>
  <c r="I1970" i="1"/>
  <c r="J1970" i="1" s="1"/>
  <c r="H1970" i="1"/>
  <c r="G1970" i="1"/>
  <c r="F1970" i="1"/>
  <c r="J1969" i="1"/>
  <c r="I1969" i="1"/>
  <c r="H1969" i="1"/>
  <c r="G1969" i="1"/>
  <c r="F1969" i="1"/>
  <c r="I1968" i="1"/>
  <c r="J1968" i="1" s="1"/>
  <c r="H1968" i="1"/>
  <c r="G1968" i="1"/>
  <c r="F1968" i="1"/>
  <c r="I1967" i="1"/>
  <c r="J1967" i="1" s="1"/>
  <c r="H1967" i="1"/>
  <c r="G1967" i="1"/>
  <c r="F1967" i="1"/>
  <c r="I1966" i="1"/>
  <c r="J1966" i="1" s="1"/>
  <c r="H1966" i="1"/>
  <c r="G1966" i="1"/>
  <c r="F1966" i="1"/>
  <c r="I1965" i="1"/>
  <c r="J1965" i="1" s="1"/>
  <c r="H1965" i="1"/>
  <c r="G1965" i="1"/>
  <c r="F1965" i="1"/>
  <c r="J1964" i="1"/>
  <c r="I1964" i="1"/>
  <c r="H1964" i="1"/>
  <c r="G1964" i="1"/>
  <c r="F1964" i="1"/>
  <c r="I1963" i="1"/>
  <c r="J1963" i="1" s="1"/>
  <c r="H1963" i="1"/>
  <c r="G1963" i="1"/>
  <c r="F1963" i="1"/>
  <c r="J1962" i="1"/>
  <c r="I1962" i="1"/>
  <c r="H1962" i="1"/>
  <c r="G1962" i="1"/>
  <c r="F1962" i="1"/>
  <c r="J1961" i="1"/>
  <c r="I1961" i="1"/>
  <c r="H1961" i="1"/>
  <c r="G1961" i="1"/>
  <c r="F1961" i="1"/>
  <c r="J1960" i="1"/>
  <c r="I1960" i="1"/>
  <c r="H1960" i="1"/>
  <c r="G1960" i="1"/>
  <c r="F1960" i="1"/>
  <c r="J1959" i="1"/>
  <c r="I1959" i="1"/>
  <c r="H1959" i="1"/>
  <c r="G1959" i="1"/>
  <c r="F1959" i="1"/>
  <c r="I1958" i="1"/>
  <c r="J1958" i="1" s="1"/>
  <c r="H1958" i="1"/>
  <c r="G1958" i="1"/>
  <c r="F1958" i="1"/>
  <c r="J1957" i="1"/>
  <c r="I1957" i="1"/>
  <c r="H1957" i="1"/>
  <c r="G1957" i="1"/>
  <c r="F1957" i="1"/>
  <c r="J1956" i="1"/>
  <c r="I1956" i="1"/>
  <c r="H1956" i="1"/>
  <c r="G1956" i="1"/>
  <c r="F1956" i="1"/>
  <c r="J1955" i="1"/>
  <c r="I1955" i="1"/>
  <c r="H1955" i="1"/>
  <c r="G1955" i="1"/>
  <c r="F1955" i="1"/>
  <c r="I1954" i="1"/>
  <c r="J1954" i="1" s="1"/>
  <c r="H1954" i="1"/>
  <c r="G1954" i="1"/>
  <c r="F1954" i="1"/>
  <c r="J1953" i="1"/>
  <c r="I1953" i="1"/>
  <c r="H1953" i="1"/>
  <c r="G1953" i="1"/>
  <c r="F1953" i="1"/>
  <c r="I1952" i="1"/>
  <c r="J1952" i="1" s="1"/>
  <c r="H1952" i="1"/>
  <c r="G1952" i="1"/>
  <c r="F1952" i="1"/>
  <c r="I1951" i="1"/>
  <c r="J1951" i="1" s="1"/>
  <c r="H1951" i="1"/>
  <c r="G1951" i="1"/>
  <c r="F1951" i="1"/>
  <c r="J1950" i="1"/>
  <c r="I1950" i="1"/>
  <c r="H1950" i="1"/>
  <c r="G1950" i="1"/>
  <c r="F1950" i="1"/>
  <c r="I1949" i="1"/>
  <c r="J1949" i="1" s="1"/>
  <c r="H1949" i="1"/>
  <c r="G1949" i="1"/>
  <c r="F1949" i="1"/>
  <c r="J1948" i="1"/>
  <c r="I1948" i="1"/>
  <c r="H1948" i="1"/>
  <c r="G1948" i="1"/>
  <c r="F1948" i="1"/>
  <c r="J1947" i="1"/>
  <c r="I1947" i="1"/>
  <c r="H1947" i="1"/>
  <c r="G1947" i="1"/>
  <c r="F1947" i="1"/>
  <c r="J1946" i="1"/>
  <c r="I1946" i="1"/>
  <c r="H1946" i="1"/>
  <c r="G1946" i="1"/>
  <c r="F1946" i="1"/>
  <c r="I1945" i="1"/>
  <c r="J1945" i="1" s="1"/>
  <c r="H1945" i="1"/>
  <c r="G1945" i="1"/>
  <c r="F1945" i="1"/>
  <c r="I1944" i="1"/>
  <c r="J1944" i="1" s="1"/>
  <c r="H1944" i="1"/>
  <c r="G1944" i="1"/>
  <c r="F1944" i="1"/>
  <c r="J1943" i="1"/>
  <c r="I1943" i="1"/>
  <c r="H1943" i="1"/>
  <c r="G1943" i="1"/>
  <c r="F1943" i="1"/>
  <c r="I1942" i="1"/>
  <c r="J1942" i="1" s="1"/>
  <c r="H1942" i="1"/>
  <c r="G1942" i="1"/>
  <c r="F1942" i="1"/>
  <c r="J1941" i="1"/>
  <c r="I1941" i="1"/>
  <c r="H1941" i="1"/>
  <c r="G1941" i="1"/>
  <c r="F1941" i="1"/>
  <c r="I1940" i="1"/>
  <c r="J1940" i="1" s="1"/>
  <c r="H1940" i="1"/>
  <c r="G1940" i="1"/>
  <c r="F1940" i="1"/>
  <c r="I1939" i="1"/>
  <c r="J1939" i="1" s="1"/>
  <c r="H1939" i="1"/>
  <c r="G1939" i="1"/>
  <c r="F1939" i="1"/>
  <c r="I1938" i="1"/>
  <c r="J1938" i="1" s="1"/>
  <c r="H1938" i="1"/>
  <c r="G1938" i="1"/>
  <c r="F1938" i="1"/>
  <c r="I1937" i="1"/>
  <c r="J1937" i="1" s="1"/>
  <c r="H1937" i="1"/>
  <c r="G1937" i="1"/>
  <c r="F1937" i="1"/>
  <c r="J1936" i="1"/>
  <c r="I1936" i="1"/>
  <c r="H1936" i="1"/>
  <c r="G1936" i="1"/>
  <c r="F1936" i="1"/>
  <c r="J1935" i="1"/>
  <c r="I1935" i="1"/>
  <c r="H1935" i="1"/>
  <c r="G1935" i="1"/>
  <c r="F1935" i="1"/>
  <c r="J1934" i="1"/>
  <c r="I1934" i="1"/>
  <c r="H1934" i="1"/>
  <c r="G1934" i="1"/>
  <c r="F1934" i="1"/>
  <c r="I1933" i="1"/>
  <c r="J1933" i="1" s="1"/>
  <c r="H1933" i="1"/>
  <c r="G1933" i="1"/>
  <c r="F1933" i="1"/>
  <c r="I1932" i="1"/>
  <c r="J1932" i="1" s="1"/>
  <c r="H1932" i="1"/>
  <c r="G1932" i="1"/>
  <c r="F1932" i="1"/>
  <c r="J1931" i="1"/>
  <c r="I1931" i="1"/>
  <c r="H1931" i="1"/>
  <c r="G1931" i="1"/>
  <c r="F1931" i="1"/>
  <c r="J1930" i="1"/>
  <c r="I1930" i="1"/>
  <c r="H1930" i="1"/>
  <c r="G1930" i="1"/>
  <c r="F1930" i="1"/>
  <c r="J1929" i="1"/>
  <c r="I1929" i="1"/>
  <c r="H1929" i="1"/>
  <c r="G1929" i="1"/>
  <c r="F1929" i="1"/>
  <c r="J1928" i="1"/>
  <c r="I1928" i="1"/>
  <c r="H1928" i="1"/>
  <c r="G1928" i="1"/>
  <c r="F1928" i="1"/>
  <c r="J1927" i="1"/>
  <c r="I1927" i="1"/>
  <c r="H1927" i="1"/>
  <c r="G1927" i="1"/>
  <c r="F1927" i="1"/>
  <c r="I1926" i="1"/>
  <c r="J1926" i="1" s="1"/>
  <c r="H1926" i="1"/>
  <c r="G1926" i="1"/>
  <c r="F1926" i="1"/>
  <c r="J1925" i="1"/>
  <c r="I1925" i="1"/>
  <c r="H1925" i="1"/>
  <c r="G1925" i="1"/>
  <c r="F1925" i="1"/>
  <c r="I1924" i="1"/>
  <c r="J1924" i="1" s="1"/>
  <c r="H1924" i="1"/>
  <c r="G1924" i="1"/>
  <c r="F1924" i="1"/>
  <c r="I1923" i="1"/>
  <c r="J1923" i="1" s="1"/>
  <c r="H1923" i="1"/>
  <c r="G1923" i="1"/>
  <c r="F1923" i="1"/>
  <c r="J1922" i="1"/>
  <c r="I1922" i="1"/>
  <c r="H1922" i="1"/>
  <c r="G1922" i="1"/>
  <c r="F1922" i="1"/>
  <c r="J1921" i="1"/>
  <c r="I1921" i="1"/>
  <c r="H1921" i="1"/>
  <c r="G1921" i="1"/>
  <c r="F1921" i="1"/>
  <c r="I1920" i="1"/>
  <c r="J1920" i="1" s="1"/>
  <c r="H1920" i="1"/>
  <c r="G1920" i="1"/>
  <c r="F1920" i="1"/>
  <c r="J1919" i="1"/>
  <c r="I1919" i="1"/>
  <c r="H1919" i="1"/>
  <c r="G1919" i="1"/>
  <c r="F1919" i="1"/>
  <c r="I1918" i="1"/>
  <c r="J1918" i="1" s="1"/>
  <c r="H1918" i="1"/>
  <c r="G1918" i="1"/>
  <c r="F1918" i="1"/>
  <c r="J1917" i="1"/>
  <c r="I1917" i="1"/>
  <c r="H1917" i="1"/>
  <c r="G1917" i="1"/>
  <c r="F1917" i="1"/>
  <c r="I1916" i="1"/>
  <c r="J1916" i="1" s="1"/>
  <c r="H1916" i="1"/>
  <c r="G1916" i="1"/>
  <c r="F1916" i="1"/>
  <c r="J1915" i="1"/>
  <c r="I1915" i="1"/>
  <c r="H1915" i="1"/>
  <c r="G1915" i="1"/>
  <c r="F1915" i="1"/>
  <c r="I1914" i="1"/>
  <c r="J1914" i="1" s="1"/>
  <c r="H1914" i="1"/>
  <c r="G1914" i="1"/>
  <c r="F1914" i="1"/>
  <c r="J1913" i="1"/>
  <c r="I1913" i="1"/>
  <c r="H1913" i="1"/>
  <c r="G1913" i="1"/>
  <c r="F1913" i="1"/>
  <c r="I1912" i="1"/>
  <c r="J1912" i="1" s="1"/>
  <c r="H1912" i="1"/>
  <c r="G1912" i="1"/>
  <c r="F1912" i="1"/>
  <c r="I1911" i="1"/>
  <c r="J1911" i="1" s="1"/>
  <c r="H1911" i="1"/>
  <c r="G1911" i="1"/>
  <c r="F1911" i="1"/>
  <c r="I1910" i="1"/>
  <c r="J1910" i="1" s="1"/>
  <c r="H1910" i="1"/>
  <c r="G1910" i="1"/>
  <c r="F1910" i="1"/>
  <c r="I1909" i="1"/>
  <c r="J1909" i="1" s="1"/>
  <c r="H1909" i="1"/>
  <c r="G1909" i="1"/>
  <c r="F1909" i="1"/>
  <c r="J1908" i="1"/>
  <c r="I1908" i="1"/>
  <c r="H1908" i="1"/>
  <c r="G1908" i="1"/>
  <c r="F1908" i="1"/>
  <c r="I1907" i="1"/>
  <c r="J1907" i="1" s="1"/>
  <c r="H1907" i="1"/>
  <c r="G1907" i="1"/>
  <c r="F1907" i="1"/>
  <c r="J1906" i="1"/>
  <c r="I1906" i="1"/>
  <c r="H1906" i="1"/>
  <c r="G1906" i="1"/>
  <c r="F1906" i="1"/>
  <c r="I1905" i="1"/>
  <c r="J1905" i="1" s="1"/>
  <c r="H1905" i="1"/>
  <c r="G1905" i="1"/>
  <c r="F1905" i="1"/>
  <c r="J1904" i="1"/>
  <c r="I1904" i="1"/>
  <c r="H1904" i="1"/>
  <c r="G1904" i="1"/>
  <c r="F1904" i="1"/>
  <c r="J1903" i="1"/>
  <c r="I1903" i="1"/>
  <c r="H1903" i="1"/>
  <c r="G1903" i="1"/>
  <c r="F1903" i="1"/>
  <c r="J1902" i="1"/>
  <c r="I1902" i="1"/>
  <c r="H1902" i="1"/>
  <c r="G1902" i="1"/>
  <c r="F1902" i="1"/>
  <c r="J1901" i="1"/>
  <c r="I1901" i="1"/>
  <c r="H1901" i="1"/>
  <c r="G1901" i="1"/>
  <c r="F1901" i="1"/>
  <c r="I1900" i="1"/>
  <c r="J1900" i="1" s="1"/>
  <c r="H1900" i="1"/>
  <c r="G1900" i="1"/>
  <c r="F1900" i="1"/>
  <c r="J1899" i="1"/>
  <c r="I1899" i="1"/>
  <c r="H1899" i="1"/>
  <c r="G1899" i="1"/>
  <c r="F1899" i="1"/>
  <c r="I1898" i="1"/>
  <c r="J1898" i="1" s="1"/>
  <c r="H1898" i="1"/>
  <c r="G1898" i="1"/>
  <c r="F1898" i="1"/>
  <c r="I1897" i="1"/>
  <c r="J1897" i="1" s="1"/>
  <c r="H1897" i="1"/>
  <c r="G1897" i="1"/>
  <c r="F1897" i="1"/>
  <c r="I1896" i="1"/>
  <c r="J1896" i="1" s="1"/>
  <c r="H1896" i="1"/>
  <c r="G1896" i="1"/>
  <c r="F1896" i="1"/>
  <c r="I1895" i="1"/>
  <c r="J1895" i="1" s="1"/>
  <c r="H1895" i="1"/>
  <c r="G1895" i="1"/>
  <c r="F1895" i="1"/>
  <c r="J1894" i="1"/>
  <c r="I1894" i="1"/>
  <c r="H1894" i="1"/>
  <c r="G1894" i="1"/>
  <c r="F1894" i="1"/>
  <c r="J1893" i="1"/>
  <c r="I1893" i="1"/>
  <c r="H1893" i="1"/>
  <c r="G1893" i="1"/>
  <c r="F1893" i="1"/>
  <c r="I1892" i="1"/>
  <c r="J1892" i="1" s="1"/>
  <c r="H1892" i="1"/>
  <c r="G1892" i="1"/>
  <c r="F1892" i="1"/>
  <c r="I1891" i="1"/>
  <c r="J1891" i="1" s="1"/>
  <c r="H1891" i="1"/>
  <c r="G1891" i="1"/>
  <c r="F1891" i="1"/>
  <c r="J1890" i="1"/>
  <c r="I1890" i="1"/>
  <c r="H1890" i="1"/>
  <c r="G1890" i="1"/>
  <c r="F1890" i="1"/>
  <c r="J1889" i="1"/>
  <c r="I1889" i="1"/>
  <c r="H1889" i="1"/>
  <c r="G1889" i="1"/>
  <c r="F1889" i="1"/>
  <c r="J1888" i="1"/>
  <c r="I1888" i="1"/>
  <c r="H1888" i="1"/>
  <c r="G1888" i="1"/>
  <c r="F1888" i="1"/>
  <c r="J1887" i="1"/>
  <c r="I1887" i="1"/>
  <c r="H1887" i="1"/>
  <c r="G1887" i="1"/>
  <c r="F1887" i="1"/>
  <c r="I1886" i="1"/>
  <c r="J1886" i="1" s="1"/>
  <c r="H1886" i="1"/>
  <c r="G1886" i="1"/>
  <c r="F1886" i="1"/>
  <c r="J1885" i="1"/>
  <c r="I1885" i="1"/>
  <c r="H1885" i="1"/>
  <c r="G1885" i="1"/>
  <c r="F1885" i="1"/>
  <c r="I1884" i="1"/>
  <c r="J1884" i="1" s="1"/>
  <c r="H1884" i="1"/>
  <c r="G1884" i="1"/>
  <c r="F1884" i="1"/>
  <c r="I1883" i="1"/>
  <c r="J1883" i="1" s="1"/>
  <c r="H1883" i="1"/>
  <c r="G1883" i="1"/>
  <c r="F1883" i="1"/>
  <c r="I1882" i="1"/>
  <c r="J1882" i="1" s="1"/>
  <c r="H1882" i="1"/>
  <c r="G1882" i="1"/>
  <c r="F1882" i="1"/>
  <c r="I1881" i="1"/>
  <c r="J1881" i="1" s="1"/>
  <c r="H1881" i="1"/>
  <c r="G1881" i="1"/>
  <c r="F1881" i="1"/>
  <c r="J1880" i="1"/>
  <c r="I1880" i="1"/>
  <c r="H1880" i="1"/>
  <c r="G1880" i="1"/>
  <c r="F1880" i="1"/>
  <c r="J1879" i="1"/>
  <c r="I1879" i="1"/>
  <c r="H1879" i="1"/>
  <c r="G1879" i="1"/>
  <c r="F1879" i="1"/>
  <c r="J1878" i="1"/>
  <c r="I1878" i="1"/>
  <c r="H1878" i="1"/>
  <c r="G1878" i="1"/>
  <c r="F1878" i="1"/>
  <c r="I1877" i="1"/>
  <c r="J1877" i="1" s="1"/>
  <c r="H1877" i="1"/>
  <c r="G1877" i="1"/>
  <c r="F1877" i="1"/>
  <c r="J1876" i="1"/>
  <c r="I1876" i="1"/>
  <c r="H1876" i="1"/>
  <c r="G1876" i="1"/>
  <c r="F1876" i="1"/>
  <c r="I1875" i="1"/>
  <c r="J1875" i="1" s="1"/>
  <c r="H1875" i="1"/>
  <c r="G1875" i="1"/>
  <c r="F1875" i="1"/>
  <c r="J1874" i="1"/>
  <c r="I1874" i="1"/>
  <c r="H1874" i="1"/>
  <c r="G1874" i="1"/>
  <c r="F1874" i="1"/>
  <c r="J1873" i="1"/>
  <c r="I1873" i="1"/>
  <c r="H1873" i="1"/>
  <c r="G1873" i="1"/>
  <c r="F1873" i="1"/>
  <c r="J1872" i="1"/>
  <c r="I1872" i="1"/>
  <c r="H1872" i="1"/>
  <c r="G1872" i="1"/>
  <c r="F1872" i="1"/>
  <c r="J1871" i="1"/>
  <c r="I1871" i="1"/>
  <c r="H1871" i="1"/>
  <c r="G1871" i="1"/>
  <c r="F1871" i="1"/>
  <c r="I1870" i="1"/>
  <c r="J1870" i="1" s="1"/>
  <c r="H1870" i="1"/>
  <c r="G1870" i="1"/>
  <c r="F1870" i="1"/>
  <c r="J1869" i="1"/>
  <c r="I1869" i="1"/>
  <c r="H1869" i="1"/>
  <c r="G1869" i="1"/>
  <c r="F1869" i="1"/>
  <c r="I1868" i="1"/>
  <c r="J1868" i="1" s="1"/>
  <c r="H1868" i="1"/>
  <c r="G1868" i="1"/>
  <c r="F1868" i="1"/>
  <c r="I1867" i="1"/>
  <c r="J1867" i="1" s="1"/>
  <c r="H1867" i="1"/>
  <c r="G1867" i="1"/>
  <c r="F1867" i="1"/>
  <c r="I1866" i="1"/>
  <c r="J1866" i="1" s="1"/>
  <c r="H1866" i="1"/>
  <c r="G1866" i="1"/>
  <c r="F1866" i="1"/>
  <c r="J1865" i="1"/>
  <c r="I1865" i="1"/>
  <c r="H1865" i="1"/>
  <c r="G1865" i="1"/>
  <c r="F1865" i="1"/>
  <c r="I1864" i="1"/>
  <c r="J1864" i="1" s="1"/>
  <c r="H1864" i="1"/>
  <c r="G1864" i="1"/>
  <c r="F1864" i="1"/>
  <c r="J1863" i="1"/>
  <c r="I1863" i="1"/>
  <c r="H1863" i="1"/>
  <c r="G1863" i="1"/>
  <c r="F1863" i="1"/>
  <c r="J1862" i="1"/>
  <c r="I1862" i="1"/>
  <c r="H1862" i="1"/>
  <c r="G1862" i="1"/>
  <c r="F1862" i="1"/>
  <c r="J1861" i="1"/>
  <c r="I1861" i="1"/>
  <c r="H1861" i="1"/>
  <c r="G1861" i="1"/>
  <c r="F1861" i="1"/>
  <c r="I1860" i="1"/>
  <c r="J1860" i="1" s="1"/>
  <c r="H1860" i="1"/>
  <c r="G1860" i="1"/>
  <c r="F1860" i="1"/>
  <c r="J1859" i="1"/>
  <c r="I1859" i="1"/>
  <c r="H1859" i="1"/>
  <c r="G1859" i="1"/>
  <c r="F1859" i="1"/>
  <c r="J1858" i="1"/>
  <c r="I1858" i="1"/>
  <c r="H1858" i="1"/>
  <c r="G1858" i="1"/>
  <c r="F1858" i="1"/>
  <c r="J1857" i="1"/>
  <c r="I1857" i="1"/>
  <c r="H1857" i="1"/>
  <c r="G1857" i="1"/>
  <c r="F1857" i="1"/>
  <c r="I1856" i="1"/>
  <c r="J1856" i="1" s="1"/>
  <c r="H1856" i="1"/>
  <c r="G1856" i="1"/>
  <c r="F1856" i="1"/>
  <c r="J1855" i="1"/>
  <c r="I1855" i="1"/>
  <c r="H1855" i="1"/>
  <c r="G1855" i="1"/>
  <c r="F1855" i="1"/>
  <c r="I1854" i="1"/>
  <c r="J1854" i="1" s="1"/>
  <c r="H1854" i="1"/>
  <c r="G1854" i="1"/>
  <c r="F1854" i="1"/>
  <c r="I1853" i="1"/>
  <c r="J1853" i="1" s="1"/>
  <c r="H1853" i="1"/>
  <c r="G1853" i="1"/>
  <c r="F1853" i="1"/>
  <c r="J1852" i="1"/>
  <c r="I1852" i="1"/>
  <c r="H1852" i="1"/>
  <c r="G1852" i="1"/>
  <c r="F1852" i="1"/>
  <c r="I1851" i="1"/>
  <c r="J1851" i="1" s="1"/>
  <c r="H1851" i="1"/>
  <c r="G1851" i="1"/>
  <c r="F1851" i="1"/>
  <c r="I1850" i="1"/>
  <c r="J1850" i="1" s="1"/>
  <c r="H1850" i="1"/>
  <c r="G1850" i="1"/>
  <c r="F1850" i="1"/>
  <c r="J1849" i="1"/>
  <c r="I1849" i="1"/>
  <c r="H1849" i="1"/>
  <c r="G1849" i="1"/>
  <c r="F1849" i="1"/>
  <c r="J1848" i="1"/>
  <c r="I1848" i="1"/>
  <c r="H1848" i="1"/>
  <c r="G1848" i="1"/>
  <c r="F1848" i="1"/>
  <c r="I1847" i="1"/>
  <c r="J1847" i="1" s="1"/>
  <c r="H1847" i="1"/>
  <c r="G1847" i="1"/>
  <c r="F1847" i="1"/>
  <c r="J1846" i="1"/>
  <c r="I1846" i="1"/>
  <c r="H1846" i="1"/>
  <c r="G1846" i="1"/>
  <c r="F1846" i="1"/>
  <c r="J1845" i="1"/>
  <c r="I1845" i="1"/>
  <c r="H1845" i="1"/>
  <c r="G1845" i="1"/>
  <c r="F1845" i="1"/>
  <c r="J1844" i="1"/>
  <c r="I1844" i="1"/>
  <c r="H1844" i="1"/>
  <c r="G1844" i="1"/>
  <c r="F1844" i="1"/>
  <c r="J1843" i="1"/>
  <c r="I1843" i="1"/>
  <c r="H1843" i="1"/>
  <c r="G1843" i="1"/>
  <c r="F1843" i="1"/>
  <c r="I1842" i="1"/>
  <c r="J1842" i="1" s="1"/>
  <c r="H1842" i="1"/>
  <c r="G1842" i="1"/>
  <c r="F1842" i="1"/>
  <c r="J1841" i="1"/>
  <c r="I1841" i="1"/>
  <c r="H1841" i="1"/>
  <c r="G1841" i="1"/>
  <c r="F1841" i="1"/>
  <c r="I1840" i="1"/>
  <c r="J1840" i="1" s="1"/>
  <c r="H1840" i="1"/>
  <c r="G1840" i="1"/>
  <c r="F1840" i="1"/>
  <c r="I1839" i="1"/>
  <c r="J1839" i="1" s="1"/>
  <c r="H1839" i="1"/>
  <c r="G1839" i="1"/>
  <c r="F1839" i="1"/>
  <c r="I1838" i="1"/>
  <c r="J1838" i="1" s="1"/>
  <c r="H1838" i="1"/>
  <c r="G1838" i="1"/>
  <c r="F1838" i="1"/>
  <c r="J1837" i="1"/>
  <c r="I1837" i="1"/>
  <c r="H1837" i="1"/>
  <c r="G1837" i="1"/>
  <c r="F1837" i="1"/>
  <c r="I1836" i="1"/>
  <c r="J1836" i="1" s="1"/>
  <c r="H1836" i="1"/>
  <c r="G1836" i="1"/>
  <c r="F1836" i="1"/>
  <c r="J1835" i="1"/>
  <c r="I1835" i="1"/>
  <c r="H1835" i="1"/>
  <c r="G1835" i="1"/>
  <c r="F1835" i="1"/>
  <c r="I1834" i="1"/>
  <c r="J1834" i="1" s="1"/>
  <c r="H1834" i="1"/>
  <c r="G1834" i="1"/>
  <c r="F1834" i="1"/>
  <c r="J1833" i="1"/>
  <c r="I1833" i="1"/>
  <c r="H1833" i="1"/>
  <c r="G1833" i="1"/>
  <c r="F1833" i="1"/>
  <c r="I1832" i="1"/>
  <c r="J1832" i="1" s="1"/>
  <c r="H1832" i="1"/>
  <c r="G1832" i="1"/>
  <c r="F1832" i="1"/>
  <c r="J1831" i="1"/>
  <c r="I1831" i="1"/>
  <c r="H1831" i="1"/>
  <c r="G1831" i="1"/>
  <c r="F1831" i="1"/>
  <c r="J1830" i="1"/>
  <c r="I1830" i="1"/>
  <c r="H1830" i="1"/>
  <c r="G1830" i="1"/>
  <c r="F1830" i="1"/>
  <c r="J1829" i="1"/>
  <c r="I1829" i="1"/>
  <c r="H1829" i="1"/>
  <c r="G1829" i="1"/>
  <c r="F1829" i="1"/>
  <c r="I1828" i="1"/>
  <c r="J1828" i="1" s="1"/>
  <c r="H1828" i="1"/>
  <c r="G1828" i="1"/>
  <c r="F1828" i="1"/>
  <c r="J1827" i="1"/>
  <c r="I1827" i="1"/>
  <c r="H1827" i="1"/>
  <c r="G1827" i="1"/>
  <c r="F1827" i="1"/>
  <c r="I1826" i="1"/>
  <c r="J1826" i="1" s="1"/>
  <c r="H1826" i="1"/>
  <c r="G1826" i="1"/>
  <c r="F1826" i="1"/>
  <c r="I1825" i="1"/>
  <c r="J1825" i="1" s="1"/>
  <c r="H1825" i="1"/>
  <c r="G1825" i="1"/>
  <c r="F1825" i="1"/>
  <c r="J1824" i="1"/>
  <c r="I1824" i="1"/>
  <c r="H1824" i="1"/>
  <c r="G1824" i="1"/>
  <c r="F1824" i="1"/>
  <c r="I1823" i="1"/>
  <c r="J1823" i="1" s="1"/>
  <c r="H1823" i="1"/>
  <c r="G1823" i="1"/>
  <c r="F1823" i="1"/>
  <c r="J1822" i="1"/>
  <c r="I1822" i="1"/>
  <c r="H1822" i="1"/>
  <c r="G1822" i="1"/>
  <c r="F1822" i="1"/>
  <c r="J1821" i="1"/>
  <c r="I1821" i="1"/>
  <c r="H1821" i="1"/>
  <c r="G1821" i="1"/>
  <c r="F1821" i="1"/>
  <c r="J1820" i="1"/>
  <c r="I1820" i="1"/>
  <c r="H1820" i="1"/>
  <c r="G1820" i="1"/>
  <c r="F1820" i="1"/>
  <c r="I1819" i="1"/>
  <c r="J1819" i="1" s="1"/>
  <c r="H1819" i="1"/>
  <c r="G1819" i="1"/>
  <c r="F1819" i="1"/>
  <c r="I1818" i="1"/>
  <c r="J1818" i="1" s="1"/>
  <c r="H1818" i="1"/>
  <c r="G1818" i="1"/>
  <c r="F1818" i="1"/>
  <c r="J1817" i="1"/>
  <c r="I1817" i="1"/>
  <c r="H1817" i="1"/>
  <c r="G1817" i="1"/>
  <c r="F1817" i="1"/>
  <c r="J1816" i="1"/>
  <c r="I1816" i="1"/>
  <c r="H1816" i="1"/>
  <c r="G1816" i="1"/>
  <c r="F1816" i="1"/>
  <c r="J1815" i="1"/>
  <c r="I1815" i="1"/>
  <c r="H1815" i="1"/>
  <c r="G1815" i="1"/>
  <c r="F1815" i="1"/>
  <c r="I1814" i="1"/>
  <c r="J1814" i="1" s="1"/>
  <c r="H1814" i="1"/>
  <c r="G1814" i="1"/>
  <c r="F1814" i="1"/>
  <c r="J1813" i="1"/>
  <c r="I1813" i="1"/>
  <c r="H1813" i="1"/>
  <c r="G1813" i="1"/>
  <c r="F1813" i="1"/>
  <c r="I1812" i="1"/>
  <c r="J1812" i="1" s="1"/>
  <c r="H1812" i="1"/>
  <c r="G1812" i="1"/>
  <c r="F1812" i="1"/>
  <c r="I1811" i="1"/>
  <c r="J1811" i="1" s="1"/>
  <c r="H1811" i="1"/>
  <c r="G1811" i="1"/>
  <c r="F1811" i="1"/>
  <c r="I1810" i="1"/>
  <c r="J1810" i="1" s="1"/>
  <c r="H1810" i="1"/>
  <c r="G1810" i="1"/>
  <c r="F1810" i="1"/>
  <c r="I1809" i="1"/>
  <c r="J1809" i="1" s="1"/>
  <c r="H1809" i="1"/>
  <c r="G1809" i="1"/>
  <c r="F1809" i="1"/>
  <c r="J1808" i="1"/>
  <c r="I1808" i="1"/>
  <c r="H1808" i="1"/>
  <c r="G1808" i="1"/>
  <c r="F1808" i="1"/>
  <c r="J1807" i="1"/>
  <c r="I1807" i="1"/>
  <c r="H1807" i="1"/>
  <c r="G1807" i="1"/>
  <c r="F1807" i="1"/>
  <c r="I1806" i="1"/>
  <c r="J1806" i="1" s="1"/>
  <c r="H1806" i="1"/>
  <c r="G1806" i="1"/>
  <c r="F1806" i="1"/>
  <c r="J1805" i="1"/>
  <c r="I1805" i="1"/>
  <c r="H1805" i="1"/>
  <c r="G1805" i="1"/>
  <c r="F1805" i="1"/>
  <c r="I1804" i="1"/>
  <c r="J1804" i="1" s="1"/>
  <c r="H1804" i="1"/>
  <c r="G1804" i="1"/>
  <c r="F1804" i="1"/>
  <c r="J1803" i="1"/>
  <c r="I1803" i="1"/>
  <c r="H1803" i="1"/>
  <c r="G1803" i="1"/>
  <c r="F1803" i="1"/>
  <c r="I1802" i="1"/>
  <c r="J1802" i="1" s="1"/>
  <c r="H1802" i="1"/>
  <c r="G1802" i="1"/>
  <c r="F1802" i="1"/>
  <c r="J1801" i="1"/>
  <c r="I1801" i="1"/>
  <c r="H1801" i="1"/>
  <c r="G1801" i="1"/>
  <c r="F1801" i="1"/>
  <c r="I1800" i="1"/>
  <c r="J1800" i="1" s="1"/>
  <c r="H1800" i="1"/>
  <c r="G1800" i="1"/>
  <c r="F1800" i="1"/>
  <c r="I1799" i="1"/>
  <c r="J1799" i="1" s="1"/>
  <c r="H1799" i="1"/>
  <c r="G1799" i="1"/>
  <c r="F1799" i="1"/>
  <c r="I1798" i="1"/>
  <c r="J1798" i="1" s="1"/>
  <c r="H1798" i="1"/>
  <c r="G1798" i="1"/>
  <c r="F1798" i="1"/>
  <c r="I1797" i="1"/>
  <c r="J1797" i="1" s="1"/>
  <c r="H1797" i="1"/>
  <c r="G1797" i="1"/>
  <c r="F1797" i="1"/>
  <c r="J1796" i="1"/>
  <c r="I1796" i="1"/>
  <c r="H1796" i="1"/>
  <c r="G1796" i="1"/>
  <c r="F1796" i="1"/>
  <c r="I1795" i="1"/>
  <c r="J1795" i="1" s="1"/>
  <c r="H1795" i="1"/>
  <c r="G1795" i="1"/>
  <c r="F1795" i="1"/>
  <c r="J1794" i="1"/>
  <c r="I1794" i="1"/>
  <c r="H1794" i="1"/>
  <c r="G1794" i="1"/>
  <c r="F1794" i="1"/>
  <c r="I1793" i="1"/>
  <c r="J1793" i="1" s="1"/>
  <c r="H1793" i="1"/>
  <c r="G1793" i="1"/>
  <c r="F1793" i="1"/>
  <c r="J1792" i="1"/>
  <c r="I1792" i="1"/>
  <c r="H1792" i="1"/>
  <c r="G1792" i="1"/>
  <c r="F1792" i="1"/>
  <c r="I1791" i="1"/>
  <c r="J1791" i="1" s="1"/>
  <c r="H1791" i="1"/>
  <c r="G1791" i="1"/>
  <c r="F1791" i="1"/>
  <c r="J1790" i="1"/>
  <c r="I1790" i="1"/>
  <c r="H1790" i="1"/>
  <c r="G1790" i="1"/>
  <c r="F1790" i="1"/>
  <c r="J1789" i="1"/>
  <c r="I1789" i="1"/>
  <c r="H1789" i="1"/>
  <c r="G1789" i="1"/>
  <c r="F1789" i="1"/>
  <c r="J1788" i="1"/>
  <c r="I1788" i="1"/>
  <c r="H1788" i="1"/>
  <c r="G1788" i="1"/>
  <c r="F1788" i="1"/>
  <c r="J1787" i="1"/>
  <c r="I1787" i="1"/>
  <c r="H1787" i="1"/>
  <c r="G1787" i="1"/>
  <c r="F1787" i="1"/>
  <c r="I1786" i="1"/>
  <c r="J1786" i="1" s="1"/>
  <c r="H1786" i="1"/>
  <c r="G1786" i="1"/>
  <c r="F1786" i="1"/>
  <c r="J1785" i="1"/>
  <c r="I1785" i="1"/>
  <c r="H1785" i="1"/>
  <c r="G1785" i="1"/>
  <c r="F1785" i="1"/>
  <c r="I1784" i="1"/>
  <c r="J1784" i="1" s="1"/>
  <c r="H1784" i="1"/>
  <c r="G1784" i="1"/>
  <c r="F1784" i="1"/>
  <c r="I1783" i="1"/>
  <c r="J1783" i="1" s="1"/>
  <c r="H1783" i="1"/>
  <c r="G1783" i="1"/>
  <c r="F1783" i="1"/>
  <c r="I1782" i="1"/>
  <c r="J1782" i="1" s="1"/>
  <c r="H1782" i="1"/>
  <c r="G1782" i="1"/>
  <c r="F1782" i="1"/>
  <c r="J1781" i="1"/>
  <c r="I1781" i="1"/>
  <c r="H1781" i="1"/>
  <c r="G1781" i="1"/>
  <c r="F1781" i="1"/>
  <c r="J1780" i="1"/>
  <c r="I1780" i="1"/>
  <c r="H1780" i="1"/>
  <c r="G1780" i="1"/>
  <c r="F1780" i="1"/>
  <c r="J1779" i="1"/>
  <c r="I1779" i="1"/>
  <c r="H1779" i="1"/>
  <c r="G1779" i="1"/>
  <c r="F1779" i="1"/>
  <c r="I1778" i="1"/>
  <c r="J1778" i="1" s="1"/>
  <c r="H1778" i="1"/>
  <c r="G1778" i="1"/>
  <c r="F1778" i="1"/>
  <c r="I1777" i="1"/>
  <c r="J1777" i="1" s="1"/>
  <c r="H1777" i="1"/>
  <c r="G1777" i="1"/>
  <c r="F1777" i="1"/>
  <c r="J1776" i="1"/>
  <c r="I1776" i="1"/>
  <c r="H1776" i="1"/>
  <c r="G1776" i="1"/>
  <c r="F1776" i="1"/>
  <c r="J1775" i="1"/>
  <c r="I1775" i="1"/>
  <c r="H1775" i="1"/>
  <c r="G1775" i="1"/>
  <c r="F1775" i="1"/>
  <c r="J1774" i="1"/>
  <c r="I1774" i="1"/>
  <c r="H1774" i="1"/>
  <c r="G1774" i="1"/>
  <c r="F1774" i="1"/>
  <c r="J1773" i="1"/>
  <c r="I1773" i="1"/>
  <c r="H1773" i="1"/>
  <c r="G1773" i="1"/>
  <c r="F1773" i="1"/>
  <c r="I1772" i="1"/>
  <c r="J1772" i="1" s="1"/>
  <c r="H1772" i="1"/>
  <c r="G1772" i="1"/>
  <c r="F1772" i="1"/>
  <c r="J1771" i="1"/>
  <c r="I1771" i="1"/>
  <c r="H1771" i="1"/>
  <c r="G1771" i="1"/>
  <c r="F1771" i="1"/>
  <c r="I1770" i="1"/>
  <c r="J1770" i="1" s="1"/>
  <c r="H1770" i="1"/>
  <c r="G1770" i="1"/>
  <c r="F1770" i="1"/>
  <c r="I1769" i="1"/>
  <c r="J1769" i="1" s="1"/>
  <c r="H1769" i="1"/>
  <c r="G1769" i="1"/>
  <c r="F1769" i="1"/>
  <c r="I1768" i="1"/>
  <c r="J1768" i="1" s="1"/>
  <c r="H1768" i="1"/>
  <c r="G1768" i="1"/>
  <c r="F1768" i="1"/>
  <c r="J1767" i="1"/>
  <c r="I1767" i="1"/>
  <c r="H1767" i="1"/>
  <c r="G1767" i="1"/>
  <c r="F1767" i="1"/>
  <c r="J1766" i="1"/>
  <c r="I1766" i="1"/>
  <c r="H1766" i="1"/>
  <c r="G1766" i="1"/>
  <c r="F1766" i="1"/>
  <c r="I1765" i="1"/>
  <c r="J1765" i="1" s="1"/>
  <c r="H1765" i="1"/>
  <c r="G1765" i="1"/>
  <c r="F1765" i="1"/>
  <c r="J1764" i="1"/>
  <c r="I1764" i="1"/>
  <c r="H1764" i="1"/>
  <c r="G1764" i="1"/>
  <c r="F1764" i="1"/>
  <c r="I1763" i="1"/>
  <c r="J1763" i="1" s="1"/>
  <c r="H1763" i="1"/>
  <c r="G1763" i="1"/>
  <c r="F1763" i="1"/>
  <c r="J1762" i="1"/>
  <c r="I1762" i="1"/>
  <c r="H1762" i="1"/>
  <c r="G1762" i="1"/>
  <c r="F1762" i="1"/>
  <c r="J1761" i="1"/>
  <c r="I1761" i="1"/>
  <c r="H1761" i="1"/>
  <c r="G1761" i="1"/>
  <c r="F1761" i="1"/>
  <c r="J1760" i="1"/>
  <c r="I1760" i="1"/>
  <c r="H1760" i="1"/>
  <c r="G1760" i="1"/>
  <c r="F1760" i="1"/>
  <c r="J1759" i="1"/>
  <c r="I1759" i="1"/>
  <c r="H1759" i="1"/>
  <c r="G1759" i="1"/>
  <c r="F1759" i="1"/>
  <c r="I1758" i="1"/>
  <c r="J1758" i="1" s="1"/>
  <c r="H1758" i="1"/>
  <c r="G1758" i="1"/>
  <c r="F1758" i="1"/>
  <c r="J1757" i="1"/>
  <c r="I1757" i="1"/>
  <c r="H1757" i="1"/>
  <c r="G1757" i="1"/>
  <c r="F1757" i="1"/>
  <c r="I1756" i="1"/>
  <c r="J1756" i="1" s="1"/>
  <c r="H1756" i="1"/>
  <c r="G1756" i="1"/>
  <c r="F1756" i="1"/>
  <c r="I1755" i="1"/>
  <c r="J1755" i="1" s="1"/>
  <c r="H1755" i="1"/>
  <c r="G1755" i="1"/>
  <c r="F1755" i="1"/>
  <c r="I1754" i="1"/>
  <c r="J1754" i="1" s="1"/>
  <c r="H1754" i="1"/>
  <c r="G1754" i="1"/>
  <c r="F1754" i="1"/>
  <c r="J1753" i="1"/>
  <c r="I1753" i="1"/>
  <c r="H1753" i="1"/>
  <c r="G1753" i="1"/>
  <c r="F1753" i="1"/>
  <c r="I1752" i="1"/>
  <c r="J1752" i="1" s="1"/>
  <c r="H1752" i="1"/>
  <c r="G1752" i="1"/>
  <c r="F1752" i="1"/>
  <c r="J1751" i="1"/>
  <c r="I1751" i="1"/>
  <c r="H1751" i="1"/>
  <c r="G1751" i="1"/>
  <c r="F1751" i="1"/>
  <c r="I1750" i="1"/>
  <c r="J1750" i="1" s="1"/>
  <c r="H1750" i="1"/>
  <c r="G1750" i="1"/>
  <c r="F1750" i="1"/>
  <c r="J1749" i="1"/>
  <c r="I1749" i="1"/>
  <c r="H1749" i="1"/>
  <c r="G1749" i="1"/>
  <c r="F1749" i="1"/>
  <c r="J1748" i="1"/>
  <c r="I1748" i="1"/>
  <c r="H1748" i="1"/>
  <c r="G1748" i="1"/>
  <c r="F1748" i="1"/>
  <c r="J1747" i="1"/>
  <c r="I1747" i="1"/>
  <c r="H1747" i="1"/>
  <c r="G1747" i="1"/>
  <c r="F1747" i="1"/>
  <c r="I1746" i="1"/>
  <c r="J1746" i="1" s="1"/>
  <c r="H1746" i="1"/>
  <c r="G1746" i="1"/>
  <c r="F1746" i="1"/>
  <c r="J1745" i="1"/>
  <c r="I1745" i="1"/>
  <c r="H1745" i="1"/>
  <c r="G1745" i="1"/>
  <c r="F1745" i="1"/>
  <c r="J1744" i="1"/>
  <c r="I1744" i="1"/>
  <c r="H1744" i="1"/>
  <c r="G1744" i="1"/>
  <c r="F1744" i="1"/>
  <c r="J1743" i="1"/>
  <c r="I1743" i="1"/>
  <c r="H1743" i="1"/>
  <c r="G1743" i="1"/>
  <c r="F1743" i="1"/>
  <c r="I1742" i="1"/>
  <c r="J1742" i="1" s="1"/>
  <c r="H1742" i="1"/>
  <c r="G1742" i="1"/>
  <c r="F1742" i="1"/>
  <c r="I1741" i="1"/>
  <c r="J1741" i="1" s="1"/>
  <c r="H1741" i="1"/>
  <c r="G1741" i="1"/>
  <c r="F1741" i="1"/>
  <c r="I1740" i="1"/>
  <c r="J1740" i="1" s="1"/>
  <c r="H1740" i="1"/>
  <c r="G1740" i="1"/>
  <c r="F1740" i="1"/>
  <c r="I1739" i="1"/>
  <c r="J1739" i="1" s="1"/>
  <c r="H1739" i="1"/>
  <c r="G1739" i="1"/>
  <c r="F1739" i="1"/>
  <c r="J1738" i="1"/>
  <c r="I1738" i="1"/>
  <c r="H1738" i="1"/>
  <c r="G1738" i="1"/>
  <c r="F1738" i="1"/>
  <c r="J1737" i="1"/>
  <c r="I1737" i="1"/>
  <c r="H1737" i="1"/>
  <c r="G1737" i="1"/>
  <c r="F1737" i="1"/>
  <c r="J1736" i="1"/>
  <c r="I1736" i="1"/>
  <c r="H1736" i="1"/>
  <c r="G1736" i="1"/>
  <c r="F1736" i="1"/>
  <c r="J1735" i="1"/>
  <c r="I1735" i="1"/>
  <c r="H1735" i="1"/>
  <c r="G1735" i="1"/>
  <c r="F1735" i="1"/>
  <c r="I1734" i="1"/>
  <c r="J1734" i="1" s="1"/>
  <c r="H1734" i="1"/>
  <c r="G1734" i="1"/>
  <c r="F1734" i="1"/>
  <c r="J1733" i="1"/>
  <c r="I1733" i="1"/>
  <c r="H1733" i="1"/>
  <c r="G1733" i="1"/>
  <c r="F1733" i="1"/>
  <c r="I1732" i="1"/>
  <c r="J1732" i="1" s="1"/>
  <c r="H1732" i="1"/>
  <c r="G1732" i="1"/>
  <c r="F1732" i="1"/>
  <c r="J1731" i="1"/>
  <c r="I1731" i="1"/>
  <c r="H1731" i="1"/>
  <c r="G1731" i="1"/>
  <c r="F1731" i="1"/>
  <c r="J1730" i="1"/>
  <c r="I1730" i="1"/>
  <c r="H1730" i="1"/>
  <c r="G1730" i="1"/>
  <c r="F1730" i="1"/>
  <c r="J1729" i="1"/>
  <c r="I1729" i="1"/>
  <c r="H1729" i="1"/>
  <c r="G1729" i="1"/>
  <c r="F1729" i="1"/>
  <c r="I1728" i="1"/>
  <c r="J1728" i="1" s="1"/>
  <c r="H1728" i="1"/>
  <c r="G1728" i="1"/>
  <c r="F1728" i="1"/>
  <c r="I1727" i="1"/>
  <c r="J1727" i="1" s="1"/>
  <c r="H1727" i="1"/>
  <c r="G1727" i="1"/>
  <c r="F1727" i="1"/>
  <c r="I1726" i="1"/>
  <c r="J1726" i="1" s="1"/>
  <c r="H1726" i="1"/>
  <c r="G1726" i="1"/>
  <c r="F1726" i="1"/>
  <c r="J1725" i="1"/>
  <c r="I1725" i="1"/>
  <c r="H1725" i="1"/>
  <c r="G1725" i="1"/>
  <c r="F1725" i="1"/>
  <c r="I1724" i="1"/>
  <c r="J1724" i="1" s="1"/>
  <c r="H1724" i="1"/>
  <c r="G1724" i="1"/>
  <c r="F1724" i="1"/>
  <c r="J1723" i="1"/>
  <c r="I1723" i="1"/>
  <c r="H1723" i="1"/>
  <c r="G1723" i="1"/>
  <c r="F1723" i="1"/>
  <c r="J1722" i="1"/>
  <c r="I1722" i="1"/>
  <c r="H1722" i="1"/>
  <c r="G1722" i="1"/>
  <c r="F1722" i="1"/>
  <c r="J1721" i="1"/>
  <c r="I1721" i="1"/>
  <c r="H1721" i="1"/>
  <c r="G1721" i="1"/>
  <c r="F1721" i="1"/>
  <c r="I1720" i="1"/>
  <c r="J1720" i="1" s="1"/>
  <c r="H1720" i="1"/>
  <c r="G1720" i="1"/>
  <c r="F1720" i="1"/>
  <c r="J1719" i="1"/>
  <c r="I1719" i="1"/>
  <c r="H1719" i="1"/>
  <c r="G1719" i="1"/>
  <c r="F1719" i="1"/>
  <c r="J1718" i="1"/>
  <c r="I1718" i="1"/>
  <c r="H1718" i="1"/>
  <c r="G1718" i="1"/>
  <c r="F1718" i="1"/>
  <c r="J1717" i="1"/>
  <c r="I1717" i="1"/>
  <c r="H1717" i="1"/>
  <c r="G1717" i="1"/>
  <c r="F1717" i="1"/>
  <c r="I1716" i="1"/>
  <c r="J1716" i="1" s="1"/>
  <c r="H1716" i="1"/>
  <c r="G1716" i="1"/>
  <c r="F1716" i="1"/>
  <c r="J1715" i="1"/>
  <c r="I1715" i="1"/>
  <c r="H1715" i="1"/>
  <c r="G1715" i="1"/>
  <c r="F1715" i="1"/>
  <c r="I1714" i="1"/>
  <c r="J1714" i="1" s="1"/>
  <c r="H1714" i="1"/>
  <c r="G1714" i="1"/>
  <c r="F1714" i="1"/>
  <c r="I1713" i="1"/>
  <c r="J1713" i="1" s="1"/>
  <c r="H1713" i="1"/>
  <c r="G1713" i="1"/>
  <c r="F1713" i="1"/>
  <c r="J1712" i="1"/>
  <c r="I1712" i="1"/>
  <c r="H1712" i="1"/>
  <c r="G1712" i="1"/>
  <c r="F1712" i="1"/>
  <c r="I1711" i="1"/>
  <c r="J1711" i="1" s="1"/>
  <c r="H1711" i="1"/>
  <c r="G1711" i="1"/>
  <c r="F1711" i="1"/>
  <c r="I1710" i="1"/>
  <c r="J1710" i="1" s="1"/>
  <c r="H1710" i="1"/>
  <c r="G1710" i="1"/>
  <c r="F1710" i="1"/>
  <c r="J1709" i="1"/>
  <c r="I1709" i="1"/>
  <c r="H1709" i="1"/>
  <c r="G1709" i="1"/>
  <c r="F1709" i="1"/>
  <c r="J1708" i="1"/>
  <c r="I1708" i="1"/>
  <c r="H1708" i="1"/>
  <c r="G1708" i="1"/>
  <c r="F1708" i="1"/>
  <c r="I1707" i="1"/>
  <c r="J1707" i="1" s="1"/>
  <c r="H1707" i="1"/>
  <c r="G1707" i="1"/>
  <c r="F1707" i="1"/>
  <c r="J1706" i="1"/>
  <c r="I1706" i="1"/>
  <c r="H1706" i="1"/>
  <c r="G1706" i="1"/>
  <c r="F1706" i="1"/>
  <c r="J1705" i="1"/>
  <c r="I1705" i="1"/>
  <c r="H1705" i="1"/>
  <c r="G1705" i="1"/>
  <c r="F1705" i="1"/>
  <c r="J1704" i="1"/>
  <c r="I1704" i="1"/>
  <c r="H1704" i="1"/>
  <c r="G1704" i="1"/>
  <c r="F1704" i="1"/>
  <c r="J1703" i="1"/>
  <c r="I1703" i="1"/>
  <c r="H1703" i="1"/>
  <c r="G1703" i="1"/>
  <c r="F1703" i="1"/>
  <c r="J1702" i="1"/>
  <c r="I1702" i="1"/>
  <c r="H1702" i="1"/>
  <c r="G1702" i="1"/>
  <c r="F1702" i="1"/>
  <c r="I1701" i="1"/>
  <c r="J1701" i="1" s="1"/>
  <c r="H1701" i="1"/>
  <c r="G1701" i="1"/>
  <c r="F1701" i="1"/>
  <c r="I1700" i="1"/>
  <c r="J1700" i="1" s="1"/>
  <c r="H1700" i="1"/>
  <c r="G1700" i="1"/>
  <c r="F1700" i="1"/>
  <c r="I1699" i="1"/>
  <c r="J1699" i="1" s="1"/>
  <c r="H1699" i="1"/>
  <c r="G1699" i="1"/>
  <c r="F1699" i="1"/>
  <c r="J1698" i="1"/>
  <c r="I1698" i="1"/>
  <c r="H1698" i="1"/>
  <c r="G1698" i="1"/>
  <c r="F1698" i="1"/>
  <c r="I1697" i="1"/>
  <c r="J1697" i="1" s="1"/>
  <c r="H1697" i="1"/>
  <c r="G1697" i="1"/>
  <c r="F1697" i="1"/>
  <c r="J1696" i="1"/>
  <c r="I1696" i="1"/>
  <c r="H1696" i="1"/>
  <c r="G1696" i="1"/>
  <c r="F1696" i="1"/>
  <c r="I1695" i="1"/>
  <c r="J1695" i="1" s="1"/>
  <c r="H1695" i="1"/>
  <c r="G1695" i="1"/>
  <c r="F1695" i="1"/>
  <c r="J1694" i="1"/>
  <c r="I1694" i="1"/>
  <c r="H1694" i="1"/>
  <c r="G1694" i="1"/>
  <c r="F1694" i="1"/>
  <c r="J1693" i="1"/>
  <c r="I1693" i="1"/>
  <c r="H1693" i="1"/>
  <c r="G1693" i="1"/>
  <c r="F1693" i="1"/>
  <c r="J1692" i="1"/>
  <c r="I1692" i="1"/>
  <c r="H1692" i="1"/>
  <c r="G1692" i="1"/>
  <c r="F1692" i="1"/>
  <c r="J1691" i="1"/>
  <c r="I1691" i="1"/>
  <c r="H1691" i="1"/>
  <c r="G1691" i="1"/>
  <c r="F1691" i="1"/>
  <c r="I1690" i="1"/>
  <c r="J1690" i="1" s="1"/>
  <c r="H1690" i="1"/>
  <c r="G1690" i="1"/>
  <c r="F1690" i="1"/>
  <c r="J1689" i="1"/>
  <c r="I1689" i="1"/>
  <c r="H1689" i="1"/>
  <c r="G1689" i="1"/>
  <c r="F1689" i="1"/>
  <c r="I1688" i="1"/>
  <c r="J1688" i="1" s="1"/>
  <c r="H1688" i="1"/>
  <c r="G1688" i="1"/>
  <c r="F1688" i="1"/>
  <c r="I1687" i="1"/>
  <c r="J1687" i="1" s="1"/>
  <c r="H1687" i="1"/>
  <c r="G1687" i="1"/>
  <c r="F1687" i="1"/>
  <c r="I1686" i="1"/>
  <c r="J1686" i="1" s="1"/>
  <c r="H1686" i="1"/>
  <c r="G1686" i="1"/>
  <c r="F1686" i="1"/>
  <c r="I1685" i="1"/>
  <c r="J1685" i="1" s="1"/>
  <c r="H1685" i="1"/>
  <c r="G1685" i="1"/>
  <c r="F1685" i="1"/>
  <c r="J1684" i="1"/>
  <c r="I1684" i="1"/>
  <c r="H1684" i="1"/>
  <c r="G1684" i="1"/>
  <c r="F1684" i="1"/>
  <c r="J1683" i="1"/>
  <c r="I1683" i="1"/>
  <c r="H1683" i="1"/>
  <c r="G1683" i="1"/>
  <c r="F1683" i="1"/>
  <c r="I1682" i="1"/>
  <c r="J1682" i="1" s="1"/>
  <c r="H1682" i="1"/>
  <c r="G1682" i="1"/>
  <c r="F1682" i="1"/>
  <c r="I1681" i="1"/>
  <c r="J1681" i="1" s="1"/>
  <c r="H1681" i="1"/>
  <c r="G1681" i="1"/>
  <c r="F1681" i="1"/>
  <c r="J1680" i="1"/>
  <c r="I1680" i="1"/>
  <c r="H1680" i="1"/>
  <c r="G1680" i="1"/>
  <c r="F1680" i="1"/>
  <c r="J1679" i="1"/>
  <c r="I1679" i="1"/>
  <c r="H1679" i="1"/>
  <c r="G1679" i="1"/>
  <c r="F1679" i="1"/>
  <c r="J1678" i="1"/>
  <c r="I1678" i="1"/>
  <c r="H1678" i="1"/>
  <c r="G1678" i="1"/>
  <c r="F1678" i="1"/>
  <c r="J1677" i="1"/>
  <c r="I1677" i="1"/>
  <c r="H1677" i="1"/>
  <c r="G1677" i="1"/>
  <c r="F1677" i="1"/>
  <c r="I1676" i="1"/>
  <c r="J1676" i="1" s="1"/>
  <c r="H1676" i="1"/>
  <c r="G1676" i="1"/>
  <c r="F1676" i="1"/>
  <c r="J1675" i="1"/>
  <c r="I1675" i="1"/>
  <c r="H1675" i="1"/>
  <c r="G1675" i="1"/>
  <c r="F1675" i="1"/>
  <c r="I1674" i="1"/>
  <c r="J1674" i="1" s="1"/>
  <c r="H1674" i="1"/>
  <c r="G1674" i="1"/>
  <c r="F1674" i="1"/>
  <c r="I1673" i="1"/>
  <c r="J1673" i="1" s="1"/>
  <c r="H1673" i="1"/>
  <c r="G1673" i="1"/>
  <c r="F1673" i="1"/>
  <c r="I1672" i="1"/>
  <c r="J1672" i="1" s="1"/>
  <c r="H1672" i="1"/>
  <c r="G1672" i="1"/>
  <c r="F1672" i="1"/>
  <c r="I1671" i="1"/>
  <c r="J1671" i="1" s="1"/>
  <c r="H1671" i="1"/>
  <c r="G1671" i="1"/>
  <c r="F1671" i="1"/>
  <c r="J1670" i="1"/>
  <c r="I1670" i="1"/>
  <c r="H1670" i="1"/>
  <c r="G1670" i="1"/>
  <c r="F1670" i="1"/>
  <c r="J1669" i="1"/>
  <c r="I1669" i="1"/>
  <c r="H1669" i="1"/>
  <c r="G1669" i="1"/>
  <c r="F1669" i="1"/>
  <c r="J1668" i="1"/>
  <c r="I1668" i="1"/>
  <c r="H1668" i="1"/>
  <c r="G1668" i="1"/>
  <c r="F1668" i="1"/>
  <c r="I1667" i="1"/>
  <c r="J1667" i="1" s="1"/>
  <c r="H1667" i="1"/>
  <c r="G1667" i="1"/>
  <c r="F1667" i="1"/>
  <c r="J1666" i="1"/>
  <c r="I1666" i="1"/>
  <c r="H1666" i="1"/>
  <c r="G1666" i="1"/>
  <c r="F1666" i="1"/>
  <c r="I1665" i="1"/>
  <c r="J1665" i="1" s="1"/>
  <c r="H1665" i="1"/>
  <c r="G1665" i="1"/>
  <c r="F1665" i="1"/>
  <c r="J1664" i="1"/>
  <c r="I1664" i="1"/>
  <c r="H1664" i="1"/>
  <c r="G1664" i="1"/>
  <c r="F1664" i="1"/>
  <c r="J1663" i="1"/>
  <c r="I1663" i="1"/>
  <c r="H1663" i="1"/>
  <c r="G1663" i="1"/>
  <c r="F1663" i="1"/>
  <c r="J1662" i="1"/>
  <c r="I1662" i="1"/>
  <c r="H1662" i="1"/>
  <c r="G1662" i="1"/>
  <c r="F1662" i="1"/>
  <c r="J1661" i="1"/>
  <c r="I1661" i="1"/>
  <c r="H1661" i="1"/>
  <c r="G1661" i="1"/>
  <c r="F1661" i="1"/>
  <c r="I1660" i="1"/>
  <c r="J1660" i="1" s="1"/>
  <c r="H1660" i="1"/>
  <c r="G1660" i="1"/>
  <c r="F1660" i="1"/>
  <c r="J1659" i="1"/>
  <c r="I1659" i="1"/>
  <c r="H1659" i="1"/>
  <c r="G1659" i="1"/>
  <c r="F1659" i="1"/>
  <c r="I1658" i="1"/>
  <c r="J1658" i="1" s="1"/>
  <c r="H1658" i="1"/>
  <c r="G1658" i="1"/>
  <c r="F1658" i="1"/>
  <c r="I1657" i="1"/>
  <c r="J1657" i="1" s="1"/>
  <c r="H1657" i="1"/>
  <c r="G1657" i="1"/>
  <c r="F1657" i="1"/>
  <c r="I1656" i="1"/>
  <c r="J1656" i="1" s="1"/>
  <c r="H1656" i="1"/>
  <c r="G1656" i="1"/>
  <c r="F1656" i="1"/>
  <c r="J1655" i="1"/>
  <c r="I1655" i="1"/>
  <c r="H1655" i="1"/>
  <c r="G1655" i="1"/>
  <c r="F1655" i="1"/>
  <c r="I1654" i="1"/>
  <c r="J1654" i="1" s="1"/>
  <c r="H1654" i="1"/>
  <c r="G1654" i="1"/>
  <c r="F1654" i="1"/>
  <c r="J1653" i="1"/>
  <c r="I1653" i="1"/>
  <c r="H1653" i="1"/>
  <c r="G1653" i="1"/>
  <c r="F1653" i="1"/>
  <c r="J1652" i="1"/>
  <c r="I1652" i="1"/>
  <c r="H1652" i="1"/>
  <c r="G1652" i="1"/>
  <c r="F1652" i="1"/>
  <c r="J1651" i="1"/>
  <c r="I1651" i="1"/>
  <c r="H1651" i="1"/>
  <c r="G1651" i="1"/>
  <c r="F1651" i="1"/>
  <c r="I1650" i="1"/>
  <c r="J1650" i="1" s="1"/>
  <c r="H1650" i="1"/>
  <c r="G1650" i="1"/>
  <c r="F1650" i="1"/>
  <c r="I1649" i="1"/>
  <c r="J1649" i="1" s="1"/>
  <c r="H1649" i="1"/>
  <c r="G1649" i="1"/>
  <c r="F1649" i="1"/>
  <c r="J1648" i="1"/>
  <c r="I1648" i="1"/>
  <c r="H1648" i="1"/>
  <c r="G1648" i="1"/>
  <c r="F1648" i="1"/>
  <c r="J1647" i="1"/>
  <c r="I1647" i="1"/>
  <c r="H1647" i="1"/>
  <c r="G1647" i="1"/>
  <c r="F1647" i="1"/>
  <c r="J1646" i="1"/>
  <c r="I1646" i="1"/>
  <c r="H1646" i="1"/>
  <c r="G1646" i="1"/>
  <c r="F1646" i="1"/>
  <c r="J1645" i="1"/>
  <c r="I1645" i="1"/>
  <c r="H1645" i="1"/>
  <c r="G1645" i="1"/>
  <c r="F1645" i="1"/>
  <c r="I1644" i="1"/>
  <c r="J1644" i="1" s="1"/>
  <c r="H1644" i="1"/>
  <c r="G1644" i="1"/>
  <c r="F1644" i="1"/>
  <c r="J1643" i="1"/>
  <c r="I1643" i="1"/>
  <c r="H1643" i="1"/>
  <c r="G1643" i="1"/>
  <c r="F1643" i="1"/>
  <c r="I1642" i="1"/>
  <c r="J1642" i="1" s="1"/>
  <c r="H1642" i="1"/>
  <c r="G1642" i="1"/>
  <c r="F1642" i="1"/>
  <c r="J1641" i="1"/>
  <c r="I1641" i="1"/>
  <c r="H1641" i="1"/>
  <c r="G1641" i="1"/>
  <c r="F1641" i="1"/>
  <c r="I1640" i="1"/>
  <c r="J1640" i="1" s="1"/>
  <c r="H1640" i="1"/>
  <c r="G1640" i="1"/>
  <c r="F1640" i="1"/>
  <c r="J1639" i="1"/>
  <c r="I1639" i="1"/>
  <c r="H1639" i="1"/>
  <c r="G1639" i="1"/>
  <c r="F1639" i="1"/>
  <c r="J1638" i="1"/>
  <c r="I1638" i="1"/>
  <c r="H1638" i="1"/>
  <c r="G1638" i="1"/>
  <c r="F1638" i="1"/>
  <c r="J1637" i="1"/>
  <c r="I1637" i="1"/>
  <c r="H1637" i="1"/>
  <c r="G1637" i="1"/>
  <c r="F1637" i="1"/>
  <c r="I1636" i="1"/>
  <c r="J1636" i="1" s="1"/>
  <c r="H1636" i="1"/>
  <c r="G1636" i="1"/>
  <c r="F1636" i="1"/>
  <c r="I1635" i="1"/>
  <c r="J1635" i="1" s="1"/>
  <c r="H1635" i="1"/>
  <c r="G1635" i="1"/>
  <c r="F1635" i="1"/>
  <c r="J1634" i="1"/>
  <c r="I1634" i="1"/>
  <c r="H1634" i="1"/>
  <c r="G1634" i="1"/>
  <c r="F1634" i="1"/>
  <c r="J1633" i="1"/>
  <c r="I1633" i="1"/>
  <c r="H1633" i="1"/>
  <c r="G1633" i="1"/>
  <c r="F1633" i="1"/>
  <c r="J1632" i="1"/>
  <c r="I1632" i="1"/>
  <c r="H1632" i="1"/>
  <c r="G1632" i="1"/>
  <c r="F1632" i="1"/>
  <c r="J1631" i="1"/>
  <c r="I1631" i="1"/>
  <c r="H1631" i="1"/>
  <c r="G1631" i="1"/>
  <c r="F1631" i="1"/>
  <c r="I1630" i="1"/>
  <c r="J1630" i="1" s="1"/>
  <c r="H1630" i="1"/>
  <c r="G1630" i="1"/>
  <c r="F1630" i="1"/>
  <c r="J1629" i="1"/>
  <c r="I1629" i="1"/>
  <c r="H1629" i="1"/>
  <c r="G1629" i="1"/>
  <c r="F1629" i="1"/>
  <c r="I1628" i="1"/>
  <c r="J1628" i="1" s="1"/>
  <c r="H1628" i="1"/>
  <c r="G1628" i="1"/>
  <c r="F1628" i="1"/>
  <c r="J1627" i="1"/>
  <c r="I1627" i="1"/>
  <c r="H1627" i="1"/>
  <c r="G1627" i="1"/>
  <c r="F1627" i="1"/>
  <c r="I1626" i="1"/>
  <c r="J1626" i="1" s="1"/>
  <c r="H1626" i="1"/>
  <c r="G1626" i="1"/>
  <c r="F1626" i="1"/>
  <c r="J1625" i="1"/>
  <c r="I1625" i="1"/>
  <c r="H1625" i="1"/>
  <c r="G1625" i="1"/>
  <c r="F1625" i="1"/>
  <c r="J1624" i="1"/>
  <c r="I1624" i="1"/>
  <c r="H1624" i="1"/>
  <c r="G1624" i="1"/>
  <c r="F1624" i="1"/>
  <c r="J1623" i="1"/>
  <c r="I1623" i="1"/>
  <c r="H1623" i="1"/>
  <c r="G1623" i="1"/>
  <c r="F1623" i="1"/>
  <c r="I1622" i="1"/>
  <c r="J1622" i="1" s="1"/>
  <c r="H1622" i="1"/>
  <c r="G1622" i="1"/>
  <c r="F1622" i="1"/>
  <c r="I1621" i="1"/>
  <c r="J1621" i="1" s="1"/>
  <c r="H1621" i="1"/>
  <c r="G1621" i="1"/>
  <c r="F1621" i="1"/>
  <c r="J1620" i="1"/>
  <c r="I1620" i="1"/>
  <c r="H1620" i="1"/>
  <c r="G1620" i="1"/>
  <c r="F1620" i="1"/>
  <c r="J1619" i="1"/>
  <c r="I1619" i="1"/>
  <c r="H1619" i="1"/>
  <c r="G1619" i="1"/>
  <c r="F1619" i="1"/>
  <c r="I1618" i="1"/>
  <c r="J1618" i="1" s="1"/>
  <c r="H1618" i="1"/>
  <c r="G1618" i="1"/>
  <c r="F1618" i="1"/>
  <c r="J1617" i="1"/>
  <c r="I1617" i="1"/>
  <c r="H1617" i="1"/>
  <c r="G1617" i="1"/>
  <c r="F1617" i="1"/>
  <c r="I1616" i="1"/>
  <c r="J1616" i="1" s="1"/>
  <c r="H1616" i="1"/>
  <c r="G1616" i="1"/>
  <c r="F1616" i="1"/>
  <c r="J1615" i="1"/>
  <c r="I1615" i="1"/>
  <c r="H1615" i="1"/>
  <c r="G1615" i="1"/>
  <c r="F1615" i="1"/>
  <c r="I1614" i="1"/>
  <c r="J1614" i="1" s="1"/>
  <c r="H1614" i="1"/>
  <c r="G1614" i="1"/>
  <c r="F1614" i="1"/>
  <c r="J1613" i="1"/>
  <c r="I1613" i="1"/>
  <c r="H1613" i="1"/>
  <c r="G1613" i="1"/>
  <c r="F1613" i="1"/>
  <c r="I1612" i="1"/>
  <c r="J1612" i="1" s="1"/>
  <c r="H1612" i="1"/>
  <c r="G1612" i="1"/>
  <c r="F1612" i="1"/>
  <c r="J1611" i="1"/>
  <c r="I1611" i="1"/>
  <c r="H1611" i="1"/>
  <c r="G1611" i="1"/>
  <c r="F1611" i="1"/>
  <c r="J1610" i="1"/>
  <c r="I1610" i="1"/>
  <c r="H1610" i="1"/>
  <c r="G1610" i="1"/>
  <c r="F1610" i="1"/>
  <c r="J1609" i="1"/>
  <c r="I1609" i="1"/>
  <c r="H1609" i="1"/>
  <c r="G1609" i="1"/>
  <c r="F1609" i="1"/>
  <c r="I1608" i="1"/>
  <c r="J1608" i="1" s="1"/>
  <c r="H1608" i="1"/>
  <c r="G1608" i="1"/>
  <c r="F1608" i="1"/>
  <c r="I1607" i="1"/>
  <c r="J1607" i="1" s="1"/>
  <c r="H1607" i="1"/>
  <c r="G1607" i="1"/>
  <c r="F1607" i="1"/>
  <c r="J1606" i="1"/>
  <c r="I1606" i="1"/>
  <c r="H1606" i="1"/>
  <c r="G1606" i="1"/>
  <c r="F1606" i="1"/>
  <c r="J1605" i="1"/>
  <c r="I1605" i="1"/>
  <c r="H1605" i="1"/>
  <c r="G1605" i="1"/>
  <c r="F1605" i="1"/>
  <c r="I1604" i="1"/>
  <c r="J1604" i="1" s="1"/>
  <c r="H1604" i="1"/>
  <c r="G1604" i="1"/>
  <c r="F1604" i="1"/>
  <c r="J1603" i="1"/>
  <c r="I1603" i="1"/>
  <c r="H1603" i="1"/>
  <c r="G1603" i="1"/>
  <c r="F1603" i="1"/>
  <c r="I1602" i="1"/>
  <c r="J1602" i="1" s="1"/>
  <c r="H1602" i="1"/>
  <c r="G1602" i="1"/>
  <c r="F1602" i="1"/>
  <c r="J1601" i="1"/>
  <c r="I1601" i="1"/>
  <c r="H1601" i="1"/>
  <c r="G1601" i="1"/>
  <c r="F1601" i="1"/>
  <c r="I1600" i="1"/>
  <c r="J1600" i="1" s="1"/>
  <c r="H1600" i="1"/>
  <c r="G1600" i="1"/>
  <c r="F1600" i="1"/>
  <c r="J1599" i="1"/>
  <c r="I1599" i="1"/>
  <c r="H1599" i="1"/>
  <c r="G1599" i="1"/>
  <c r="F1599" i="1"/>
  <c r="I1598" i="1"/>
  <c r="J1598" i="1" s="1"/>
  <c r="H1598" i="1"/>
  <c r="G1598" i="1"/>
  <c r="F1598" i="1"/>
  <c r="J1597" i="1"/>
  <c r="I1597" i="1"/>
  <c r="H1597" i="1"/>
  <c r="G1597" i="1"/>
  <c r="F1597" i="1"/>
  <c r="J1596" i="1"/>
  <c r="I1596" i="1"/>
  <c r="H1596" i="1"/>
  <c r="G1596" i="1"/>
  <c r="F1596" i="1"/>
  <c r="J1595" i="1"/>
  <c r="I1595" i="1"/>
  <c r="H1595" i="1"/>
  <c r="G1595" i="1"/>
  <c r="F1595" i="1"/>
  <c r="I1594" i="1"/>
  <c r="J1594" i="1" s="1"/>
  <c r="H1594" i="1"/>
  <c r="G1594" i="1"/>
  <c r="F1594" i="1"/>
  <c r="I1593" i="1"/>
  <c r="J1593" i="1" s="1"/>
  <c r="H1593" i="1"/>
  <c r="G1593" i="1"/>
  <c r="F1593" i="1"/>
  <c r="J1592" i="1"/>
  <c r="I1592" i="1"/>
  <c r="H1592" i="1"/>
  <c r="G1592" i="1"/>
  <c r="F1592" i="1"/>
  <c r="J1591" i="1"/>
  <c r="I1591" i="1"/>
  <c r="H1591" i="1"/>
  <c r="G1591" i="1"/>
  <c r="F1591" i="1"/>
  <c r="J1590" i="1"/>
  <c r="I1590" i="1"/>
  <c r="H1590" i="1"/>
  <c r="G1590" i="1"/>
  <c r="F1590" i="1"/>
  <c r="J1589" i="1"/>
  <c r="I1589" i="1"/>
  <c r="H1589" i="1"/>
  <c r="G1589" i="1"/>
  <c r="F1589" i="1"/>
  <c r="I1588" i="1"/>
  <c r="J1588" i="1" s="1"/>
  <c r="H1588" i="1"/>
  <c r="G1588" i="1"/>
  <c r="F1588" i="1"/>
  <c r="J1587" i="1"/>
  <c r="I1587" i="1"/>
  <c r="H1587" i="1"/>
  <c r="G1587" i="1"/>
  <c r="F1587" i="1"/>
  <c r="I1586" i="1"/>
  <c r="J1586" i="1" s="1"/>
  <c r="H1586" i="1"/>
  <c r="G1586" i="1"/>
  <c r="F1586" i="1"/>
  <c r="J1585" i="1"/>
  <c r="I1585" i="1"/>
  <c r="H1585" i="1"/>
  <c r="G1585" i="1"/>
  <c r="F1585" i="1"/>
  <c r="I1584" i="1"/>
  <c r="J1584" i="1" s="1"/>
  <c r="H1584" i="1"/>
  <c r="G1584" i="1"/>
  <c r="F1584" i="1"/>
  <c r="J1583" i="1"/>
  <c r="I1583" i="1"/>
  <c r="H1583" i="1"/>
  <c r="G1583" i="1"/>
  <c r="F1583" i="1"/>
  <c r="J1582" i="1"/>
  <c r="I1582" i="1"/>
  <c r="H1582" i="1"/>
  <c r="G1582" i="1"/>
  <c r="F1582" i="1"/>
  <c r="J1581" i="1"/>
  <c r="I1581" i="1"/>
  <c r="H1581" i="1"/>
  <c r="G1581" i="1"/>
  <c r="F1581" i="1"/>
  <c r="I1580" i="1"/>
  <c r="J1580" i="1" s="1"/>
  <c r="H1580" i="1"/>
  <c r="G1580" i="1"/>
  <c r="F1580" i="1"/>
  <c r="I1579" i="1"/>
  <c r="J1579" i="1" s="1"/>
  <c r="H1579" i="1"/>
  <c r="G1579" i="1"/>
  <c r="F1579" i="1"/>
  <c r="J1578" i="1"/>
  <c r="I1578" i="1"/>
  <c r="H1578" i="1"/>
  <c r="G1578" i="1"/>
  <c r="F1578" i="1"/>
  <c r="J1577" i="1"/>
  <c r="I1577" i="1"/>
  <c r="H1577" i="1"/>
  <c r="G1577" i="1"/>
  <c r="F1577" i="1"/>
  <c r="J1576" i="1"/>
  <c r="I1576" i="1"/>
  <c r="H1576" i="1"/>
  <c r="G1576" i="1"/>
  <c r="F1576" i="1"/>
  <c r="J1575" i="1"/>
  <c r="I1575" i="1"/>
  <c r="H1575" i="1"/>
  <c r="G1575" i="1"/>
  <c r="F1575" i="1"/>
  <c r="I1574" i="1"/>
  <c r="J1574" i="1" s="1"/>
  <c r="H1574" i="1"/>
  <c r="G1574" i="1"/>
  <c r="F1574" i="1"/>
  <c r="J1573" i="1"/>
  <c r="I1573" i="1"/>
  <c r="H1573" i="1"/>
  <c r="G1573" i="1"/>
  <c r="F1573" i="1"/>
  <c r="I1572" i="1"/>
  <c r="J1572" i="1" s="1"/>
  <c r="H1572" i="1"/>
  <c r="G1572" i="1"/>
  <c r="F1572" i="1"/>
  <c r="J1571" i="1"/>
  <c r="I1571" i="1"/>
  <c r="H1571" i="1"/>
  <c r="G1571" i="1"/>
  <c r="F1571" i="1"/>
  <c r="I1570" i="1"/>
  <c r="J1570" i="1" s="1"/>
  <c r="H1570" i="1"/>
  <c r="G1570" i="1"/>
  <c r="F1570" i="1"/>
  <c r="J1569" i="1"/>
  <c r="I1569" i="1"/>
  <c r="H1569" i="1"/>
  <c r="G1569" i="1"/>
  <c r="F1569" i="1"/>
  <c r="J1568" i="1"/>
  <c r="I1568" i="1"/>
  <c r="H1568" i="1"/>
  <c r="G1568" i="1"/>
  <c r="F1568" i="1"/>
  <c r="J1567" i="1"/>
  <c r="I1567" i="1"/>
  <c r="H1567" i="1"/>
  <c r="G1567" i="1"/>
  <c r="F1567" i="1"/>
  <c r="I1566" i="1"/>
  <c r="J1566" i="1" s="1"/>
  <c r="H1566" i="1"/>
  <c r="G1566" i="1"/>
  <c r="F1566" i="1"/>
  <c r="I1565" i="1"/>
  <c r="J1565" i="1" s="1"/>
  <c r="H1565" i="1"/>
  <c r="G1565" i="1"/>
  <c r="F1565" i="1"/>
  <c r="J1564" i="1"/>
  <c r="I1564" i="1"/>
  <c r="H1564" i="1"/>
  <c r="G1564" i="1"/>
  <c r="F1564" i="1"/>
  <c r="J1563" i="1"/>
  <c r="I1563" i="1"/>
  <c r="H1563" i="1"/>
  <c r="G1563" i="1"/>
  <c r="F1563" i="1"/>
  <c r="J1562" i="1"/>
  <c r="I1562" i="1"/>
  <c r="H1562" i="1"/>
  <c r="G1562" i="1"/>
  <c r="F1562" i="1"/>
  <c r="J1561" i="1"/>
  <c r="I1561" i="1"/>
  <c r="H1561" i="1"/>
  <c r="G1561" i="1"/>
  <c r="F1561" i="1"/>
  <c r="I1560" i="1"/>
  <c r="J1560" i="1" s="1"/>
  <c r="H1560" i="1"/>
  <c r="G1560" i="1"/>
  <c r="F1560" i="1"/>
  <c r="J1559" i="1"/>
  <c r="I1559" i="1"/>
  <c r="H1559" i="1"/>
  <c r="G1559" i="1"/>
  <c r="F1559" i="1"/>
  <c r="I1558" i="1"/>
  <c r="J1558" i="1" s="1"/>
  <c r="H1558" i="1"/>
  <c r="G1558" i="1"/>
  <c r="F1558" i="1"/>
  <c r="J1557" i="1"/>
  <c r="I1557" i="1"/>
  <c r="H1557" i="1"/>
  <c r="G1557" i="1"/>
  <c r="F1557" i="1"/>
  <c r="I1556" i="1"/>
  <c r="J1556" i="1" s="1"/>
  <c r="H1556" i="1"/>
  <c r="G1556" i="1"/>
  <c r="F1556" i="1"/>
  <c r="J1555" i="1"/>
  <c r="I1555" i="1"/>
  <c r="H1555" i="1"/>
  <c r="G1555" i="1"/>
  <c r="F1555" i="1"/>
  <c r="J1554" i="1"/>
  <c r="I1554" i="1"/>
  <c r="H1554" i="1"/>
  <c r="G1554" i="1"/>
  <c r="F1554" i="1"/>
  <c r="J1553" i="1"/>
  <c r="I1553" i="1"/>
  <c r="H1553" i="1"/>
  <c r="G1553" i="1"/>
  <c r="F1553" i="1"/>
  <c r="I1552" i="1"/>
  <c r="J1552" i="1" s="1"/>
  <c r="H1552" i="1"/>
  <c r="G1552" i="1"/>
  <c r="F1552" i="1"/>
  <c r="I1551" i="1"/>
  <c r="J1551" i="1" s="1"/>
  <c r="H1551" i="1"/>
  <c r="G1551" i="1"/>
  <c r="F1551" i="1"/>
  <c r="J1550" i="1"/>
  <c r="I1550" i="1"/>
  <c r="H1550" i="1"/>
  <c r="G1550" i="1"/>
  <c r="F1550" i="1"/>
  <c r="J1549" i="1"/>
  <c r="I1549" i="1"/>
  <c r="H1549" i="1"/>
  <c r="G1549" i="1"/>
  <c r="F1549" i="1"/>
  <c r="I1548" i="1"/>
  <c r="J1548" i="1" s="1"/>
  <c r="H1548" i="1"/>
  <c r="G1548" i="1"/>
  <c r="F1548" i="1"/>
  <c r="J1547" i="1"/>
  <c r="I1547" i="1"/>
  <c r="H1547" i="1"/>
  <c r="G1547" i="1"/>
  <c r="F1547" i="1"/>
  <c r="I1546" i="1"/>
  <c r="J1546" i="1" s="1"/>
  <c r="H1546" i="1"/>
  <c r="G1546" i="1"/>
  <c r="F1546" i="1"/>
  <c r="J1545" i="1"/>
  <c r="I1545" i="1"/>
  <c r="H1545" i="1"/>
  <c r="G1545" i="1"/>
  <c r="F1545" i="1"/>
  <c r="I1544" i="1"/>
  <c r="J1544" i="1" s="1"/>
  <c r="H1544" i="1"/>
  <c r="G1544" i="1"/>
  <c r="F1544" i="1"/>
  <c r="J1543" i="1"/>
  <c r="I1543" i="1"/>
  <c r="H1543" i="1"/>
  <c r="G1543" i="1"/>
  <c r="F1543" i="1"/>
  <c r="I1542" i="1"/>
  <c r="J1542" i="1" s="1"/>
  <c r="H1542" i="1"/>
  <c r="G1542" i="1"/>
  <c r="F1542" i="1"/>
  <c r="J1541" i="1"/>
  <c r="I1541" i="1"/>
  <c r="H1541" i="1"/>
  <c r="G1541" i="1"/>
  <c r="F1541" i="1"/>
  <c r="J1540" i="1"/>
  <c r="I1540" i="1"/>
  <c r="H1540" i="1"/>
  <c r="G1540" i="1"/>
  <c r="F1540" i="1"/>
  <c r="J1539" i="1"/>
  <c r="I1539" i="1"/>
  <c r="H1539" i="1"/>
  <c r="G1539" i="1"/>
  <c r="F1539" i="1"/>
  <c r="I1538" i="1"/>
  <c r="J1538" i="1" s="1"/>
  <c r="H1538" i="1"/>
  <c r="G1538" i="1"/>
  <c r="F1538" i="1"/>
  <c r="I1537" i="1"/>
  <c r="J1537" i="1" s="1"/>
  <c r="H1537" i="1"/>
  <c r="G1537" i="1"/>
  <c r="F1537" i="1"/>
  <c r="J1536" i="1"/>
  <c r="I1536" i="1"/>
  <c r="H1536" i="1"/>
  <c r="G1536" i="1"/>
  <c r="F1536" i="1"/>
  <c r="J1535" i="1"/>
  <c r="I1535" i="1"/>
  <c r="H1535" i="1"/>
  <c r="G1535" i="1"/>
  <c r="F1535" i="1"/>
  <c r="J1534" i="1"/>
  <c r="I1534" i="1"/>
  <c r="H1534" i="1"/>
  <c r="G1534" i="1"/>
  <c r="F1534" i="1"/>
  <c r="J1533" i="1"/>
  <c r="I1533" i="1"/>
  <c r="H1533" i="1"/>
  <c r="G1533" i="1"/>
  <c r="F1533" i="1"/>
  <c r="I1532" i="1"/>
  <c r="J1532" i="1" s="1"/>
  <c r="H1532" i="1"/>
  <c r="G1532" i="1"/>
  <c r="F1532" i="1"/>
  <c r="J1531" i="1"/>
  <c r="I1531" i="1"/>
  <c r="H1531" i="1"/>
  <c r="G1531" i="1"/>
  <c r="F1531" i="1"/>
  <c r="I1530" i="1"/>
  <c r="J1530" i="1" s="1"/>
  <c r="H1530" i="1"/>
  <c r="G1530" i="1"/>
  <c r="F1530" i="1"/>
  <c r="J1529" i="1"/>
  <c r="I1529" i="1"/>
  <c r="H1529" i="1"/>
  <c r="G1529" i="1"/>
  <c r="F1529" i="1"/>
  <c r="I1528" i="1"/>
  <c r="J1528" i="1" s="1"/>
  <c r="H1528" i="1"/>
  <c r="G1528" i="1"/>
  <c r="F1528" i="1"/>
  <c r="J1527" i="1"/>
  <c r="I1527" i="1"/>
  <c r="H1527" i="1"/>
  <c r="G1527" i="1"/>
  <c r="F1527" i="1"/>
  <c r="J1526" i="1"/>
  <c r="I1526" i="1"/>
  <c r="H1526" i="1"/>
  <c r="G1526" i="1"/>
  <c r="F1526" i="1"/>
  <c r="J1525" i="1"/>
  <c r="I1525" i="1"/>
  <c r="H1525" i="1"/>
  <c r="G1525" i="1"/>
  <c r="F1525" i="1"/>
  <c r="I1524" i="1"/>
  <c r="J1524" i="1" s="1"/>
  <c r="H1524" i="1"/>
  <c r="G1524" i="1"/>
  <c r="F1524" i="1"/>
  <c r="I1523" i="1"/>
  <c r="J1523" i="1" s="1"/>
  <c r="H1523" i="1"/>
  <c r="G1523" i="1"/>
  <c r="F1523" i="1"/>
  <c r="J1522" i="1"/>
  <c r="I1522" i="1"/>
  <c r="H1522" i="1"/>
  <c r="G1522" i="1"/>
  <c r="F1522" i="1"/>
  <c r="J1521" i="1"/>
  <c r="I1521" i="1"/>
  <c r="H1521" i="1"/>
  <c r="G1521" i="1"/>
  <c r="F1521" i="1"/>
  <c r="I1520" i="1"/>
  <c r="J1520" i="1" s="1"/>
  <c r="H1520" i="1"/>
  <c r="G1520" i="1"/>
  <c r="F1520" i="1"/>
  <c r="J1519" i="1"/>
  <c r="I1519" i="1"/>
  <c r="H1519" i="1"/>
  <c r="G1519" i="1"/>
  <c r="F1519" i="1"/>
  <c r="I1518" i="1"/>
  <c r="J1518" i="1" s="1"/>
  <c r="H1518" i="1"/>
  <c r="G1518" i="1"/>
  <c r="F1518" i="1"/>
  <c r="J1517" i="1"/>
  <c r="I1517" i="1"/>
  <c r="H1517" i="1"/>
  <c r="G1517" i="1"/>
  <c r="F1517" i="1"/>
  <c r="I1516" i="1"/>
  <c r="J1516" i="1" s="1"/>
  <c r="H1516" i="1"/>
  <c r="G1516" i="1"/>
  <c r="F1516" i="1"/>
  <c r="J1515" i="1"/>
  <c r="I1515" i="1"/>
  <c r="H1515" i="1"/>
  <c r="G1515" i="1"/>
  <c r="F1515" i="1"/>
  <c r="I1514" i="1"/>
  <c r="J1514" i="1" s="1"/>
  <c r="H1514" i="1"/>
  <c r="G1514" i="1"/>
  <c r="F1514" i="1"/>
  <c r="J1513" i="1"/>
  <c r="I1513" i="1"/>
  <c r="H1513" i="1"/>
  <c r="G1513" i="1"/>
  <c r="F1513" i="1"/>
  <c r="J1512" i="1"/>
  <c r="I1512" i="1"/>
  <c r="H1512" i="1"/>
  <c r="G1512" i="1"/>
  <c r="F1512" i="1"/>
  <c r="J1511" i="1"/>
  <c r="I1511" i="1"/>
  <c r="H1511" i="1"/>
  <c r="G1511" i="1"/>
  <c r="F1511" i="1"/>
  <c r="I1510" i="1"/>
  <c r="J1510" i="1" s="1"/>
  <c r="H1510" i="1"/>
  <c r="G1510" i="1"/>
  <c r="F1510" i="1"/>
  <c r="I1509" i="1"/>
  <c r="J1509" i="1" s="1"/>
  <c r="H1509" i="1"/>
  <c r="G1509" i="1"/>
  <c r="F1509" i="1"/>
  <c r="J1508" i="1"/>
  <c r="I1508" i="1"/>
  <c r="H1508" i="1"/>
  <c r="G1508" i="1"/>
  <c r="F1508" i="1"/>
  <c r="J1507" i="1"/>
  <c r="I1507" i="1"/>
  <c r="H1507" i="1"/>
  <c r="G1507" i="1"/>
  <c r="F1507" i="1"/>
  <c r="J1506" i="1"/>
  <c r="I1506" i="1"/>
  <c r="H1506" i="1"/>
  <c r="G1506" i="1"/>
  <c r="F1506" i="1"/>
  <c r="J1505" i="1"/>
  <c r="I1505" i="1"/>
  <c r="H1505" i="1"/>
  <c r="G1505" i="1"/>
  <c r="F1505" i="1"/>
  <c r="I1504" i="1"/>
  <c r="J1504" i="1" s="1"/>
  <c r="H1504" i="1"/>
  <c r="G1504" i="1"/>
  <c r="F1504" i="1"/>
  <c r="J1503" i="1"/>
  <c r="I1503" i="1"/>
  <c r="H1503" i="1"/>
  <c r="G1503" i="1"/>
  <c r="F1503" i="1"/>
  <c r="I1502" i="1"/>
  <c r="J1502" i="1" s="1"/>
  <c r="H1502" i="1"/>
  <c r="G1502" i="1"/>
  <c r="F1502" i="1"/>
  <c r="J1501" i="1"/>
  <c r="I1501" i="1"/>
  <c r="H1501" i="1"/>
  <c r="G1501" i="1"/>
  <c r="F1501" i="1"/>
  <c r="I1500" i="1"/>
  <c r="J1500" i="1" s="1"/>
  <c r="H1500" i="1"/>
  <c r="G1500" i="1"/>
  <c r="F1500" i="1"/>
  <c r="J1499" i="1"/>
  <c r="I1499" i="1"/>
  <c r="H1499" i="1"/>
  <c r="G1499" i="1"/>
  <c r="F1499" i="1"/>
  <c r="J1498" i="1"/>
  <c r="I1498" i="1"/>
  <c r="H1498" i="1"/>
  <c r="G1498" i="1"/>
  <c r="F1498" i="1"/>
  <c r="J1497" i="1"/>
  <c r="I1497" i="1"/>
  <c r="H1497" i="1"/>
  <c r="G1497" i="1"/>
  <c r="F1497" i="1"/>
  <c r="I1496" i="1"/>
  <c r="J1496" i="1" s="1"/>
  <c r="H1496" i="1"/>
  <c r="G1496" i="1"/>
  <c r="F1496" i="1"/>
  <c r="I1495" i="1"/>
  <c r="J1495" i="1" s="1"/>
  <c r="H1495" i="1"/>
  <c r="G1495" i="1"/>
  <c r="F1495" i="1"/>
  <c r="J1494" i="1"/>
  <c r="I1494" i="1"/>
  <c r="H1494" i="1"/>
  <c r="G1494" i="1"/>
  <c r="F1494" i="1"/>
  <c r="J1493" i="1"/>
  <c r="I1493" i="1"/>
  <c r="H1493" i="1"/>
  <c r="G1493" i="1"/>
  <c r="F1493" i="1"/>
  <c r="I1492" i="1"/>
  <c r="J1492" i="1" s="1"/>
  <c r="H1492" i="1"/>
  <c r="G1492" i="1"/>
  <c r="F1492" i="1"/>
  <c r="J1491" i="1"/>
  <c r="I1491" i="1"/>
  <c r="H1491" i="1"/>
  <c r="G1491" i="1"/>
  <c r="F1491" i="1"/>
  <c r="I1490" i="1"/>
  <c r="J1490" i="1" s="1"/>
  <c r="H1490" i="1"/>
  <c r="G1490" i="1"/>
  <c r="F1490" i="1"/>
  <c r="J1489" i="1"/>
  <c r="I1489" i="1"/>
  <c r="H1489" i="1"/>
  <c r="G1489" i="1"/>
  <c r="F1489" i="1"/>
  <c r="I1488" i="1"/>
  <c r="J1488" i="1" s="1"/>
  <c r="H1488" i="1"/>
  <c r="G1488" i="1"/>
  <c r="F1488" i="1"/>
  <c r="J1487" i="1"/>
  <c r="I1487" i="1"/>
  <c r="H1487" i="1"/>
  <c r="G1487" i="1"/>
  <c r="F1487" i="1"/>
  <c r="I1486" i="1"/>
  <c r="J1486" i="1" s="1"/>
  <c r="H1486" i="1"/>
  <c r="G1486" i="1"/>
  <c r="F1486" i="1"/>
  <c r="J1485" i="1"/>
  <c r="I1485" i="1"/>
  <c r="H1485" i="1"/>
  <c r="G1485" i="1"/>
  <c r="F1485" i="1"/>
  <c r="J1484" i="1"/>
  <c r="I1484" i="1"/>
  <c r="H1484" i="1"/>
  <c r="G1484" i="1"/>
  <c r="F1484" i="1"/>
  <c r="J1483" i="1"/>
  <c r="I1483" i="1"/>
  <c r="H1483" i="1"/>
  <c r="G1483" i="1"/>
  <c r="F1483" i="1"/>
  <c r="I1482" i="1"/>
  <c r="J1482" i="1" s="1"/>
  <c r="H1482" i="1"/>
  <c r="G1482" i="1"/>
  <c r="F1482" i="1"/>
  <c r="I1481" i="1"/>
  <c r="J1481" i="1" s="1"/>
  <c r="H1481" i="1"/>
  <c r="G1481" i="1"/>
  <c r="F1481" i="1"/>
  <c r="J1480" i="1"/>
  <c r="I1480" i="1"/>
  <c r="H1480" i="1"/>
  <c r="G1480" i="1"/>
  <c r="F1480" i="1"/>
  <c r="J1479" i="1"/>
  <c r="I1479" i="1"/>
  <c r="H1479" i="1"/>
  <c r="G1479" i="1"/>
  <c r="F1479" i="1"/>
  <c r="I1478" i="1"/>
  <c r="J1478" i="1" s="1"/>
  <c r="H1478" i="1"/>
  <c r="G1478" i="1"/>
  <c r="F1478" i="1"/>
  <c r="J1477" i="1"/>
  <c r="I1477" i="1"/>
  <c r="H1477" i="1"/>
  <c r="G1477" i="1"/>
  <c r="F1477" i="1"/>
  <c r="I1476" i="1"/>
  <c r="J1476" i="1" s="1"/>
  <c r="H1476" i="1"/>
  <c r="G1476" i="1"/>
  <c r="F1476" i="1"/>
  <c r="J1475" i="1"/>
  <c r="I1475" i="1"/>
  <c r="H1475" i="1"/>
  <c r="G1475" i="1"/>
  <c r="F1475" i="1"/>
  <c r="I1474" i="1"/>
  <c r="J1474" i="1" s="1"/>
  <c r="H1474" i="1"/>
  <c r="G1474" i="1"/>
  <c r="F1474" i="1"/>
  <c r="J1473" i="1"/>
  <c r="I1473" i="1"/>
  <c r="H1473" i="1"/>
  <c r="G1473" i="1"/>
  <c r="F1473" i="1"/>
  <c r="I1472" i="1"/>
  <c r="J1472" i="1" s="1"/>
  <c r="H1472" i="1"/>
  <c r="G1472" i="1"/>
  <c r="F1472" i="1"/>
  <c r="J1471" i="1"/>
  <c r="I1471" i="1"/>
  <c r="H1471" i="1"/>
  <c r="G1471" i="1"/>
  <c r="F1471" i="1"/>
  <c r="J1470" i="1"/>
  <c r="I1470" i="1"/>
  <c r="H1470" i="1"/>
  <c r="G1470" i="1"/>
  <c r="F1470" i="1"/>
  <c r="J1469" i="1"/>
  <c r="I1469" i="1"/>
  <c r="H1469" i="1"/>
  <c r="G1469" i="1"/>
  <c r="F1469" i="1"/>
  <c r="I1468" i="1"/>
  <c r="J1468" i="1" s="1"/>
  <c r="H1468" i="1"/>
  <c r="G1468" i="1"/>
  <c r="F1468" i="1"/>
  <c r="I1467" i="1"/>
  <c r="J1467" i="1" s="1"/>
  <c r="H1467" i="1"/>
  <c r="G1467" i="1"/>
  <c r="F1467" i="1"/>
  <c r="J1466" i="1"/>
  <c r="I1466" i="1"/>
  <c r="H1466" i="1"/>
  <c r="G1466" i="1"/>
  <c r="F1466" i="1"/>
  <c r="J1465" i="1"/>
  <c r="I1465" i="1"/>
  <c r="H1465" i="1"/>
  <c r="G1465" i="1"/>
  <c r="F1465" i="1"/>
  <c r="I1464" i="1"/>
  <c r="J1464" i="1" s="1"/>
  <c r="H1464" i="1"/>
  <c r="G1464" i="1"/>
  <c r="F1464" i="1"/>
  <c r="J1463" i="1"/>
  <c r="I1463" i="1"/>
  <c r="H1463" i="1"/>
  <c r="G1463" i="1"/>
  <c r="F1463" i="1"/>
  <c r="I1462" i="1"/>
  <c r="J1462" i="1" s="1"/>
  <c r="H1462" i="1"/>
  <c r="G1462" i="1"/>
  <c r="F1462" i="1"/>
  <c r="J1461" i="1"/>
  <c r="I1461" i="1"/>
  <c r="H1461" i="1"/>
  <c r="G1461" i="1"/>
  <c r="F1461" i="1"/>
  <c r="I1460" i="1"/>
  <c r="J1460" i="1" s="1"/>
  <c r="H1460" i="1"/>
  <c r="G1460" i="1"/>
  <c r="F1460" i="1"/>
  <c r="J1459" i="1"/>
  <c r="I1459" i="1"/>
  <c r="H1459" i="1"/>
  <c r="G1459" i="1"/>
  <c r="F1459" i="1"/>
  <c r="I1458" i="1"/>
  <c r="J1458" i="1" s="1"/>
  <c r="H1458" i="1"/>
  <c r="G1458" i="1"/>
  <c r="F1458" i="1"/>
  <c r="J1457" i="1"/>
  <c r="I1457" i="1"/>
  <c r="H1457" i="1"/>
  <c r="G1457" i="1"/>
  <c r="F1457" i="1"/>
  <c r="J1456" i="1"/>
  <c r="I1456" i="1"/>
  <c r="H1456" i="1"/>
  <c r="G1456" i="1"/>
  <c r="F1456" i="1"/>
  <c r="J1455" i="1"/>
  <c r="I1455" i="1"/>
  <c r="H1455" i="1"/>
  <c r="G1455" i="1"/>
  <c r="F1455" i="1"/>
  <c r="I1454" i="1"/>
  <c r="J1454" i="1" s="1"/>
  <c r="H1454" i="1"/>
  <c r="G1454" i="1"/>
  <c r="F1454" i="1"/>
  <c r="I1453" i="1"/>
  <c r="J1453" i="1" s="1"/>
  <c r="H1453" i="1"/>
  <c r="G1453" i="1"/>
  <c r="F1453" i="1"/>
  <c r="J1452" i="1"/>
  <c r="I1452" i="1"/>
  <c r="H1452" i="1"/>
  <c r="G1452" i="1"/>
  <c r="F1452" i="1"/>
  <c r="J1451" i="1"/>
  <c r="I1451" i="1"/>
  <c r="H1451" i="1"/>
  <c r="G1451" i="1"/>
  <c r="F1451" i="1"/>
  <c r="J1450" i="1"/>
  <c r="I1450" i="1"/>
  <c r="H1450" i="1"/>
  <c r="G1450" i="1"/>
  <c r="F1450" i="1"/>
  <c r="J1449" i="1"/>
  <c r="I1449" i="1"/>
  <c r="H1449" i="1"/>
  <c r="G1449" i="1"/>
  <c r="F1449" i="1"/>
  <c r="I1448" i="1"/>
  <c r="J1448" i="1" s="1"/>
  <c r="H1448" i="1"/>
  <c r="G1448" i="1"/>
  <c r="F1448" i="1"/>
  <c r="J1447" i="1"/>
  <c r="I1447" i="1"/>
  <c r="H1447" i="1"/>
  <c r="G1447" i="1"/>
  <c r="F1447" i="1"/>
  <c r="I1446" i="1"/>
  <c r="J1446" i="1" s="1"/>
  <c r="H1446" i="1"/>
  <c r="G1446" i="1"/>
  <c r="F1446" i="1"/>
  <c r="J1445" i="1"/>
  <c r="I1445" i="1"/>
  <c r="H1445" i="1"/>
  <c r="G1445" i="1"/>
  <c r="F1445" i="1"/>
  <c r="I1444" i="1"/>
  <c r="J1444" i="1" s="1"/>
  <c r="H1444" i="1"/>
  <c r="G1444" i="1"/>
  <c r="F1444" i="1"/>
  <c r="J1443" i="1"/>
  <c r="I1443" i="1"/>
  <c r="H1443" i="1"/>
  <c r="G1443" i="1"/>
  <c r="F1443" i="1"/>
  <c r="J1442" i="1"/>
  <c r="I1442" i="1"/>
  <c r="H1442" i="1"/>
  <c r="G1442" i="1"/>
  <c r="F1442" i="1"/>
  <c r="J1441" i="1"/>
  <c r="I1441" i="1"/>
  <c r="H1441" i="1"/>
  <c r="G1441" i="1"/>
  <c r="F1441" i="1"/>
  <c r="I1440" i="1"/>
  <c r="J1440" i="1" s="1"/>
  <c r="H1440" i="1"/>
  <c r="G1440" i="1"/>
  <c r="F1440" i="1"/>
  <c r="I1439" i="1"/>
  <c r="J1439" i="1" s="1"/>
  <c r="H1439" i="1"/>
  <c r="G1439" i="1"/>
  <c r="F1439" i="1"/>
  <c r="J1438" i="1"/>
  <c r="I1438" i="1"/>
  <c r="H1438" i="1"/>
  <c r="G1438" i="1"/>
  <c r="F1438" i="1"/>
  <c r="J1437" i="1"/>
  <c r="I1437" i="1"/>
  <c r="H1437" i="1"/>
  <c r="G1437" i="1"/>
  <c r="F1437" i="1"/>
  <c r="J1436" i="1"/>
  <c r="I1436" i="1"/>
  <c r="H1436" i="1"/>
  <c r="G1436" i="1"/>
  <c r="F1436" i="1"/>
  <c r="J1435" i="1"/>
  <c r="I1435" i="1"/>
  <c r="H1435" i="1"/>
  <c r="G1435" i="1"/>
  <c r="F1435" i="1"/>
  <c r="I1434" i="1"/>
  <c r="J1434" i="1" s="1"/>
  <c r="H1434" i="1"/>
  <c r="G1434" i="1"/>
  <c r="F1434" i="1"/>
  <c r="J1433" i="1"/>
  <c r="I1433" i="1"/>
  <c r="H1433" i="1"/>
  <c r="G1433" i="1"/>
  <c r="F1433" i="1"/>
  <c r="I1432" i="1"/>
  <c r="J1432" i="1" s="1"/>
  <c r="H1432" i="1"/>
  <c r="G1432" i="1"/>
  <c r="F1432" i="1"/>
  <c r="J1431" i="1"/>
  <c r="I1431" i="1"/>
  <c r="H1431" i="1"/>
  <c r="G1431" i="1"/>
  <c r="F1431" i="1"/>
  <c r="I1430" i="1"/>
  <c r="J1430" i="1" s="1"/>
  <c r="H1430" i="1"/>
  <c r="G1430" i="1"/>
  <c r="F1430" i="1"/>
  <c r="J1429" i="1"/>
  <c r="I1429" i="1"/>
  <c r="H1429" i="1"/>
  <c r="G1429" i="1"/>
  <c r="F1429" i="1"/>
  <c r="J1428" i="1"/>
  <c r="I1428" i="1"/>
  <c r="H1428" i="1"/>
  <c r="G1428" i="1"/>
  <c r="F1428" i="1"/>
  <c r="J1427" i="1"/>
  <c r="I1427" i="1"/>
  <c r="H1427" i="1"/>
  <c r="G1427" i="1"/>
  <c r="F1427" i="1"/>
  <c r="I1426" i="1"/>
  <c r="J1426" i="1" s="1"/>
  <c r="H1426" i="1"/>
  <c r="G1426" i="1"/>
  <c r="F1426" i="1"/>
  <c r="I1425" i="1"/>
  <c r="J1425" i="1" s="1"/>
  <c r="H1425" i="1"/>
  <c r="G1425" i="1"/>
  <c r="F1425" i="1"/>
  <c r="J1424" i="1"/>
  <c r="I1424" i="1"/>
  <c r="H1424" i="1"/>
  <c r="G1424" i="1"/>
  <c r="F1424" i="1"/>
  <c r="J1423" i="1"/>
  <c r="I1423" i="1"/>
  <c r="H1423" i="1"/>
  <c r="G1423" i="1"/>
  <c r="F1423" i="1"/>
  <c r="I1422" i="1"/>
  <c r="J1422" i="1" s="1"/>
  <c r="H1422" i="1"/>
  <c r="G1422" i="1"/>
  <c r="F1422" i="1"/>
  <c r="J1421" i="1"/>
  <c r="I1421" i="1"/>
  <c r="H1421" i="1"/>
  <c r="G1421" i="1"/>
  <c r="F1421" i="1"/>
  <c r="I1420" i="1"/>
  <c r="J1420" i="1" s="1"/>
  <c r="H1420" i="1"/>
  <c r="G1420" i="1"/>
  <c r="F1420" i="1"/>
  <c r="J1419" i="1"/>
  <c r="I1419" i="1"/>
  <c r="H1419" i="1"/>
  <c r="G1419" i="1"/>
  <c r="F1419" i="1"/>
  <c r="I1418" i="1"/>
  <c r="J1418" i="1" s="1"/>
  <c r="H1418" i="1"/>
  <c r="G1418" i="1"/>
  <c r="F1418" i="1"/>
  <c r="J1417" i="1"/>
  <c r="I1417" i="1"/>
  <c r="H1417" i="1"/>
  <c r="G1417" i="1"/>
  <c r="F1417" i="1"/>
  <c r="I1416" i="1"/>
  <c r="J1416" i="1" s="1"/>
  <c r="H1416" i="1"/>
  <c r="G1416" i="1"/>
  <c r="F1416" i="1"/>
  <c r="J1415" i="1"/>
  <c r="I1415" i="1"/>
  <c r="H1415" i="1"/>
  <c r="G1415" i="1"/>
  <c r="F1415" i="1"/>
  <c r="J1414" i="1"/>
  <c r="I1414" i="1"/>
  <c r="H1414" i="1"/>
  <c r="G1414" i="1"/>
  <c r="F1414" i="1"/>
  <c r="J1413" i="1"/>
  <c r="I1413" i="1"/>
  <c r="H1413" i="1"/>
  <c r="G1413" i="1"/>
  <c r="F1413" i="1"/>
  <c r="I1412" i="1"/>
  <c r="J1412" i="1" s="1"/>
  <c r="H1412" i="1"/>
  <c r="G1412" i="1"/>
  <c r="F1412" i="1"/>
  <c r="I1411" i="1"/>
  <c r="J1411" i="1" s="1"/>
  <c r="H1411" i="1"/>
  <c r="G1411" i="1"/>
  <c r="F1411" i="1"/>
  <c r="J1410" i="1"/>
  <c r="I1410" i="1"/>
  <c r="H1410" i="1"/>
  <c r="G1410" i="1"/>
  <c r="F1410" i="1"/>
  <c r="J1409" i="1"/>
  <c r="I1409" i="1"/>
  <c r="H1409" i="1"/>
  <c r="G1409" i="1"/>
  <c r="F1409" i="1"/>
  <c r="I1408" i="1"/>
  <c r="J1408" i="1" s="1"/>
  <c r="H1408" i="1"/>
  <c r="G1408" i="1"/>
  <c r="F1408" i="1"/>
  <c r="J1407" i="1"/>
  <c r="I1407" i="1"/>
  <c r="H1407" i="1"/>
  <c r="G1407" i="1"/>
  <c r="F1407" i="1"/>
  <c r="I1406" i="1"/>
  <c r="J1406" i="1" s="1"/>
  <c r="H1406" i="1"/>
  <c r="G1406" i="1"/>
  <c r="F1406" i="1"/>
  <c r="J1405" i="1"/>
  <c r="I1405" i="1"/>
  <c r="H1405" i="1"/>
  <c r="G1405" i="1"/>
  <c r="F1405" i="1"/>
  <c r="I1404" i="1"/>
  <c r="J1404" i="1" s="1"/>
  <c r="H1404" i="1"/>
  <c r="G1404" i="1"/>
  <c r="F1404" i="1"/>
  <c r="J1403" i="1"/>
  <c r="I1403" i="1"/>
  <c r="H1403" i="1"/>
  <c r="G1403" i="1"/>
  <c r="F1403" i="1"/>
  <c r="I1402" i="1"/>
  <c r="J1402" i="1" s="1"/>
  <c r="H1402" i="1"/>
  <c r="G1402" i="1"/>
  <c r="F1402" i="1"/>
  <c r="J1401" i="1"/>
  <c r="I1401" i="1"/>
  <c r="H1401" i="1"/>
  <c r="G1401" i="1"/>
  <c r="F1401" i="1"/>
  <c r="J1400" i="1"/>
  <c r="I1400" i="1"/>
  <c r="H1400" i="1"/>
  <c r="G1400" i="1"/>
  <c r="F1400" i="1"/>
  <c r="J1399" i="1"/>
  <c r="I1399" i="1"/>
  <c r="H1399" i="1"/>
  <c r="G1399" i="1"/>
  <c r="F1399" i="1"/>
  <c r="I1398" i="1"/>
  <c r="J1398" i="1" s="1"/>
  <c r="H1398" i="1"/>
  <c r="G1398" i="1"/>
  <c r="F1398" i="1"/>
  <c r="I1397" i="1"/>
  <c r="J1397" i="1" s="1"/>
  <c r="H1397" i="1"/>
  <c r="G1397" i="1"/>
  <c r="F1397" i="1"/>
  <c r="J1396" i="1"/>
  <c r="I1396" i="1"/>
  <c r="H1396" i="1"/>
  <c r="G1396" i="1"/>
  <c r="F1396" i="1"/>
  <c r="J1395" i="1"/>
  <c r="I1395" i="1"/>
  <c r="H1395" i="1"/>
  <c r="G1395" i="1"/>
  <c r="F1395" i="1"/>
  <c r="J1394" i="1"/>
  <c r="I1394" i="1"/>
  <c r="H1394" i="1"/>
  <c r="G1394" i="1"/>
  <c r="F1394" i="1"/>
  <c r="J1393" i="1"/>
  <c r="I1393" i="1"/>
  <c r="H1393" i="1"/>
  <c r="G1393" i="1"/>
  <c r="F1393" i="1"/>
  <c r="I1392" i="1"/>
  <c r="J1392" i="1" s="1"/>
  <c r="H1392" i="1"/>
  <c r="G1392" i="1"/>
  <c r="F1392" i="1"/>
  <c r="J1391" i="1"/>
  <c r="I1391" i="1"/>
  <c r="H1391" i="1"/>
  <c r="G1391" i="1"/>
  <c r="F1391" i="1"/>
  <c r="I1390" i="1"/>
  <c r="J1390" i="1" s="1"/>
  <c r="H1390" i="1"/>
  <c r="G1390" i="1"/>
  <c r="F1390" i="1"/>
  <c r="J1389" i="1"/>
  <c r="I1389" i="1"/>
  <c r="H1389" i="1"/>
  <c r="G1389" i="1"/>
  <c r="F1389" i="1"/>
  <c r="I1388" i="1"/>
  <c r="J1388" i="1" s="1"/>
  <c r="H1388" i="1"/>
  <c r="G1388" i="1"/>
  <c r="F1388" i="1"/>
  <c r="J1387" i="1"/>
  <c r="I1387" i="1"/>
  <c r="H1387" i="1"/>
  <c r="G1387" i="1"/>
  <c r="F1387" i="1"/>
  <c r="J1386" i="1"/>
  <c r="I1386" i="1"/>
  <c r="H1386" i="1"/>
  <c r="G1386" i="1"/>
  <c r="F1386" i="1"/>
  <c r="J1385" i="1"/>
  <c r="I1385" i="1"/>
  <c r="H1385" i="1"/>
  <c r="G1385" i="1"/>
  <c r="F1385" i="1"/>
  <c r="I1384" i="1"/>
  <c r="J1384" i="1" s="1"/>
  <c r="H1384" i="1"/>
  <c r="G1384" i="1"/>
  <c r="F1384" i="1"/>
  <c r="I1383" i="1"/>
  <c r="J1383" i="1" s="1"/>
  <c r="H1383" i="1"/>
  <c r="G1383" i="1"/>
  <c r="F1383" i="1"/>
  <c r="J1382" i="1"/>
  <c r="I1382" i="1"/>
  <c r="H1382" i="1"/>
  <c r="G1382" i="1"/>
  <c r="F1382" i="1"/>
  <c r="J1381" i="1"/>
  <c r="I1381" i="1"/>
  <c r="H1381" i="1"/>
  <c r="G1381" i="1"/>
  <c r="F1381" i="1"/>
  <c r="J1380" i="1"/>
  <c r="I1380" i="1"/>
  <c r="H1380" i="1"/>
  <c r="G1380" i="1"/>
  <c r="F1380" i="1"/>
  <c r="J1379" i="1"/>
  <c r="I1379" i="1"/>
  <c r="H1379" i="1"/>
  <c r="G1379" i="1"/>
  <c r="F1379" i="1"/>
  <c r="I1378" i="1"/>
  <c r="J1378" i="1" s="1"/>
  <c r="H1378" i="1"/>
  <c r="G1378" i="1"/>
  <c r="F1378" i="1"/>
  <c r="J1377" i="1"/>
  <c r="I1377" i="1"/>
  <c r="H1377" i="1"/>
  <c r="G1377" i="1"/>
  <c r="F1377" i="1"/>
  <c r="I1376" i="1"/>
  <c r="J1376" i="1" s="1"/>
  <c r="H1376" i="1"/>
  <c r="G1376" i="1"/>
  <c r="F1376" i="1"/>
  <c r="J1375" i="1"/>
  <c r="I1375" i="1"/>
  <c r="H1375" i="1"/>
  <c r="G1375" i="1"/>
  <c r="F1375" i="1"/>
  <c r="I1374" i="1"/>
  <c r="J1374" i="1" s="1"/>
  <c r="H1374" i="1"/>
  <c r="G1374" i="1"/>
  <c r="F1374" i="1"/>
  <c r="J1373" i="1"/>
  <c r="I1373" i="1"/>
  <c r="H1373" i="1"/>
  <c r="G1373" i="1"/>
  <c r="F1373" i="1"/>
  <c r="J1372" i="1"/>
  <c r="I1372" i="1"/>
  <c r="H1372" i="1"/>
  <c r="G1372" i="1"/>
  <c r="F1372" i="1"/>
  <c r="J1371" i="1"/>
  <c r="I1371" i="1"/>
  <c r="H1371" i="1"/>
  <c r="G1371" i="1"/>
  <c r="F1371" i="1"/>
  <c r="I1370" i="1"/>
  <c r="J1370" i="1" s="1"/>
  <c r="H1370" i="1"/>
  <c r="G1370" i="1"/>
  <c r="F1370" i="1"/>
  <c r="I1369" i="1"/>
  <c r="J1369" i="1" s="1"/>
  <c r="H1369" i="1"/>
  <c r="G1369" i="1"/>
  <c r="F1369" i="1"/>
  <c r="J1368" i="1"/>
  <c r="I1368" i="1"/>
  <c r="H1368" i="1"/>
  <c r="G1368" i="1"/>
  <c r="F1368" i="1"/>
  <c r="J1367" i="1"/>
  <c r="I1367" i="1"/>
  <c r="H1367" i="1"/>
  <c r="G1367" i="1"/>
  <c r="F1367" i="1"/>
  <c r="J1366" i="1"/>
  <c r="I1366" i="1"/>
  <c r="H1366" i="1"/>
  <c r="G1366" i="1"/>
  <c r="F1366" i="1"/>
  <c r="J1365" i="1"/>
  <c r="I1365" i="1"/>
  <c r="H1365" i="1"/>
  <c r="G1365" i="1"/>
  <c r="F1365" i="1"/>
  <c r="I1364" i="1"/>
  <c r="J1364" i="1" s="1"/>
  <c r="H1364" i="1"/>
  <c r="G1364" i="1"/>
  <c r="F1364" i="1"/>
  <c r="J1363" i="1"/>
  <c r="I1363" i="1"/>
  <c r="H1363" i="1"/>
  <c r="G1363" i="1"/>
  <c r="F1363" i="1"/>
  <c r="I1362" i="1"/>
  <c r="J1362" i="1" s="1"/>
  <c r="H1362" i="1"/>
  <c r="G1362" i="1"/>
  <c r="F1362" i="1"/>
  <c r="J1361" i="1"/>
  <c r="I1361" i="1"/>
  <c r="H1361" i="1"/>
  <c r="G1361" i="1"/>
  <c r="F1361" i="1"/>
  <c r="I1360" i="1"/>
  <c r="J1360" i="1" s="1"/>
  <c r="H1360" i="1"/>
  <c r="G1360" i="1"/>
  <c r="F1360" i="1"/>
  <c r="J1359" i="1"/>
  <c r="I1359" i="1"/>
  <c r="H1359" i="1"/>
  <c r="G1359" i="1"/>
  <c r="F1359" i="1"/>
  <c r="J1358" i="1"/>
  <c r="I1358" i="1"/>
  <c r="H1358" i="1"/>
  <c r="G1358" i="1"/>
  <c r="F1358" i="1"/>
  <c r="J1357" i="1"/>
  <c r="I1357" i="1"/>
  <c r="H1357" i="1"/>
  <c r="G1357" i="1"/>
  <c r="F1357" i="1"/>
  <c r="I1356" i="1"/>
  <c r="J1356" i="1" s="1"/>
  <c r="H1356" i="1"/>
  <c r="G1356" i="1"/>
  <c r="F1356" i="1"/>
  <c r="I1355" i="1"/>
  <c r="J1355" i="1" s="1"/>
  <c r="H1355" i="1"/>
  <c r="G1355" i="1"/>
  <c r="F1355" i="1"/>
  <c r="I1354" i="1"/>
  <c r="J1354" i="1" s="1"/>
  <c r="H1354" i="1"/>
  <c r="G1354" i="1"/>
  <c r="F1354" i="1"/>
  <c r="J1353" i="1"/>
  <c r="I1353" i="1"/>
  <c r="H1353" i="1"/>
  <c r="G1353" i="1"/>
  <c r="F1353" i="1"/>
  <c r="J1352" i="1"/>
  <c r="I1352" i="1"/>
  <c r="H1352" i="1"/>
  <c r="G1352" i="1"/>
  <c r="F1352" i="1"/>
  <c r="J1351" i="1"/>
  <c r="I1351" i="1"/>
  <c r="H1351" i="1"/>
  <c r="G1351" i="1"/>
  <c r="F1351" i="1"/>
  <c r="I1350" i="1"/>
  <c r="J1350" i="1" s="1"/>
  <c r="H1350" i="1"/>
  <c r="G1350" i="1"/>
  <c r="F1350" i="1"/>
  <c r="J1349" i="1"/>
  <c r="I1349" i="1"/>
  <c r="H1349" i="1"/>
  <c r="G1349" i="1"/>
  <c r="F1349" i="1"/>
  <c r="I1348" i="1"/>
  <c r="J1348" i="1" s="1"/>
  <c r="H1348" i="1"/>
  <c r="G1348" i="1"/>
  <c r="F1348" i="1"/>
  <c r="J1347" i="1"/>
  <c r="I1347" i="1"/>
  <c r="H1347" i="1"/>
  <c r="G1347" i="1"/>
  <c r="F1347" i="1"/>
  <c r="I1346" i="1"/>
  <c r="J1346" i="1" s="1"/>
  <c r="H1346" i="1"/>
  <c r="G1346" i="1"/>
  <c r="F1346" i="1"/>
  <c r="J1345" i="1"/>
  <c r="I1345" i="1"/>
  <c r="H1345" i="1"/>
  <c r="G1345" i="1"/>
  <c r="F1345" i="1"/>
  <c r="J1344" i="1"/>
  <c r="I1344" i="1"/>
  <c r="H1344" i="1"/>
  <c r="G1344" i="1"/>
  <c r="F1344" i="1"/>
  <c r="J1343" i="1"/>
  <c r="I1343" i="1"/>
  <c r="H1343" i="1"/>
  <c r="G1343" i="1"/>
  <c r="F1343" i="1"/>
  <c r="I1342" i="1"/>
  <c r="J1342" i="1" s="1"/>
  <c r="H1342" i="1"/>
  <c r="G1342" i="1"/>
  <c r="F1342" i="1"/>
  <c r="I1341" i="1"/>
  <c r="J1341" i="1" s="1"/>
  <c r="H1341" i="1"/>
  <c r="G1341" i="1"/>
  <c r="F1341" i="1"/>
  <c r="I1340" i="1"/>
  <c r="J1340" i="1" s="1"/>
  <c r="H1340" i="1"/>
  <c r="G1340" i="1"/>
  <c r="F1340" i="1"/>
  <c r="J1339" i="1"/>
  <c r="I1339" i="1"/>
  <c r="H1339" i="1"/>
  <c r="G1339" i="1"/>
  <c r="F1339" i="1"/>
  <c r="J1338" i="1"/>
  <c r="I1338" i="1"/>
  <c r="H1338" i="1"/>
  <c r="G1338" i="1"/>
  <c r="F1338" i="1"/>
  <c r="J1337" i="1"/>
  <c r="I1337" i="1"/>
  <c r="H1337" i="1"/>
  <c r="G1337" i="1"/>
  <c r="F1337" i="1"/>
  <c r="I1336" i="1"/>
  <c r="J1336" i="1" s="1"/>
  <c r="H1336" i="1"/>
  <c r="G1336" i="1"/>
  <c r="F1336" i="1"/>
  <c r="J1335" i="1"/>
  <c r="I1335" i="1"/>
  <c r="H1335" i="1"/>
  <c r="G1335" i="1"/>
  <c r="F1335" i="1"/>
  <c r="I1334" i="1"/>
  <c r="J1334" i="1" s="1"/>
  <c r="H1334" i="1"/>
  <c r="G1334" i="1"/>
  <c r="F1334" i="1"/>
  <c r="J1333" i="1"/>
  <c r="I1333" i="1"/>
  <c r="H1333" i="1"/>
  <c r="G1333" i="1"/>
  <c r="F1333" i="1"/>
  <c r="I1332" i="1"/>
  <c r="J1332" i="1" s="1"/>
  <c r="H1332" i="1"/>
  <c r="G1332" i="1"/>
  <c r="F1332" i="1"/>
  <c r="J1331" i="1"/>
  <c r="I1331" i="1"/>
  <c r="H1331" i="1"/>
  <c r="G1331" i="1"/>
  <c r="F1331" i="1"/>
  <c r="J1330" i="1"/>
  <c r="I1330" i="1"/>
  <c r="H1330" i="1"/>
  <c r="G1330" i="1"/>
  <c r="F1330" i="1"/>
  <c r="J1329" i="1"/>
  <c r="I1329" i="1"/>
  <c r="H1329" i="1"/>
  <c r="G1329" i="1"/>
  <c r="F1329" i="1"/>
  <c r="I1328" i="1"/>
  <c r="J1328" i="1" s="1"/>
  <c r="H1328" i="1"/>
  <c r="G1328" i="1"/>
  <c r="F1328" i="1"/>
  <c r="I1327" i="1"/>
  <c r="J1327" i="1" s="1"/>
  <c r="H1327" i="1"/>
  <c r="G1327" i="1"/>
  <c r="F1327" i="1"/>
  <c r="I1326" i="1"/>
  <c r="J1326" i="1" s="1"/>
  <c r="H1326" i="1"/>
  <c r="G1326" i="1"/>
  <c r="F1326" i="1"/>
  <c r="J1325" i="1"/>
  <c r="I1325" i="1"/>
  <c r="H1325" i="1"/>
  <c r="G1325" i="1"/>
  <c r="F1325" i="1"/>
  <c r="J1324" i="1"/>
  <c r="I1324" i="1"/>
  <c r="H1324" i="1"/>
  <c r="G1324" i="1"/>
  <c r="F1324" i="1"/>
  <c r="J1323" i="1"/>
  <c r="I1323" i="1"/>
  <c r="H1323" i="1"/>
  <c r="G1323" i="1"/>
  <c r="F1323" i="1"/>
  <c r="I1322" i="1"/>
  <c r="J1322" i="1" s="1"/>
  <c r="H1322" i="1"/>
  <c r="G1322" i="1"/>
  <c r="F1322" i="1"/>
  <c r="J1321" i="1"/>
  <c r="I1321" i="1"/>
  <c r="H1321" i="1"/>
  <c r="G1321" i="1"/>
  <c r="F1321" i="1"/>
  <c r="I1320" i="1"/>
  <c r="J1320" i="1" s="1"/>
  <c r="H1320" i="1"/>
  <c r="G1320" i="1"/>
  <c r="F1320" i="1"/>
  <c r="J1319" i="1"/>
  <c r="I1319" i="1"/>
  <c r="H1319" i="1"/>
  <c r="G1319" i="1"/>
  <c r="F1319" i="1"/>
  <c r="I1318" i="1"/>
  <c r="J1318" i="1" s="1"/>
  <c r="H1318" i="1"/>
  <c r="G1318" i="1"/>
  <c r="F1318" i="1"/>
  <c r="J1317" i="1"/>
  <c r="I1317" i="1"/>
  <c r="H1317" i="1"/>
  <c r="G1317" i="1"/>
  <c r="F1317" i="1"/>
  <c r="J1316" i="1"/>
  <c r="I1316" i="1"/>
  <c r="H1316" i="1"/>
  <c r="G1316" i="1"/>
  <c r="F1316" i="1"/>
  <c r="J1315" i="1"/>
  <c r="I1315" i="1"/>
  <c r="H1315" i="1"/>
  <c r="G1315" i="1"/>
  <c r="F1315" i="1"/>
  <c r="I1314" i="1"/>
  <c r="J1314" i="1" s="1"/>
  <c r="H1314" i="1"/>
  <c r="G1314" i="1"/>
  <c r="F1314" i="1"/>
  <c r="I1313" i="1"/>
  <c r="J1313" i="1" s="1"/>
  <c r="H1313" i="1"/>
  <c r="G1313" i="1"/>
  <c r="F1313" i="1"/>
  <c r="I1312" i="1"/>
  <c r="J1312" i="1" s="1"/>
  <c r="H1312" i="1"/>
  <c r="G1312" i="1"/>
  <c r="F1312" i="1"/>
  <c r="J1311" i="1"/>
  <c r="I1311" i="1"/>
  <c r="H1311" i="1"/>
  <c r="G1311" i="1"/>
  <c r="F1311" i="1"/>
  <c r="I1310" i="1"/>
  <c r="J1310" i="1" s="1"/>
  <c r="H1310" i="1"/>
  <c r="G1310" i="1"/>
  <c r="F1310" i="1"/>
  <c r="J1309" i="1"/>
  <c r="I1309" i="1"/>
  <c r="H1309" i="1"/>
  <c r="G1309" i="1"/>
  <c r="F1309" i="1"/>
  <c r="I1308" i="1"/>
  <c r="J1308" i="1" s="1"/>
  <c r="H1308" i="1"/>
  <c r="G1308" i="1"/>
  <c r="F1308" i="1"/>
  <c r="J1307" i="1"/>
  <c r="I1307" i="1"/>
  <c r="H1307" i="1"/>
  <c r="G1307" i="1"/>
  <c r="F1307" i="1"/>
  <c r="I1306" i="1"/>
  <c r="J1306" i="1" s="1"/>
  <c r="H1306" i="1"/>
  <c r="G1306" i="1"/>
  <c r="F1306" i="1"/>
  <c r="J1305" i="1"/>
  <c r="I1305" i="1"/>
  <c r="H1305" i="1"/>
  <c r="G1305" i="1"/>
  <c r="F1305" i="1"/>
  <c r="I1304" i="1"/>
  <c r="J1304" i="1" s="1"/>
  <c r="H1304" i="1"/>
  <c r="G1304" i="1"/>
  <c r="F1304" i="1"/>
  <c r="J1303" i="1"/>
  <c r="I1303" i="1"/>
  <c r="H1303" i="1"/>
  <c r="G1303" i="1"/>
  <c r="F1303" i="1"/>
  <c r="J1302" i="1"/>
  <c r="I1302" i="1"/>
  <c r="H1302" i="1"/>
  <c r="G1302" i="1"/>
  <c r="F1302" i="1"/>
  <c r="J1301" i="1"/>
  <c r="I1301" i="1"/>
  <c r="H1301" i="1"/>
  <c r="G1301" i="1"/>
  <c r="F1301" i="1"/>
  <c r="I1300" i="1"/>
  <c r="J1300" i="1" s="1"/>
  <c r="H1300" i="1"/>
  <c r="G1300" i="1"/>
  <c r="F1300" i="1"/>
  <c r="I1299" i="1"/>
  <c r="J1299" i="1" s="1"/>
  <c r="H1299" i="1"/>
  <c r="G1299" i="1"/>
  <c r="F1299" i="1"/>
  <c r="I1298" i="1"/>
  <c r="J1298" i="1" s="1"/>
  <c r="H1298" i="1"/>
  <c r="G1298" i="1"/>
  <c r="F1298" i="1"/>
  <c r="J1297" i="1"/>
  <c r="I1297" i="1"/>
  <c r="H1297" i="1"/>
  <c r="G1297" i="1"/>
  <c r="F1297" i="1"/>
  <c r="I1296" i="1"/>
  <c r="J1296" i="1" s="1"/>
  <c r="H1296" i="1"/>
  <c r="G1296" i="1"/>
  <c r="F1296" i="1"/>
  <c r="J1295" i="1"/>
  <c r="I1295" i="1"/>
  <c r="H1295" i="1"/>
  <c r="G1295" i="1"/>
  <c r="F1295" i="1"/>
  <c r="I1294" i="1"/>
  <c r="J1294" i="1" s="1"/>
  <c r="H1294" i="1"/>
  <c r="G1294" i="1"/>
  <c r="F1294" i="1"/>
  <c r="J1293" i="1"/>
  <c r="I1293" i="1"/>
  <c r="H1293" i="1"/>
  <c r="G1293" i="1"/>
  <c r="F1293" i="1"/>
  <c r="I1292" i="1"/>
  <c r="J1292" i="1" s="1"/>
  <c r="H1292" i="1"/>
  <c r="G1292" i="1"/>
  <c r="F1292" i="1"/>
  <c r="J1291" i="1"/>
  <c r="I1291" i="1"/>
  <c r="H1291" i="1"/>
  <c r="G1291" i="1"/>
  <c r="F1291" i="1"/>
  <c r="I1290" i="1"/>
  <c r="J1290" i="1" s="1"/>
  <c r="H1290" i="1"/>
  <c r="G1290" i="1"/>
  <c r="F1290" i="1"/>
  <c r="J1289" i="1"/>
  <c r="I1289" i="1"/>
  <c r="H1289" i="1"/>
  <c r="G1289" i="1"/>
  <c r="F1289" i="1"/>
  <c r="J1288" i="1"/>
  <c r="I1288" i="1"/>
  <c r="H1288" i="1"/>
  <c r="G1288" i="1"/>
  <c r="F1288" i="1"/>
  <c r="J1287" i="1"/>
  <c r="I1287" i="1"/>
  <c r="H1287" i="1"/>
  <c r="G1287" i="1"/>
  <c r="F1287" i="1"/>
  <c r="I1286" i="1"/>
  <c r="J1286" i="1" s="1"/>
  <c r="H1286" i="1"/>
  <c r="G1286" i="1"/>
  <c r="F1286" i="1"/>
  <c r="I1285" i="1"/>
  <c r="J1285" i="1" s="1"/>
  <c r="H1285" i="1"/>
  <c r="G1285" i="1"/>
  <c r="F1285" i="1"/>
  <c r="I1284" i="1"/>
  <c r="J1284" i="1" s="1"/>
  <c r="H1284" i="1"/>
  <c r="G1284" i="1"/>
  <c r="F1284" i="1"/>
  <c r="J1283" i="1"/>
  <c r="I1283" i="1"/>
  <c r="H1283" i="1"/>
  <c r="G1283" i="1"/>
  <c r="F1283" i="1"/>
  <c r="I1282" i="1"/>
  <c r="J1282" i="1" s="1"/>
  <c r="H1282" i="1"/>
  <c r="G1282" i="1"/>
  <c r="F1282" i="1"/>
  <c r="J1281" i="1"/>
  <c r="I1281" i="1"/>
  <c r="H1281" i="1"/>
  <c r="G1281" i="1"/>
  <c r="F1281" i="1"/>
  <c r="I1280" i="1"/>
  <c r="J1280" i="1" s="1"/>
  <c r="H1280" i="1"/>
  <c r="G1280" i="1"/>
  <c r="F1280" i="1"/>
  <c r="J1279" i="1"/>
  <c r="I1279" i="1"/>
  <c r="H1279" i="1"/>
  <c r="G1279" i="1"/>
  <c r="F1279" i="1"/>
  <c r="I1278" i="1"/>
  <c r="J1278" i="1" s="1"/>
  <c r="H1278" i="1"/>
  <c r="G1278" i="1"/>
  <c r="F1278" i="1"/>
  <c r="J1277" i="1"/>
  <c r="I1277" i="1"/>
  <c r="H1277" i="1"/>
  <c r="G1277" i="1"/>
  <c r="F1277" i="1"/>
  <c r="I1276" i="1"/>
  <c r="J1276" i="1" s="1"/>
  <c r="H1276" i="1"/>
  <c r="G1276" i="1"/>
  <c r="F1276" i="1"/>
  <c r="J1275" i="1"/>
  <c r="I1275" i="1"/>
  <c r="H1275" i="1"/>
  <c r="G1275" i="1"/>
  <c r="F1275" i="1"/>
  <c r="J1274" i="1"/>
  <c r="I1274" i="1"/>
  <c r="H1274" i="1"/>
  <c r="G1274" i="1"/>
  <c r="F1274" i="1"/>
  <c r="J1273" i="1"/>
  <c r="I1273" i="1"/>
  <c r="H1273" i="1"/>
  <c r="G1273" i="1"/>
  <c r="F1273" i="1"/>
  <c r="I1272" i="1"/>
  <c r="J1272" i="1" s="1"/>
  <c r="H1272" i="1"/>
  <c r="G1272" i="1"/>
  <c r="F1272" i="1"/>
  <c r="I1271" i="1"/>
  <c r="J1271" i="1" s="1"/>
  <c r="H1271" i="1"/>
  <c r="G1271" i="1"/>
  <c r="F1271" i="1"/>
  <c r="I1270" i="1"/>
  <c r="J1270" i="1" s="1"/>
  <c r="H1270" i="1"/>
  <c r="G1270" i="1"/>
  <c r="F1270" i="1"/>
  <c r="J1269" i="1"/>
  <c r="I1269" i="1"/>
  <c r="H1269" i="1"/>
  <c r="G1269" i="1"/>
  <c r="F1269" i="1"/>
  <c r="J1268" i="1"/>
  <c r="I1268" i="1"/>
  <c r="H1268" i="1"/>
  <c r="G1268" i="1"/>
  <c r="F1268" i="1"/>
  <c r="J1267" i="1"/>
  <c r="I1267" i="1"/>
  <c r="H1267" i="1"/>
  <c r="G1267" i="1"/>
  <c r="F1267" i="1"/>
  <c r="I1266" i="1"/>
  <c r="J1266" i="1" s="1"/>
  <c r="H1266" i="1"/>
  <c r="G1266" i="1"/>
  <c r="F1266" i="1"/>
  <c r="J1265" i="1"/>
  <c r="I1265" i="1"/>
  <c r="H1265" i="1"/>
  <c r="G1265" i="1"/>
  <c r="F1265" i="1"/>
  <c r="I1264" i="1"/>
  <c r="J1264" i="1" s="1"/>
  <c r="H1264" i="1"/>
  <c r="G1264" i="1"/>
  <c r="F1264" i="1"/>
  <c r="J1263" i="1"/>
  <c r="I1263" i="1"/>
  <c r="H1263" i="1"/>
  <c r="G1263" i="1"/>
  <c r="F1263" i="1"/>
  <c r="I1262" i="1"/>
  <c r="J1262" i="1" s="1"/>
  <c r="H1262" i="1"/>
  <c r="G1262" i="1"/>
  <c r="F1262" i="1"/>
  <c r="J1261" i="1"/>
  <c r="I1261" i="1"/>
  <c r="H1261" i="1"/>
  <c r="G1261" i="1"/>
  <c r="F1261" i="1"/>
  <c r="J1260" i="1"/>
  <c r="I1260" i="1"/>
  <c r="H1260" i="1"/>
  <c r="G1260" i="1"/>
  <c r="F1260" i="1"/>
  <c r="J1259" i="1"/>
  <c r="I1259" i="1"/>
  <c r="H1259" i="1"/>
  <c r="G1259" i="1"/>
  <c r="F1259" i="1"/>
  <c r="I1258" i="1"/>
  <c r="J1258" i="1" s="1"/>
  <c r="H1258" i="1"/>
  <c r="G1258" i="1"/>
  <c r="F1258" i="1"/>
  <c r="I1257" i="1"/>
  <c r="J1257" i="1" s="1"/>
  <c r="H1257" i="1"/>
  <c r="G1257" i="1"/>
  <c r="F1257" i="1"/>
  <c r="I1256" i="1"/>
  <c r="J1256" i="1" s="1"/>
  <c r="H1256" i="1"/>
  <c r="G1256" i="1"/>
  <c r="F1256" i="1"/>
  <c r="I1255" i="1"/>
  <c r="J1255" i="1" s="1"/>
  <c r="H1255" i="1"/>
  <c r="G1255" i="1"/>
  <c r="F1255" i="1"/>
  <c r="J1254" i="1"/>
  <c r="I1254" i="1"/>
  <c r="H1254" i="1"/>
  <c r="G1254" i="1"/>
  <c r="F1254" i="1"/>
  <c r="J1253" i="1"/>
  <c r="I1253" i="1"/>
  <c r="H1253" i="1"/>
  <c r="G1253" i="1"/>
  <c r="F1253" i="1"/>
  <c r="I1252" i="1"/>
  <c r="J1252" i="1" s="1"/>
  <c r="H1252" i="1"/>
  <c r="G1252" i="1"/>
  <c r="F1252" i="1"/>
  <c r="J1251" i="1"/>
  <c r="I1251" i="1"/>
  <c r="H1251" i="1"/>
  <c r="G1251" i="1"/>
  <c r="F1251" i="1"/>
  <c r="I1250" i="1"/>
  <c r="J1250" i="1" s="1"/>
  <c r="H1250" i="1"/>
  <c r="G1250" i="1"/>
  <c r="F1250" i="1"/>
  <c r="J1249" i="1"/>
  <c r="I1249" i="1"/>
  <c r="H1249" i="1"/>
  <c r="G1249" i="1"/>
  <c r="F1249" i="1"/>
  <c r="I1248" i="1"/>
  <c r="J1248" i="1" s="1"/>
  <c r="H1248" i="1"/>
  <c r="G1248" i="1"/>
  <c r="F1248" i="1"/>
  <c r="J1247" i="1"/>
  <c r="I1247" i="1"/>
  <c r="H1247" i="1"/>
  <c r="G1247" i="1"/>
  <c r="F1247" i="1"/>
  <c r="J1246" i="1"/>
  <c r="I1246" i="1"/>
  <c r="H1246" i="1"/>
  <c r="G1246" i="1"/>
  <c r="F1246" i="1"/>
  <c r="J1245" i="1"/>
  <c r="I1245" i="1"/>
  <c r="H1245" i="1"/>
  <c r="G1245" i="1"/>
  <c r="F1245" i="1"/>
  <c r="I1244" i="1"/>
  <c r="J1244" i="1" s="1"/>
  <c r="H1244" i="1"/>
  <c r="G1244" i="1"/>
  <c r="F1244" i="1"/>
  <c r="I1243" i="1"/>
  <c r="J1243" i="1" s="1"/>
  <c r="H1243" i="1"/>
  <c r="G1243" i="1"/>
  <c r="F1243" i="1"/>
  <c r="I1242" i="1"/>
  <c r="J1242" i="1" s="1"/>
  <c r="H1242" i="1"/>
  <c r="G1242" i="1"/>
  <c r="F1242" i="1"/>
  <c r="I1241" i="1"/>
  <c r="J1241" i="1" s="1"/>
  <c r="H1241" i="1"/>
  <c r="G1241" i="1"/>
  <c r="F1241" i="1"/>
  <c r="I1240" i="1"/>
  <c r="J1240" i="1" s="1"/>
  <c r="H1240" i="1"/>
  <c r="G1240" i="1"/>
  <c r="F1240" i="1"/>
  <c r="J1239" i="1"/>
  <c r="I1239" i="1"/>
  <c r="H1239" i="1"/>
  <c r="G1239" i="1"/>
  <c r="F1239" i="1"/>
  <c r="I1238" i="1"/>
  <c r="J1238" i="1" s="1"/>
  <c r="H1238" i="1"/>
  <c r="G1238" i="1"/>
  <c r="F1238" i="1"/>
  <c r="J1237" i="1"/>
  <c r="I1237" i="1"/>
  <c r="H1237" i="1"/>
  <c r="G1237" i="1"/>
  <c r="F1237" i="1"/>
  <c r="I1236" i="1"/>
  <c r="J1236" i="1" s="1"/>
  <c r="H1236" i="1"/>
  <c r="G1236" i="1"/>
  <c r="F1236" i="1"/>
  <c r="J1235" i="1"/>
  <c r="I1235" i="1"/>
  <c r="H1235" i="1"/>
  <c r="G1235" i="1"/>
  <c r="F1235" i="1"/>
  <c r="I1234" i="1"/>
  <c r="J1234" i="1" s="1"/>
  <c r="H1234" i="1"/>
  <c r="G1234" i="1"/>
  <c r="F1234" i="1"/>
  <c r="J1233" i="1"/>
  <c r="I1233" i="1"/>
  <c r="H1233" i="1"/>
  <c r="G1233" i="1"/>
  <c r="F1233" i="1"/>
  <c r="J1232" i="1"/>
  <c r="I1232" i="1"/>
  <c r="H1232" i="1"/>
  <c r="G1232" i="1"/>
  <c r="F1232" i="1"/>
  <c r="J1231" i="1"/>
  <c r="I1231" i="1"/>
  <c r="H1231" i="1"/>
  <c r="G1231" i="1"/>
  <c r="F1231" i="1"/>
  <c r="I1230" i="1"/>
  <c r="J1230" i="1" s="1"/>
  <c r="H1230" i="1"/>
  <c r="G1230" i="1"/>
  <c r="F1230" i="1"/>
  <c r="I1229" i="1"/>
  <c r="J1229" i="1" s="1"/>
  <c r="H1229" i="1"/>
  <c r="G1229" i="1"/>
  <c r="F1229" i="1"/>
  <c r="I1228" i="1"/>
  <c r="J1228" i="1" s="1"/>
  <c r="H1228" i="1"/>
  <c r="G1228" i="1"/>
  <c r="F1228" i="1"/>
  <c r="I1227" i="1"/>
  <c r="J1227" i="1" s="1"/>
  <c r="H1227" i="1"/>
  <c r="G1227" i="1"/>
  <c r="F1227" i="1"/>
  <c r="I1226" i="1"/>
  <c r="J1226" i="1" s="1"/>
  <c r="H1226" i="1"/>
  <c r="G1226" i="1"/>
  <c r="F1226" i="1"/>
  <c r="J1225" i="1"/>
  <c r="I1225" i="1"/>
  <c r="H1225" i="1"/>
  <c r="G1225" i="1"/>
  <c r="F1225" i="1"/>
  <c r="J1224" i="1"/>
  <c r="I1224" i="1"/>
  <c r="H1224" i="1"/>
  <c r="G1224" i="1"/>
  <c r="F1224" i="1"/>
  <c r="J1223" i="1"/>
  <c r="I1223" i="1"/>
  <c r="H1223" i="1"/>
  <c r="G1223" i="1"/>
  <c r="F1223" i="1"/>
  <c r="I1222" i="1"/>
  <c r="J1222" i="1" s="1"/>
  <c r="H1222" i="1"/>
  <c r="G1222" i="1"/>
  <c r="F1222" i="1"/>
  <c r="J1221" i="1"/>
  <c r="I1221" i="1"/>
  <c r="H1221" i="1"/>
  <c r="G1221" i="1"/>
  <c r="F1221" i="1"/>
  <c r="I1220" i="1"/>
  <c r="J1220" i="1" s="1"/>
  <c r="H1220" i="1"/>
  <c r="G1220" i="1"/>
  <c r="F1220" i="1"/>
  <c r="J1219" i="1"/>
  <c r="I1219" i="1"/>
  <c r="H1219" i="1"/>
  <c r="G1219" i="1"/>
  <c r="F1219" i="1"/>
  <c r="J1218" i="1"/>
  <c r="I1218" i="1"/>
  <c r="H1218" i="1"/>
  <c r="G1218" i="1"/>
  <c r="F1218" i="1"/>
  <c r="J1217" i="1"/>
  <c r="I1217" i="1"/>
  <c r="H1217" i="1"/>
  <c r="G1217" i="1"/>
  <c r="F1217" i="1"/>
  <c r="I1216" i="1"/>
  <c r="J1216" i="1" s="1"/>
  <c r="H1216" i="1"/>
  <c r="G1216" i="1"/>
  <c r="F1216" i="1"/>
  <c r="I1215" i="1"/>
  <c r="J1215" i="1" s="1"/>
  <c r="H1215" i="1"/>
  <c r="G1215" i="1"/>
  <c r="F1215" i="1"/>
  <c r="I1214" i="1"/>
  <c r="J1214" i="1" s="1"/>
  <c r="H1214" i="1"/>
  <c r="G1214" i="1"/>
  <c r="F1214" i="1"/>
  <c r="J1213" i="1"/>
  <c r="I1213" i="1"/>
  <c r="H1213" i="1"/>
  <c r="G1213" i="1"/>
  <c r="F1213" i="1"/>
  <c r="I1212" i="1"/>
  <c r="J1212" i="1" s="1"/>
  <c r="H1212" i="1"/>
  <c r="G1212" i="1"/>
  <c r="F1212" i="1"/>
  <c r="J1211" i="1"/>
  <c r="I1211" i="1"/>
  <c r="H1211" i="1"/>
  <c r="G1211" i="1"/>
  <c r="F1211" i="1"/>
  <c r="I1210" i="1"/>
  <c r="J1210" i="1" s="1"/>
  <c r="H1210" i="1"/>
  <c r="G1210" i="1"/>
  <c r="F1210" i="1"/>
  <c r="J1209" i="1"/>
  <c r="I1209" i="1"/>
  <c r="H1209" i="1"/>
  <c r="G1209" i="1"/>
  <c r="F1209" i="1"/>
  <c r="I1208" i="1"/>
  <c r="J1208" i="1" s="1"/>
  <c r="H1208" i="1"/>
  <c r="G1208" i="1"/>
  <c r="F1208" i="1"/>
  <c r="J1207" i="1"/>
  <c r="I1207" i="1"/>
  <c r="H1207" i="1"/>
  <c r="G1207" i="1"/>
  <c r="F1207" i="1"/>
  <c r="I1206" i="1"/>
  <c r="J1206" i="1" s="1"/>
  <c r="H1206" i="1"/>
  <c r="G1206" i="1"/>
  <c r="F1206" i="1"/>
  <c r="J1205" i="1"/>
  <c r="I1205" i="1"/>
  <c r="H1205" i="1"/>
  <c r="G1205" i="1"/>
  <c r="F1205" i="1"/>
  <c r="J1204" i="1"/>
  <c r="I1204" i="1"/>
  <c r="H1204" i="1"/>
  <c r="G1204" i="1"/>
  <c r="F1204" i="1"/>
  <c r="J1203" i="1"/>
  <c r="I1203" i="1"/>
  <c r="H1203" i="1"/>
  <c r="G1203" i="1"/>
  <c r="F1203" i="1"/>
  <c r="I1202" i="1"/>
  <c r="J1202" i="1" s="1"/>
  <c r="H1202" i="1"/>
  <c r="G1202" i="1"/>
  <c r="F1202" i="1"/>
  <c r="I1201" i="1"/>
  <c r="J1201" i="1" s="1"/>
  <c r="H1201" i="1"/>
  <c r="G1201" i="1"/>
  <c r="F1201" i="1"/>
  <c r="I1200" i="1"/>
  <c r="J1200" i="1" s="1"/>
  <c r="H1200" i="1"/>
  <c r="G1200" i="1"/>
  <c r="F1200" i="1"/>
  <c r="J1199" i="1"/>
  <c r="I1199" i="1"/>
  <c r="H1199" i="1"/>
  <c r="G1199" i="1"/>
  <c r="F1199" i="1"/>
  <c r="J1198" i="1"/>
  <c r="I1198" i="1"/>
  <c r="H1198" i="1"/>
  <c r="G1198" i="1"/>
  <c r="F1198" i="1"/>
  <c r="J1197" i="1"/>
  <c r="I1197" i="1"/>
  <c r="H1197" i="1"/>
  <c r="G1197" i="1"/>
  <c r="F1197" i="1"/>
  <c r="I1196" i="1"/>
  <c r="J1196" i="1" s="1"/>
  <c r="H1196" i="1"/>
  <c r="G1196" i="1"/>
  <c r="F1196" i="1"/>
  <c r="J1195" i="1"/>
  <c r="I1195" i="1"/>
  <c r="H1195" i="1"/>
  <c r="G1195" i="1"/>
  <c r="F1195" i="1"/>
  <c r="I1194" i="1"/>
  <c r="J1194" i="1" s="1"/>
  <c r="H1194" i="1"/>
  <c r="G1194" i="1"/>
  <c r="F1194" i="1"/>
  <c r="J1193" i="1"/>
  <c r="I1193" i="1"/>
  <c r="H1193" i="1"/>
  <c r="G1193" i="1"/>
  <c r="F1193" i="1"/>
  <c r="I1192" i="1"/>
  <c r="J1192" i="1" s="1"/>
  <c r="H1192" i="1"/>
  <c r="G1192" i="1"/>
  <c r="F1192" i="1"/>
  <c r="J1191" i="1"/>
  <c r="I1191" i="1"/>
  <c r="H1191" i="1"/>
  <c r="G1191" i="1"/>
  <c r="F1191" i="1"/>
  <c r="J1190" i="1"/>
  <c r="I1190" i="1"/>
  <c r="H1190" i="1"/>
  <c r="G1190" i="1"/>
  <c r="F1190" i="1"/>
  <c r="J1189" i="1"/>
  <c r="I1189" i="1"/>
  <c r="H1189" i="1"/>
  <c r="G1189" i="1"/>
  <c r="F1189" i="1"/>
  <c r="I1188" i="1"/>
  <c r="J1188" i="1" s="1"/>
  <c r="H1188" i="1"/>
  <c r="G1188" i="1"/>
  <c r="F1188" i="1"/>
  <c r="I1187" i="1"/>
  <c r="J1187" i="1" s="1"/>
  <c r="H1187" i="1"/>
  <c r="G1187" i="1"/>
  <c r="F1187" i="1"/>
  <c r="I1186" i="1"/>
  <c r="J1186" i="1" s="1"/>
  <c r="H1186" i="1"/>
  <c r="G1186" i="1"/>
  <c r="F1186" i="1"/>
  <c r="I1185" i="1"/>
  <c r="J1185" i="1" s="1"/>
  <c r="H1185" i="1"/>
  <c r="G1185" i="1"/>
  <c r="F1185" i="1"/>
  <c r="J1184" i="1"/>
  <c r="I1184" i="1"/>
  <c r="H1184" i="1"/>
  <c r="G1184" i="1"/>
  <c r="F1184" i="1"/>
  <c r="J1183" i="1"/>
  <c r="I1183" i="1"/>
  <c r="H1183" i="1"/>
  <c r="G1183" i="1"/>
  <c r="F1183" i="1"/>
  <c r="I1182" i="1"/>
  <c r="J1182" i="1" s="1"/>
  <c r="H1182" i="1"/>
  <c r="G1182" i="1"/>
  <c r="F1182" i="1"/>
  <c r="J1181" i="1"/>
  <c r="I1181" i="1"/>
  <c r="H1181" i="1"/>
  <c r="G1181" i="1"/>
  <c r="F1181" i="1"/>
  <c r="I1180" i="1"/>
  <c r="J1180" i="1" s="1"/>
  <c r="H1180" i="1"/>
  <c r="G1180" i="1"/>
  <c r="F1180" i="1"/>
  <c r="J1179" i="1"/>
  <c r="I1179" i="1"/>
  <c r="H1179" i="1"/>
  <c r="G1179" i="1"/>
  <c r="F1179" i="1"/>
  <c r="I1178" i="1"/>
  <c r="J1178" i="1" s="1"/>
  <c r="H1178" i="1"/>
  <c r="G1178" i="1"/>
  <c r="F1178" i="1"/>
  <c r="J1177" i="1"/>
  <c r="I1177" i="1"/>
  <c r="H1177" i="1"/>
  <c r="G1177" i="1"/>
  <c r="F1177" i="1"/>
  <c r="J1176" i="1"/>
  <c r="I1176" i="1"/>
  <c r="H1176" i="1"/>
  <c r="G1176" i="1"/>
  <c r="F1176" i="1"/>
  <c r="J1175" i="1"/>
  <c r="I1175" i="1"/>
  <c r="H1175" i="1"/>
  <c r="G1175" i="1"/>
  <c r="F1175" i="1"/>
  <c r="I1174" i="1"/>
  <c r="J1174" i="1" s="1"/>
  <c r="H1174" i="1"/>
  <c r="G1174" i="1"/>
  <c r="F1174" i="1"/>
  <c r="I1173" i="1"/>
  <c r="J1173" i="1" s="1"/>
  <c r="H1173" i="1"/>
  <c r="G1173" i="1"/>
  <c r="F1173" i="1"/>
  <c r="I1172" i="1"/>
  <c r="J1172" i="1" s="1"/>
  <c r="H1172" i="1"/>
  <c r="G1172" i="1"/>
  <c r="F1172" i="1"/>
  <c r="I1171" i="1"/>
  <c r="J1171" i="1" s="1"/>
  <c r="H1171" i="1"/>
  <c r="G1171" i="1"/>
  <c r="F1171" i="1"/>
  <c r="I1170" i="1"/>
  <c r="J1170" i="1" s="1"/>
  <c r="H1170" i="1"/>
  <c r="G1170" i="1"/>
  <c r="F1170" i="1"/>
  <c r="J1169" i="1"/>
  <c r="I1169" i="1"/>
  <c r="H1169" i="1"/>
  <c r="G1169" i="1"/>
  <c r="F1169" i="1"/>
  <c r="J1168" i="1"/>
  <c r="I1168" i="1"/>
  <c r="H1168" i="1"/>
  <c r="G1168" i="1"/>
  <c r="F1168" i="1"/>
  <c r="J1167" i="1"/>
  <c r="I1167" i="1"/>
  <c r="H1167" i="1"/>
  <c r="G1167" i="1"/>
  <c r="F1167" i="1"/>
  <c r="I1166" i="1"/>
  <c r="J1166" i="1" s="1"/>
  <c r="H1166" i="1"/>
  <c r="G1166" i="1"/>
  <c r="F1166" i="1"/>
  <c r="J1165" i="1"/>
  <c r="I1165" i="1"/>
  <c r="H1165" i="1"/>
  <c r="G1165" i="1"/>
  <c r="F1165" i="1"/>
  <c r="I1164" i="1"/>
  <c r="J1164" i="1" s="1"/>
  <c r="H1164" i="1"/>
  <c r="G1164" i="1"/>
  <c r="F1164" i="1"/>
  <c r="J1163" i="1"/>
  <c r="I1163" i="1"/>
  <c r="H1163" i="1"/>
  <c r="G1163" i="1"/>
  <c r="F1163" i="1"/>
  <c r="J1162" i="1"/>
  <c r="I1162" i="1"/>
  <c r="H1162" i="1"/>
  <c r="G1162" i="1"/>
  <c r="F1162" i="1"/>
  <c r="J1161" i="1"/>
  <c r="I1161" i="1"/>
  <c r="H1161" i="1"/>
  <c r="G1161" i="1"/>
  <c r="F1161" i="1"/>
  <c r="I1160" i="1"/>
  <c r="J1160" i="1" s="1"/>
  <c r="H1160" i="1"/>
  <c r="G1160" i="1"/>
  <c r="F1160" i="1"/>
  <c r="I1159" i="1"/>
  <c r="J1159" i="1" s="1"/>
  <c r="H1159" i="1"/>
  <c r="G1159" i="1"/>
  <c r="F1159" i="1"/>
  <c r="I1158" i="1"/>
  <c r="J1158" i="1" s="1"/>
  <c r="H1158" i="1"/>
  <c r="G1158" i="1"/>
  <c r="F1158" i="1"/>
  <c r="J1157" i="1"/>
  <c r="I1157" i="1"/>
  <c r="H1157" i="1"/>
  <c r="G1157" i="1"/>
  <c r="F1157" i="1"/>
  <c r="J1156" i="1"/>
  <c r="I1156" i="1"/>
  <c r="H1156" i="1"/>
  <c r="G1156" i="1"/>
  <c r="F1156" i="1"/>
  <c r="J1155" i="1"/>
  <c r="I1155" i="1"/>
  <c r="H1155" i="1"/>
  <c r="G1155" i="1"/>
  <c r="F1155" i="1"/>
  <c r="I1154" i="1"/>
  <c r="J1154" i="1" s="1"/>
  <c r="H1154" i="1"/>
  <c r="G1154" i="1"/>
  <c r="F1154" i="1"/>
  <c r="I1153" i="1"/>
  <c r="J1153" i="1" s="1"/>
  <c r="H1153" i="1"/>
  <c r="G1153" i="1"/>
  <c r="F1153" i="1"/>
  <c r="I1152" i="1"/>
  <c r="J1152" i="1" s="1"/>
  <c r="H1152" i="1"/>
  <c r="G1152" i="1"/>
  <c r="F1152" i="1"/>
  <c r="J1151" i="1"/>
  <c r="I1151" i="1"/>
  <c r="H1151" i="1"/>
  <c r="G1151" i="1"/>
  <c r="F1151" i="1"/>
  <c r="I1150" i="1"/>
  <c r="J1150" i="1" s="1"/>
  <c r="H1150" i="1"/>
  <c r="G1150" i="1"/>
  <c r="F1150" i="1"/>
  <c r="J1149" i="1"/>
  <c r="I1149" i="1"/>
  <c r="H1149" i="1"/>
  <c r="G1149" i="1"/>
  <c r="F1149" i="1"/>
  <c r="J1148" i="1"/>
  <c r="I1148" i="1"/>
  <c r="H1148" i="1"/>
  <c r="G1148" i="1"/>
  <c r="F1148" i="1"/>
  <c r="I1147" i="1"/>
  <c r="J1147" i="1" s="1"/>
  <c r="H1147" i="1"/>
  <c r="G1147" i="1"/>
  <c r="F1147" i="1"/>
  <c r="I1146" i="1"/>
  <c r="J1146" i="1" s="1"/>
  <c r="H1146" i="1"/>
  <c r="G1146" i="1"/>
  <c r="F1146" i="1"/>
  <c r="I1145" i="1"/>
  <c r="J1145" i="1" s="1"/>
  <c r="H1145" i="1"/>
  <c r="G1145" i="1"/>
  <c r="F1145" i="1"/>
  <c r="I1144" i="1"/>
  <c r="J1144" i="1" s="1"/>
  <c r="H1144" i="1"/>
  <c r="G1144" i="1"/>
  <c r="F1144" i="1"/>
  <c r="J1143" i="1"/>
  <c r="I1143" i="1"/>
  <c r="H1143" i="1"/>
  <c r="G1143" i="1"/>
  <c r="F1143" i="1"/>
  <c r="I1142" i="1"/>
  <c r="J1142" i="1" s="1"/>
  <c r="H1142" i="1"/>
  <c r="G1142" i="1"/>
  <c r="F1142" i="1"/>
  <c r="J1141" i="1"/>
  <c r="I1141" i="1"/>
  <c r="H1141" i="1"/>
  <c r="G1141" i="1"/>
  <c r="F1141" i="1"/>
  <c r="I1140" i="1"/>
  <c r="J1140" i="1" s="1"/>
  <c r="H1140" i="1"/>
  <c r="G1140" i="1"/>
  <c r="F1140" i="1"/>
  <c r="J1139" i="1"/>
  <c r="I1139" i="1"/>
  <c r="H1139" i="1"/>
  <c r="G1139" i="1"/>
  <c r="F1139" i="1"/>
  <c r="I1138" i="1"/>
  <c r="J1138" i="1" s="1"/>
  <c r="H1138" i="1"/>
  <c r="G1138" i="1"/>
  <c r="F1138" i="1"/>
  <c r="J1137" i="1"/>
  <c r="I1137" i="1"/>
  <c r="H1137" i="1"/>
  <c r="G1137" i="1"/>
  <c r="F1137" i="1"/>
  <c r="J1136" i="1"/>
  <c r="I1136" i="1"/>
  <c r="H1136" i="1"/>
  <c r="G1136" i="1"/>
  <c r="F1136" i="1"/>
  <c r="J1135" i="1"/>
  <c r="I1135" i="1"/>
  <c r="H1135" i="1"/>
  <c r="G1135" i="1"/>
  <c r="F1135" i="1"/>
  <c r="J1134" i="1"/>
  <c r="I1134" i="1"/>
  <c r="H1134" i="1"/>
  <c r="G1134" i="1"/>
  <c r="F1134" i="1"/>
  <c r="I1133" i="1"/>
  <c r="J1133" i="1" s="1"/>
  <c r="H1133" i="1"/>
  <c r="G1133" i="1"/>
  <c r="F1133" i="1"/>
  <c r="I1132" i="1"/>
  <c r="J1132" i="1" s="1"/>
  <c r="H1132" i="1"/>
  <c r="G1132" i="1"/>
  <c r="F1132" i="1"/>
  <c r="I1131" i="1"/>
  <c r="J1131" i="1" s="1"/>
  <c r="H1131" i="1"/>
  <c r="G1131" i="1"/>
  <c r="F1131" i="1"/>
  <c r="J1130" i="1"/>
  <c r="I1130" i="1"/>
  <c r="H1130" i="1"/>
  <c r="G1130" i="1"/>
  <c r="F1130" i="1"/>
  <c r="J1129" i="1"/>
  <c r="I1129" i="1"/>
  <c r="H1129" i="1"/>
  <c r="G1129" i="1"/>
  <c r="F1129" i="1"/>
  <c r="J1128" i="1"/>
  <c r="I1128" i="1"/>
  <c r="H1128" i="1"/>
  <c r="G1128" i="1"/>
  <c r="F1128" i="1"/>
  <c r="J1127" i="1"/>
  <c r="I1127" i="1"/>
  <c r="H1127" i="1"/>
  <c r="G1127" i="1"/>
  <c r="F1127" i="1"/>
  <c r="I1126" i="1"/>
  <c r="J1126" i="1" s="1"/>
  <c r="H1126" i="1"/>
  <c r="G1126" i="1"/>
  <c r="F1126" i="1"/>
  <c r="J1125" i="1"/>
  <c r="I1125" i="1"/>
  <c r="H1125" i="1"/>
  <c r="G1125" i="1"/>
  <c r="F1125" i="1"/>
  <c r="I1124" i="1"/>
  <c r="J1124" i="1" s="1"/>
  <c r="H1124" i="1"/>
  <c r="G1124" i="1"/>
  <c r="F1124" i="1"/>
  <c r="I1123" i="1"/>
  <c r="J1123" i="1" s="1"/>
  <c r="H1123" i="1"/>
  <c r="G1123" i="1"/>
  <c r="F1123" i="1"/>
  <c r="J1122" i="1"/>
  <c r="I1122" i="1"/>
  <c r="H1122" i="1"/>
  <c r="G1122" i="1"/>
  <c r="F1122" i="1"/>
  <c r="J1121" i="1"/>
  <c r="I1121" i="1"/>
  <c r="H1121" i="1"/>
  <c r="G1121" i="1"/>
  <c r="F1121" i="1"/>
  <c r="J1120" i="1"/>
  <c r="I1120" i="1"/>
  <c r="H1120" i="1"/>
  <c r="G1120" i="1"/>
  <c r="F1120" i="1"/>
  <c r="I1119" i="1"/>
  <c r="J1119" i="1" s="1"/>
  <c r="H1119" i="1"/>
  <c r="G1119" i="1"/>
  <c r="F1119" i="1"/>
  <c r="I1118" i="1"/>
  <c r="J1118" i="1" s="1"/>
  <c r="H1118" i="1"/>
  <c r="G1118" i="1"/>
  <c r="F1118" i="1"/>
  <c r="I1117" i="1"/>
  <c r="J1117" i="1" s="1"/>
  <c r="H1117" i="1"/>
  <c r="G1117" i="1"/>
  <c r="F1117" i="1"/>
  <c r="J1116" i="1"/>
  <c r="I1116" i="1"/>
  <c r="H1116" i="1"/>
  <c r="G1116" i="1"/>
  <c r="F1116" i="1"/>
  <c r="J1115" i="1"/>
  <c r="I1115" i="1"/>
  <c r="H1115" i="1"/>
  <c r="G1115" i="1"/>
  <c r="F1115" i="1"/>
  <c r="I1114" i="1"/>
  <c r="J1114" i="1" s="1"/>
  <c r="H1114" i="1"/>
  <c r="G1114" i="1"/>
  <c r="F1114" i="1"/>
  <c r="J1113" i="1"/>
  <c r="I1113" i="1"/>
  <c r="H1113" i="1"/>
  <c r="G1113" i="1"/>
  <c r="F1113" i="1"/>
  <c r="I1112" i="1"/>
  <c r="J1112" i="1" s="1"/>
  <c r="H1112" i="1"/>
  <c r="G1112" i="1"/>
  <c r="F1112" i="1"/>
  <c r="J1111" i="1"/>
  <c r="I1111" i="1"/>
  <c r="H1111" i="1"/>
  <c r="G1111" i="1"/>
  <c r="F1111" i="1"/>
  <c r="I1110" i="1"/>
  <c r="J1110" i="1" s="1"/>
  <c r="H1110" i="1"/>
  <c r="G1110" i="1"/>
  <c r="F1110" i="1"/>
  <c r="I1109" i="1"/>
  <c r="J1109" i="1" s="1"/>
  <c r="H1109" i="1"/>
  <c r="G1109" i="1"/>
  <c r="F1109" i="1"/>
  <c r="J1108" i="1"/>
  <c r="I1108" i="1"/>
  <c r="H1108" i="1"/>
  <c r="G1108" i="1"/>
  <c r="F1108" i="1"/>
  <c r="J1107" i="1"/>
  <c r="I1107" i="1"/>
  <c r="H1107" i="1"/>
  <c r="G1107" i="1"/>
  <c r="F1107" i="1"/>
  <c r="J1106" i="1"/>
  <c r="I1106" i="1"/>
  <c r="H1106" i="1"/>
  <c r="G1106" i="1"/>
  <c r="F1106" i="1"/>
  <c r="I1105" i="1"/>
  <c r="J1105" i="1" s="1"/>
  <c r="H1105" i="1"/>
  <c r="G1105" i="1"/>
  <c r="F1105" i="1"/>
  <c r="I1104" i="1"/>
  <c r="J1104" i="1" s="1"/>
  <c r="H1104" i="1"/>
  <c r="G1104" i="1"/>
  <c r="F1104" i="1"/>
  <c r="I1103" i="1"/>
  <c r="J1103" i="1" s="1"/>
  <c r="H1103" i="1"/>
  <c r="G1103" i="1"/>
  <c r="F1103" i="1"/>
  <c r="J1102" i="1"/>
  <c r="I1102" i="1"/>
  <c r="H1102" i="1"/>
  <c r="G1102" i="1"/>
  <c r="F1102" i="1"/>
  <c r="I1101" i="1"/>
  <c r="J1101" i="1" s="1"/>
  <c r="H1101" i="1"/>
  <c r="G1101" i="1"/>
  <c r="F1101" i="1"/>
  <c r="I1100" i="1"/>
  <c r="J1100" i="1" s="1"/>
  <c r="H1100" i="1"/>
  <c r="G1100" i="1"/>
  <c r="F1100" i="1"/>
  <c r="J1099" i="1"/>
  <c r="I1099" i="1"/>
  <c r="H1099" i="1"/>
  <c r="G1099" i="1"/>
  <c r="F1099" i="1"/>
  <c r="J1098" i="1"/>
  <c r="I1098" i="1"/>
  <c r="H1098" i="1"/>
  <c r="G1098" i="1"/>
  <c r="F1098" i="1"/>
  <c r="J1097" i="1"/>
  <c r="I1097" i="1"/>
  <c r="H1097" i="1"/>
  <c r="G1097" i="1"/>
  <c r="F1097" i="1"/>
  <c r="I1096" i="1"/>
  <c r="J1096" i="1" s="1"/>
  <c r="H1096" i="1"/>
  <c r="G1096" i="1"/>
  <c r="F1096" i="1"/>
  <c r="J1095" i="1"/>
  <c r="I1095" i="1"/>
  <c r="H1095" i="1"/>
  <c r="G1095" i="1"/>
  <c r="F1095" i="1"/>
  <c r="J1094" i="1"/>
  <c r="I1094" i="1"/>
  <c r="H1094" i="1"/>
  <c r="G1094" i="1"/>
  <c r="F1094" i="1"/>
  <c r="J1093" i="1"/>
  <c r="I1093" i="1"/>
  <c r="H1093" i="1"/>
  <c r="G1093" i="1"/>
  <c r="F1093" i="1"/>
  <c r="J1092" i="1"/>
  <c r="I1092" i="1"/>
  <c r="H1092" i="1"/>
  <c r="G1092" i="1"/>
  <c r="F1092" i="1"/>
  <c r="I1091" i="1"/>
  <c r="J1091" i="1" s="1"/>
  <c r="H1091" i="1"/>
  <c r="G1091" i="1"/>
  <c r="F1091" i="1"/>
  <c r="I1090" i="1"/>
  <c r="J1090" i="1" s="1"/>
  <c r="H1090" i="1"/>
  <c r="G1090" i="1"/>
  <c r="F1090" i="1"/>
  <c r="I1089" i="1"/>
  <c r="J1089" i="1" s="1"/>
  <c r="H1089" i="1"/>
  <c r="G1089" i="1"/>
  <c r="F1089" i="1"/>
  <c r="J1088" i="1"/>
  <c r="I1088" i="1"/>
  <c r="H1088" i="1"/>
  <c r="G1088" i="1"/>
  <c r="F1088" i="1"/>
  <c r="J1087" i="1"/>
  <c r="I1087" i="1"/>
  <c r="H1087" i="1"/>
  <c r="G1087" i="1"/>
  <c r="F1087" i="1"/>
  <c r="I1086" i="1"/>
  <c r="J1086" i="1" s="1"/>
  <c r="H1086" i="1"/>
  <c r="G1086" i="1"/>
  <c r="F1086" i="1"/>
  <c r="J1085" i="1"/>
  <c r="I1085" i="1"/>
  <c r="H1085" i="1"/>
  <c r="G1085" i="1"/>
  <c r="F1085" i="1"/>
  <c r="J1084" i="1"/>
  <c r="I1084" i="1"/>
  <c r="H1084" i="1"/>
  <c r="G1084" i="1"/>
  <c r="F1084" i="1"/>
  <c r="J1083" i="1"/>
  <c r="I1083" i="1"/>
  <c r="H1083" i="1"/>
  <c r="G1083" i="1"/>
  <c r="F1083" i="1"/>
  <c r="I1082" i="1"/>
  <c r="J1082" i="1" s="1"/>
  <c r="H1082" i="1"/>
  <c r="G1082" i="1"/>
  <c r="F1082" i="1"/>
  <c r="J1081" i="1"/>
  <c r="I1081" i="1"/>
  <c r="H1081" i="1"/>
  <c r="G1081" i="1"/>
  <c r="F1081" i="1"/>
  <c r="J1080" i="1"/>
  <c r="I1080" i="1"/>
  <c r="H1080" i="1"/>
  <c r="G1080" i="1"/>
  <c r="F1080" i="1"/>
  <c r="J1079" i="1"/>
  <c r="I1079" i="1"/>
  <c r="H1079" i="1"/>
  <c r="G1079" i="1"/>
  <c r="F1079" i="1"/>
  <c r="J1078" i="1"/>
  <c r="I1078" i="1"/>
  <c r="H1078" i="1"/>
  <c r="G1078" i="1"/>
  <c r="F1078" i="1"/>
  <c r="I1077" i="1"/>
  <c r="J1077" i="1" s="1"/>
  <c r="H1077" i="1"/>
  <c r="G1077" i="1"/>
  <c r="F1077" i="1"/>
  <c r="I1076" i="1"/>
  <c r="J1076" i="1" s="1"/>
  <c r="H1076" i="1"/>
  <c r="G1076" i="1"/>
  <c r="F1076" i="1"/>
  <c r="I1075" i="1"/>
  <c r="J1075" i="1" s="1"/>
  <c r="H1075" i="1"/>
  <c r="G1075" i="1"/>
  <c r="F1075" i="1"/>
  <c r="J1074" i="1"/>
  <c r="I1074" i="1"/>
  <c r="H1074" i="1"/>
  <c r="G1074" i="1"/>
  <c r="F1074" i="1"/>
  <c r="I1073" i="1"/>
  <c r="J1073" i="1" s="1"/>
  <c r="H1073" i="1"/>
  <c r="G1073" i="1"/>
  <c r="F1073" i="1"/>
  <c r="I1072" i="1"/>
  <c r="J1072" i="1" s="1"/>
  <c r="H1072" i="1"/>
  <c r="G1072" i="1"/>
  <c r="F1072" i="1"/>
  <c r="J1071" i="1"/>
  <c r="I1071" i="1"/>
  <c r="H1071" i="1"/>
  <c r="G1071" i="1"/>
  <c r="F1071" i="1"/>
  <c r="J1070" i="1"/>
  <c r="I1070" i="1"/>
  <c r="H1070" i="1"/>
  <c r="G1070" i="1"/>
  <c r="F1070" i="1"/>
  <c r="I1069" i="1"/>
  <c r="J1069" i="1" s="1"/>
  <c r="H1069" i="1"/>
  <c r="G1069" i="1"/>
  <c r="F1069" i="1"/>
  <c r="I1068" i="1"/>
  <c r="J1068" i="1" s="1"/>
  <c r="H1068" i="1"/>
  <c r="G1068" i="1"/>
  <c r="F1068" i="1"/>
  <c r="J1067" i="1"/>
  <c r="I1067" i="1"/>
  <c r="H1067" i="1"/>
  <c r="G1067" i="1"/>
  <c r="F1067" i="1"/>
  <c r="I1066" i="1"/>
  <c r="J1066" i="1" s="1"/>
  <c r="H1066" i="1"/>
  <c r="G1066" i="1"/>
  <c r="F1066" i="1"/>
  <c r="J1065" i="1"/>
  <c r="I1065" i="1"/>
  <c r="H1065" i="1"/>
  <c r="G1065" i="1"/>
  <c r="F1065" i="1"/>
  <c r="J1064" i="1"/>
  <c r="I1064" i="1"/>
  <c r="H1064" i="1"/>
  <c r="G1064" i="1"/>
  <c r="F1064" i="1"/>
  <c r="J1063" i="1"/>
  <c r="I1063" i="1"/>
  <c r="H1063" i="1"/>
  <c r="G1063" i="1"/>
  <c r="F1063" i="1"/>
  <c r="I1062" i="1"/>
  <c r="J1062" i="1" s="1"/>
  <c r="H1062" i="1"/>
  <c r="G1062" i="1"/>
  <c r="F1062" i="1"/>
  <c r="I1061" i="1"/>
  <c r="J1061" i="1" s="1"/>
  <c r="H1061" i="1"/>
  <c r="G1061" i="1"/>
  <c r="F1061" i="1"/>
  <c r="I1060" i="1"/>
  <c r="J1060" i="1" s="1"/>
  <c r="H1060" i="1"/>
  <c r="G1060" i="1"/>
  <c r="F1060" i="1"/>
  <c r="I1059" i="1"/>
  <c r="J1059" i="1" s="1"/>
  <c r="H1059" i="1"/>
  <c r="G1059" i="1"/>
  <c r="F1059" i="1"/>
  <c r="I1058" i="1"/>
  <c r="J1058" i="1" s="1"/>
  <c r="H1058" i="1"/>
  <c r="G1058" i="1"/>
  <c r="F1058" i="1"/>
  <c r="J1057" i="1"/>
  <c r="I1057" i="1"/>
  <c r="H1057" i="1"/>
  <c r="G1057" i="1"/>
  <c r="F1057" i="1"/>
  <c r="J1056" i="1"/>
  <c r="I1056" i="1"/>
  <c r="H1056" i="1"/>
  <c r="G1056" i="1"/>
  <c r="F1056" i="1"/>
  <c r="J1055" i="1"/>
  <c r="I1055" i="1"/>
  <c r="H1055" i="1"/>
  <c r="G1055" i="1"/>
  <c r="F1055" i="1"/>
  <c r="I1054" i="1"/>
  <c r="J1054" i="1" s="1"/>
  <c r="H1054" i="1"/>
  <c r="G1054" i="1"/>
  <c r="F1054" i="1"/>
  <c r="J1053" i="1"/>
  <c r="I1053" i="1"/>
  <c r="H1053" i="1"/>
  <c r="G1053" i="1"/>
  <c r="F1053" i="1"/>
  <c r="J1052" i="1"/>
  <c r="I1052" i="1"/>
  <c r="H1052" i="1"/>
  <c r="G1052" i="1"/>
  <c r="F1052" i="1"/>
  <c r="J1051" i="1"/>
  <c r="I1051" i="1"/>
  <c r="H1051" i="1"/>
  <c r="G1051" i="1"/>
  <c r="F1051" i="1"/>
  <c r="J1050" i="1"/>
  <c r="I1050" i="1"/>
  <c r="H1050" i="1"/>
  <c r="G1050" i="1"/>
  <c r="F1050" i="1"/>
  <c r="J1049" i="1"/>
  <c r="I1049" i="1"/>
  <c r="H1049" i="1"/>
  <c r="G1049" i="1"/>
  <c r="F1049" i="1"/>
  <c r="I1048" i="1"/>
  <c r="J1048" i="1" s="1"/>
  <c r="H1048" i="1"/>
  <c r="G1048" i="1"/>
  <c r="F1048" i="1"/>
  <c r="I1047" i="1"/>
  <c r="J1047" i="1" s="1"/>
  <c r="H1047" i="1"/>
  <c r="G1047" i="1"/>
  <c r="F1047" i="1"/>
  <c r="J1046" i="1"/>
  <c r="I1046" i="1"/>
  <c r="H1046" i="1"/>
  <c r="G1046" i="1"/>
  <c r="F1046" i="1"/>
  <c r="I1045" i="1"/>
  <c r="J1045" i="1" s="1"/>
  <c r="H1045" i="1"/>
  <c r="G1045" i="1"/>
  <c r="F1045" i="1"/>
  <c r="I1044" i="1"/>
  <c r="J1044" i="1" s="1"/>
  <c r="H1044" i="1"/>
  <c r="G1044" i="1"/>
  <c r="F1044" i="1"/>
  <c r="J1043" i="1"/>
  <c r="I1043" i="1"/>
  <c r="H1043" i="1"/>
  <c r="G1043" i="1"/>
  <c r="F1043" i="1"/>
  <c r="J1042" i="1"/>
  <c r="I1042" i="1"/>
  <c r="H1042" i="1"/>
  <c r="G1042" i="1"/>
  <c r="F1042" i="1"/>
  <c r="I1041" i="1"/>
  <c r="J1041" i="1" s="1"/>
  <c r="H1041" i="1"/>
  <c r="G1041" i="1"/>
  <c r="F1041" i="1"/>
  <c r="I1040" i="1"/>
  <c r="J1040" i="1" s="1"/>
  <c r="H1040" i="1"/>
  <c r="G1040" i="1"/>
  <c r="F1040" i="1"/>
  <c r="J1039" i="1"/>
  <c r="I1039" i="1"/>
  <c r="H1039" i="1"/>
  <c r="G1039" i="1"/>
  <c r="F1039" i="1"/>
  <c r="I1038" i="1"/>
  <c r="J1038" i="1" s="1"/>
  <c r="H1038" i="1"/>
  <c r="G1038" i="1"/>
  <c r="F1038" i="1"/>
  <c r="J1037" i="1"/>
  <c r="I1037" i="1"/>
  <c r="H1037" i="1"/>
  <c r="G1037" i="1"/>
  <c r="F1037" i="1"/>
  <c r="J1036" i="1"/>
  <c r="I1036" i="1"/>
  <c r="H1036" i="1"/>
  <c r="G1036" i="1"/>
  <c r="F1036" i="1"/>
  <c r="J1035" i="1"/>
  <c r="I1035" i="1"/>
  <c r="H1035" i="1"/>
  <c r="G1035" i="1"/>
  <c r="F1035" i="1"/>
  <c r="I1034" i="1"/>
  <c r="J1034" i="1" s="1"/>
  <c r="H1034" i="1"/>
  <c r="G1034" i="1"/>
  <c r="F1034" i="1"/>
  <c r="I1033" i="1"/>
  <c r="J1033" i="1" s="1"/>
  <c r="H1033" i="1"/>
  <c r="G1033" i="1"/>
  <c r="F1033" i="1"/>
  <c r="I1032" i="1"/>
  <c r="J1032" i="1" s="1"/>
  <c r="H1032" i="1"/>
  <c r="G1032" i="1"/>
  <c r="F1032" i="1"/>
  <c r="I1031" i="1"/>
  <c r="J1031" i="1" s="1"/>
  <c r="H1031" i="1"/>
  <c r="G1031" i="1"/>
  <c r="F1031" i="1"/>
  <c r="I1030" i="1"/>
  <c r="J1030" i="1" s="1"/>
  <c r="H1030" i="1"/>
  <c r="G1030" i="1"/>
  <c r="F1030" i="1"/>
  <c r="J1029" i="1"/>
  <c r="I1029" i="1"/>
  <c r="H1029" i="1"/>
  <c r="G1029" i="1"/>
  <c r="F1029" i="1"/>
  <c r="I1028" i="1"/>
  <c r="J1028" i="1" s="1"/>
  <c r="H1028" i="1"/>
  <c r="G1028" i="1"/>
  <c r="F1028" i="1"/>
  <c r="I1027" i="1"/>
  <c r="J1027" i="1" s="1"/>
  <c r="H1027" i="1"/>
  <c r="G1027" i="1"/>
  <c r="F1027" i="1"/>
  <c r="I1026" i="1"/>
  <c r="J1026" i="1" s="1"/>
  <c r="H1026" i="1"/>
  <c r="G1026" i="1"/>
  <c r="F1026" i="1"/>
  <c r="I1025" i="1"/>
  <c r="J1025" i="1" s="1"/>
  <c r="H1025" i="1"/>
  <c r="G1025" i="1"/>
  <c r="F1025" i="1"/>
  <c r="I1024" i="1"/>
  <c r="J1024" i="1" s="1"/>
  <c r="H1024" i="1"/>
  <c r="G1024" i="1"/>
  <c r="F1024" i="1"/>
  <c r="J1023" i="1"/>
  <c r="I1023" i="1"/>
  <c r="H1023" i="1"/>
  <c r="G1023" i="1"/>
  <c r="F1023" i="1"/>
  <c r="J1022" i="1"/>
  <c r="I1022" i="1"/>
  <c r="H1022" i="1"/>
  <c r="G1022" i="1"/>
  <c r="F1022" i="1"/>
  <c r="J1021" i="1"/>
  <c r="I1021" i="1"/>
  <c r="H1021" i="1"/>
  <c r="G1021" i="1"/>
  <c r="F1021" i="1"/>
  <c r="I1020" i="1"/>
  <c r="J1020" i="1" s="1"/>
  <c r="H1020" i="1"/>
  <c r="G1020" i="1"/>
  <c r="F1020" i="1"/>
  <c r="I1019" i="1"/>
  <c r="J1019" i="1" s="1"/>
  <c r="H1019" i="1"/>
  <c r="G1019" i="1"/>
  <c r="F1019" i="1"/>
  <c r="I1018" i="1"/>
  <c r="J1018" i="1" s="1"/>
  <c r="H1018" i="1"/>
  <c r="G1018" i="1"/>
  <c r="F1018" i="1"/>
  <c r="I1017" i="1"/>
  <c r="J1017" i="1" s="1"/>
  <c r="H1017" i="1"/>
  <c r="G1017" i="1"/>
  <c r="F1017" i="1"/>
  <c r="J1016" i="1"/>
  <c r="I1016" i="1"/>
  <c r="H1016" i="1"/>
  <c r="G1016" i="1"/>
  <c r="F1016" i="1"/>
  <c r="J1015" i="1"/>
  <c r="I1015" i="1"/>
  <c r="H1015" i="1"/>
  <c r="G1015" i="1"/>
  <c r="F1015" i="1"/>
  <c r="J1014" i="1"/>
  <c r="I1014" i="1"/>
  <c r="H1014" i="1"/>
  <c r="G1014" i="1"/>
  <c r="F1014" i="1"/>
  <c r="I1013" i="1"/>
  <c r="J1013" i="1" s="1"/>
  <c r="H1013" i="1"/>
  <c r="G1013" i="1"/>
  <c r="F1013" i="1"/>
  <c r="I1012" i="1"/>
  <c r="J1012" i="1" s="1"/>
  <c r="H1012" i="1"/>
  <c r="G1012" i="1"/>
  <c r="F1012" i="1"/>
  <c r="J1011" i="1"/>
  <c r="I1011" i="1"/>
  <c r="H1011" i="1"/>
  <c r="G1011" i="1"/>
  <c r="F1011" i="1"/>
  <c r="I1010" i="1"/>
  <c r="J1010" i="1" s="1"/>
  <c r="H1010" i="1"/>
  <c r="G1010" i="1"/>
  <c r="F1010" i="1"/>
  <c r="J1009" i="1"/>
  <c r="I1009" i="1"/>
  <c r="H1009" i="1"/>
  <c r="G1009" i="1"/>
  <c r="F1009" i="1"/>
  <c r="J1008" i="1"/>
  <c r="I1008" i="1"/>
  <c r="H1008" i="1"/>
  <c r="G1008" i="1"/>
  <c r="F1008" i="1"/>
  <c r="J1007" i="1"/>
  <c r="I1007" i="1"/>
  <c r="H1007" i="1"/>
  <c r="G1007" i="1"/>
  <c r="F1007" i="1"/>
  <c r="I1006" i="1"/>
  <c r="J1006" i="1" s="1"/>
  <c r="H1006" i="1"/>
  <c r="G1006" i="1"/>
  <c r="F1006" i="1"/>
  <c r="I1005" i="1"/>
  <c r="J1005" i="1" s="1"/>
  <c r="H1005" i="1"/>
  <c r="G1005" i="1"/>
  <c r="F1005" i="1"/>
  <c r="I1004" i="1"/>
  <c r="J1004" i="1" s="1"/>
  <c r="H1004" i="1"/>
  <c r="G1004" i="1"/>
  <c r="F1004" i="1"/>
  <c r="I1003" i="1"/>
  <c r="J1003" i="1" s="1"/>
  <c r="H1003" i="1"/>
  <c r="G1003" i="1"/>
  <c r="F1003" i="1"/>
  <c r="J1002" i="1"/>
  <c r="I1002" i="1"/>
  <c r="H1002" i="1"/>
  <c r="G1002" i="1"/>
  <c r="F1002" i="1"/>
  <c r="J1001" i="1"/>
  <c r="I1001" i="1"/>
  <c r="H1001" i="1"/>
  <c r="G1001" i="1"/>
  <c r="F1001" i="1"/>
  <c r="I1000" i="1"/>
  <c r="J1000" i="1" s="1"/>
  <c r="H1000" i="1"/>
  <c r="G1000" i="1"/>
  <c r="F1000" i="1"/>
  <c r="I999" i="1"/>
  <c r="J999" i="1" s="1"/>
  <c r="H999" i="1"/>
  <c r="G999" i="1"/>
  <c r="F999" i="1"/>
  <c r="I998" i="1"/>
  <c r="J998" i="1" s="1"/>
  <c r="H998" i="1"/>
  <c r="G998" i="1"/>
  <c r="F998" i="1"/>
  <c r="I997" i="1"/>
  <c r="J997" i="1" s="1"/>
  <c r="H997" i="1"/>
  <c r="G997" i="1"/>
  <c r="F997" i="1"/>
  <c r="I996" i="1"/>
  <c r="J996" i="1" s="1"/>
  <c r="H996" i="1"/>
  <c r="G996" i="1"/>
  <c r="F996" i="1"/>
  <c r="J995" i="1"/>
  <c r="I995" i="1"/>
  <c r="H995" i="1"/>
  <c r="G995" i="1"/>
  <c r="F995" i="1"/>
  <c r="J994" i="1"/>
  <c r="I994" i="1"/>
  <c r="H994" i="1"/>
  <c r="G994" i="1"/>
  <c r="F994" i="1"/>
  <c r="I993" i="1"/>
  <c r="J993" i="1" s="1"/>
  <c r="H993" i="1"/>
  <c r="G993" i="1"/>
  <c r="F993" i="1"/>
  <c r="I992" i="1"/>
  <c r="J992" i="1" s="1"/>
  <c r="H992" i="1"/>
  <c r="G992" i="1"/>
  <c r="F992" i="1"/>
  <c r="I991" i="1"/>
  <c r="J991" i="1" s="1"/>
  <c r="H991" i="1"/>
  <c r="G991" i="1"/>
  <c r="F991" i="1"/>
  <c r="I990" i="1"/>
  <c r="J990" i="1" s="1"/>
  <c r="H990" i="1"/>
  <c r="G990" i="1"/>
  <c r="F990" i="1"/>
  <c r="I989" i="1"/>
  <c r="J989" i="1" s="1"/>
  <c r="H989" i="1"/>
  <c r="G989" i="1"/>
  <c r="F989" i="1"/>
  <c r="J988" i="1"/>
  <c r="I988" i="1"/>
  <c r="H988" i="1"/>
  <c r="G988" i="1"/>
  <c r="F988" i="1"/>
  <c r="J987" i="1"/>
  <c r="I987" i="1"/>
  <c r="H987" i="1"/>
  <c r="G987" i="1"/>
  <c r="F987" i="1"/>
  <c r="I986" i="1"/>
  <c r="J986" i="1" s="1"/>
  <c r="H986" i="1"/>
  <c r="G986" i="1"/>
  <c r="F986" i="1"/>
  <c r="I985" i="1"/>
  <c r="J985" i="1" s="1"/>
  <c r="H985" i="1"/>
  <c r="G985" i="1"/>
  <c r="F985" i="1"/>
  <c r="I984" i="1"/>
  <c r="J984" i="1" s="1"/>
  <c r="H984" i="1"/>
  <c r="G984" i="1"/>
  <c r="F984" i="1"/>
  <c r="I983" i="1"/>
  <c r="J983" i="1" s="1"/>
  <c r="H983" i="1"/>
  <c r="G983" i="1"/>
  <c r="F983" i="1"/>
  <c r="I982" i="1"/>
  <c r="J982" i="1" s="1"/>
  <c r="H982" i="1"/>
  <c r="G982" i="1"/>
  <c r="F982" i="1"/>
  <c r="J981" i="1"/>
  <c r="I981" i="1"/>
  <c r="H981" i="1"/>
  <c r="G981" i="1"/>
  <c r="F981" i="1"/>
  <c r="J980" i="1"/>
  <c r="I980" i="1"/>
  <c r="H980" i="1"/>
  <c r="G980" i="1"/>
  <c r="F980" i="1"/>
  <c r="J979" i="1"/>
  <c r="I979" i="1"/>
  <c r="H979" i="1"/>
  <c r="G979" i="1"/>
  <c r="F979" i="1"/>
  <c r="I978" i="1"/>
  <c r="J978" i="1" s="1"/>
  <c r="H978" i="1"/>
  <c r="G978" i="1"/>
  <c r="F978" i="1"/>
  <c r="I977" i="1"/>
  <c r="J977" i="1" s="1"/>
  <c r="H977" i="1"/>
  <c r="G977" i="1"/>
  <c r="F977" i="1"/>
  <c r="I976" i="1"/>
  <c r="J976" i="1" s="1"/>
  <c r="H976" i="1"/>
  <c r="G976" i="1"/>
  <c r="F976" i="1"/>
  <c r="J975" i="1"/>
  <c r="I975" i="1"/>
  <c r="H975" i="1"/>
  <c r="G975" i="1"/>
  <c r="F975" i="1"/>
  <c r="J974" i="1"/>
  <c r="I974" i="1"/>
  <c r="H974" i="1"/>
  <c r="G974" i="1"/>
  <c r="F974" i="1"/>
  <c r="J973" i="1"/>
  <c r="I973" i="1"/>
  <c r="H973" i="1"/>
  <c r="G973" i="1"/>
  <c r="F973" i="1"/>
  <c r="I972" i="1"/>
  <c r="J972" i="1" s="1"/>
  <c r="H972" i="1"/>
  <c r="G972" i="1"/>
  <c r="F972" i="1"/>
  <c r="I971" i="1"/>
  <c r="J971" i="1" s="1"/>
  <c r="H971" i="1"/>
  <c r="G971" i="1"/>
  <c r="F971" i="1"/>
  <c r="I970" i="1"/>
  <c r="J970" i="1" s="1"/>
  <c r="H970" i="1"/>
  <c r="G970" i="1"/>
  <c r="F970" i="1"/>
  <c r="I969" i="1"/>
  <c r="J969" i="1" s="1"/>
  <c r="H969" i="1"/>
  <c r="G969" i="1"/>
  <c r="F969" i="1"/>
  <c r="I968" i="1"/>
  <c r="J968" i="1" s="1"/>
  <c r="H968" i="1"/>
  <c r="G968" i="1"/>
  <c r="F968" i="1"/>
  <c r="J967" i="1"/>
  <c r="I967" i="1"/>
  <c r="H967" i="1"/>
  <c r="G967" i="1"/>
  <c r="F967" i="1"/>
  <c r="J966" i="1"/>
  <c r="I966" i="1"/>
  <c r="H966" i="1"/>
  <c r="G966" i="1"/>
  <c r="F966" i="1"/>
  <c r="I965" i="1"/>
  <c r="J965" i="1" s="1"/>
  <c r="H965" i="1"/>
  <c r="G965" i="1"/>
  <c r="F965" i="1"/>
  <c r="I964" i="1"/>
  <c r="J964" i="1" s="1"/>
  <c r="H964" i="1"/>
  <c r="G964" i="1"/>
  <c r="F964" i="1"/>
  <c r="I963" i="1"/>
  <c r="J963" i="1" s="1"/>
  <c r="H963" i="1"/>
  <c r="G963" i="1"/>
  <c r="F963" i="1"/>
  <c r="I962" i="1"/>
  <c r="J962" i="1" s="1"/>
  <c r="H962" i="1"/>
  <c r="G962" i="1"/>
  <c r="F962" i="1"/>
  <c r="J961" i="1"/>
  <c r="I961" i="1"/>
  <c r="H961" i="1"/>
  <c r="G961" i="1"/>
  <c r="F961" i="1"/>
  <c r="J960" i="1"/>
  <c r="I960" i="1"/>
  <c r="H960" i="1"/>
  <c r="G960" i="1"/>
  <c r="F960" i="1"/>
  <c r="J959" i="1"/>
  <c r="I959" i="1"/>
  <c r="H959" i="1"/>
  <c r="G959" i="1"/>
  <c r="F959" i="1"/>
  <c r="I958" i="1"/>
  <c r="J958" i="1" s="1"/>
  <c r="H958" i="1"/>
  <c r="G958" i="1"/>
  <c r="F958" i="1"/>
  <c r="I957" i="1"/>
  <c r="J957" i="1" s="1"/>
  <c r="H957" i="1"/>
  <c r="G957" i="1"/>
  <c r="F957" i="1"/>
  <c r="I956" i="1"/>
  <c r="J956" i="1" s="1"/>
  <c r="H956" i="1"/>
  <c r="G956" i="1"/>
  <c r="F956" i="1"/>
  <c r="I955" i="1"/>
  <c r="J955" i="1" s="1"/>
  <c r="H955" i="1"/>
  <c r="G955" i="1"/>
  <c r="F955" i="1"/>
  <c r="I954" i="1"/>
  <c r="J954" i="1" s="1"/>
  <c r="H954" i="1"/>
  <c r="G954" i="1"/>
  <c r="F954" i="1"/>
  <c r="J953" i="1"/>
  <c r="I953" i="1"/>
  <c r="H953" i="1"/>
  <c r="G953" i="1"/>
  <c r="F953" i="1"/>
  <c r="J952" i="1"/>
  <c r="I952" i="1"/>
  <c r="H952" i="1"/>
  <c r="G952" i="1"/>
  <c r="F952" i="1"/>
  <c r="I951" i="1"/>
  <c r="J951" i="1" s="1"/>
  <c r="H951" i="1"/>
  <c r="G951" i="1"/>
  <c r="F951" i="1"/>
  <c r="I950" i="1"/>
  <c r="J950" i="1" s="1"/>
  <c r="H950" i="1"/>
  <c r="G950" i="1"/>
  <c r="F950" i="1"/>
  <c r="I949" i="1"/>
  <c r="J949" i="1" s="1"/>
  <c r="H949" i="1"/>
  <c r="G949" i="1"/>
  <c r="F949" i="1"/>
  <c r="I948" i="1"/>
  <c r="J948" i="1" s="1"/>
  <c r="H948" i="1"/>
  <c r="G948" i="1"/>
  <c r="F948" i="1"/>
  <c r="J947" i="1"/>
  <c r="I947" i="1"/>
  <c r="H947" i="1"/>
  <c r="G947" i="1"/>
  <c r="F947" i="1"/>
  <c r="I946" i="1"/>
  <c r="J946" i="1" s="1"/>
  <c r="H946" i="1"/>
  <c r="G946" i="1"/>
  <c r="F946" i="1"/>
  <c r="J945" i="1"/>
  <c r="I945" i="1"/>
  <c r="H945" i="1"/>
  <c r="G945" i="1"/>
  <c r="F945" i="1"/>
  <c r="I944" i="1"/>
  <c r="J944" i="1" s="1"/>
  <c r="H944" i="1"/>
  <c r="G944" i="1"/>
  <c r="F944" i="1"/>
  <c r="J943" i="1"/>
  <c r="I943" i="1"/>
  <c r="H943" i="1"/>
  <c r="G943" i="1"/>
  <c r="F943" i="1"/>
  <c r="I942" i="1"/>
  <c r="J942" i="1" s="1"/>
  <c r="H942" i="1"/>
  <c r="G942" i="1"/>
  <c r="F942" i="1"/>
  <c r="I941" i="1"/>
  <c r="J941" i="1" s="1"/>
  <c r="H941" i="1"/>
  <c r="G941" i="1"/>
  <c r="F941" i="1"/>
  <c r="J940" i="1"/>
  <c r="I940" i="1"/>
  <c r="H940" i="1"/>
  <c r="G940" i="1"/>
  <c r="F940" i="1"/>
  <c r="J939" i="1"/>
  <c r="I939" i="1"/>
  <c r="H939" i="1"/>
  <c r="G939" i="1"/>
  <c r="F939" i="1"/>
  <c r="J938" i="1"/>
  <c r="I938" i="1"/>
  <c r="H938" i="1"/>
  <c r="G938" i="1"/>
  <c r="F938" i="1"/>
  <c r="I937" i="1"/>
  <c r="J937" i="1" s="1"/>
  <c r="H937" i="1"/>
  <c r="G937" i="1"/>
  <c r="F937" i="1"/>
  <c r="I936" i="1"/>
  <c r="J936" i="1" s="1"/>
  <c r="H936" i="1"/>
  <c r="G936" i="1"/>
  <c r="F936" i="1"/>
  <c r="I935" i="1"/>
  <c r="J935" i="1" s="1"/>
  <c r="H935" i="1"/>
  <c r="G935" i="1"/>
  <c r="F935" i="1"/>
  <c r="J934" i="1"/>
  <c r="I934" i="1"/>
  <c r="H934" i="1"/>
  <c r="G934" i="1"/>
  <c r="F934" i="1"/>
  <c r="J933" i="1"/>
  <c r="I933" i="1"/>
  <c r="H933" i="1"/>
  <c r="G933" i="1"/>
  <c r="F933" i="1"/>
  <c r="J932" i="1"/>
  <c r="I932" i="1"/>
  <c r="H932" i="1"/>
  <c r="G932" i="1"/>
  <c r="F932" i="1"/>
  <c r="J931" i="1"/>
  <c r="I931" i="1"/>
  <c r="H931" i="1"/>
  <c r="G931" i="1"/>
  <c r="F931" i="1"/>
  <c r="I930" i="1"/>
  <c r="J930" i="1" s="1"/>
  <c r="H930" i="1"/>
  <c r="G930" i="1"/>
  <c r="F930" i="1"/>
  <c r="J929" i="1"/>
  <c r="I929" i="1"/>
  <c r="H929" i="1"/>
  <c r="G929" i="1"/>
  <c r="F929" i="1"/>
  <c r="I928" i="1"/>
  <c r="J928" i="1" s="1"/>
  <c r="H928" i="1"/>
  <c r="G928" i="1"/>
  <c r="F928" i="1"/>
  <c r="I927" i="1"/>
  <c r="J927" i="1" s="1"/>
  <c r="H927" i="1"/>
  <c r="G927" i="1"/>
  <c r="F927" i="1"/>
  <c r="J926" i="1"/>
  <c r="I926" i="1"/>
  <c r="H926" i="1"/>
  <c r="G926" i="1"/>
  <c r="F926" i="1"/>
  <c r="J925" i="1"/>
  <c r="I925" i="1"/>
  <c r="H925" i="1"/>
  <c r="G925" i="1"/>
  <c r="F925" i="1"/>
  <c r="J924" i="1"/>
  <c r="I924" i="1"/>
  <c r="H924" i="1"/>
  <c r="G924" i="1"/>
  <c r="F924" i="1"/>
  <c r="I923" i="1"/>
  <c r="J923" i="1" s="1"/>
  <c r="H923" i="1"/>
  <c r="G923" i="1"/>
  <c r="F923" i="1"/>
  <c r="I922" i="1"/>
  <c r="J922" i="1" s="1"/>
  <c r="H922" i="1"/>
  <c r="G922" i="1"/>
  <c r="F922" i="1"/>
  <c r="I921" i="1"/>
  <c r="J921" i="1" s="1"/>
  <c r="H921" i="1"/>
  <c r="G921" i="1"/>
  <c r="F921" i="1"/>
  <c r="J920" i="1"/>
  <c r="I920" i="1"/>
  <c r="H920" i="1"/>
  <c r="G920" i="1"/>
  <c r="F920" i="1"/>
  <c r="J919" i="1"/>
  <c r="I919" i="1"/>
  <c r="H919" i="1"/>
  <c r="G919" i="1"/>
  <c r="F919" i="1"/>
  <c r="I918" i="1"/>
  <c r="J918" i="1" s="1"/>
  <c r="H918" i="1"/>
  <c r="G918" i="1"/>
  <c r="F918" i="1"/>
  <c r="J917" i="1"/>
  <c r="I917" i="1"/>
  <c r="H917" i="1"/>
  <c r="G917" i="1"/>
  <c r="F917" i="1"/>
  <c r="I916" i="1"/>
  <c r="J916" i="1" s="1"/>
  <c r="H916" i="1"/>
  <c r="G916" i="1"/>
  <c r="F916" i="1"/>
  <c r="J915" i="1"/>
  <c r="I915" i="1"/>
  <c r="H915" i="1"/>
  <c r="G915" i="1"/>
  <c r="F915" i="1"/>
  <c r="I914" i="1"/>
  <c r="J914" i="1" s="1"/>
  <c r="H914" i="1"/>
  <c r="G914" i="1"/>
  <c r="F914" i="1"/>
  <c r="I913" i="1"/>
  <c r="J913" i="1" s="1"/>
  <c r="H913" i="1"/>
  <c r="G913" i="1"/>
  <c r="F913" i="1"/>
  <c r="J912" i="1"/>
  <c r="I912" i="1"/>
  <c r="H912" i="1"/>
  <c r="G912" i="1"/>
  <c r="F912" i="1"/>
  <c r="J911" i="1"/>
  <c r="I911" i="1"/>
  <c r="H911" i="1"/>
  <c r="G911" i="1"/>
  <c r="F911" i="1"/>
  <c r="J910" i="1"/>
  <c r="I910" i="1"/>
  <c r="H910" i="1"/>
  <c r="G910" i="1"/>
  <c r="F910" i="1"/>
  <c r="I909" i="1"/>
  <c r="J909" i="1" s="1"/>
  <c r="H909" i="1"/>
  <c r="G909" i="1"/>
  <c r="F909" i="1"/>
  <c r="I908" i="1"/>
  <c r="J908" i="1" s="1"/>
  <c r="H908" i="1"/>
  <c r="G908" i="1"/>
  <c r="F908" i="1"/>
  <c r="I907" i="1"/>
  <c r="J907" i="1" s="1"/>
  <c r="H907" i="1"/>
  <c r="G907" i="1"/>
  <c r="F907" i="1"/>
  <c r="J906" i="1"/>
  <c r="I906" i="1"/>
  <c r="H906" i="1"/>
  <c r="G906" i="1"/>
  <c r="F906" i="1"/>
  <c r="I905" i="1"/>
  <c r="J905" i="1" s="1"/>
  <c r="H905" i="1"/>
  <c r="G905" i="1"/>
  <c r="F905" i="1"/>
  <c r="I904" i="1"/>
  <c r="J904" i="1" s="1"/>
  <c r="H904" i="1"/>
  <c r="G904" i="1"/>
  <c r="F904" i="1"/>
  <c r="J903" i="1"/>
  <c r="I903" i="1"/>
  <c r="H903" i="1"/>
  <c r="G903" i="1"/>
  <c r="F903" i="1"/>
  <c r="J902" i="1"/>
  <c r="I902" i="1"/>
  <c r="H902" i="1"/>
  <c r="G902" i="1"/>
  <c r="F902" i="1"/>
  <c r="J901" i="1"/>
  <c r="I901" i="1"/>
  <c r="H901" i="1"/>
  <c r="G901" i="1"/>
  <c r="F901" i="1"/>
  <c r="I900" i="1"/>
  <c r="J900" i="1" s="1"/>
  <c r="H900" i="1"/>
  <c r="G900" i="1"/>
  <c r="F900" i="1"/>
  <c r="J899" i="1"/>
  <c r="I899" i="1"/>
  <c r="H899" i="1"/>
  <c r="G899" i="1"/>
  <c r="F899" i="1"/>
  <c r="J898" i="1"/>
  <c r="I898" i="1"/>
  <c r="H898" i="1"/>
  <c r="G898" i="1"/>
  <c r="F898" i="1"/>
  <c r="J897" i="1"/>
  <c r="I897" i="1"/>
  <c r="H897" i="1"/>
  <c r="G897" i="1"/>
  <c r="F897" i="1"/>
  <c r="J896" i="1"/>
  <c r="I896" i="1"/>
  <c r="H896" i="1"/>
  <c r="G896" i="1"/>
  <c r="F896" i="1"/>
  <c r="I895" i="1"/>
  <c r="J895" i="1" s="1"/>
  <c r="H895" i="1"/>
  <c r="G895" i="1"/>
  <c r="F895" i="1"/>
  <c r="I894" i="1"/>
  <c r="J894" i="1" s="1"/>
  <c r="H894" i="1"/>
  <c r="G894" i="1"/>
  <c r="F894" i="1"/>
  <c r="I893" i="1"/>
  <c r="J893" i="1" s="1"/>
  <c r="H893" i="1"/>
  <c r="G893" i="1"/>
  <c r="F893" i="1"/>
  <c r="J892" i="1"/>
  <c r="I892" i="1"/>
  <c r="H892" i="1"/>
  <c r="G892" i="1"/>
  <c r="F892" i="1"/>
  <c r="J891" i="1"/>
  <c r="I891" i="1"/>
  <c r="H891" i="1"/>
  <c r="G891" i="1"/>
  <c r="F891" i="1"/>
  <c r="I890" i="1"/>
  <c r="J890" i="1" s="1"/>
  <c r="H890" i="1"/>
  <c r="G890" i="1"/>
  <c r="F890" i="1"/>
  <c r="J889" i="1"/>
  <c r="I889" i="1"/>
  <c r="H889" i="1"/>
  <c r="G889" i="1"/>
  <c r="F889" i="1"/>
  <c r="J888" i="1"/>
  <c r="I888" i="1"/>
  <c r="H888" i="1"/>
  <c r="G888" i="1"/>
  <c r="F888" i="1"/>
  <c r="J887" i="1"/>
  <c r="I887" i="1"/>
  <c r="H887" i="1"/>
  <c r="G887" i="1"/>
  <c r="F887" i="1"/>
  <c r="I886" i="1"/>
  <c r="J886" i="1" s="1"/>
  <c r="H886" i="1"/>
  <c r="G886" i="1"/>
  <c r="F886" i="1"/>
  <c r="J885" i="1"/>
  <c r="I885" i="1"/>
  <c r="H885" i="1"/>
  <c r="G885" i="1"/>
  <c r="F885" i="1"/>
  <c r="J884" i="1"/>
  <c r="I884" i="1"/>
  <c r="H884" i="1"/>
  <c r="G884" i="1"/>
  <c r="F884" i="1"/>
  <c r="J883" i="1"/>
  <c r="I883" i="1"/>
  <c r="H883" i="1"/>
  <c r="G883" i="1"/>
  <c r="F883" i="1"/>
  <c r="J882" i="1"/>
  <c r="I882" i="1"/>
  <c r="H882" i="1"/>
  <c r="G882" i="1"/>
  <c r="F882" i="1"/>
  <c r="I881" i="1"/>
  <c r="J881" i="1" s="1"/>
  <c r="H881" i="1"/>
  <c r="G881" i="1"/>
  <c r="F881" i="1"/>
  <c r="I880" i="1"/>
  <c r="J880" i="1" s="1"/>
  <c r="H880" i="1"/>
  <c r="G880" i="1"/>
  <c r="F880" i="1"/>
  <c r="I879" i="1"/>
  <c r="J879" i="1" s="1"/>
  <c r="H879" i="1"/>
  <c r="G879" i="1"/>
  <c r="F879" i="1"/>
  <c r="J878" i="1"/>
  <c r="I878" i="1"/>
  <c r="H878" i="1"/>
  <c r="G878" i="1"/>
  <c r="F878" i="1"/>
  <c r="I877" i="1"/>
  <c r="J877" i="1" s="1"/>
  <c r="H877" i="1"/>
  <c r="G877" i="1"/>
  <c r="F877" i="1"/>
  <c r="I876" i="1"/>
  <c r="J876" i="1" s="1"/>
  <c r="H876" i="1"/>
  <c r="G876" i="1"/>
  <c r="F876" i="1"/>
  <c r="J875" i="1"/>
  <c r="I875" i="1"/>
  <c r="H875" i="1"/>
  <c r="G875" i="1"/>
  <c r="F875" i="1"/>
  <c r="J874" i="1"/>
  <c r="I874" i="1"/>
  <c r="H874" i="1"/>
  <c r="G874" i="1"/>
  <c r="F874" i="1"/>
  <c r="I873" i="1"/>
  <c r="J873" i="1" s="1"/>
  <c r="H873" i="1"/>
  <c r="G873" i="1"/>
  <c r="F873" i="1"/>
  <c r="I872" i="1"/>
  <c r="J872" i="1" s="1"/>
  <c r="H872" i="1"/>
  <c r="G872" i="1"/>
  <c r="F872" i="1"/>
  <c r="J871" i="1"/>
  <c r="I871" i="1"/>
  <c r="H871" i="1"/>
  <c r="G871" i="1"/>
  <c r="F871" i="1"/>
  <c r="I870" i="1"/>
  <c r="J870" i="1" s="1"/>
  <c r="H870" i="1"/>
  <c r="G870" i="1"/>
  <c r="F870" i="1"/>
  <c r="J869" i="1"/>
  <c r="I869" i="1"/>
  <c r="H869" i="1"/>
  <c r="G869" i="1"/>
  <c r="F869" i="1"/>
  <c r="J868" i="1"/>
  <c r="I868" i="1"/>
  <c r="H868" i="1"/>
  <c r="G868" i="1"/>
  <c r="F868" i="1"/>
  <c r="J867" i="1"/>
  <c r="I867" i="1"/>
  <c r="H867" i="1"/>
  <c r="G867" i="1"/>
  <c r="F867" i="1"/>
  <c r="I866" i="1"/>
  <c r="J866" i="1" s="1"/>
  <c r="H866" i="1"/>
  <c r="G866" i="1"/>
  <c r="F866" i="1"/>
  <c r="I865" i="1"/>
  <c r="J865" i="1" s="1"/>
  <c r="H865" i="1"/>
  <c r="G865" i="1"/>
  <c r="F865" i="1"/>
  <c r="I864" i="1"/>
  <c r="J864" i="1" s="1"/>
  <c r="H864" i="1"/>
  <c r="G864" i="1"/>
  <c r="F864" i="1"/>
  <c r="I863" i="1"/>
  <c r="J863" i="1" s="1"/>
  <c r="H863" i="1"/>
  <c r="G863" i="1"/>
  <c r="F863" i="1"/>
  <c r="I862" i="1"/>
  <c r="J862" i="1" s="1"/>
  <c r="H862" i="1"/>
  <c r="G862" i="1"/>
  <c r="F862" i="1"/>
  <c r="J861" i="1"/>
  <c r="I861" i="1"/>
  <c r="H861" i="1"/>
  <c r="G861" i="1"/>
  <c r="F861" i="1"/>
  <c r="J860" i="1"/>
  <c r="I860" i="1"/>
  <c r="H860" i="1"/>
  <c r="G860" i="1"/>
  <c r="F860" i="1"/>
  <c r="J859" i="1"/>
  <c r="I859" i="1"/>
  <c r="H859" i="1"/>
  <c r="G859" i="1"/>
  <c r="F859" i="1"/>
  <c r="I858" i="1"/>
  <c r="J858" i="1" s="1"/>
  <c r="H858" i="1"/>
  <c r="G858" i="1"/>
  <c r="F858" i="1"/>
  <c r="J857" i="1"/>
  <c r="I857" i="1"/>
  <c r="H857" i="1"/>
  <c r="G857" i="1"/>
  <c r="F857" i="1"/>
  <c r="J856" i="1"/>
  <c r="I856" i="1"/>
  <c r="H856" i="1"/>
  <c r="G856" i="1"/>
  <c r="F856" i="1"/>
  <c r="J855" i="1"/>
  <c r="I855" i="1"/>
  <c r="H855" i="1"/>
  <c r="G855" i="1"/>
  <c r="F855" i="1"/>
  <c r="J854" i="1"/>
  <c r="I854" i="1"/>
  <c r="H854" i="1"/>
  <c r="G854" i="1"/>
  <c r="F854" i="1"/>
  <c r="J853" i="1"/>
  <c r="I853" i="1"/>
  <c r="H853" i="1"/>
  <c r="G853" i="1"/>
  <c r="F853" i="1"/>
  <c r="I852" i="1"/>
  <c r="J852" i="1" s="1"/>
  <c r="H852" i="1"/>
  <c r="G852" i="1"/>
  <c r="F852" i="1"/>
  <c r="I851" i="1"/>
  <c r="J851" i="1" s="1"/>
  <c r="H851" i="1"/>
  <c r="G851" i="1"/>
  <c r="F851" i="1"/>
  <c r="J850" i="1"/>
  <c r="I850" i="1"/>
  <c r="H850" i="1"/>
  <c r="G850" i="1"/>
  <c r="F850" i="1"/>
  <c r="I849" i="1"/>
  <c r="J849" i="1" s="1"/>
  <c r="H849" i="1"/>
  <c r="G849" i="1"/>
  <c r="F849" i="1"/>
  <c r="I848" i="1"/>
  <c r="J848" i="1" s="1"/>
  <c r="H848" i="1"/>
  <c r="G848" i="1"/>
  <c r="F848" i="1"/>
  <c r="J847" i="1"/>
  <c r="I847" i="1"/>
  <c r="H847" i="1"/>
  <c r="G847" i="1"/>
  <c r="F847" i="1"/>
  <c r="J846" i="1"/>
  <c r="I846" i="1"/>
  <c r="H846" i="1"/>
  <c r="G846" i="1"/>
  <c r="F846" i="1"/>
  <c r="I845" i="1"/>
  <c r="J845" i="1" s="1"/>
  <c r="H845" i="1"/>
  <c r="G845" i="1"/>
  <c r="F845" i="1"/>
  <c r="I844" i="1"/>
  <c r="J844" i="1" s="1"/>
  <c r="H844" i="1"/>
  <c r="G844" i="1"/>
  <c r="F844" i="1"/>
  <c r="J843" i="1"/>
  <c r="I843" i="1"/>
  <c r="H843" i="1"/>
  <c r="G843" i="1"/>
  <c r="F843" i="1"/>
  <c r="I842" i="1"/>
  <c r="J842" i="1" s="1"/>
  <c r="H842" i="1"/>
  <c r="G842" i="1"/>
  <c r="F842" i="1"/>
  <c r="J841" i="1"/>
  <c r="I841" i="1"/>
  <c r="H841" i="1"/>
  <c r="G841" i="1"/>
  <c r="F841" i="1"/>
  <c r="J840" i="1"/>
  <c r="I840" i="1"/>
  <c r="H840" i="1"/>
  <c r="G840" i="1"/>
  <c r="F840" i="1"/>
  <c r="J839" i="1"/>
  <c r="I839" i="1"/>
  <c r="H839" i="1"/>
  <c r="G839" i="1"/>
  <c r="F839" i="1"/>
  <c r="I838" i="1"/>
  <c r="J838" i="1" s="1"/>
  <c r="H838" i="1"/>
  <c r="G838" i="1"/>
  <c r="F838" i="1"/>
  <c r="I837" i="1"/>
  <c r="J837" i="1" s="1"/>
  <c r="H837" i="1"/>
  <c r="G837" i="1"/>
  <c r="F837" i="1"/>
  <c r="J836" i="1"/>
  <c r="I836" i="1"/>
  <c r="H836" i="1"/>
  <c r="G836" i="1"/>
  <c r="F836" i="1"/>
  <c r="I835" i="1"/>
  <c r="J835" i="1" s="1"/>
  <c r="H835" i="1"/>
  <c r="G835" i="1"/>
  <c r="F835" i="1"/>
  <c r="I834" i="1"/>
  <c r="J834" i="1" s="1"/>
  <c r="H834" i="1"/>
  <c r="G834" i="1"/>
  <c r="F834" i="1"/>
  <c r="I833" i="1"/>
  <c r="J833" i="1" s="1"/>
  <c r="H833" i="1"/>
  <c r="G833" i="1"/>
  <c r="F833" i="1"/>
  <c r="J832" i="1"/>
  <c r="I832" i="1"/>
  <c r="H832" i="1"/>
  <c r="G832" i="1"/>
  <c r="F832" i="1"/>
  <c r="J831" i="1"/>
  <c r="I831" i="1"/>
  <c r="H831" i="1"/>
  <c r="G831" i="1"/>
  <c r="F831" i="1"/>
  <c r="J830" i="1"/>
  <c r="I830" i="1"/>
  <c r="H830" i="1"/>
  <c r="G830" i="1"/>
  <c r="F830" i="1"/>
  <c r="I829" i="1"/>
  <c r="J829" i="1" s="1"/>
  <c r="H829" i="1"/>
  <c r="G829" i="1"/>
  <c r="F829" i="1"/>
  <c r="I828" i="1"/>
  <c r="J828" i="1" s="1"/>
  <c r="H828" i="1"/>
  <c r="G828" i="1"/>
  <c r="F828" i="1"/>
  <c r="J827" i="1"/>
  <c r="I827" i="1"/>
  <c r="H827" i="1"/>
  <c r="G827" i="1"/>
  <c r="F827" i="1"/>
  <c r="J826" i="1"/>
  <c r="I826" i="1"/>
  <c r="H826" i="1"/>
  <c r="G826" i="1"/>
  <c r="F826" i="1"/>
  <c r="I825" i="1"/>
  <c r="J825" i="1" s="1"/>
  <c r="H825" i="1"/>
  <c r="G825" i="1"/>
  <c r="F825" i="1"/>
  <c r="I824" i="1"/>
  <c r="J824" i="1" s="1"/>
  <c r="H824" i="1"/>
  <c r="G824" i="1"/>
  <c r="F824" i="1"/>
  <c r="I823" i="1"/>
  <c r="J823" i="1" s="1"/>
  <c r="H823" i="1"/>
  <c r="G823" i="1"/>
  <c r="F823" i="1"/>
  <c r="I822" i="1"/>
  <c r="J822" i="1" s="1"/>
  <c r="H822" i="1"/>
  <c r="G822" i="1"/>
  <c r="F822" i="1"/>
  <c r="I821" i="1"/>
  <c r="J821" i="1" s="1"/>
  <c r="H821" i="1"/>
  <c r="G821" i="1"/>
  <c r="F821" i="1"/>
  <c r="I820" i="1"/>
  <c r="J820" i="1" s="1"/>
  <c r="H820" i="1"/>
  <c r="G820" i="1"/>
  <c r="F820" i="1"/>
  <c r="J819" i="1"/>
  <c r="I819" i="1"/>
  <c r="H819" i="1"/>
  <c r="G819" i="1"/>
  <c r="F819" i="1"/>
  <c r="I818" i="1"/>
  <c r="J818" i="1" s="1"/>
  <c r="H818" i="1"/>
  <c r="G818" i="1"/>
  <c r="F818" i="1"/>
  <c r="I817" i="1"/>
  <c r="J817" i="1" s="1"/>
  <c r="H817" i="1"/>
  <c r="G817" i="1"/>
  <c r="F817" i="1"/>
  <c r="I816" i="1"/>
  <c r="J816" i="1" s="1"/>
  <c r="H816" i="1"/>
  <c r="G816" i="1"/>
  <c r="F816" i="1"/>
  <c r="J815" i="1"/>
  <c r="I815" i="1"/>
  <c r="H815" i="1"/>
  <c r="G815" i="1"/>
  <c r="F815" i="1"/>
  <c r="J814" i="1"/>
  <c r="I814" i="1"/>
  <c r="H814" i="1"/>
  <c r="G814" i="1"/>
  <c r="F814" i="1"/>
  <c r="J813" i="1"/>
  <c r="I813" i="1"/>
  <c r="H813" i="1"/>
  <c r="G813" i="1"/>
  <c r="F813" i="1"/>
  <c r="I812" i="1"/>
  <c r="J812" i="1" s="1"/>
  <c r="H812" i="1"/>
  <c r="G812" i="1"/>
  <c r="F812" i="1"/>
  <c r="I811" i="1"/>
  <c r="J811" i="1" s="1"/>
  <c r="H811" i="1"/>
  <c r="G811" i="1"/>
  <c r="F811" i="1"/>
  <c r="J810" i="1"/>
  <c r="I810" i="1"/>
  <c r="H810" i="1"/>
  <c r="G810" i="1"/>
  <c r="F810" i="1"/>
  <c r="J809" i="1"/>
  <c r="I809" i="1"/>
  <c r="H809" i="1"/>
  <c r="G809" i="1"/>
  <c r="F809" i="1"/>
  <c r="I808" i="1"/>
  <c r="J808" i="1" s="1"/>
  <c r="H808" i="1"/>
  <c r="G808" i="1"/>
  <c r="F808" i="1"/>
  <c r="I807" i="1"/>
  <c r="J807" i="1" s="1"/>
  <c r="H807" i="1"/>
  <c r="G807" i="1"/>
  <c r="F807" i="1"/>
  <c r="I806" i="1"/>
  <c r="J806" i="1" s="1"/>
  <c r="H806" i="1"/>
  <c r="G806" i="1"/>
  <c r="F806" i="1"/>
  <c r="J805" i="1"/>
  <c r="I805" i="1"/>
  <c r="H805" i="1"/>
  <c r="G805" i="1"/>
  <c r="F805" i="1"/>
  <c r="I804" i="1"/>
  <c r="J804" i="1" s="1"/>
  <c r="H804" i="1"/>
  <c r="G804" i="1"/>
  <c r="F804" i="1"/>
  <c r="I803" i="1"/>
  <c r="J803" i="1" s="1"/>
  <c r="H803" i="1"/>
  <c r="G803" i="1"/>
  <c r="F803" i="1"/>
  <c r="I802" i="1"/>
  <c r="J802" i="1" s="1"/>
  <c r="H802" i="1"/>
  <c r="G802" i="1"/>
  <c r="F802" i="1"/>
  <c r="J801" i="1"/>
  <c r="I801" i="1"/>
  <c r="H801" i="1"/>
  <c r="G801" i="1"/>
  <c r="F801" i="1"/>
  <c r="J800" i="1"/>
  <c r="I800" i="1"/>
  <c r="H800" i="1"/>
  <c r="G800" i="1"/>
  <c r="F800" i="1"/>
  <c r="J799" i="1"/>
  <c r="I799" i="1"/>
  <c r="H799" i="1"/>
  <c r="G799" i="1"/>
  <c r="F799" i="1"/>
  <c r="I798" i="1"/>
  <c r="J798" i="1" s="1"/>
  <c r="H798" i="1"/>
  <c r="G798" i="1"/>
  <c r="F798" i="1"/>
  <c r="I797" i="1"/>
  <c r="J797" i="1" s="1"/>
  <c r="H797" i="1"/>
  <c r="G797" i="1"/>
  <c r="F797" i="1"/>
  <c r="J796" i="1"/>
  <c r="I796" i="1"/>
  <c r="H796" i="1"/>
  <c r="G796" i="1"/>
  <c r="F796" i="1"/>
  <c r="J795" i="1"/>
  <c r="I795" i="1"/>
  <c r="H795" i="1"/>
  <c r="G795" i="1"/>
  <c r="F795" i="1"/>
  <c r="I794" i="1"/>
  <c r="J794" i="1" s="1"/>
  <c r="H794" i="1"/>
  <c r="G794" i="1"/>
  <c r="F794" i="1"/>
  <c r="I793" i="1"/>
  <c r="J793" i="1" s="1"/>
  <c r="H793" i="1"/>
  <c r="G793" i="1"/>
  <c r="F793" i="1"/>
  <c r="I792" i="1"/>
  <c r="J792" i="1" s="1"/>
  <c r="H792" i="1"/>
  <c r="G792" i="1"/>
  <c r="F792" i="1"/>
  <c r="J791" i="1"/>
  <c r="I791" i="1"/>
  <c r="H791" i="1"/>
  <c r="G791" i="1"/>
  <c r="F791" i="1"/>
  <c r="I790" i="1"/>
  <c r="J790" i="1" s="1"/>
  <c r="H790" i="1"/>
  <c r="G790" i="1"/>
  <c r="F790" i="1"/>
  <c r="I789" i="1"/>
  <c r="J789" i="1" s="1"/>
  <c r="H789" i="1"/>
  <c r="G789" i="1"/>
  <c r="F789" i="1"/>
  <c r="I788" i="1"/>
  <c r="J788" i="1" s="1"/>
  <c r="H788" i="1"/>
  <c r="G788" i="1"/>
  <c r="F788" i="1"/>
  <c r="J787" i="1"/>
  <c r="I787" i="1"/>
  <c r="H787" i="1"/>
  <c r="G787" i="1"/>
  <c r="F787" i="1"/>
  <c r="J786" i="1"/>
  <c r="I786" i="1"/>
  <c r="H786" i="1"/>
  <c r="G786" i="1"/>
  <c r="F786" i="1"/>
  <c r="J785" i="1"/>
  <c r="I785" i="1"/>
  <c r="H785" i="1"/>
  <c r="G785" i="1"/>
  <c r="F785" i="1"/>
  <c r="I784" i="1"/>
  <c r="J784" i="1" s="1"/>
  <c r="H784" i="1"/>
  <c r="G784" i="1"/>
  <c r="F784" i="1"/>
  <c r="I783" i="1"/>
  <c r="J783" i="1" s="1"/>
  <c r="H783" i="1"/>
  <c r="G783" i="1"/>
  <c r="F783" i="1"/>
  <c r="J782" i="1"/>
  <c r="I782" i="1"/>
  <c r="H782" i="1"/>
  <c r="G782" i="1"/>
  <c r="F782" i="1"/>
  <c r="J781" i="1"/>
  <c r="I781" i="1"/>
  <c r="H781" i="1"/>
  <c r="G781" i="1"/>
  <c r="F781" i="1"/>
  <c r="I780" i="1"/>
  <c r="J780" i="1" s="1"/>
  <c r="H780" i="1"/>
  <c r="G780" i="1"/>
  <c r="F780" i="1"/>
  <c r="I779" i="1"/>
  <c r="J779" i="1" s="1"/>
  <c r="H779" i="1"/>
  <c r="G779" i="1"/>
  <c r="F779" i="1"/>
  <c r="I778" i="1"/>
  <c r="J778" i="1" s="1"/>
  <c r="H778" i="1"/>
  <c r="G778" i="1"/>
  <c r="F778" i="1"/>
  <c r="J777" i="1"/>
  <c r="I777" i="1"/>
  <c r="H777" i="1"/>
  <c r="G777" i="1"/>
  <c r="F777" i="1"/>
  <c r="I776" i="1"/>
  <c r="J776" i="1" s="1"/>
  <c r="H776" i="1"/>
  <c r="G776" i="1"/>
  <c r="F776" i="1"/>
  <c r="I775" i="1"/>
  <c r="J775" i="1" s="1"/>
  <c r="H775" i="1"/>
  <c r="G775" i="1"/>
  <c r="F775" i="1"/>
  <c r="I774" i="1"/>
  <c r="J774" i="1" s="1"/>
  <c r="H774" i="1"/>
  <c r="G774" i="1"/>
  <c r="F774" i="1"/>
  <c r="J773" i="1"/>
  <c r="I773" i="1"/>
  <c r="H773" i="1"/>
  <c r="G773" i="1"/>
  <c r="F773" i="1"/>
  <c r="J772" i="1"/>
  <c r="I772" i="1"/>
  <c r="H772" i="1"/>
  <c r="G772" i="1"/>
  <c r="F772" i="1"/>
  <c r="J771" i="1"/>
  <c r="I771" i="1"/>
  <c r="H771" i="1"/>
  <c r="G771" i="1"/>
  <c r="F771" i="1"/>
  <c r="I770" i="1"/>
  <c r="J770" i="1" s="1"/>
  <c r="H770" i="1"/>
  <c r="G770" i="1"/>
  <c r="F770" i="1"/>
  <c r="I769" i="1"/>
  <c r="J769" i="1" s="1"/>
  <c r="H769" i="1"/>
  <c r="G769" i="1"/>
  <c r="F769" i="1"/>
  <c r="J768" i="1"/>
  <c r="I768" i="1"/>
  <c r="H768" i="1"/>
  <c r="G768" i="1"/>
  <c r="F768" i="1"/>
  <c r="J767" i="1"/>
  <c r="I767" i="1"/>
  <c r="H767" i="1"/>
  <c r="G767" i="1"/>
  <c r="F767" i="1"/>
  <c r="I766" i="1"/>
  <c r="J766" i="1" s="1"/>
  <c r="H766" i="1"/>
  <c r="G766" i="1"/>
  <c r="F766" i="1"/>
  <c r="I765" i="1"/>
  <c r="J765" i="1" s="1"/>
  <c r="H765" i="1"/>
  <c r="G765" i="1"/>
  <c r="F765" i="1"/>
  <c r="I764" i="1"/>
  <c r="J764" i="1" s="1"/>
  <c r="H764" i="1"/>
  <c r="G764" i="1"/>
  <c r="F764" i="1"/>
  <c r="J763" i="1"/>
  <c r="I763" i="1"/>
  <c r="H763" i="1"/>
  <c r="G763" i="1"/>
  <c r="F763" i="1"/>
  <c r="I762" i="1"/>
  <c r="J762" i="1" s="1"/>
  <c r="H762" i="1"/>
  <c r="G762" i="1"/>
  <c r="F762" i="1"/>
  <c r="I761" i="1"/>
  <c r="J761" i="1" s="1"/>
  <c r="H761" i="1"/>
  <c r="G761" i="1"/>
  <c r="F761" i="1"/>
  <c r="I760" i="1"/>
  <c r="J760" i="1" s="1"/>
  <c r="H760" i="1"/>
  <c r="G760" i="1"/>
  <c r="F760" i="1"/>
  <c r="J759" i="1"/>
  <c r="I759" i="1"/>
  <c r="H759" i="1"/>
  <c r="G759" i="1"/>
  <c r="F759" i="1"/>
  <c r="J758" i="1"/>
  <c r="I758" i="1"/>
  <c r="H758" i="1"/>
  <c r="G758" i="1"/>
  <c r="F758" i="1"/>
  <c r="J757" i="1"/>
  <c r="I757" i="1"/>
  <c r="H757" i="1"/>
  <c r="G757" i="1"/>
  <c r="F757" i="1"/>
  <c r="I756" i="1"/>
  <c r="J756" i="1" s="1"/>
  <c r="H756" i="1"/>
  <c r="G756" i="1"/>
  <c r="F756" i="1"/>
  <c r="I755" i="1"/>
  <c r="J755" i="1" s="1"/>
  <c r="H755" i="1"/>
  <c r="G755" i="1"/>
  <c r="F755" i="1"/>
  <c r="J754" i="1"/>
  <c r="I754" i="1"/>
  <c r="H754" i="1"/>
  <c r="G754" i="1"/>
  <c r="F754" i="1"/>
  <c r="J753" i="1"/>
  <c r="I753" i="1"/>
  <c r="H753" i="1"/>
  <c r="G753" i="1"/>
  <c r="F753" i="1"/>
  <c r="I752" i="1"/>
  <c r="J752" i="1" s="1"/>
  <c r="H752" i="1"/>
  <c r="G752" i="1"/>
  <c r="F752" i="1"/>
  <c r="I751" i="1"/>
  <c r="J751" i="1" s="1"/>
  <c r="H751" i="1"/>
  <c r="G751" i="1"/>
  <c r="F751" i="1"/>
  <c r="I750" i="1"/>
  <c r="J750" i="1" s="1"/>
  <c r="H750" i="1"/>
  <c r="G750" i="1"/>
  <c r="F750" i="1"/>
  <c r="J749" i="1"/>
  <c r="I749" i="1"/>
  <c r="H749" i="1"/>
  <c r="G749" i="1"/>
  <c r="F749" i="1"/>
  <c r="I748" i="1"/>
  <c r="J748" i="1" s="1"/>
  <c r="H748" i="1"/>
  <c r="G748" i="1"/>
  <c r="F748" i="1"/>
  <c r="I747" i="1"/>
  <c r="J747" i="1" s="1"/>
  <c r="H747" i="1"/>
  <c r="G747" i="1"/>
  <c r="F747" i="1"/>
  <c r="I746" i="1"/>
  <c r="J746" i="1" s="1"/>
  <c r="H746" i="1"/>
  <c r="G746" i="1"/>
  <c r="F746" i="1"/>
  <c r="J745" i="1"/>
  <c r="I745" i="1"/>
  <c r="H745" i="1"/>
  <c r="G745" i="1"/>
  <c r="F745" i="1"/>
  <c r="J744" i="1"/>
  <c r="I744" i="1"/>
  <c r="H744" i="1"/>
  <c r="G744" i="1"/>
  <c r="F744" i="1"/>
  <c r="J743" i="1"/>
  <c r="I743" i="1"/>
  <c r="H743" i="1"/>
  <c r="G743" i="1"/>
  <c r="F743" i="1"/>
  <c r="I742" i="1"/>
  <c r="J742" i="1" s="1"/>
  <c r="H742" i="1"/>
  <c r="G742" i="1"/>
  <c r="F742" i="1"/>
  <c r="I741" i="1"/>
  <c r="J741" i="1" s="1"/>
  <c r="H741" i="1"/>
  <c r="G741" i="1"/>
  <c r="F741" i="1"/>
  <c r="J740" i="1"/>
  <c r="I740" i="1"/>
  <c r="H740" i="1"/>
  <c r="G740" i="1"/>
  <c r="F740" i="1"/>
  <c r="J739" i="1"/>
  <c r="I739" i="1"/>
  <c r="H739" i="1"/>
  <c r="G739" i="1"/>
  <c r="F739" i="1"/>
  <c r="I738" i="1"/>
  <c r="J738" i="1" s="1"/>
  <c r="H738" i="1"/>
  <c r="G738" i="1"/>
  <c r="F738" i="1"/>
  <c r="I737" i="1"/>
  <c r="J737" i="1" s="1"/>
  <c r="H737" i="1"/>
  <c r="G737" i="1"/>
  <c r="F737" i="1"/>
  <c r="I736" i="1"/>
  <c r="J736" i="1" s="1"/>
  <c r="H736" i="1"/>
  <c r="G736" i="1"/>
  <c r="F736" i="1"/>
  <c r="J735" i="1"/>
  <c r="I735" i="1"/>
  <c r="H735" i="1"/>
  <c r="G735" i="1"/>
  <c r="F735" i="1"/>
  <c r="I734" i="1"/>
  <c r="J734" i="1" s="1"/>
  <c r="H734" i="1"/>
  <c r="G734" i="1"/>
  <c r="F734" i="1"/>
  <c r="I733" i="1"/>
  <c r="J733" i="1" s="1"/>
  <c r="H733" i="1"/>
  <c r="G733" i="1"/>
  <c r="F733" i="1"/>
  <c r="I732" i="1"/>
  <c r="J732" i="1" s="1"/>
  <c r="H732" i="1"/>
  <c r="G732" i="1"/>
  <c r="F732" i="1"/>
  <c r="J731" i="1"/>
  <c r="I731" i="1"/>
  <c r="H731" i="1"/>
  <c r="G731" i="1"/>
  <c r="F731" i="1"/>
  <c r="J730" i="1"/>
  <c r="I730" i="1"/>
  <c r="H730" i="1"/>
  <c r="G730" i="1"/>
  <c r="F730" i="1"/>
  <c r="J729" i="1"/>
  <c r="I729" i="1"/>
  <c r="H729" i="1"/>
  <c r="G729" i="1"/>
  <c r="F729" i="1"/>
  <c r="I728" i="1"/>
  <c r="J728" i="1" s="1"/>
  <c r="H728" i="1"/>
  <c r="G728" i="1"/>
  <c r="F728" i="1"/>
  <c r="I727" i="1"/>
  <c r="J727" i="1" s="1"/>
  <c r="H727" i="1"/>
  <c r="G727" i="1"/>
  <c r="F727" i="1"/>
  <c r="J726" i="1"/>
  <c r="I726" i="1"/>
  <c r="H726" i="1"/>
  <c r="G726" i="1"/>
  <c r="F726" i="1"/>
  <c r="J725" i="1"/>
  <c r="I725" i="1"/>
  <c r="H725" i="1"/>
  <c r="G725" i="1"/>
  <c r="F725" i="1"/>
  <c r="I724" i="1"/>
  <c r="J724" i="1" s="1"/>
  <c r="H724" i="1"/>
  <c r="G724" i="1"/>
  <c r="F724" i="1"/>
  <c r="I723" i="1"/>
  <c r="J723" i="1" s="1"/>
  <c r="H723" i="1"/>
  <c r="G723" i="1"/>
  <c r="F723" i="1"/>
  <c r="I722" i="1"/>
  <c r="J722" i="1" s="1"/>
  <c r="H722" i="1"/>
  <c r="G722" i="1"/>
  <c r="F722" i="1"/>
  <c r="J721" i="1"/>
  <c r="I721" i="1"/>
  <c r="H721" i="1"/>
  <c r="G721" i="1"/>
  <c r="F721" i="1"/>
  <c r="I720" i="1"/>
  <c r="J720" i="1" s="1"/>
  <c r="H720" i="1"/>
  <c r="G720" i="1"/>
  <c r="F720" i="1"/>
  <c r="I719" i="1"/>
  <c r="J719" i="1" s="1"/>
  <c r="H719" i="1"/>
  <c r="G719" i="1"/>
  <c r="F719" i="1"/>
  <c r="I718" i="1"/>
  <c r="J718" i="1" s="1"/>
  <c r="H718" i="1"/>
  <c r="G718" i="1"/>
  <c r="F718" i="1"/>
  <c r="J717" i="1"/>
  <c r="I717" i="1"/>
  <c r="H717" i="1"/>
  <c r="G717" i="1"/>
  <c r="F717" i="1"/>
  <c r="J716" i="1"/>
  <c r="I716" i="1"/>
  <c r="H716" i="1"/>
  <c r="G716" i="1"/>
  <c r="F716" i="1"/>
  <c r="J715" i="1"/>
  <c r="I715" i="1"/>
  <c r="H715" i="1"/>
  <c r="G715" i="1"/>
  <c r="F715" i="1"/>
  <c r="I714" i="1"/>
  <c r="J714" i="1" s="1"/>
  <c r="H714" i="1"/>
  <c r="G714" i="1"/>
  <c r="F714" i="1"/>
  <c r="I713" i="1"/>
  <c r="J713" i="1" s="1"/>
  <c r="H713" i="1"/>
  <c r="G713" i="1"/>
  <c r="F713" i="1"/>
  <c r="J712" i="1"/>
  <c r="I712" i="1"/>
  <c r="H712" i="1"/>
  <c r="G712" i="1"/>
  <c r="F712" i="1"/>
  <c r="J711" i="1"/>
  <c r="I711" i="1"/>
  <c r="H711" i="1"/>
  <c r="G711" i="1"/>
  <c r="F711" i="1"/>
  <c r="I710" i="1"/>
  <c r="J710" i="1" s="1"/>
  <c r="H710" i="1"/>
  <c r="G710" i="1"/>
  <c r="F710" i="1"/>
  <c r="I709" i="1"/>
  <c r="J709" i="1" s="1"/>
  <c r="H709" i="1"/>
  <c r="G709" i="1"/>
  <c r="F709" i="1"/>
  <c r="I708" i="1"/>
  <c r="J708" i="1" s="1"/>
  <c r="H708" i="1"/>
  <c r="G708" i="1"/>
  <c r="F708" i="1"/>
  <c r="J707" i="1"/>
  <c r="I707" i="1"/>
  <c r="H707" i="1"/>
  <c r="G707" i="1"/>
  <c r="F707" i="1"/>
  <c r="I706" i="1"/>
  <c r="J706" i="1" s="1"/>
  <c r="H706" i="1"/>
  <c r="G706" i="1"/>
  <c r="F706" i="1"/>
  <c r="I705" i="1"/>
  <c r="J705" i="1" s="1"/>
  <c r="H705" i="1"/>
  <c r="G705" i="1"/>
  <c r="F705" i="1"/>
  <c r="I704" i="1"/>
  <c r="J704" i="1" s="1"/>
  <c r="H704" i="1"/>
  <c r="G704" i="1"/>
  <c r="F704" i="1"/>
  <c r="J703" i="1"/>
  <c r="I703" i="1"/>
  <c r="H703" i="1"/>
  <c r="G703" i="1"/>
  <c r="F703" i="1"/>
  <c r="J702" i="1"/>
  <c r="I702" i="1"/>
  <c r="H702" i="1"/>
  <c r="G702" i="1"/>
  <c r="F702" i="1"/>
  <c r="J701" i="1"/>
  <c r="I701" i="1"/>
  <c r="H701" i="1"/>
  <c r="G701" i="1"/>
  <c r="F701" i="1"/>
  <c r="I700" i="1"/>
  <c r="J700" i="1" s="1"/>
  <c r="H700" i="1"/>
  <c r="G700" i="1"/>
  <c r="F700" i="1"/>
  <c r="I699" i="1"/>
  <c r="J699" i="1" s="1"/>
  <c r="H699" i="1"/>
  <c r="G699" i="1"/>
  <c r="F699" i="1"/>
  <c r="J698" i="1"/>
  <c r="I698" i="1"/>
  <c r="H698" i="1"/>
  <c r="G698" i="1"/>
  <c r="F698" i="1"/>
  <c r="J697" i="1"/>
  <c r="I697" i="1"/>
  <c r="H697" i="1"/>
  <c r="G697" i="1"/>
  <c r="F697" i="1"/>
  <c r="I696" i="1"/>
  <c r="J696" i="1" s="1"/>
  <c r="H696" i="1"/>
  <c r="G696" i="1"/>
  <c r="F696" i="1"/>
  <c r="I695" i="1"/>
  <c r="J695" i="1" s="1"/>
  <c r="H695" i="1"/>
  <c r="G695" i="1"/>
  <c r="F695" i="1"/>
  <c r="I694" i="1"/>
  <c r="J694" i="1" s="1"/>
  <c r="H694" i="1"/>
  <c r="G694" i="1"/>
  <c r="F694" i="1"/>
  <c r="J693" i="1"/>
  <c r="I693" i="1"/>
  <c r="H693" i="1"/>
  <c r="G693" i="1"/>
  <c r="F693" i="1"/>
  <c r="I692" i="1"/>
  <c r="J692" i="1" s="1"/>
  <c r="H692" i="1"/>
  <c r="G692" i="1"/>
  <c r="F692" i="1"/>
  <c r="I691" i="1"/>
  <c r="J691" i="1" s="1"/>
  <c r="H691" i="1"/>
  <c r="G691" i="1"/>
  <c r="F691" i="1"/>
  <c r="I690" i="1"/>
  <c r="J690" i="1" s="1"/>
  <c r="H690" i="1"/>
  <c r="G690" i="1"/>
  <c r="F690" i="1"/>
  <c r="J689" i="1"/>
  <c r="I689" i="1"/>
  <c r="H689" i="1"/>
  <c r="G689" i="1"/>
  <c r="F689" i="1"/>
  <c r="J688" i="1"/>
  <c r="I688" i="1"/>
  <c r="H688" i="1"/>
  <c r="G688" i="1"/>
  <c r="F688" i="1"/>
  <c r="J687" i="1"/>
  <c r="I687" i="1"/>
  <c r="H687" i="1"/>
  <c r="G687" i="1"/>
  <c r="F687" i="1"/>
  <c r="I686" i="1"/>
  <c r="J686" i="1" s="1"/>
  <c r="H686" i="1"/>
  <c r="G686" i="1"/>
  <c r="F686" i="1"/>
  <c r="I685" i="1"/>
  <c r="J685" i="1" s="1"/>
  <c r="H685" i="1"/>
  <c r="G685" i="1"/>
  <c r="F685" i="1"/>
  <c r="J684" i="1"/>
  <c r="I684" i="1"/>
  <c r="H684" i="1"/>
  <c r="G684" i="1"/>
  <c r="F684" i="1"/>
  <c r="J683" i="1"/>
  <c r="I683" i="1"/>
  <c r="H683" i="1"/>
  <c r="G683" i="1"/>
  <c r="F683" i="1"/>
  <c r="I682" i="1"/>
  <c r="J682" i="1" s="1"/>
  <c r="H682" i="1"/>
  <c r="G682" i="1"/>
  <c r="F682" i="1"/>
  <c r="I681" i="1"/>
  <c r="J681" i="1" s="1"/>
  <c r="H681" i="1"/>
  <c r="G681" i="1"/>
  <c r="F681" i="1"/>
  <c r="I680" i="1"/>
  <c r="J680" i="1" s="1"/>
  <c r="H680" i="1"/>
  <c r="G680" i="1"/>
  <c r="F680" i="1"/>
  <c r="J679" i="1"/>
  <c r="I679" i="1"/>
  <c r="H679" i="1"/>
  <c r="G679" i="1"/>
  <c r="F679" i="1"/>
  <c r="I678" i="1"/>
  <c r="J678" i="1" s="1"/>
  <c r="H678" i="1"/>
  <c r="G678" i="1"/>
  <c r="F678" i="1"/>
  <c r="I677" i="1"/>
  <c r="J677" i="1" s="1"/>
  <c r="H677" i="1"/>
  <c r="G677" i="1"/>
  <c r="F677" i="1"/>
  <c r="I676" i="1"/>
  <c r="J676" i="1" s="1"/>
  <c r="H676" i="1"/>
  <c r="G676" i="1"/>
  <c r="F676" i="1"/>
  <c r="J675" i="1"/>
  <c r="I675" i="1"/>
  <c r="H675" i="1"/>
  <c r="G675" i="1"/>
  <c r="F675" i="1"/>
  <c r="J674" i="1"/>
  <c r="I674" i="1"/>
  <c r="H674" i="1"/>
  <c r="G674" i="1"/>
  <c r="F674" i="1"/>
  <c r="J673" i="1"/>
  <c r="I673" i="1"/>
  <c r="H673" i="1"/>
  <c r="G673" i="1"/>
  <c r="F673" i="1"/>
  <c r="I672" i="1"/>
  <c r="J672" i="1" s="1"/>
  <c r="H672" i="1"/>
  <c r="G672" i="1"/>
  <c r="F672" i="1"/>
  <c r="I671" i="1"/>
  <c r="J671" i="1" s="1"/>
  <c r="H671" i="1"/>
  <c r="G671" i="1"/>
  <c r="F671" i="1"/>
  <c r="J670" i="1"/>
  <c r="I670" i="1"/>
  <c r="H670" i="1"/>
  <c r="G670" i="1"/>
  <c r="F670" i="1"/>
  <c r="J669" i="1"/>
  <c r="I669" i="1"/>
  <c r="H669" i="1"/>
  <c r="G669" i="1"/>
  <c r="F669" i="1"/>
  <c r="I668" i="1"/>
  <c r="J668" i="1" s="1"/>
  <c r="H668" i="1"/>
  <c r="G668" i="1"/>
  <c r="F668" i="1"/>
  <c r="I667" i="1"/>
  <c r="J667" i="1" s="1"/>
  <c r="H667" i="1"/>
  <c r="G667" i="1"/>
  <c r="F667" i="1"/>
  <c r="I666" i="1"/>
  <c r="J666" i="1" s="1"/>
  <c r="H666" i="1"/>
  <c r="G666" i="1"/>
  <c r="F666" i="1"/>
  <c r="J665" i="1"/>
  <c r="I665" i="1"/>
  <c r="H665" i="1"/>
  <c r="G665" i="1"/>
  <c r="F665" i="1"/>
  <c r="I664" i="1"/>
  <c r="J664" i="1" s="1"/>
  <c r="H664" i="1"/>
  <c r="G664" i="1"/>
  <c r="F664" i="1"/>
  <c r="I663" i="1"/>
  <c r="J663" i="1" s="1"/>
  <c r="H663" i="1"/>
  <c r="G663" i="1"/>
  <c r="F663" i="1"/>
  <c r="I662" i="1"/>
  <c r="J662" i="1" s="1"/>
  <c r="H662" i="1"/>
  <c r="G662" i="1"/>
  <c r="F662" i="1"/>
  <c r="J661" i="1"/>
  <c r="I661" i="1"/>
  <c r="H661" i="1"/>
  <c r="G661" i="1"/>
  <c r="F661" i="1"/>
  <c r="J660" i="1"/>
  <c r="I660" i="1"/>
  <c r="H660" i="1"/>
  <c r="G660" i="1"/>
  <c r="F660" i="1"/>
  <c r="J659" i="1"/>
  <c r="I659" i="1"/>
  <c r="H659" i="1"/>
  <c r="G659" i="1"/>
  <c r="F659" i="1"/>
  <c r="I658" i="1"/>
  <c r="J658" i="1" s="1"/>
  <c r="H658" i="1"/>
  <c r="G658" i="1"/>
  <c r="F658" i="1"/>
  <c r="I657" i="1"/>
  <c r="J657" i="1" s="1"/>
  <c r="H657" i="1"/>
  <c r="G657" i="1"/>
  <c r="F657" i="1"/>
  <c r="J656" i="1"/>
  <c r="I656" i="1"/>
  <c r="H656" i="1"/>
  <c r="G656" i="1"/>
  <c r="F656" i="1"/>
  <c r="J655" i="1"/>
  <c r="I655" i="1"/>
  <c r="H655" i="1"/>
  <c r="G655" i="1"/>
  <c r="F655" i="1"/>
  <c r="I654" i="1"/>
  <c r="J654" i="1" s="1"/>
  <c r="H654" i="1"/>
  <c r="G654" i="1"/>
  <c r="F654" i="1"/>
  <c r="I653" i="1"/>
  <c r="J653" i="1" s="1"/>
  <c r="H653" i="1"/>
  <c r="G653" i="1"/>
  <c r="F653" i="1"/>
  <c r="I652" i="1"/>
  <c r="J652" i="1" s="1"/>
  <c r="H652" i="1"/>
  <c r="G652" i="1"/>
  <c r="F652" i="1"/>
  <c r="J651" i="1"/>
  <c r="I651" i="1"/>
  <c r="H651" i="1"/>
  <c r="G651" i="1"/>
  <c r="F651" i="1"/>
  <c r="I650" i="1"/>
  <c r="J650" i="1" s="1"/>
  <c r="H650" i="1"/>
  <c r="G650" i="1"/>
  <c r="F650" i="1"/>
  <c r="I649" i="1"/>
  <c r="J649" i="1" s="1"/>
  <c r="H649" i="1"/>
  <c r="G649" i="1"/>
  <c r="F649" i="1"/>
  <c r="I648" i="1"/>
  <c r="J648" i="1" s="1"/>
  <c r="H648" i="1"/>
  <c r="G648" i="1"/>
  <c r="F648" i="1"/>
  <c r="J647" i="1"/>
  <c r="I647" i="1"/>
  <c r="H647" i="1"/>
  <c r="G647" i="1"/>
  <c r="F647" i="1"/>
  <c r="J646" i="1"/>
  <c r="I646" i="1"/>
  <c r="H646" i="1"/>
  <c r="G646" i="1"/>
  <c r="F646" i="1"/>
  <c r="J645" i="1"/>
  <c r="I645" i="1"/>
  <c r="H645" i="1"/>
  <c r="G645" i="1"/>
  <c r="F645" i="1"/>
  <c r="I644" i="1"/>
  <c r="J644" i="1" s="1"/>
  <c r="H644" i="1"/>
  <c r="G644" i="1"/>
  <c r="F644" i="1"/>
  <c r="I643" i="1"/>
  <c r="J643" i="1" s="1"/>
  <c r="H643" i="1"/>
  <c r="G643" i="1"/>
  <c r="F643" i="1"/>
  <c r="J642" i="1"/>
  <c r="I642" i="1"/>
  <c r="H642" i="1"/>
  <c r="G642" i="1"/>
  <c r="F642" i="1"/>
  <c r="J641" i="1"/>
  <c r="I641" i="1"/>
  <c r="H641" i="1"/>
  <c r="G641" i="1"/>
  <c r="F641" i="1"/>
  <c r="I640" i="1"/>
  <c r="J640" i="1" s="1"/>
  <c r="H640" i="1"/>
  <c r="G640" i="1"/>
  <c r="F640" i="1"/>
  <c r="I639" i="1"/>
  <c r="J639" i="1" s="1"/>
  <c r="H639" i="1"/>
  <c r="G639" i="1"/>
  <c r="F639" i="1"/>
  <c r="I638" i="1"/>
  <c r="J638" i="1" s="1"/>
  <c r="H638" i="1"/>
  <c r="G638" i="1"/>
  <c r="F638" i="1"/>
  <c r="J637" i="1"/>
  <c r="I637" i="1"/>
  <c r="H637" i="1"/>
  <c r="G637" i="1"/>
  <c r="F637" i="1"/>
  <c r="I636" i="1"/>
  <c r="J636" i="1" s="1"/>
  <c r="H636" i="1"/>
  <c r="G636" i="1"/>
  <c r="F636" i="1"/>
  <c r="I635" i="1"/>
  <c r="J635" i="1" s="1"/>
  <c r="H635" i="1"/>
  <c r="G635" i="1"/>
  <c r="F635" i="1"/>
  <c r="I634" i="1"/>
  <c r="J634" i="1" s="1"/>
  <c r="H634" i="1"/>
  <c r="G634" i="1"/>
  <c r="F634" i="1"/>
  <c r="J633" i="1"/>
  <c r="I633" i="1"/>
  <c r="H633" i="1"/>
  <c r="G633" i="1"/>
  <c r="F633" i="1"/>
  <c r="J632" i="1"/>
  <c r="I632" i="1"/>
  <c r="H632" i="1"/>
  <c r="G632" i="1"/>
  <c r="F632" i="1"/>
  <c r="J631" i="1"/>
  <c r="I631" i="1"/>
  <c r="H631" i="1"/>
  <c r="G631" i="1"/>
  <c r="F631" i="1"/>
  <c r="I630" i="1"/>
  <c r="J630" i="1" s="1"/>
  <c r="H630" i="1"/>
  <c r="G630" i="1"/>
  <c r="F630" i="1"/>
  <c r="I629" i="1"/>
  <c r="J629" i="1" s="1"/>
  <c r="H629" i="1"/>
  <c r="G629" i="1"/>
  <c r="F629" i="1"/>
  <c r="J628" i="1"/>
  <c r="I628" i="1"/>
  <c r="H628" i="1"/>
  <c r="G628" i="1"/>
  <c r="F628" i="1"/>
  <c r="J627" i="1"/>
  <c r="I627" i="1"/>
  <c r="H627" i="1"/>
  <c r="G627" i="1"/>
  <c r="F627" i="1"/>
  <c r="I626" i="1"/>
  <c r="J626" i="1" s="1"/>
  <c r="H626" i="1"/>
  <c r="G626" i="1"/>
  <c r="F626" i="1"/>
  <c r="I625" i="1"/>
  <c r="J625" i="1" s="1"/>
  <c r="H625" i="1"/>
  <c r="G625" i="1"/>
  <c r="F625" i="1"/>
  <c r="I624" i="1"/>
  <c r="J624" i="1" s="1"/>
  <c r="H624" i="1"/>
  <c r="G624" i="1"/>
  <c r="F624" i="1"/>
  <c r="J623" i="1"/>
  <c r="I623" i="1"/>
  <c r="H623" i="1"/>
  <c r="G623" i="1"/>
  <c r="F623" i="1"/>
  <c r="I622" i="1"/>
  <c r="J622" i="1" s="1"/>
  <c r="H622" i="1"/>
  <c r="G622" i="1"/>
  <c r="F622" i="1"/>
  <c r="I621" i="1"/>
  <c r="J621" i="1" s="1"/>
  <c r="H621" i="1"/>
  <c r="G621" i="1"/>
  <c r="F621" i="1"/>
  <c r="I620" i="1"/>
  <c r="J620" i="1" s="1"/>
  <c r="H620" i="1"/>
  <c r="G620" i="1"/>
  <c r="F620" i="1"/>
  <c r="J619" i="1"/>
  <c r="I619" i="1"/>
  <c r="H619" i="1"/>
  <c r="G619" i="1"/>
  <c r="F619" i="1"/>
  <c r="J618" i="1"/>
  <c r="I618" i="1"/>
  <c r="H618" i="1"/>
  <c r="G618" i="1"/>
  <c r="F618" i="1"/>
  <c r="J617" i="1"/>
  <c r="I617" i="1"/>
  <c r="H617" i="1"/>
  <c r="G617" i="1"/>
  <c r="F617" i="1"/>
  <c r="I616" i="1"/>
  <c r="J616" i="1" s="1"/>
  <c r="H616" i="1"/>
  <c r="G616" i="1"/>
  <c r="F616" i="1"/>
  <c r="I615" i="1"/>
  <c r="J615" i="1" s="1"/>
  <c r="H615" i="1"/>
  <c r="G615" i="1"/>
  <c r="F615" i="1"/>
  <c r="J614" i="1"/>
  <c r="I614" i="1"/>
  <c r="H614" i="1"/>
  <c r="G614" i="1"/>
  <c r="F614" i="1"/>
  <c r="J613" i="1"/>
  <c r="I613" i="1"/>
  <c r="H613" i="1"/>
  <c r="G613" i="1"/>
  <c r="F613" i="1"/>
  <c r="I612" i="1"/>
  <c r="J612" i="1" s="1"/>
  <c r="H612" i="1"/>
  <c r="G612" i="1"/>
  <c r="F612" i="1"/>
  <c r="I611" i="1"/>
  <c r="J611" i="1" s="1"/>
  <c r="H611" i="1"/>
  <c r="G611" i="1"/>
  <c r="F611" i="1"/>
  <c r="I610" i="1"/>
  <c r="J610" i="1" s="1"/>
  <c r="H610" i="1"/>
  <c r="G610" i="1"/>
  <c r="F610" i="1"/>
  <c r="J609" i="1"/>
  <c r="I609" i="1"/>
  <c r="H609" i="1"/>
  <c r="G609" i="1"/>
  <c r="F609" i="1"/>
  <c r="I608" i="1"/>
  <c r="J608" i="1" s="1"/>
  <c r="H608" i="1"/>
  <c r="G608" i="1"/>
  <c r="F608" i="1"/>
  <c r="I607" i="1"/>
  <c r="J607" i="1" s="1"/>
  <c r="H607" i="1"/>
  <c r="G607" i="1"/>
  <c r="F607" i="1"/>
  <c r="I606" i="1"/>
  <c r="J606" i="1" s="1"/>
  <c r="H606" i="1"/>
  <c r="G606" i="1"/>
  <c r="F606" i="1"/>
  <c r="J605" i="1"/>
  <c r="I605" i="1"/>
  <c r="H605" i="1"/>
  <c r="G605" i="1"/>
  <c r="F605" i="1"/>
  <c r="J604" i="1"/>
  <c r="I604" i="1"/>
  <c r="H604" i="1"/>
  <c r="G604" i="1"/>
  <c r="F604" i="1"/>
  <c r="J603" i="1"/>
  <c r="I603" i="1"/>
  <c r="H603" i="1"/>
  <c r="G603" i="1"/>
  <c r="F603" i="1"/>
  <c r="I602" i="1"/>
  <c r="J602" i="1" s="1"/>
  <c r="H602" i="1"/>
  <c r="G602" i="1"/>
  <c r="F602" i="1"/>
  <c r="I601" i="1"/>
  <c r="J601" i="1" s="1"/>
  <c r="H601" i="1"/>
  <c r="G601" i="1"/>
  <c r="F601" i="1"/>
  <c r="J600" i="1"/>
  <c r="I600" i="1"/>
  <c r="H600" i="1"/>
  <c r="G600" i="1"/>
  <c r="F600" i="1"/>
  <c r="J599" i="1"/>
  <c r="I599" i="1"/>
  <c r="H599" i="1"/>
  <c r="G599" i="1"/>
  <c r="F599" i="1"/>
  <c r="I598" i="1"/>
  <c r="J598" i="1" s="1"/>
  <c r="H598" i="1"/>
  <c r="G598" i="1"/>
  <c r="F598" i="1"/>
  <c r="I597" i="1"/>
  <c r="J597" i="1" s="1"/>
  <c r="H597" i="1"/>
  <c r="G597" i="1"/>
  <c r="F597" i="1"/>
  <c r="I596" i="1"/>
  <c r="J596" i="1" s="1"/>
  <c r="H596" i="1"/>
  <c r="G596" i="1"/>
  <c r="F596" i="1"/>
  <c r="J595" i="1"/>
  <c r="I595" i="1"/>
  <c r="H595" i="1"/>
  <c r="G595" i="1"/>
  <c r="F595" i="1"/>
  <c r="I594" i="1"/>
  <c r="J594" i="1" s="1"/>
  <c r="H594" i="1"/>
  <c r="G594" i="1"/>
  <c r="F594" i="1"/>
  <c r="I593" i="1"/>
  <c r="J593" i="1" s="1"/>
  <c r="H593" i="1"/>
  <c r="G593" i="1"/>
  <c r="F593" i="1"/>
  <c r="I592" i="1"/>
  <c r="J592" i="1" s="1"/>
  <c r="H592" i="1"/>
  <c r="G592" i="1"/>
  <c r="F592" i="1"/>
  <c r="J591" i="1"/>
  <c r="I591" i="1"/>
  <c r="H591" i="1"/>
  <c r="G591" i="1"/>
  <c r="F591" i="1"/>
  <c r="J590" i="1"/>
  <c r="I590" i="1"/>
  <c r="H590" i="1"/>
  <c r="G590" i="1"/>
  <c r="F590" i="1"/>
  <c r="J589" i="1"/>
  <c r="I589" i="1"/>
  <c r="H589" i="1"/>
  <c r="G589" i="1"/>
  <c r="F589" i="1"/>
  <c r="I588" i="1"/>
  <c r="J588" i="1" s="1"/>
  <c r="H588" i="1"/>
  <c r="G588" i="1"/>
  <c r="F588" i="1"/>
  <c r="I587" i="1"/>
  <c r="J587" i="1" s="1"/>
  <c r="H587" i="1"/>
  <c r="G587" i="1"/>
  <c r="F587" i="1"/>
  <c r="J586" i="1"/>
  <c r="I586" i="1"/>
  <c r="H586" i="1"/>
  <c r="G586" i="1"/>
  <c r="F586" i="1"/>
  <c r="J585" i="1"/>
  <c r="I585" i="1"/>
  <c r="H585" i="1"/>
  <c r="G585" i="1"/>
  <c r="F585" i="1"/>
  <c r="I584" i="1"/>
  <c r="J584" i="1" s="1"/>
  <c r="H584" i="1"/>
  <c r="G584" i="1"/>
  <c r="F584" i="1"/>
  <c r="I583" i="1"/>
  <c r="J583" i="1" s="1"/>
  <c r="H583" i="1"/>
  <c r="G583" i="1"/>
  <c r="F583" i="1"/>
  <c r="I582" i="1"/>
  <c r="J582" i="1" s="1"/>
  <c r="H582" i="1"/>
  <c r="G582" i="1"/>
  <c r="F582" i="1"/>
  <c r="J581" i="1"/>
  <c r="I581" i="1"/>
  <c r="H581" i="1"/>
  <c r="G581" i="1"/>
  <c r="F581" i="1"/>
  <c r="I580" i="1"/>
  <c r="J580" i="1" s="1"/>
  <c r="H580" i="1"/>
  <c r="G580" i="1"/>
  <c r="F580" i="1"/>
  <c r="I579" i="1"/>
  <c r="J579" i="1" s="1"/>
  <c r="H579" i="1"/>
  <c r="G579" i="1"/>
  <c r="F579" i="1"/>
  <c r="I578" i="1"/>
  <c r="J578" i="1" s="1"/>
  <c r="H578" i="1"/>
  <c r="G578" i="1"/>
  <c r="F578" i="1"/>
  <c r="J577" i="1"/>
  <c r="I577" i="1"/>
  <c r="H577" i="1"/>
  <c r="G577" i="1"/>
  <c r="F577" i="1"/>
  <c r="J576" i="1"/>
  <c r="I576" i="1"/>
  <c r="H576" i="1"/>
  <c r="G576" i="1"/>
  <c r="F576" i="1"/>
  <c r="J575" i="1"/>
  <c r="I575" i="1"/>
  <c r="H575" i="1"/>
  <c r="G575" i="1"/>
  <c r="F575" i="1"/>
  <c r="I574" i="1"/>
  <c r="J574" i="1" s="1"/>
  <c r="H574" i="1"/>
  <c r="G574" i="1"/>
  <c r="F574" i="1"/>
  <c r="I573" i="1"/>
  <c r="J573" i="1" s="1"/>
  <c r="H573" i="1"/>
  <c r="G573" i="1"/>
  <c r="F573" i="1"/>
  <c r="J572" i="1"/>
  <c r="I572" i="1"/>
  <c r="H572" i="1"/>
  <c r="G572" i="1"/>
  <c r="F572" i="1"/>
  <c r="J571" i="1"/>
  <c r="I571" i="1"/>
  <c r="H571" i="1"/>
  <c r="G571" i="1"/>
  <c r="F571" i="1"/>
  <c r="I570" i="1"/>
  <c r="J570" i="1" s="1"/>
  <c r="H570" i="1"/>
  <c r="G570" i="1"/>
  <c r="F570" i="1"/>
  <c r="I569" i="1"/>
  <c r="J569" i="1" s="1"/>
  <c r="H569" i="1"/>
  <c r="G569" i="1"/>
  <c r="F569" i="1"/>
  <c r="I568" i="1"/>
  <c r="J568" i="1" s="1"/>
  <c r="H568" i="1"/>
  <c r="G568" i="1"/>
  <c r="F568" i="1"/>
  <c r="J567" i="1"/>
  <c r="I567" i="1"/>
  <c r="H567" i="1"/>
  <c r="G567" i="1"/>
  <c r="F567" i="1"/>
  <c r="I566" i="1"/>
  <c r="J566" i="1" s="1"/>
  <c r="H566" i="1"/>
  <c r="G566" i="1"/>
  <c r="F566" i="1"/>
  <c r="I565" i="1"/>
  <c r="J565" i="1" s="1"/>
  <c r="H565" i="1"/>
  <c r="G565" i="1"/>
  <c r="F565" i="1"/>
  <c r="I564" i="1"/>
  <c r="J564" i="1" s="1"/>
  <c r="H564" i="1"/>
  <c r="G564" i="1"/>
  <c r="F564" i="1"/>
  <c r="J563" i="1"/>
  <c r="I563" i="1"/>
  <c r="H563" i="1"/>
  <c r="G563" i="1"/>
  <c r="F563" i="1"/>
  <c r="J562" i="1"/>
  <c r="I562" i="1"/>
  <c r="H562" i="1"/>
  <c r="G562" i="1"/>
  <c r="F562" i="1"/>
  <c r="J561" i="1"/>
  <c r="I561" i="1"/>
  <c r="H561" i="1"/>
  <c r="G561" i="1"/>
  <c r="F561" i="1"/>
  <c r="I560" i="1"/>
  <c r="J560" i="1" s="1"/>
  <c r="H560" i="1"/>
  <c r="G560" i="1"/>
  <c r="F560" i="1"/>
  <c r="I559" i="1"/>
  <c r="J559" i="1" s="1"/>
  <c r="H559" i="1"/>
  <c r="G559" i="1"/>
  <c r="F559" i="1"/>
  <c r="J558" i="1"/>
  <c r="I558" i="1"/>
  <c r="H558" i="1"/>
  <c r="G558" i="1"/>
  <c r="F558" i="1"/>
  <c r="J557" i="1"/>
  <c r="I557" i="1"/>
  <c r="H557" i="1"/>
  <c r="G557" i="1"/>
  <c r="F557" i="1"/>
  <c r="I556" i="1"/>
  <c r="J556" i="1" s="1"/>
  <c r="H556" i="1"/>
  <c r="G556" i="1"/>
  <c r="F556" i="1"/>
  <c r="I555" i="1"/>
  <c r="J555" i="1" s="1"/>
  <c r="H555" i="1"/>
  <c r="G555" i="1"/>
  <c r="F555" i="1"/>
  <c r="I554" i="1"/>
  <c r="J554" i="1" s="1"/>
  <c r="H554" i="1"/>
  <c r="G554" i="1"/>
  <c r="F554" i="1"/>
  <c r="J553" i="1"/>
  <c r="I553" i="1"/>
  <c r="H553" i="1"/>
  <c r="G553" i="1"/>
  <c r="F553" i="1"/>
  <c r="I552" i="1"/>
  <c r="J552" i="1" s="1"/>
  <c r="H552" i="1"/>
  <c r="G552" i="1"/>
  <c r="F552" i="1"/>
  <c r="I551" i="1"/>
  <c r="J551" i="1" s="1"/>
  <c r="H551" i="1"/>
  <c r="G551" i="1"/>
  <c r="F551" i="1"/>
  <c r="I550" i="1"/>
  <c r="J550" i="1" s="1"/>
  <c r="H550" i="1"/>
  <c r="G550" i="1"/>
  <c r="F550" i="1"/>
  <c r="J549" i="1"/>
  <c r="I549" i="1"/>
  <c r="H549" i="1"/>
  <c r="G549" i="1"/>
  <c r="F549" i="1"/>
  <c r="J548" i="1"/>
  <c r="I548" i="1"/>
  <c r="H548" i="1"/>
  <c r="G548" i="1"/>
  <c r="F548" i="1"/>
  <c r="J547" i="1"/>
  <c r="I547" i="1"/>
  <c r="H547" i="1"/>
  <c r="G547" i="1"/>
  <c r="F547" i="1"/>
  <c r="I546" i="1"/>
  <c r="J546" i="1" s="1"/>
  <c r="H546" i="1"/>
  <c r="G546" i="1"/>
  <c r="F546" i="1"/>
  <c r="I545" i="1"/>
  <c r="J545" i="1" s="1"/>
  <c r="H545" i="1"/>
  <c r="G545" i="1"/>
  <c r="F545" i="1"/>
  <c r="J544" i="1"/>
  <c r="I544" i="1"/>
  <c r="H544" i="1"/>
  <c r="G544" i="1"/>
  <c r="F544" i="1"/>
  <c r="J543" i="1"/>
  <c r="I543" i="1"/>
  <c r="H543" i="1"/>
  <c r="G543" i="1"/>
  <c r="F543" i="1"/>
  <c r="I542" i="1"/>
  <c r="J542" i="1" s="1"/>
  <c r="H542" i="1"/>
  <c r="G542" i="1"/>
  <c r="F542" i="1"/>
  <c r="I541" i="1"/>
  <c r="J541" i="1" s="1"/>
  <c r="H541" i="1"/>
  <c r="G541" i="1"/>
  <c r="F541" i="1"/>
  <c r="I540" i="1"/>
  <c r="J540" i="1" s="1"/>
  <c r="H540" i="1"/>
  <c r="G540" i="1"/>
  <c r="F540" i="1"/>
  <c r="J539" i="1"/>
  <c r="I539" i="1"/>
  <c r="H539" i="1"/>
  <c r="G539" i="1"/>
  <c r="F539" i="1"/>
  <c r="I538" i="1"/>
  <c r="J538" i="1" s="1"/>
  <c r="H538" i="1"/>
  <c r="G538" i="1"/>
  <c r="F538" i="1"/>
  <c r="I537" i="1"/>
  <c r="J537" i="1" s="1"/>
  <c r="H537" i="1"/>
  <c r="G537" i="1"/>
  <c r="F537" i="1"/>
  <c r="I536" i="1"/>
  <c r="J536" i="1" s="1"/>
  <c r="H536" i="1"/>
  <c r="G536" i="1"/>
  <c r="F536" i="1"/>
  <c r="J535" i="1"/>
  <c r="I535" i="1"/>
  <c r="H535" i="1"/>
  <c r="G535" i="1"/>
  <c r="F535" i="1"/>
  <c r="J534" i="1"/>
  <c r="I534" i="1"/>
  <c r="H534" i="1"/>
  <c r="G534" i="1"/>
  <c r="F534" i="1"/>
  <c r="J533" i="1"/>
  <c r="I533" i="1"/>
  <c r="H533" i="1"/>
  <c r="G533" i="1"/>
  <c r="F533" i="1"/>
  <c r="I532" i="1"/>
  <c r="J532" i="1" s="1"/>
  <c r="H532" i="1"/>
  <c r="G532" i="1"/>
  <c r="F532" i="1"/>
  <c r="I531" i="1"/>
  <c r="J531" i="1" s="1"/>
  <c r="H531" i="1"/>
  <c r="G531" i="1"/>
  <c r="F531" i="1"/>
  <c r="J530" i="1"/>
  <c r="I530" i="1"/>
  <c r="H530" i="1"/>
  <c r="G530" i="1"/>
  <c r="F530" i="1"/>
  <c r="J529" i="1"/>
  <c r="I529" i="1"/>
  <c r="H529" i="1"/>
  <c r="G529" i="1"/>
  <c r="F529" i="1"/>
  <c r="I528" i="1"/>
  <c r="J528" i="1" s="1"/>
  <c r="H528" i="1"/>
  <c r="G528" i="1"/>
  <c r="F528" i="1"/>
  <c r="I527" i="1"/>
  <c r="J527" i="1" s="1"/>
  <c r="H527" i="1"/>
  <c r="G527" i="1"/>
  <c r="F527" i="1"/>
  <c r="I526" i="1"/>
  <c r="J526" i="1" s="1"/>
  <c r="H526" i="1"/>
  <c r="G526" i="1"/>
  <c r="F526" i="1"/>
  <c r="J525" i="1"/>
  <c r="I525" i="1"/>
  <c r="H525" i="1"/>
  <c r="G525" i="1"/>
  <c r="F525" i="1"/>
  <c r="I524" i="1"/>
  <c r="J524" i="1" s="1"/>
  <c r="H524" i="1"/>
  <c r="G524" i="1"/>
  <c r="F524" i="1"/>
  <c r="I523" i="1"/>
  <c r="J523" i="1" s="1"/>
  <c r="H523" i="1"/>
  <c r="G523" i="1"/>
  <c r="F523" i="1"/>
  <c r="I522" i="1"/>
  <c r="J522" i="1" s="1"/>
  <c r="H522" i="1"/>
  <c r="G522" i="1"/>
  <c r="F522" i="1"/>
  <c r="J521" i="1"/>
  <c r="I521" i="1"/>
  <c r="H521" i="1"/>
  <c r="G521" i="1"/>
  <c r="F521" i="1"/>
  <c r="J520" i="1"/>
  <c r="I520" i="1"/>
  <c r="H520" i="1"/>
  <c r="G520" i="1"/>
  <c r="F520" i="1"/>
  <c r="J519" i="1"/>
  <c r="I519" i="1"/>
  <c r="H519" i="1"/>
  <c r="G519" i="1"/>
  <c r="F519" i="1"/>
  <c r="I518" i="1"/>
  <c r="J518" i="1" s="1"/>
  <c r="H518" i="1"/>
  <c r="G518" i="1"/>
  <c r="F518" i="1"/>
  <c r="I517" i="1"/>
  <c r="J517" i="1" s="1"/>
  <c r="H517" i="1"/>
  <c r="G517" i="1"/>
  <c r="F517" i="1"/>
  <c r="J516" i="1"/>
  <c r="I516" i="1"/>
  <c r="H516" i="1"/>
  <c r="G516" i="1"/>
  <c r="F516" i="1"/>
  <c r="J515" i="1"/>
  <c r="I515" i="1"/>
  <c r="H515" i="1"/>
  <c r="G515" i="1"/>
  <c r="F515" i="1"/>
  <c r="I514" i="1"/>
  <c r="J514" i="1" s="1"/>
  <c r="H514" i="1"/>
  <c r="G514" i="1"/>
  <c r="F514" i="1"/>
  <c r="I513" i="1"/>
  <c r="J513" i="1" s="1"/>
  <c r="H513" i="1"/>
  <c r="G513" i="1"/>
  <c r="F513" i="1"/>
  <c r="I512" i="1"/>
  <c r="J512" i="1" s="1"/>
  <c r="H512" i="1"/>
  <c r="G512" i="1"/>
  <c r="F512" i="1"/>
  <c r="J511" i="1"/>
  <c r="I511" i="1"/>
  <c r="H511" i="1"/>
  <c r="G511" i="1"/>
  <c r="F511" i="1"/>
  <c r="I510" i="1"/>
  <c r="J510" i="1" s="1"/>
  <c r="H510" i="1"/>
  <c r="G510" i="1"/>
  <c r="F510" i="1"/>
  <c r="I509" i="1"/>
  <c r="J509" i="1" s="1"/>
  <c r="H509" i="1"/>
  <c r="G509" i="1"/>
  <c r="F509" i="1"/>
  <c r="I508" i="1"/>
  <c r="J508" i="1" s="1"/>
  <c r="H508" i="1"/>
  <c r="G508" i="1"/>
  <c r="F508" i="1"/>
  <c r="J507" i="1"/>
  <c r="I507" i="1"/>
  <c r="H507" i="1"/>
  <c r="G507" i="1"/>
  <c r="F507" i="1"/>
  <c r="J506" i="1"/>
  <c r="I506" i="1"/>
  <c r="H506" i="1"/>
  <c r="G506" i="1"/>
  <c r="F506" i="1"/>
  <c r="J505" i="1"/>
  <c r="I505" i="1"/>
  <c r="H505" i="1"/>
  <c r="G505" i="1"/>
  <c r="F505" i="1"/>
  <c r="I504" i="1"/>
  <c r="J504" i="1" s="1"/>
  <c r="H504" i="1"/>
  <c r="G504" i="1"/>
  <c r="F504" i="1"/>
  <c r="I503" i="1"/>
  <c r="J503" i="1" s="1"/>
  <c r="H503" i="1"/>
  <c r="G503" i="1"/>
  <c r="F503" i="1"/>
  <c r="J502" i="1"/>
  <c r="I502" i="1"/>
  <c r="H502" i="1"/>
  <c r="G502" i="1"/>
  <c r="F502" i="1"/>
  <c r="J501" i="1"/>
  <c r="I501" i="1"/>
  <c r="H501" i="1"/>
  <c r="G501" i="1"/>
  <c r="F501" i="1"/>
  <c r="I500" i="1"/>
  <c r="J500" i="1" s="1"/>
  <c r="H500" i="1"/>
  <c r="G500" i="1"/>
  <c r="F500" i="1"/>
  <c r="I499" i="1"/>
  <c r="J499" i="1" s="1"/>
  <c r="H499" i="1"/>
  <c r="G499" i="1"/>
  <c r="F499" i="1"/>
  <c r="I498" i="1"/>
  <c r="J498" i="1" s="1"/>
  <c r="H498" i="1"/>
  <c r="G498" i="1"/>
  <c r="F498" i="1"/>
  <c r="J497" i="1"/>
  <c r="I497" i="1"/>
  <c r="H497" i="1"/>
  <c r="G497" i="1"/>
  <c r="F497" i="1"/>
  <c r="I496" i="1"/>
  <c r="J496" i="1" s="1"/>
  <c r="H496" i="1"/>
  <c r="G496" i="1"/>
  <c r="F496" i="1"/>
  <c r="I495" i="1"/>
  <c r="J495" i="1" s="1"/>
  <c r="H495" i="1"/>
  <c r="G495" i="1"/>
  <c r="F495" i="1"/>
  <c r="I494" i="1"/>
  <c r="J494" i="1" s="1"/>
  <c r="H494" i="1"/>
  <c r="G494" i="1"/>
  <c r="F494" i="1"/>
  <c r="J493" i="1"/>
  <c r="I493" i="1"/>
  <c r="H493" i="1"/>
  <c r="G493" i="1"/>
  <c r="F493" i="1"/>
  <c r="J492" i="1"/>
  <c r="I492" i="1"/>
  <c r="H492" i="1"/>
  <c r="G492" i="1"/>
  <c r="F492" i="1"/>
  <c r="J491" i="1"/>
  <c r="I491" i="1"/>
  <c r="H491" i="1"/>
  <c r="G491" i="1"/>
  <c r="F491" i="1"/>
  <c r="I490" i="1"/>
  <c r="J490" i="1" s="1"/>
  <c r="H490" i="1"/>
  <c r="G490" i="1"/>
  <c r="F490" i="1"/>
  <c r="I489" i="1"/>
  <c r="J489" i="1" s="1"/>
  <c r="H489" i="1"/>
  <c r="G489" i="1"/>
  <c r="F489" i="1"/>
  <c r="J488" i="1"/>
  <c r="I488" i="1"/>
  <c r="H488" i="1"/>
  <c r="G488" i="1"/>
  <c r="F488" i="1"/>
  <c r="J487" i="1"/>
  <c r="I487" i="1"/>
  <c r="H487" i="1"/>
  <c r="G487" i="1"/>
  <c r="F487" i="1"/>
  <c r="I486" i="1"/>
  <c r="J486" i="1" s="1"/>
  <c r="H486" i="1"/>
  <c r="G486" i="1"/>
  <c r="F486" i="1"/>
  <c r="I485" i="1"/>
  <c r="J485" i="1" s="1"/>
  <c r="H485" i="1"/>
  <c r="G485" i="1"/>
  <c r="F485" i="1"/>
  <c r="I484" i="1"/>
  <c r="J484" i="1" s="1"/>
  <c r="H484" i="1"/>
  <c r="G484" i="1"/>
  <c r="F484" i="1"/>
  <c r="J483" i="1"/>
  <c r="I483" i="1"/>
  <c r="H483" i="1"/>
  <c r="G483" i="1"/>
  <c r="F483" i="1"/>
  <c r="I482" i="1"/>
  <c r="J482" i="1" s="1"/>
  <c r="H482" i="1"/>
  <c r="G482" i="1"/>
  <c r="F482" i="1"/>
  <c r="I481" i="1"/>
  <c r="J481" i="1" s="1"/>
  <c r="H481" i="1"/>
  <c r="G481" i="1"/>
  <c r="F481" i="1"/>
  <c r="I480" i="1"/>
  <c r="J480" i="1" s="1"/>
  <c r="H480" i="1"/>
  <c r="G480" i="1"/>
  <c r="F480" i="1"/>
  <c r="J479" i="1"/>
  <c r="I479" i="1"/>
  <c r="H479" i="1"/>
  <c r="G479" i="1"/>
  <c r="F479" i="1"/>
  <c r="J478" i="1"/>
  <c r="I478" i="1"/>
  <c r="H478" i="1"/>
  <c r="G478" i="1"/>
  <c r="F478" i="1"/>
  <c r="J477" i="1"/>
  <c r="I477" i="1"/>
  <c r="H477" i="1"/>
  <c r="G477" i="1"/>
  <c r="F477" i="1"/>
  <c r="I476" i="1"/>
  <c r="J476" i="1" s="1"/>
  <c r="H476" i="1"/>
  <c r="G476" i="1"/>
  <c r="F476" i="1"/>
  <c r="I475" i="1"/>
  <c r="J475" i="1" s="1"/>
  <c r="H475" i="1"/>
  <c r="G475" i="1"/>
  <c r="F475" i="1"/>
  <c r="J474" i="1"/>
  <c r="I474" i="1"/>
  <c r="H474" i="1"/>
  <c r="G474" i="1"/>
  <c r="F474" i="1"/>
  <c r="J473" i="1"/>
  <c r="I473" i="1"/>
  <c r="H473" i="1"/>
  <c r="G473" i="1"/>
  <c r="F473" i="1"/>
  <c r="I472" i="1"/>
  <c r="J472" i="1" s="1"/>
  <c r="H472" i="1"/>
  <c r="G472" i="1"/>
  <c r="F472" i="1"/>
  <c r="I471" i="1"/>
  <c r="J471" i="1" s="1"/>
  <c r="H471" i="1"/>
  <c r="G471" i="1"/>
  <c r="F471" i="1"/>
  <c r="I470" i="1"/>
  <c r="J470" i="1" s="1"/>
  <c r="H470" i="1"/>
  <c r="G470" i="1"/>
  <c r="F470" i="1"/>
  <c r="J469" i="1"/>
  <c r="I469" i="1"/>
  <c r="H469" i="1"/>
  <c r="G469" i="1"/>
  <c r="F469" i="1"/>
  <c r="I468" i="1"/>
  <c r="J468" i="1" s="1"/>
  <c r="H468" i="1"/>
  <c r="G468" i="1"/>
  <c r="F468" i="1"/>
  <c r="I467" i="1"/>
  <c r="J467" i="1" s="1"/>
  <c r="H467" i="1"/>
  <c r="G467" i="1"/>
  <c r="F467" i="1"/>
  <c r="I466" i="1"/>
  <c r="J466" i="1" s="1"/>
  <c r="H466" i="1"/>
  <c r="G466" i="1"/>
  <c r="F466" i="1"/>
  <c r="J465" i="1"/>
  <c r="I465" i="1"/>
  <c r="H465" i="1"/>
  <c r="G465" i="1"/>
  <c r="F465" i="1"/>
  <c r="J464" i="1"/>
  <c r="I464" i="1"/>
  <c r="H464" i="1"/>
  <c r="G464" i="1"/>
  <c r="F464" i="1"/>
  <c r="J463" i="1"/>
  <c r="I463" i="1"/>
  <c r="H463" i="1"/>
  <c r="G463" i="1"/>
  <c r="F463" i="1"/>
  <c r="I462" i="1"/>
  <c r="J462" i="1" s="1"/>
  <c r="H462" i="1"/>
  <c r="G462" i="1"/>
  <c r="F462" i="1"/>
  <c r="I461" i="1"/>
  <c r="J461" i="1" s="1"/>
  <c r="H461" i="1"/>
  <c r="G461" i="1"/>
  <c r="F461" i="1"/>
  <c r="J460" i="1"/>
  <c r="I460" i="1"/>
  <c r="H460" i="1"/>
  <c r="G460" i="1"/>
  <c r="F460" i="1"/>
  <c r="J459" i="1"/>
  <c r="I459" i="1"/>
  <c r="H459" i="1"/>
  <c r="G459" i="1"/>
  <c r="F459" i="1"/>
  <c r="I458" i="1"/>
  <c r="J458" i="1" s="1"/>
  <c r="H458" i="1"/>
  <c r="G458" i="1"/>
  <c r="F458" i="1"/>
  <c r="I457" i="1"/>
  <c r="J457" i="1" s="1"/>
  <c r="H457" i="1"/>
  <c r="G457" i="1"/>
  <c r="F457" i="1"/>
  <c r="I456" i="1"/>
  <c r="J456" i="1" s="1"/>
  <c r="H456" i="1"/>
  <c r="G456" i="1"/>
  <c r="F456" i="1"/>
  <c r="J455" i="1"/>
  <c r="I455" i="1"/>
  <c r="H455" i="1"/>
  <c r="G455" i="1"/>
  <c r="F455" i="1"/>
  <c r="I454" i="1"/>
  <c r="J454" i="1" s="1"/>
  <c r="H454" i="1"/>
  <c r="G454" i="1"/>
  <c r="F454" i="1"/>
  <c r="I453" i="1"/>
  <c r="J453" i="1" s="1"/>
  <c r="H453" i="1"/>
  <c r="G453" i="1"/>
  <c r="F453" i="1"/>
  <c r="I452" i="1"/>
  <c r="J452" i="1" s="1"/>
  <c r="H452" i="1"/>
  <c r="G452" i="1"/>
  <c r="F452" i="1"/>
  <c r="J451" i="1"/>
  <c r="I451" i="1"/>
  <c r="H451" i="1"/>
  <c r="G451" i="1"/>
  <c r="F451" i="1"/>
  <c r="J450" i="1"/>
  <c r="I450" i="1"/>
  <c r="H450" i="1"/>
  <c r="G450" i="1"/>
  <c r="F450" i="1"/>
  <c r="J449" i="1"/>
  <c r="I449" i="1"/>
  <c r="H449" i="1"/>
  <c r="G449" i="1"/>
  <c r="F449" i="1"/>
  <c r="I448" i="1"/>
  <c r="J448" i="1" s="1"/>
  <c r="H448" i="1"/>
  <c r="G448" i="1"/>
  <c r="F448" i="1"/>
  <c r="I447" i="1"/>
  <c r="J447" i="1" s="1"/>
  <c r="H447" i="1"/>
  <c r="G447" i="1"/>
  <c r="F447" i="1"/>
  <c r="J446" i="1"/>
  <c r="I446" i="1"/>
  <c r="H446" i="1"/>
  <c r="G446" i="1"/>
  <c r="F446" i="1"/>
  <c r="J445" i="1"/>
  <c r="I445" i="1"/>
  <c r="H445" i="1"/>
  <c r="G445" i="1"/>
  <c r="F445" i="1"/>
  <c r="I444" i="1"/>
  <c r="J444" i="1" s="1"/>
  <c r="H444" i="1"/>
  <c r="G444" i="1"/>
  <c r="F444" i="1"/>
  <c r="I443" i="1"/>
  <c r="J443" i="1" s="1"/>
  <c r="H443" i="1"/>
  <c r="G443" i="1"/>
  <c r="F443" i="1"/>
  <c r="I442" i="1"/>
  <c r="J442" i="1" s="1"/>
  <c r="H442" i="1"/>
  <c r="G442" i="1"/>
  <c r="F442" i="1"/>
  <c r="J441" i="1"/>
  <c r="I441" i="1"/>
  <c r="H441" i="1"/>
  <c r="G441" i="1"/>
  <c r="F441" i="1"/>
  <c r="I440" i="1"/>
  <c r="J440" i="1" s="1"/>
  <c r="H440" i="1"/>
  <c r="G440" i="1"/>
  <c r="F440" i="1"/>
  <c r="I439" i="1"/>
  <c r="J439" i="1" s="1"/>
  <c r="H439" i="1"/>
  <c r="G439" i="1"/>
  <c r="F439" i="1"/>
  <c r="I438" i="1"/>
  <c r="J438" i="1" s="1"/>
  <c r="H438" i="1"/>
  <c r="G438" i="1"/>
  <c r="F438" i="1"/>
  <c r="J437" i="1"/>
  <c r="I437" i="1"/>
  <c r="H437" i="1"/>
  <c r="G437" i="1"/>
  <c r="F437" i="1"/>
  <c r="J436" i="1"/>
  <c r="I436" i="1"/>
  <c r="H436" i="1"/>
  <c r="G436" i="1"/>
  <c r="F436" i="1"/>
  <c r="J435" i="1"/>
  <c r="I435" i="1"/>
  <c r="H435" i="1"/>
  <c r="G435" i="1"/>
  <c r="F435" i="1"/>
  <c r="I434" i="1"/>
  <c r="J434" i="1" s="1"/>
  <c r="H434" i="1"/>
  <c r="G434" i="1"/>
  <c r="F434" i="1"/>
  <c r="I433" i="1"/>
  <c r="J433" i="1" s="1"/>
  <c r="H433" i="1"/>
  <c r="G433" i="1"/>
  <c r="F433" i="1"/>
  <c r="J432" i="1"/>
  <c r="I432" i="1"/>
  <c r="H432" i="1"/>
  <c r="G432" i="1"/>
  <c r="F432" i="1"/>
  <c r="J431" i="1"/>
  <c r="I431" i="1"/>
  <c r="H431" i="1"/>
  <c r="G431" i="1"/>
  <c r="F431" i="1"/>
  <c r="I430" i="1"/>
  <c r="J430" i="1" s="1"/>
  <c r="H430" i="1"/>
  <c r="G430" i="1"/>
  <c r="F430" i="1"/>
  <c r="I429" i="1"/>
  <c r="J429" i="1" s="1"/>
  <c r="H429" i="1"/>
  <c r="G429" i="1"/>
  <c r="F429" i="1"/>
  <c r="I428" i="1"/>
  <c r="J428" i="1" s="1"/>
  <c r="H428" i="1"/>
  <c r="G428" i="1"/>
  <c r="F428" i="1"/>
  <c r="J427" i="1"/>
  <c r="I427" i="1"/>
  <c r="H427" i="1"/>
  <c r="G427" i="1"/>
  <c r="F427" i="1"/>
  <c r="I426" i="1"/>
  <c r="J426" i="1" s="1"/>
  <c r="H426" i="1"/>
  <c r="G426" i="1"/>
  <c r="F426" i="1"/>
  <c r="I425" i="1"/>
  <c r="J425" i="1" s="1"/>
  <c r="H425" i="1"/>
  <c r="G425" i="1"/>
  <c r="F425" i="1"/>
  <c r="I424" i="1"/>
  <c r="J424" i="1" s="1"/>
  <c r="H424" i="1"/>
  <c r="G424" i="1"/>
  <c r="F424" i="1"/>
  <c r="J423" i="1"/>
  <c r="I423" i="1"/>
  <c r="H423" i="1"/>
  <c r="G423" i="1"/>
  <c r="F423" i="1"/>
  <c r="J422" i="1"/>
  <c r="I422" i="1"/>
  <c r="H422" i="1"/>
  <c r="G422" i="1"/>
  <c r="F422" i="1"/>
  <c r="J421" i="1"/>
  <c r="I421" i="1"/>
  <c r="H421" i="1"/>
  <c r="G421" i="1"/>
  <c r="F421" i="1"/>
  <c r="I420" i="1"/>
  <c r="J420" i="1" s="1"/>
  <c r="H420" i="1"/>
  <c r="G420" i="1"/>
  <c r="F420" i="1"/>
  <c r="I419" i="1"/>
  <c r="J419" i="1" s="1"/>
  <c r="H419" i="1"/>
  <c r="G419" i="1"/>
  <c r="F419" i="1"/>
  <c r="J418" i="1"/>
  <c r="I418" i="1"/>
  <c r="H418" i="1"/>
  <c r="G418" i="1"/>
  <c r="F418" i="1"/>
  <c r="J417" i="1"/>
  <c r="I417" i="1"/>
  <c r="H417" i="1"/>
  <c r="G417" i="1"/>
  <c r="F417" i="1"/>
  <c r="I416" i="1"/>
  <c r="J416" i="1" s="1"/>
  <c r="H416" i="1"/>
  <c r="G416" i="1"/>
  <c r="F416" i="1"/>
  <c r="I415" i="1"/>
  <c r="J415" i="1" s="1"/>
  <c r="H415" i="1"/>
  <c r="G415" i="1"/>
  <c r="F415" i="1"/>
  <c r="I414" i="1"/>
  <c r="J414" i="1" s="1"/>
  <c r="H414" i="1"/>
  <c r="G414" i="1"/>
  <c r="F414" i="1"/>
  <c r="J413" i="1"/>
  <c r="I413" i="1"/>
  <c r="H413" i="1"/>
  <c r="G413" i="1"/>
  <c r="F413" i="1"/>
  <c r="I412" i="1"/>
  <c r="J412" i="1" s="1"/>
  <c r="H412" i="1"/>
  <c r="G412" i="1"/>
  <c r="F412" i="1"/>
  <c r="I411" i="1"/>
  <c r="J411" i="1" s="1"/>
  <c r="H411" i="1"/>
  <c r="G411" i="1"/>
  <c r="F411" i="1"/>
  <c r="I410" i="1"/>
  <c r="J410" i="1" s="1"/>
  <c r="H410" i="1"/>
  <c r="G410" i="1"/>
  <c r="F410" i="1"/>
  <c r="J409" i="1"/>
  <c r="I409" i="1"/>
  <c r="H409" i="1"/>
  <c r="G409" i="1"/>
  <c r="F409" i="1"/>
  <c r="J408" i="1"/>
  <c r="I408" i="1"/>
  <c r="H408" i="1"/>
  <c r="G408" i="1"/>
  <c r="F408" i="1"/>
  <c r="J407" i="1"/>
  <c r="I407" i="1"/>
  <c r="H407" i="1"/>
  <c r="G407" i="1"/>
  <c r="F407" i="1"/>
  <c r="I406" i="1"/>
  <c r="J406" i="1" s="1"/>
  <c r="H406" i="1"/>
  <c r="G406" i="1"/>
  <c r="F406" i="1"/>
  <c r="I405" i="1"/>
  <c r="J405" i="1" s="1"/>
  <c r="H405" i="1"/>
  <c r="G405" i="1"/>
  <c r="F405" i="1"/>
  <c r="J404" i="1"/>
  <c r="I404" i="1"/>
  <c r="H404" i="1"/>
  <c r="G404" i="1"/>
  <c r="F404" i="1"/>
  <c r="J403" i="1"/>
  <c r="I403" i="1"/>
  <c r="H403" i="1"/>
  <c r="G403" i="1"/>
  <c r="F403" i="1"/>
  <c r="I402" i="1"/>
  <c r="J402" i="1" s="1"/>
  <c r="H402" i="1"/>
  <c r="G402" i="1"/>
  <c r="F402" i="1"/>
  <c r="I401" i="1"/>
  <c r="J401" i="1" s="1"/>
  <c r="H401" i="1"/>
  <c r="G401" i="1"/>
  <c r="F401" i="1"/>
  <c r="I400" i="1"/>
  <c r="J400" i="1" s="1"/>
  <c r="H400" i="1"/>
  <c r="G400" i="1"/>
  <c r="F400" i="1"/>
  <c r="J399" i="1"/>
  <c r="I399" i="1"/>
  <c r="H399" i="1"/>
  <c r="G399" i="1"/>
  <c r="F399" i="1"/>
  <c r="I398" i="1"/>
  <c r="J398" i="1" s="1"/>
  <c r="H398" i="1"/>
  <c r="G398" i="1"/>
  <c r="F398" i="1"/>
  <c r="I397" i="1"/>
  <c r="J397" i="1" s="1"/>
  <c r="H397" i="1"/>
  <c r="G397" i="1"/>
  <c r="F397" i="1"/>
  <c r="I396" i="1"/>
  <c r="J396" i="1" s="1"/>
  <c r="H396" i="1"/>
  <c r="G396" i="1"/>
  <c r="F396" i="1"/>
  <c r="J395" i="1"/>
  <c r="I395" i="1"/>
  <c r="H395" i="1"/>
  <c r="G395" i="1"/>
  <c r="F395" i="1"/>
  <c r="J394" i="1"/>
  <c r="I394" i="1"/>
  <c r="H394" i="1"/>
  <c r="G394" i="1"/>
  <c r="F394" i="1"/>
  <c r="J393" i="1"/>
  <c r="I393" i="1"/>
  <c r="H393" i="1"/>
  <c r="G393" i="1"/>
  <c r="F393" i="1"/>
  <c r="I392" i="1"/>
  <c r="J392" i="1" s="1"/>
  <c r="H392" i="1"/>
  <c r="G392" i="1"/>
  <c r="F392" i="1"/>
  <c r="I391" i="1"/>
  <c r="J391" i="1" s="1"/>
  <c r="H391" i="1"/>
  <c r="G391" i="1"/>
  <c r="F391" i="1"/>
  <c r="J390" i="1"/>
  <c r="I390" i="1"/>
  <c r="H390" i="1"/>
  <c r="G390" i="1"/>
  <c r="F390" i="1"/>
  <c r="J389" i="1"/>
  <c r="I389" i="1"/>
  <c r="H389" i="1"/>
  <c r="G389" i="1"/>
  <c r="F389" i="1"/>
  <c r="I388" i="1"/>
  <c r="J388" i="1" s="1"/>
  <c r="H388" i="1"/>
  <c r="G388" i="1"/>
  <c r="F388" i="1"/>
  <c r="I387" i="1"/>
  <c r="J387" i="1" s="1"/>
  <c r="H387" i="1"/>
  <c r="G387" i="1"/>
  <c r="F387" i="1"/>
  <c r="I386" i="1"/>
  <c r="J386" i="1" s="1"/>
  <c r="H386" i="1"/>
  <c r="G386" i="1"/>
  <c r="F386" i="1"/>
  <c r="J385" i="1"/>
  <c r="I385" i="1"/>
  <c r="H385" i="1"/>
  <c r="G385" i="1"/>
  <c r="F385" i="1"/>
  <c r="I384" i="1"/>
  <c r="J384" i="1" s="1"/>
  <c r="H384" i="1"/>
  <c r="G384" i="1"/>
  <c r="F384" i="1"/>
  <c r="I383" i="1"/>
  <c r="J383" i="1" s="1"/>
  <c r="H383" i="1"/>
  <c r="G383" i="1"/>
  <c r="F383" i="1"/>
  <c r="I382" i="1"/>
  <c r="J382" i="1" s="1"/>
  <c r="H382" i="1"/>
  <c r="G382" i="1"/>
  <c r="F382" i="1"/>
  <c r="J381" i="1"/>
  <c r="I381" i="1"/>
  <c r="H381" i="1"/>
  <c r="G381" i="1"/>
  <c r="F381" i="1"/>
  <c r="J380" i="1"/>
  <c r="I380" i="1"/>
  <c r="H380" i="1"/>
  <c r="G380" i="1"/>
  <c r="F380" i="1"/>
  <c r="J379" i="1"/>
  <c r="I379" i="1"/>
  <c r="H379" i="1"/>
  <c r="G379" i="1"/>
  <c r="F379" i="1"/>
  <c r="I378" i="1"/>
  <c r="J378" i="1" s="1"/>
  <c r="H378" i="1"/>
  <c r="G378" i="1"/>
  <c r="F378" i="1"/>
  <c r="I377" i="1"/>
  <c r="J377" i="1" s="1"/>
  <c r="H377" i="1"/>
  <c r="G377" i="1"/>
  <c r="F377" i="1"/>
  <c r="J376" i="1"/>
  <c r="I376" i="1"/>
  <c r="H376" i="1"/>
  <c r="G376" i="1"/>
  <c r="F376" i="1"/>
  <c r="J375" i="1"/>
  <c r="I375" i="1"/>
  <c r="H375" i="1"/>
  <c r="G375" i="1"/>
  <c r="F375" i="1"/>
  <c r="I374" i="1"/>
  <c r="J374" i="1" s="1"/>
  <c r="H374" i="1"/>
  <c r="G374" i="1"/>
  <c r="F374" i="1"/>
  <c r="I373" i="1"/>
  <c r="J373" i="1" s="1"/>
  <c r="H373" i="1"/>
  <c r="G373" i="1"/>
  <c r="F373" i="1"/>
  <c r="I372" i="1"/>
  <c r="J372" i="1" s="1"/>
  <c r="H372" i="1"/>
  <c r="G372" i="1"/>
  <c r="F372" i="1"/>
  <c r="J371" i="1"/>
  <c r="I371" i="1"/>
  <c r="H371" i="1"/>
  <c r="G371" i="1"/>
  <c r="F371" i="1"/>
  <c r="I370" i="1"/>
  <c r="J370" i="1" s="1"/>
  <c r="H370" i="1"/>
  <c r="G370" i="1"/>
  <c r="F370" i="1"/>
  <c r="I369" i="1"/>
  <c r="J369" i="1" s="1"/>
  <c r="H369" i="1"/>
  <c r="G369" i="1"/>
  <c r="F369" i="1"/>
  <c r="I368" i="1"/>
  <c r="J368" i="1" s="1"/>
  <c r="H368" i="1"/>
  <c r="G368" i="1"/>
  <c r="F368" i="1"/>
  <c r="J367" i="1"/>
  <c r="I367" i="1"/>
  <c r="H367" i="1"/>
  <c r="G367" i="1"/>
  <c r="F367" i="1"/>
  <c r="J366" i="1"/>
  <c r="I366" i="1"/>
  <c r="H366" i="1"/>
  <c r="G366" i="1"/>
  <c r="F366" i="1"/>
  <c r="J365" i="1"/>
  <c r="I365" i="1"/>
  <c r="H365" i="1"/>
  <c r="G365" i="1"/>
  <c r="F365" i="1"/>
  <c r="I364" i="1"/>
  <c r="J364" i="1" s="1"/>
  <c r="H364" i="1"/>
  <c r="G364" i="1"/>
  <c r="F364" i="1"/>
  <c r="I363" i="1"/>
  <c r="J363" i="1" s="1"/>
  <c r="H363" i="1"/>
  <c r="G363" i="1"/>
  <c r="F363" i="1"/>
  <c r="J362" i="1"/>
  <c r="I362" i="1"/>
  <c r="H362" i="1"/>
  <c r="G362" i="1"/>
  <c r="F362" i="1"/>
  <c r="J361" i="1"/>
  <c r="I361" i="1"/>
  <c r="H361" i="1"/>
  <c r="G361" i="1"/>
  <c r="F361" i="1"/>
  <c r="I360" i="1"/>
  <c r="J360" i="1" s="1"/>
  <c r="H360" i="1"/>
  <c r="G360" i="1"/>
  <c r="F360" i="1"/>
  <c r="I359" i="1"/>
  <c r="J359" i="1" s="1"/>
  <c r="H359" i="1"/>
  <c r="G359" i="1"/>
  <c r="F359" i="1"/>
  <c r="I358" i="1"/>
  <c r="J358" i="1" s="1"/>
  <c r="H358" i="1"/>
  <c r="G358" i="1"/>
  <c r="F358" i="1"/>
  <c r="J357" i="1"/>
  <c r="I357" i="1"/>
  <c r="H357" i="1"/>
  <c r="G357" i="1"/>
  <c r="F357" i="1"/>
  <c r="I356" i="1"/>
  <c r="J356" i="1" s="1"/>
  <c r="H356" i="1"/>
  <c r="G356" i="1"/>
  <c r="F356" i="1"/>
  <c r="I355" i="1"/>
  <c r="J355" i="1" s="1"/>
  <c r="H355" i="1"/>
  <c r="G355" i="1"/>
  <c r="F355" i="1"/>
  <c r="I354" i="1"/>
  <c r="J354" i="1" s="1"/>
  <c r="H354" i="1"/>
  <c r="G354" i="1"/>
  <c r="F354" i="1"/>
  <c r="J353" i="1"/>
  <c r="I353" i="1"/>
  <c r="H353" i="1"/>
  <c r="G353" i="1"/>
  <c r="F353" i="1"/>
  <c r="J352" i="1"/>
  <c r="I352" i="1"/>
  <c r="H352" i="1"/>
  <c r="G352" i="1"/>
  <c r="F352" i="1"/>
  <c r="J351" i="1"/>
  <c r="I351" i="1"/>
  <c r="H351" i="1"/>
  <c r="G351" i="1"/>
  <c r="F351" i="1"/>
  <c r="I350" i="1"/>
  <c r="J350" i="1" s="1"/>
  <c r="H350" i="1"/>
  <c r="G350" i="1"/>
  <c r="F350" i="1"/>
  <c r="I349" i="1"/>
  <c r="J349" i="1" s="1"/>
  <c r="H349" i="1"/>
  <c r="G349" i="1"/>
  <c r="F349" i="1"/>
  <c r="J348" i="1"/>
  <c r="I348" i="1"/>
  <c r="H348" i="1"/>
  <c r="G348" i="1"/>
  <c r="F348" i="1"/>
  <c r="J347" i="1"/>
  <c r="I347" i="1"/>
  <c r="H347" i="1"/>
  <c r="G347" i="1"/>
  <c r="F347" i="1"/>
  <c r="I346" i="1"/>
  <c r="J346" i="1" s="1"/>
  <c r="H346" i="1"/>
  <c r="G346" i="1"/>
  <c r="F346" i="1"/>
  <c r="I345" i="1"/>
  <c r="J345" i="1" s="1"/>
  <c r="H345" i="1"/>
  <c r="G345" i="1"/>
  <c r="F345" i="1"/>
  <c r="I344" i="1"/>
  <c r="J344" i="1" s="1"/>
  <c r="H344" i="1"/>
  <c r="G344" i="1"/>
  <c r="F344" i="1"/>
  <c r="J343" i="1"/>
  <c r="I343" i="1"/>
  <c r="H343" i="1"/>
  <c r="G343" i="1"/>
  <c r="F343" i="1"/>
  <c r="I342" i="1"/>
  <c r="J342" i="1" s="1"/>
  <c r="H342" i="1"/>
  <c r="G342" i="1"/>
  <c r="F342" i="1"/>
  <c r="I341" i="1"/>
  <c r="J341" i="1" s="1"/>
  <c r="H341" i="1"/>
  <c r="G341" i="1"/>
  <c r="F341" i="1"/>
  <c r="I340" i="1"/>
  <c r="J340" i="1" s="1"/>
  <c r="H340" i="1"/>
  <c r="G340" i="1"/>
  <c r="F340" i="1"/>
  <c r="J339" i="1"/>
  <c r="I339" i="1"/>
  <c r="H339" i="1"/>
  <c r="G339" i="1"/>
  <c r="F339" i="1"/>
  <c r="J338" i="1"/>
  <c r="I338" i="1"/>
  <c r="H338" i="1"/>
  <c r="G338" i="1"/>
  <c r="F338" i="1"/>
  <c r="J337" i="1"/>
  <c r="I337" i="1"/>
  <c r="H337" i="1"/>
  <c r="G337" i="1"/>
  <c r="F337" i="1"/>
  <c r="I336" i="1"/>
  <c r="J336" i="1" s="1"/>
  <c r="H336" i="1"/>
  <c r="G336" i="1"/>
  <c r="F336" i="1"/>
  <c r="I335" i="1"/>
  <c r="J335" i="1" s="1"/>
  <c r="H335" i="1"/>
  <c r="G335" i="1"/>
  <c r="F335" i="1"/>
  <c r="J334" i="1"/>
  <c r="I334" i="1"/>
  <c r="H334" i="1"/>
  <c r="G334" i="1"/>
  <c r="F334" i="1"/>
  <c r="J333" i="1"/>
  <c r="I333" i="1"/>
  <c r="H333" i="1"/>
  <c r="G333" i="1"/>
  <c r="F333" i="1"/>
  <c r="I332" i="1"/>
  <c r="J332" i="1" s="1"/>
  <c r="H332" i="1"/>
  <c r="G332" i="1"/>
  <c r="F332" i="1"/>
  <c r="I331" i="1"/>
  <c r="J331" i="1" s="1"/>
  <c r="H331" i="1"/>
  <c r="G331" i="1"/>
  <c r="F331" i="1"/>
  <c r="I330" i="1"/>
  <c r="J330" i="1" s="1"/>
  <c r="H330" i="1"/>
  <c r="G330" i="1"/>
  <c r="F330" i="1"/>
  <c r="J329" i="1"/>
  <c r="I329" i="1"/>
  <c r="H329" i="1"/>
  <c r="G329" i="1"/>
  <c r="F329" i="1"/>
  <c r="I328" i="1"/>
  <c r="J328" i="1" s="1"/>
  <c r="H328" i="1"/>
  <c r="G328" i="1"/>
  <c r="F328" i="1"/>
  <c r="I327" i="1"/>
  <c r="J327" i="1" s="1"/>
  <c r="H327" i="1"/>
  <c r="G327" i="1"/>
  <c r="F327" i="1"/>
  <c r="I326" i="1"/>
  <c r="J326" i="1" s="1"/>
  <c r="H326" i="1"/>
  <c r="G326" i="1"/>
  <c r="F326" i="1"/>
  <c r="J325" i="1"/>
  <c r="I325" i="1"/>
  <c r="H325" i="1"/>
  <c r="G325" i="1"/>
  <c r="F325" i="1"/>
  <c r="J324" i="1"/>
  <c r="I324" i="1"/>
  <c r="H324" i="1"/>
  <c r="G324" i="1"/>
  <c r="F324" i="1"/>
  <c r="J323" i="1"/>
  <c r="I323" i="1"/>
  <c r="H323" i="1"/>
  <c r="G323" i="1"/>
  <c r="F323" i="1"/>
  <c r="I322" i="1"/>
  <c r="J322" i="1" s="1"/>
  <c r="H322" i="1"/>
  <c r="G322" i="1"/>
  <c r="F322" i="1"/>
  <c r="I321" i="1"/>
  <c r="J321" i="1" s="1"/>
  <c r="H321" i="1"/>
  <c r="G321" i="1"/>
  <c r="F321" i="1"/>
  <c r="J320" i="1"/>
  <c r="I320" i="1"/>
  <c r="H320" i="1"/>
  <c r="G320" i="1"/>
  <c r="F320" i="1"/>
  <c r="J319" i="1"/>
  <c r="I319" i="1"/>
  <c r="H319" i="1"/>
  <c r="G319" i="1"/>
  <c r="F319" i="1"/>
  <c r="I318" i="1"/>
  <c r="J318" i="1" s="1"/>
  <c r="H318" i="1"/>
  <c r="G318" i="1"/>
  <c r="F318" i="1"/>
  <c r="I317" i="1"/>
  <c r="J317" i="1" s="1"/>
  <c r="H317" i="1"/>
  <c r="G317" i="1"/>
  <c r="F317" i="1"/>
  <c r="I316" i="1"/>
  <c r="J316" i="1" s="1"/>
  <c r="H316" i="1"/>
  <c r="G316" i="1"/>
  <c r="F316" i="1"/>
  <c r="J315" i="1"/>
  <c r="I315" i="1"/>
  <c r="H315" i="1"/>
  <c r="G315" i="1"/>
  <c r="F315" i="1"/>
  <c r="I314" i="1"/>
  <c r="J314" i="1" s="1"/>
  <c r="H314" i="1"/>
  <c r="G314" i="1"/>
  <c r="F314" i="1"/>
  <c r="I313" i="1"/>
  <c r="J313" i="1" s="1"/>
  <c r="H313" i="1"/>
  <c r="G313" i="1"/>
  <c r="F313" i="1"/>
  <c r="I312" i="1"/>
  <c r="J312" i="1" s="1"/>
  <c r="H312" i="1"/>
  <c r="G312" i="1"/>
  <c r="F312" i="1"/>
  <c r="J311" i="1"/>
  <c r="I311" i="1"/>
  <c r="H311" i="1"/>
  <c r="G311" i="1"/>
  <c r="F311" i="1"/>
  <c r="J310" i="1"/>
  <c r="I310" i="1"/>
  <c r="H310" i="1"/>
  <c r="G310" i="1"/>
  <c r="F310" i="1"/>
  <c r="J309" i="1"/>
  <c r="I309" i="1"/>
  <c r="H309" i="1"/>
  <c r="G309" i="1"/>
  <c r="F309" i="1"/>
  <c r="I308" i="1"/>
  <c r="J308" i="1" s="1"/>
  <c r="H308" i="1"/>
  <c r="G308" i="1"/>
  <c r="F308" i="1"/>
  <c r="I307" i="1"/>
  <c r="J307" i="1" s="1"/>
  <c r="H307" i="1"/>
  <c r="G307" i="1"/>
  <c r="F307" i="1"/>
  <c r="J306" i="1"/>
  <c r="I306" i="1"/>
  <c r="H306" i="1"/>
  <c r="G306" i="1"/>
  <c r="F306" i="1"/>
  <c r="J305" i="1"/>
  <c r="I305" i="1"/>
  <c r="H305" i="1"/>
  <c r="G305" i="1"/>
  <c r="F305" i="1"/>
  <c r="I304" i="1"/>
  <c r="J304" i="1" s="1"/>
  <c r="H304" i="1"/>
  <c r="G304" i="1"/>
  <c r="F304" i="1"/>
  <c r="I303" i="1"/>
  <c r="J303" i="1" s="1"/>
  <c r="H303" i="1"/>
  <c r="G303" i="1"/>
  <c r="F303" i="1"/>
  <c r="I302" i="1"/>
  <c r="J302" i="1" s="1"/>
  <c r="H302" i="1"/>
  <c r="G302" i="1"/>
  <c r="F302" i="1"/>
  <c r="J301" i="1"/>
  <c r="I301" i="1"/>
  <c r="H301" i="1"/>
  <c r="G301" i="1"/>
  <c r="F301" i="1"/>
  <c r="I300" i="1"/>
  <c r="J300" i="1" s="1"/>
  <c r="H300" i="1"/>
  <c r="G300" i="1"/>
  <c r="F300" i="1"/>
  <c r="I299" i="1"/>
  <c r="J299" i="1" s="1"/>
  <c r="H299" i="1"/>
  <c r="G299" i="1"/>
  <c r="F299" i="1"/>
  <c r="I298" i="1"/>
  <c r="J298" i="1" s="1"/>
  <c r="H298" i="1"/>
  <c r="G298" i="1"/>
  <c r="F298" i="1"/>
  <c r="J297" i="1"/>
  <c r="I297" i="1"/>
  <c r="H297" i="1"/>
  <c r="G297" i="1"/>
  <c r="F297" i="1"/>
  <c r="J296" i="1"/>
  <c r="I296" i="1"/>
  <c r="H296" i="1"/>
  <c r="G296" i="1"/>
  <c r="F296" i="1"/>
  <c r="J295" i="1"/>
  <c r="I295" i="1"/>
  <c r="H295" i="1"/>
  <c r="G295" i="1"/>
  <c r="F295" i="1"/>
  <c r="I294" i="1"/>
  <c r="J294" i="1" s="1"/>
  <c r="H294" i="1"/>
  <c r="G294" i="1"/>
  <c r="F294" i="1"/>
  <c r="I293" i="1"/>
  <c r="J293" i="1" s="1"/>
  <c r="H293" i="1"/>
  <c r="G293" i="1"/>
  <c r="F293" i="1"/>
  <c r="J292" i="1"/>
  <c r="I292" i="1"/>
  <c r="H292" i="1"/>
  <c r="G292" i="1"/>
  <c r="F292" i="1"/>
  <c r="J291" i="1"/>
  <c r="I291" i="1"/>
  <c r="H291" i="1"/>
  <c r="G291" i="1"/>
  <c r="F291" i="1"/>
  <c r="I290" i="1"/>
  <c r="J290" i="1" s="1"/>
  <c r="H290" i="1"/>
  <c r="G290" i="1"/>
  <c r="F290" i="1"/>
  <c r="I289" i="1"/>
  <c r="J289" i="1" s="1"/>
  <c r="H289" i="1"/>
  <c r="G289" i="1"/>
  <c r="F289" i="1"/>
  <c r="I288" i="1"/>
  <c r="J288" i="1" s="1"/>
  <c r="H288" i="1"/>
  <c r="G288" i="1"/>
  <c r="F288" i="1"/>
  <c r="J287" i="1"/>
  <c r="I287" i="1"/>
  <c r="H287" i="1"/>
  <c r="G287" i="1"/>
  <c r="F287" i="1"/>
  <c r="I286" i="1"/>
  <c r="J286" i="1" s="1"/>
  <c r="H286" i="1"/>
  <c r="G286" i="1"/>
  <c r="F286" i="1"/>
  <c r="I285" i="1"/>
  <c r="J285" i="1" s="1"/>
  <c r="H285" i="1"/>
  <c r="G285" i="1"/>
  <c r="F285" i="1"/>
  <c r="I284" i="1"/>
  <c r="J284" i="1" s="1"/>
  <c r="H284" i="1"/>
  <c r="G284" i="1"/>
  <c r="F284" i="1"/>
  <c r="J283" i="1"/>
  <c r="I283" i="1"/>
  <c r="H283" i="1"/>
  <c r="G283" i="1"/>
  <c r="F283" i="1"/>
  <c r="J282" i="1"/>
  <c r="I282" i="1"/>
  <c r="H282" i="1"/>
  <c r="G282" i="1"/>
  <c r="F282" i="1"/>
  <c r="J281" i="1"/>
  <c r="I281" i="1"/>
  <c r="H281" i="1"/>
  <c r="G281" i="1"/>
  <c r="F281" i="1"/>
  <c r="I280" i="1"/>
  <c r="J280" i="1" s="1"/>
  <c r="H280" i="1"/>
  <c r="G280" i="1"/>
  <c r="F280" i="1"/>
  <c r="I279" i="1"/>
  <c r="J279" i="1" s="1"/>
  <c r="H279" i="1"/>
  <c r="G279" i="1"/>
  <c r="F279" i="1"/>
  <c r="J278" i="1"/>
  <c r="I278" i="1"/>
  <c r="H278" i="1"/>
  <c r="G278" i="1"/>
  <c r="F278" i="1"/>
  <c r="J277" i="1"/>
  <c r="I277" i="1"/>
  <c r="H277" i="1"/>
  <c r="G277" i="1"/>
  <c r="F277" i="1"/>
  <c r="I276" i="1"/>
  <c r="J276" i="1" s="1"/>
  <c r="H276" i="1"/>
  <c r="G276" i="1"/>
  <c r="F276" i="1"/>
  <c r="I275" i="1"/>
  <c r="J275" i="1" s="1"/>
  <c r="H275" i="1"/>
  <c r="G275" i="1"/>
  <c r="F275" i="1"/>
  <c r="I274" i="1"/>
  <c r="J274" i="1" s="1"/>
  <c r="H274" i="1"/>
  <c r="G274" i="1"/>
  <c r="F274" i="1"/>
  <c r="J273" i="1"/>
  <c r="I273" i="1"/>
  <c r="H273" i="1"/>
  <c r="G273" i="1"/>
  <c r="F273" i="1"/>
  <c r="I272" i="1"/>
  <c r="J272" i="1" s="1"/>
  <c r="H272" i="1"/>
  <c r="G272" i="1"/>
  <c r="F272" i="1"/>
  <c r="I271" i="1"/>
  <c r="J271" i="1" s="1"/>
  <c r="H271" i="1"/>
  <c r="G271" i="1"/>
  <c r="F271" i="1"/>
  <c r="I270" i="1"/>
  <c r="J270" i="1" s="1"/>
  <c r="H270" i="1"/>
  <c r="G270" i="1"/>
  <c r="F270" i="1"/>
  <c r="J269" i="1"/>
  <c r="I269" i="1"/>
  <c r="H269" i="1"/>
  <c r="G269" i="1"/>
  <c r="F269" i="1"/>
  <c r="J268" i="1"/>
  <c r="I268" i="1"/>
  <c r="H268" i="1"/>
  <c r="G268" i="1"/>
  <c r="F268" i="1"/>
  <c r="J267" i="1"/>
  <c r="I267" i="1"/>
  <c r="H267" i="1"/>
  <c r="G267" i="1"/>
  <c r="F267" i="1"/>
  <c r="I266" i="1"/>
  <c r="J266" i="1" s="1"/>
  <c r="H266" i="1"/>
  <c r="G266" i="1"/>
  <c r="F266" i="1"/>
  <c r="I265" i="1"/>
  <c r="J265" i="1" s="1"/>
  <c r="H265" i="1"/>
  <c r="G265" i="1"/>
  <c r="F265" i="1"/>
  <c r="J264" i="1"/>
  <c r="I264" i="1"/>
  <c r="H264" i="1"/>
  <c r="G264" i="1"/>
  <c r="F264" i="1"/>
  <c r="J263" i="1"/>
  <c r="I263" i="1"/>
  <c r="H263" i="1"/>
  <c r="G263" i="1"/>
  <c r="F263" i="1"/>
  <c r="I262" i="1"/>
  <c r="J262" i="1" s="1"/>
  <c r="H262" i="1"/>
  <c r="G262" i="1"/>
  <c r="F262" i="1"/>
  <c r="I261" i="1"/>
  <c r="J261" i="1" s="1"/>
  <c r="H261" i="1"/>
  <c r="G261" i="1"/>
  <c r="F261" i="1"/>
  <c r="I260" i="1"/>
  <c r="J260" i="1" s="1"/>
  <c r="H260" i="1"/>
  <c r="G260" i="1"/>
  <c r="F260" i="1"/>
  <c r="J259" i="1"/>
  <c r="I259" i="1"/>
  <c r="H259" i="1"/>
  <c r="G259" i="1"/>
  <c r="F259" i="1"/>
  <c r="I258" i="1"/>
  <c r="J258" i="1" s="1"/>
  <c r="H258" i="1"/>
  <c r="G258" i="1"/>
  <c r="F258" i="1"/>
  <c r="I257" i="1"/>
  <c r="J257" i="1" s="1"/>
  <c r="H257" i="1"/>
  <c r="G257" i="1"/>
  <c r="F257" i="1"/>
  <c r="I256" i="1"/>
  <c r="J256" i="1" s="1"/>
  <c r="H256" i="1"/>
  <c r="G256" i="1"/>
  <c r="F256" i="1"/>
  <c r="J255" i="1"/>
  <c r="I255" i="1"/>
  <c r="H255" i="1"/>
  <c r="G255" i="1"/>
  <c r="F255" i="1"/>
  <c r="J254" i="1"/>
  <c r="I254" i="1"/>
  <c r="H254" i="1"/>
  <c r="G254" i="1"/>
  <c r="F254" i="1"/>
  <c r="J253" i="1"/>
  <c r="I253" i="1"/>
  <c r="H253" i="1"/>
  <c r="G253" i="1"/>
  <c r="F253" i="1"/>
  <c r="I252" i="1"/>
  <c r="J252" i="1" s="1"/>
  <c r="H252" i="1"/>
  <c r="G252" i="1"/>
  <c r="F252" i="1"/>
  <c r="I251" i="1"/>
  <c r="J251" i="1" s="1"/>
  <c r="H251" i="1"/>
  <c r="G251" i="1"/>
  <c r="F251" i="1"/>
  <c r="J250" i="1"/>
  <c r="I250" i="1"/>
  <c r="H250" i="1"/>
  <c r="G250" i="1"/>
  <c r="F250" i="1"/>
  <c r="J249" i="1"/>
  <c r="I249" i="1"/>
  <c r="H249" i="1"/>
  <c r="G249" i="1"/>
  <c r="F249" i="1"/>
  <c r="I248" i="1"/>
  <c r="J248" i="1" s="1"/>
  <c r="H248" i="1"/>
  <c r="G248" i="1"/>
  <c r="F248" i="1"/>
  <c r="I247" i="1"/>
  <c r="J247" i="1" s="1"/>
  <c r="H247" i="1"/>
  <c r="G247" i="1"/>
  <c r="F247" i="1"/>
  <c r="I246" i="1"/>
  <c r="J246" i="1" s="1"/>
  <c r="H246" i="1"/>
  <c r="G246" i="1"/>
  <c r="F246" i="1"/>
  <c r="J245" i="1"/>
  <c r="I245" i="1"/>
  <c r="H245" i="1"/>
  <c r="G245" i="1"/>
  <c r="F245" i="1"/>
  <c r="I244" i="1"/>
  <c r="J244" i="1" s="1"/>
  <c r="H244" i="1"/>
  <c r="G244" i="1"/>
  <c r="F244" i="1"/>
  <c r="I243" i="1"/>
  <c r="J243" i="1" s="1"/>
  <c r="H243" i="1"/>
  <c r="G243" i="1"/>
  <c r="F243" i="1"/>
  <c r="I242" i="1"/>
  <c r="J242" i="1" s="1"/>
  <c r="H242" i="1"/>
  <c r="G242" i="1"/>
  <c r="F242" i="1"/>
  <c r="J241" i="1"/>
  <c r="I241" i="1"/>
  <c r="H241" i="1"/>
  <c r="G241" i="1"/>
  <c r="F241" i="1"/>
  <c r="J240" i="1"/>
  <c r="I240" i="1"/>
  <c r="H240" i="1"/>
  <c r="G240" i="1"/>
  <c r="F240" i="1"/>
  <c r="J239" i="1"/>
  <c r="I239" i="1"/>
  <c r="H239" i="1"/>
  <c r="G239" i="1"/>
  <c r="F239" i="1"/>
  <c r="I238" i="1"/>
  <c r="J238" i="1" s="1"/>
  <c r="H238" i="1"/>
  <c r="G238" i="1"/>
  <c r="F238" i="1"/>
  <c r="I237" i="1"/>
  <c r="J237" i="1" s="1"/>
  <c r="H237" i="1"/>
  <c r="G237" i="1"/>
  <c r="F237" i="1"/>
  <c r="J236" i="1"/>
  <c r="I236" i="1"/>
  <c r="H236" i="1"/>
  <c r="G236" i="1"/>
  <c r="F236" i="1"/>
  <c r="J235" i="1"/>
  <c r="I235" i="1"/>
  <c r="H235" i="1"/>
  <c r="G235" i="1"/>
  <c r="F235" i="1"/>
  <c r="I234" i="1"/>
  <c r="J234" i="1" s="1"/>
  <c r="H234" i="1"/>
  <c r="G234" i="1"/>
  <c r="F234" i="1"/>
  <c r="I233" i="1"/>
  <c r="J233" i="1" s="1"/>
  <c r="H233" i="1"/>
  <c r="G233" i="1"/>
  <c r="F233" i="1"/>
  <c r="I232" i="1"/>
  <c r="J232" i="1" s="1"/>
  <c r="H232" i="1"/>
  <c r="G232" i="1"/>
  <c r="F232" i="1"/>
  <c r="J231" i="1"/>
  <c r="I231" i="1"/>
  <c r="H231" i="1"/>
  <c r="G231" i="1"/>
  <c r="F231" i="1"/>
  <c r="I230" i="1"/>
  <c r="J230" i="1" s="1"/>
  <c r="H230" i="1"/>
  <c r="G230" i="1"/>
  <c r="F230" i="1"/>
  <c r="I229" i="1"/>
  <c r="J229" i="1" s="1"/>
  <c r="H229" i="1"/>
  <c r="G229" i="1"/>
  <c r="F229" i="1"/>
  <c r="I228" i="1"/>
  <c r="J228" i="1" s="1"/>
  <c r="H228" i="1"/>
  <c r="G228" i="1"/>
  <c r="F228" i="1"/>
  <c r="J227" i="1"/>
  <c r="I227" i="1"/>
  <c r="H227" i="1"/>
  <c r="G227" i="1"/>
  <c r="F227" i="1"/>
  <c r="J226" i="1"/>
  <c r="I226" i="1"/>
  <c r="H226" i="1"/>
  <c r="G226" i="1"/>
  <c r="F226" i="1"/>
  <c r="J225" i="1"/>
  <c r="I225" i="1"/>
  <c r="H225" i="1"/>
  <c r="G225" i="1"/>
  <c r="F225" i="1"/>
  <c r="I224" i="1"/>
  <c r="J224" i="1" s="1"/>
  <c r="H224" i="1"/>
  <c r="G224" i="1"/>
  <c r="F224" i="1"/>
  <c r="I223" i="1"/>
  <c r="J223" i="1" s="1"/>
  <c r="H223" i="1"/>
  <c r="G223" i="1"/>
  <c r="F223" i="1"/>
  <c r="J222" i="1"/>
  <c r="I222" i="1"/>
  <c r="H222" i="1"/>
  <c r="G222" i="1"/>
  <c r="F222" i="1"/>
  <c r="J221" i="1"/>
  <c r="I221" i="1"/>
  <c r="H221" i="1"/>
  <c r="G221" i="1"/>
  <c r="F221" i="1"/>
  <c r="I220" i="1"/>
  <c r="J220" i="1" s="1"/>
  <c r="H220" i="1"/>
  <c r="G220" i="1"/>
  <c r="F220" i="1"/>
  <c r="I219" i="1"/>
  <c r="J219" i="1" s="1"/>
  <c r="H219" i="1"/>
  <c r="G219" i="1"/>
  <c r="F219" i="1"/>
  <c r="I218" i="1"/>
  <c r="J218" i="1" s="1"/>
  <c r="H218" i="1"/>
  <c r="G218" i="1"/>
  <c r="F218" i="1"/>
  <c r="J217" i="1"/>
  <c r="I217" i="1"/>
  <c r="H217" i="1"/>
  <c r="G217" i="1"/>
  <c r="F217" i="1"/>
  <c r="I216" i="1"/>
  <c r="J216" i="1" s="1"/>
  <c r="H216" i="1"/>
  <c r="G216" i="1"/>
  <c r="F216" i="1"/>
  <c r="I215" i="1"/>
  <c r="J215" i="1" s="1"/>
  <c r="H215" i="1"/>
  <c r="G215" i="1"/>
  <c r="F215" i="1"/>
  <c r="I214" i="1"/>
  <c r="J214" i="1" s="1"/>
  <c r="H214" i="1"/>
  <c r="G214" i="1"/>
  <c r="F214" i="1"/>
  <c r="J213" i="1"/>
  <c r="I213" i="1"/>
  <c r="H213" i="1"/>
  <c r="G213" i="1"/>
  <c r="F213" i="1"/>
  <c r="J212" i="1"/>
  <c r="I212" i="1"/>
  <c r="H212" i="1"/>
  <c r="G212" i="1"/>
  <c r="F212" i="1"/>
  <c r="J211" i="1"/>
  <c r="I211" i="1"/>
  <c r="H211" i="1"/>
  <c r="G211" i="1"/>
  <c r="F211" i="1"/>
  <c r="I210" i="1"/>
  <c r="J210" i="1" s="1"/>
  <c r="H210" i="1"/>
  <c r="G210" i="1"/>
  <c r="F210" i="1"/>
  <c r="I209" i="1"/>
  <c r="J209" i="1" s="1"/>
  <c r="H209" i="1"/>
  <c r="G209" i="1"/>
  <c r="F209" i="1"/>
  <c r="J208" i="1"/>
  <c r="I208" i="1"/>
  <c r="H208" i="1"/>
  <c r="G208" i="1"/>
  <c r="F208" i="1"/>
  <c r="J207" i="1"/>
  <c r="I207" i="1"/>
  <c r="H207" i="1"/>
  <c r="G207" i="1"/>
  <c r="F207" i="1"/>
  <c r="I206" i="1"/>
  <c r="J206" i="1" s="1"/>
  <c r="H206" i="1"/>
  <c r="G206" i="1"/>
  <c r="F206" i="1"/>
  <c r="I205" i="1"/>
  <c r="J205" i="1" s="1"/>
  <c r="H205" i="1"/>
  <c r="G205" i="1"/>
  <c r="F205" i="1"/>
  <c r="I204" i="1"/>
  <c r="J204" i="1" s="1"/>
  <c r="H204" i="1"/>
  <c r="G204" i="1"/>
  <c r="F204" i="1"/>
  <c r="J203" i="1"/>
  <c r="I203" i="1"/>
  <c r="H203" i="1"/>
  <c r="G203" i="1"/>
  <c r="F203" i="1"/>
  <c r="I202" i="1"/>
  <c r="J202" i="1" s="1"/>
  <c r="H202" i="1"/>
  <c r="G202" i="1"/>
  <c r="F202" i="1"/>
  <c r="I201" i="1"/>
  <c r="J201" i="1" s="1"/>
  <c r="H201" i="1"/>
  <c r="G201" i="1"/>
  <c r="F201" i="1"/>
  <c r="I200" i="1"/>
  <c r="J200" i="1" s="1"/>
  <c r="H200" i="1"/>
  <c r="G200" i="1"/>
  <c r="F200" i="1"/>
  <c r="J199" i="1"/>
  <c r="I199" i="1"/>
  <c r="H199" i="1"/>
  <c r="G199" i="1"/>
  <c r="F199" i="1"/>
  <c r="J198" i="1"/>
  <c r="I198" i="1"/>
  <c r="H198" i="1"/>
  <c r="G198" i="1"/>
  <c r="F198" i="1"/>
  <c r="J197" i="1"/>
  <c r="I197" i="1"/>
  <c r="H197" i="1"/>
  <c r="G197" i="1"/>
  <c r="F197" i="1"/>
  <c r="I196" i="1"/>
  <c r="J196" i="1" s="1"/>
  <c r="H196" i="1"/>
  <c r="G196" i="1"/>
  <c r="F196" i="1"/>
  <c r="I195" i="1"/>
  <c r="J195" i="1" s="1"/>
  <c r="H195" i="1"/>
  <c r="G195" i="1"/>
  <c r="F195" i="1"/>
  <c r="J194" i="1"/>
  <c r="I194" i="1"/>
  <c r="H194" i="1"/>
  <c r="G194" i="1"/>
  <c r="F194" i="1"/>
  <c r="J193" i="1"/>
  <c r="I193" i="1"/>
  <c r="H193" i="1"/>
  <c r="G193" i="1"/>
  <c r="F193" i="1"/>
  <c r="I192" i="1"/>
  <c r="J192" i="1" s="1"/>
  <c r="H192" i="1"/>
  <c r="G192" i="1"/>
  <c r="F192" i="1"/>
  <c r="I191" i="1"/>
  <c r="J191" i="1" s="1"/>
  <c r="H191" i="1"/>
  <c r="G191" i="1"/>
  <c r="F191" i="1"/>
  <c r="I190" i="1"/>
  <c r="J190" i="1" s="1"/>
  <c r="H190" i="1"/>
  <c r="G190" i="1"/>
  <c r="F190" i="1"/>
  <c r="J189" i="1"/>
  <c r="I189" i="1"/>
  <c r="H189" i="1"/>
  <c r="G189" i="1"/>
  <c r="F189" i="1"/>
  <c r="I188" i="1"/>
  <c r="J188" i="1" s="1"/>
  <c r="H188" i="1"/>
  <c r="G188" i="1"/>
  <c r="F188" i="1"/>
  <c r="I187" i="1"/>
  <c r="J187" i="1" s="1"/>
  <c r="H187" i="1"/>
  <c r="G187" i="1"/>
  <c r="F187" i="1"/>
  <c r="I186" i="1"/>
  <c r="J186" i="1" s="1"/>
  <c r="H186" i="1"/>
  <c r="G186" i="1"/>
  <c r="F186" i="1"/>
  <c r="J185" i="1"/>
  <c r="I185" i="1"/>
  <c r="H185" i="1"/>
  <c r="G185" i="1"/>
  <c r="F185" i="1"/>
  <c r="J184" i="1"/>
  <c r="I184" i="1"/>
  <c r="H184" i="1"/>
  <c r="G184" i="1"/>
  <c r="F184" i="1"/>
  <c r="J183" i="1"/>
  <c r="I183" i="1"/>
  <c r="H183" i="1"/>
  <c r="G183" i="1"/>
  <c r="F183" i="1"/>
  <c r="I182" i="1"/>
  <c r="J182" i="1" s="1"/>
  <c r="H182" i="1"/>
  <c r="G182" i="1"/>
  <c r="F182" i="1"/>
  <c r="I181" i="1"/>
  <c r="J181" i="1" s="1"/>
  <c r="H181" i="1"/>
  <c r="G181" i="1"/>
  <c r="F181" i="1"/>
  <c r="J180" i="1"/>
  <c r="I180" i="1"/>
  <c r="H180" i="1"/>
  <c r="G180" i="1"/>
  <c r="F180" i="1"/>
  <c r="J179" i="1"/>
  <c r="I179" i="1"/>
  <c r="H179" i="1"/>
  <c r="G179" i="1"/>
  <c r="F179" i="1"/>
  <c r="I178" i="1"/>
  <c r="J178" i="1" s="1"/>
  <c r="H178" i="1"/>
  <c r="G178" i="1"/>
  <c r="F178" i="1"/>
  <c r="I177" i="1"/>
  <c r="J177" i="1" s="1"/>
  <c r="H177" i="1"/>
  <c r="G177" i="1"/>
  <c r="F177" i="1"/>
  <c r="I176" i="1"/>
  <c r="J176" i="1" s="1"/>
  <c r="H176" i="1"/>
  <c r="G176" i="1"/>
  <c r="F176" i="1"/>
  <c r="J175" i="1"/>
  <c r="I175" i="1"/>
  <c r="H175" i="1"/>
  <c r="G175" i="1"/>
  <c r="F175" i="1"/>
  <c r="I174" i="1"/>
  <c r="J174" i="1" s="1"/>
  <c r="H174" i="1"/>
  <c r="G174" i="1"/>
  <c r="F174" i="1"/>
  <c r="I173" i="1"/>
  <c r="J173" i="1" s="1"/>
  <c r="H173" i="1"/>
  <c r="G173" i="1"/>
  <c r="F173" i="1"/>
  <c r="I172" i="1"/>
  <c r="J172" i="1" s="1"/>
  <c r="H172" i="1"/>
  <c r="G172" i="1"/>
  <c r="F172" i="1"/>
  <c r="J171" i="1"/>
  <c r="I171" i="1"/>
  <c r="H171" i="1"/>
  <c r="G171" i="1"/>
  <c r="F171" i="1"/>
  <c r="J170" i="1"/>
  <c r="I170" i="1"/>
  <c r="H170" i="1"/>
  <c r="G170" i="1"/>
  <c r="F170" i="1"/>
  <c r="J169" i="1"/>
  <c r="I169" i="1"/>
  <c r="H169" i="1"/>
  <c r="G169" i="1"/>
  <c r="F169" i="1"/>
  <c r="I168" i="1"/>
  <c r="J168" i="1" s="1"/>
  <c r="H168" i="1"/>
  <c r="G168" i="1"/>
  <c r="F168" i="1"/>
  <c r="I167" i="1"/>
  <c r="J167" i="1" s="1"/>
  <c r="H167" i="1"/>
  <c r="G167" i="1"/>
  <c r="F167" i="1"/>
  <c r="J166" i="1"/>
  <c r="I166" i="1"/>
  <c r="H166" i="1"/>
  <c r="G166" i="1"/>
  <c r="F166" i="1"/>
  <c r="J165" i="1"/>
  <c r="I165" i="1"/>
  <c r="H165" i="1"/>
  <c r="G165" i="1"/>
  <c r="F165" i="1"/>
  <c r="I164" i="1"/>
  <c r="J164" i="1" s="1"/>
  <c r="H164" i="1"/>
  <c r="G164" i="1"/>
  <c r="F164" i="1"/>
  <c r="I163" i="1"/>
  <c r="J163" i="1" s="1"/>
  <c r="H163" i="1"/>
  <c r="G163" i="1"/>
  <c r="F163" i="1"/>
  <c r="I162" i="1"/>
  <c r="J162" i="1" s="1"/>
  <c r="H162" i="1"/>
  <c r="G162" i="1"/>
  <c r="F162" i="1"/>
  <c r="J161" i="1"/>
  <c r="I161" i="1"/>
  <c r="H161" i="1"/>
  <c r="G161" i="1"/>
  <c r="F161" i="1"/>
  <c r="I160" i="1"/>
  <c r="J160" i="1" s="1"/>
  <c r="H160" i="1"/>
  <c r="G160" i="1"/>
  <c r="F160" i="1"/>
  <c r="I159" i="1"/>
  <c r="J159" i="1" s="1"/>
  <c r="H159" i="1"/>
  <c r="G159" i="1"/>
  <c r="F159" i="1"/>
  <c r="I158" i="1"/>
  <c r="J158" i="1" s="1"/>
  <c r="H158" i="1"/>
  <c r="G158" i="1"/>
  <c r="F158" i="1"/>
  <c r="J157" i="1"/>
  <c r="I157" i="1"/>
  <c r="H157" i="1"/>
  <c r="G157" i="1"/>
  <c r="F157" i="1"/>
  <c r="J156" i="1"/>
  <c r="I156" i="1"/>
  <c r="H156" i="1"/>
  <c r="G156" i="1"/>
  <c r="F156" i="1"/>
  <c r="J155" i="1"/>
  <c r="I155" i="1"/>
  <c r="H155" i="1"/>
  <c r="G155" i="1"/>
  <c r="F155" i="1"/>
  <c r="I154" i="1"/>
  <c r="J154" i="1" s="1"/>
  <c r="H154" i="1"/>
  <c r="G154" i="1"/>
  <c r="F154" i="1"/>
  <c r="I153" i="1"/>
  <c r="J153" i="1" s="1"/>
  <c r="H153" i="1"/>
  <c r="G153" i="1"/>
  <c r="F153" i="1"/>
  <c r="J152" i="1"/>
  <c r="I152" i="1"/>
  <c r="H152" i="1"/>
  <c r="G152" i="1"/>
  <c r="F152" i="1"/>
  <c r="J151" i="1"/>
  <c r="I151" i="1"/>
  <c r="H151" i="1"/>
  <c r="G151" i="1"/>
  <c r="F151" i="1"/>
  <c r="I150" i="1"/>
  <c r="J150" i="1" s="1"/>
  <c r="H150" i="1"/>
  <c r="G150" i="1"/>
  <c r="F150" i="1"/>
  <c r="I149" i="1"/>
  <c r="J149" i="1" s="1"/>
  <c r="H149" i="1"/>
  <c r="G149" i="1"/>
  <c r="F149" i="1"/>
  <c r="I148" i="1"/>
  <c r="J148" i="1" s="1"/>
  <c r="H148" i="1"/>
  <c r="G148" i="1"/>
  <c r="F148" i="1"/>
  <c r="J147" i="1"/>
  <c r="I147" i="1"/>
  <c r="H147" i="1"/>
  <c r="G147" i="1"/>
  <c r="F147" i="1"/>
  <c r="I146" i="1"/>
  <c r="J146" i="1" s="1"/>
  <c r="H146" i="1"/>
  <c r="G146" i="1"/>
  <c r="F146" i="1"/>
  <c r="I145" i="1"/>
  <c r="J145" i="1" s="1"/>
  <c r="H145" i="1"/>
  <c r="G145" i="1"/>
  <c r="F145" i="1"/>
  <c r="I144" i="1"/>
  <c r="J144" i="1" s="1"/>
  <c r="H144" i="1"/>
  <c r="G144" i="1"/>
  <c r="F144" i="1"/>
  <c r="J143" i="1"/>
  <c r="I143" i="1"/>
  <c r="H143" i="1"/>
  <c r="G143" i="1"/>
  <c r="F143" i="1"/>
  <c r="J142" i="1"/>
  <c r="I142" i="1"/>
  <c r="H142" i="1"/>
  <c r="G142" i="1"/>
  <c r="F142" i="1"/>
  <c r="J141" i="1"/>
  <c r="I141" i="1"/>
  <c r="H141" i="1"/>
  <c r="G141" i="1"/>
  <c r="F141" i="1"/>
  <c r="I140" i="1"/>
  <c r="J140" i="1" s="1"/>
  <c r="H140" i="1"/>
  <c r="G140" i="1"/>
  <c r="F140" i="1"/>
  <c r="I139" i="1"/>
  <c r="J139" i="1" s="1"/>
  <c r="H139" i="1"/>
  <c r="G139" i="1"/>
  <c r="F139" i="1"/>
  <c r="J138" i="1"/>
  <c r="I138" i="1"/>
  <c r="H138" i="1"/>
  <c r="G138" i="1"/>
  <c r="F138" i="1"/>
  <c r="J137" i="1"/>
  <c r="I137" i="1"/>
  <c r="H137" i="1"/>
  <c r="G137" i="1"/>
  <c r="F137" i="1"/>
  <c r="I136" i="1"/>
  <c r="J136" i="1" s="1"/>
  <c r="H136" i="1"/>
  <c r="G136" i="1"/>
  <c r="F136" i="1"/>
  <c r="I135" i="1"/>
  <c r="J135" i="1" s="1"/>
  <c r="H135" i="1"/>
  <c r="G135" i="1"/>
  <c r="F135" i="1"/>
  <c r="I134" i="1"/>
  <c r="J134" i="1" s="1"/>
  <c r="H134" i="1"/>
  <c r="G134" i="1"/>
  <c r="F134" i="1"/>
  <c r="J133" i="1"/>
  <c r="I133" i="1"/>
  <c r="H133" i="1"/>
  <c r="G133" i="1"/>
  <c r="F133" i="1"/>
  <c r="I132" i="1"/>
  <c r="J132" i="1" s="1"/>
  <c r="H132" i="1"/>
  <c r="G132" i="1"/>
  <c r="F132" i="1"/>
  <c r="I131" i="1"/>
  <c r="J131" i="1" s="1"/>
  <c r="H131" i="1"/>
  <c r="G131" i="1"/>
  <c r="F131" i="1"/>
  <c r="I130" i="1"/>
  <c r="J130" i="1" s="1"/>
  <c r="H130" i="1"/>
  <c r="G130" i="1"/>
  <c r="F130" i="1"/>
  <c r="J129" i="1"/>
  <c r="I129" i="1"/>
  <c r="H129" i="1"/>
  <c r="G129" i="1"/>
  <c r="F129" i="1"/>
  <c r="J128" i="1"/>
  <c r="I128" i="1"/>
  <c r="H128" i="1"/>
  <c r="G128" i="1"/>
  <c r="F128" i="1"/>
  <c r="J127" i="1"/>
  <c r="I127" i="1"/>
  <c r="H127" i="1"/>
  <c r="G127" i="1"/>
  <c r="F127" i="1"/>
  <c r="I126" i="1"/>
  <c r="J126" i="1" s="1"/>
  <c r="H126" i="1"/>
  <c r="G126" i="1"/>
  <c r="F126" i="1"/>
  <c r="I125" i="1"/>
  <c r="J125" i="1" s="1"/>
  <c r="H125" i="1"/>
  <c r="G125" i="1"/>
  <c r="F125" i="1"/>
  <c r="J124" i="1"/>
  <c r="I124" i="1"/>
  <c r="H124" i="1"/>
  <c r="G124" i="1"/>
  <c r="F124" i="1"/>
  <c r="J123" i="1"/>
  <c r="I123" i="1"/>
  <c r="H123" i="1"/>
  <c r="G123" i="1"/>
  <c r="F123" i="1"/>
  <c r="I122" i="1"/>
  <c r="J122" i="1" s="1"/>
  <c r="H122" i="1"/>
  <c r="G122" i="1"/>
  <c r="F122" i="1"/>
  <c r="I121" i="1"/>
  <c r="J121" i="1" s="1"/>
  <c r="H121" i="1"/>
  <c r="G121" i="1"/>
  <c r="F121" i="1"/>
  <c r="I120" i="1"/>
  <c r="J120" i="1" s="1"/>
  <c r="H120" i="1"/>
  <c r="G120" i="1"/>
  <c r="F120" i="1"/>
  <c r="J119" i="1"/>
  <c r="I119" i="1"/>
  <c r="H119" i="1"/>
  <c r="G119" i="1"/>
  <c r="F119" i="1"/>
  <c r="I118" i="1"/>
  <c r="J118" i="1" s="1"/>
  <c r="H118" i="1"/>
  <c r="G118" i="1"/>
  <c r="F118" i="1"/>
  <c r="I117" i="1"/>
  <c r="J117" i="1" s="1"/>
  <c r="H117" i="1"/>
  <c r="G117" i="1"/>
  <c r="F117" i="1"/>
  <c r="I116" i="1"/>
  <c r="J116" i="1" s="1"/>
  <c r="H116" i="1"/>
  <c r="G116" i="1"/>
  <c r="F116" i="1"/>
  <c r="J115" i="1"/>
  <c r="I115" i="1"/>
  <c r="H115" i="1"/>
  <c r="G115" i="1"/>
  <c r="F115" i="1"/>
  <c r="J114" i="1"/>
  <c r="I114" i="1"/>
  <c r="H114" i="1"/>
  <c r="G114" i="1"/>
  <c r="F114" i="1"/>
  <c r="J113" i="1"/>
  <c r="I113" i="1"/>
  <c r="H113" i="1"/>
  <c r="G113" i="1"/>
  <c r="F113" i="1"/>
  <c r="I112" i="1"/>
  <c r="J112" i="1" s="1"/>
  <c r="H112" i="1"/>
  <c r="G112" i="1"/>
  <c r="F112" i="1"/>
  <c r="I111" i="1"/>
  <c r="J111" i="1" s="1"/>
  <c r="H111" i="1"/>
  <c r="G111" i="1"/>
  <c r="F111" i="1"/>
  <c r="J110" i="1"/>
  <c r="I110" i="1"/>
  <c r="H110" i="1"/>
  <c r="G110" i="1"/>
  <c r="F110" i="1"/>
  <c r="J109" i="1"/>
  <c r="I109" i="1"/>
  <c r="H109" i="1"/>
  <c r="G109" i="1"/>
  <c r="F109" i="1"/>
  <c r="I108" i="1"/>
  <c r="J108" i="1" s="1"/>
  <c r="H108" i="1"/>
  <c r="G108" i="1"/>
  <c r="F108" i="1"/>
  <c r="I107" i="1"/>
  <c r="J107" i="1" s="1"/>
  <c r="H107" i="1"/>
  <c r="G107" i="1"/>
  <c r="F107" i="1"/>
  <c r="I106" i="1"/>
  <c r="J106" i="1" s="1"/>
  <c r="H106" i="1"/>
  <c r="G106" i="1"/>
  <c r="F106" i="1"/>
  <c r="J105" i="1"/>
  <c r="I105" i="1"/>
  <c r="H105" i="1"/>
  <c r="G105" i="1"/>
  <c r="F105" i="1"/>
  <c r="I104" i="1"/>
  <c r="J104" i="1" s="1"/>
  <c r="H104" i="1"/>
  <c r="G104" i="1"/>
  <c r="F104" i="1"/>
  <c r="I103" i="1"/>
  <c r="J103" i="1" s="1"/>
  <c r="H103" i="1"/>
  <c r="G103" i="1"/>
  <c r="F103" i="1"/>
  <c r="I102" i="1"/>
  <c r="J102" i="1" s="1"/>
  <c r="H102" i="1"/>
  <c r="G102" i="1"/>
  <c r="F102" i="1"/>
  <c r="J101" i="1"/>
  <c r="I101" i="1"/>
  <c r="H101" i="1"/>
  <c r="G101" i="1"/>
  <c r="F101" i="1"/>
  <c r="J100" i="1"/>
  <c r="I100" i="1"/>
  <c r="H100" i="1"/>
  <c r="G100" i="1"/>
  <c r="F100" i="1"/>
  <c r="J99" i="1"/>
  <c r="I99" i="1"/>
  <c r="H99" i="1"/>
  <c r="G99" i="1"/>
  <c r="F99" i="1"/>
  <c r="I98" i="1"/>
  <c r="J98" i="1" s="1"/>
  <c r="H98" i="1"/>
  <c r="G98" i="1"/>
  <c r="F98" i="1"/>
  <c r="I97" i="1"/>
  <c r="J97" i="1" s="1"/>
  <c r="H97" i="1"/>
  <c r="G97" i="1"/>
  <c r="F97" i="1"/>
  <c r="J96" i="1"/>
  <c r="I96" i="1"/>
  <c r="H96" i="1"/>
  <c r="G96" i="1"/>
  <c r="F96" i="1"/>
  <c r="J95" i="1"/>
  <c r="I95" i="1"/>
  <c r="H95" i="1"/>
  <c r="G95" i="1"/>
  <c r="F95" i="1"/>
  <c r="I94" i="1"/>
  <c r="J94" i="1" s="1"/>
  <c r="H94" i="1"/>
  <c r="G94" i="1"/>
  <c r="F94" i="1"/>
  <c r="I93" i="1"/>
  <c r="J93" i="1" s="1"/>
  <c r="H93" i="1"/>
  <c r="G93" i="1"/>
  <c r="F93" i="1"/>
  <c r="I92" i="1"/>
  <c r="J92" i="1" s="1"/>
  <c r="H92" i="1"/>
  <c r="G92" i="1"/>
  <c r="F92" i="1"/>
  <c r="J91" i="1"/>
  <c r="I91" i="1"/>
  <c r="H91" i="1"/>
  <c r="G91" i="1"/>
  <c r="F91" i="1"/>
  <c r="I90" i="1"/>
  <c r="J90" i="1" s="1"/>
  <c r="H90" i="1"/>
  <c r="G90" i="1"/>
  <c r="F90" i="1"/>
  <c r="I89" i="1"/>
  <c r="J89" i="1" s="1"/>
  <c r="H89" i="1"/>
  <c r="G89" i="1"/>
  <c r="F89" i="1"/>
  <c r="I88" i="1"/>
  <c r="J88" i="1" s="1"/>
  <c r="H88" i="1"/>
  <c r="G88" i="1"/>
  <c r="F88" i="1"/>
  <c r="J87" i="1"/>
  <c r="I87" i="1"/>
  <c r="H87" i="1"/>
  <c r="G87" i="1"/>
  <c r="F87" i="1"/>
  <c r="J86" i="1"/>
  <c r="I86" i="1"/>
  <c r="H86" i="1"/>
  <c r="G86" i="1"/>
  <c r="F86" i="1"/>
  <c r="J85" i="1"/>
  <c r="I85" i="1"/>
  <c r="H85" i="1"/>
  <c r="G85" i="1"/>
  <c r="F85" i="1"/>
  <c r="I84" i="1"/>
  <c r="J84" i="1" s="1"/>
  <c r="H84" i="1"/>
  <c r="G84" i="1"/>
  <c r="F84" i="1"/>
  <c r="I83" i="1"/>
  <c r="J83" i="1" s="1"/>
  <c r="H83" i="1"/>
  <c r="G83" i="1"/>
  <c r="F83" i="1"/>
  <c r="J82" i="1"/>
  <c r="I82" i="1"/>
  <c r="H82" i="1"/>
  <c r="G82" i="1"/>
  <c r="F82" i="1"/>
  <c r="J81" i="1"/>
  <c r="I81" i="1"/>
  <c r="H81" i="1"/>
  <c r="G81" i="1"/>
  <c r="F81" i="1"/>
  <c r="I80" i="1"/>
  <c r="J80" i="1" s="1"/>
  <c r="H80" i="1"/>
  <c r="G80" i="1"/>
  <c r="F80" i="1"/>
  <c r="I79" i="1"/>
  <c r="J79" i="1" s="1"/>
  <c r="H79" i="1"/>
  <c r="G79" i="1"/>
  <c r="F79" i="1"/>
  <c r="I78" i="1"/>
  <c r="J78" i="1" s="1"/>
  <c r="H78" i="1"/>
  <c r="G78" i="1"/>
  <c r="F78" i="1"/>
  <c r="J77" i="1"/>
  <c r="I77" i="1"/>
  <c r="H77" i="1"/>
  <c r="G77" i="1"/>
  <c r="F77" i="1"/>
  <c r="I76" i="1"/>
  <c r="J76" i="1" s="1"/>
  <c r="H76" i="1"/>
  <c r="G76" i="1"/>
  <c r="F76" i="1"/>
  <c r="I75" i="1"/>
  <c r="J75" i="1" s="1"/>
  <c r="H75" i="1"/>
  <c r="G75" i="1"/>
  <c r="F75" i="1"/>
  <c r="I74" i="1"/>
  <c r="J74" i="1" s="1"/>
  <c r="H74" i="1"/>
  <c r="G74" i="1"/>
  <c r="F74" i="1"/>
  <c r="J73" i="1"/>
  <c r="I73" i="1"/>
  <c r="H73" i="1"/>
  <c r="G73" i="1"/>
  <c r="F73" i="1"/>
  <c r="J72" i="1"/>
  <c r="I72" i="1"/>
  <c r="H72" i="1"/>
  <c r="G72" i="1"/>
  <c r="F72" i="1"/>
  <c r="J71" i="1"/>
  <c r="I71" i="1"/>
  <c r="H71" i="1"/>
  <c r="G71" i="1"/>
  <c r="F71" i="1"/>
  <c r="I70" i="1"/>
  <c r="J70" i="1" s="1"/>
  <c r="H70" i="1"/>
  <c r="G70" i="1"/>
  <c r="F70" i="1"/>
  <c r="I69" i="1"/>
  <c r="J69" i="1" s="1"/>
  <c r="H69" i="1"/>
  <c r="G69" i="1"/>
  <c r="F69" i="1"/>
  <c r="J68" i="1"/>
  <c r="I68" i="1"/>
  <c r="H68" i="1"/>
  <c r="G68" i="1"/>
  <c r="F68" i="1"/>
  <c r="J67" i="1"/>
  <c r="I67" i="1"/>
  <c r="H67" i="1"/>
  <c r="G67" i="1"/>
  <c r="F67" i="1"/>
  <c r="I66" i="1"/>
  <c r="J66" i="1" s="1"/>
  <c r="H66" i="1"/>
  <c r="G66" i="1"/>
  <c r="F66" i="1"/>
  <c r="I65" i="1"/>
  <c r="J65" i="1" s="1"/>
  <c r="H65" i="1"/>
  <c r="G65" i="1"/>
  <c r="F65" i="1"/>
  <c r="I64" i="1"/>
  <c r="J64" i="1" s="1"/>
  <c r="H64" i="1"/>
  <c r="G64" i="1"/>
  <c r="F64" i="1"/>
  <c r="J63" i="1"/>
  <c r="I63" i="1"/>
  <c r="H63" i="1"/>
  <c r="G63" i="1"/>
  <c r="F63" i="1"/>
  <c r="I62" i="1"/>
  <c r="J62" i="1" s="1"/>
  <c r="H62" i="1"/>
  <c r="G62" i="1"/>
  <c r="F62" i="1"/>
  <c r="I61" i="1"/>
  <c r="J61" i="1" s="1"/>
  <c r="H61" i="1"/>
  <c r="G61" i="1"/>
  <c r="F61" i="1"/>
  <c r="I60" i="1"/>
  <c r="J60" i="1" s="1"/>
  <c r="H60" i="1"/>
  <c r="G60" i="1"/>
  <c r="F60" i="1"/>
  <c r="J59" i="1"/>
  <c r="I59" i="1"/>
  <c r="H59" i="1"/>
  <c r="G59" i="1"/>
  <c r="F59" i="1"/>
  <c r="J58" i="1"/>
  <c r="I58" i="1"/>
  <c r="H58" i="1"/>
  <c r="G58" i="1"/>
  <c r="F58" i="1"/>
  <c r="J57" i="1"/>
  <c r="I57" i="1"/>
  <c r="H57" i="1"/>
  <c r="G57" i="1"/>
  <c r="F57" i="1"/>
  <c r="I56" i="1"/>
  <c r="J56" i="1" s="1"/>
  <c r="H56" i="1"/>
  <c r="G56" i="1"/>
  <c r="F56" i="1"/>
  <c r="I55" i="1"/>
  <c r="J55" i="1" s="1"/>
  <c r="H55" i="1"/>
  <c r="G55" i="1"/>
  <c r="F55" i="1"/>
  <c r="J54" i="1"/>
  <c r="I54" i="1"/>
  <c r="H54" i="1"/>
  <c r="G54" i="1"/>
  <c r="F54" i="1"/>
  <c r="J53" i="1"/>
  <c r="I53" i="1"/>
  <c r="H53" i="1"/>
  <c r="G53" i="1"/>
  <c r="F53" i="1"/>
  <c r="I52" i="1"/>
  <c r="J52" i="1" s="1"/>
  <c r="H52" i="1"/>
  <c r="G52" i="1"/>
  <c r="F52" i="1"/>
  <c r="I51" i="1"/>
  <c r="J51" i="1" s="1"/>
  <c r="H51" i="1"/>
  <c r="G51" i="1"/>
  <c r="F51" i="1"/>
  <c r="I50" i="1"/>
  <c r="J50" i="1" s="1"/>
  <c r="H50" i="1"/>
  <c r="G50" i="1"/>
  <c r="F50" i="1"/>
  <c r="J49" i="1"/>
  <c r="I49" i="1"/>
  <c r="H49" i="1"/>
  <c r="G49" i="1"/>
  <c r="F49" i="1"/>
  <c r="I48" i="1"/>
  <c r="J48" i="1" s="1"/>
  <c r="H48" i="1"/>
  <c r="G48" i="1"/>
  <c r="F48" i="1"/>
  <c r="I47" i="1"/>
  <c r="J47" i="1" s="1"/>
  <c r="H47" i="1"/>
  <c r="G47" i="1"/>
  <c r="F47" i="1"/>
  <c r="I46" i="1"/>
  <c r="J46" i="1" s="1"/>
  <c r="H46" i="1"/>
  <c r="G46" i="1"/>
  <c r="F46" i="1"/>
  <c r="J45" i="1"/>
  <c r="I45" i="1"/>
  <c r="H45" i="1"/>
  <c r="G45" i="1"/>
  <c r="F45" i="1"/>
  <c r="J44" i="1"/>
  <c r="I44" i="1"/>
  <c r="H44" i="1"/>
  <c r="G44" i="1"/>
  <c r="F44" i="1"/>
  <c r="J43" i="1"/>
  <c r="I43" i="1"/>
  <c r="H43" i="1"/>
  <c r="G43" i="1"/>
  <c r="F43" i="1"/>
  <c r="I42" i="1"/>
  <c r="J42" i="1" s="1"/>
  <c r="H42" i="1"/>
  <c r="G42" i="1"/>
  <c r="F42" i="1"/>
  <c r="I41" i="1"/>
  <c r="J41" i="1" s="1"/>
  <c r="H41" i="1"/>
  <c r="G41" i="1"/>
  <c r="F41" i="1"/>
  <c r="J40" i="1"/>
  <c r="I40" i="1"/>
  <c r="H40" i="1"/>
  <c r="G40" i="1"/>
  <c r="F40" i="1"/>
  <c r="J39" i="1"/>
  <c r="I39" i="1"/>
  <c r="H39" i="1"/>
  <c r="G39" i="1"/>
  <c r="F39" i="1"/>
  <c r="I38" i="1"/>
  <c r="J38" i="1" s="1"/>
  <c r="H38" i="1"/>
  <c r="G38" i="1"/>
  <c r="F38" i="1"/>
  <c r="I37" i="1"/>
  <c r="J37" i="1" s="1"/>
  <c r="H37" i="1"/>
  <c r="I36" i="1"/>
  <c r="J36" i="1" s="1"/>
  <c r="H36" i="1"/>
  <c r="J35" i="1"/>
  <c r="I35" i="1"/>
  <c r="H35" i="1"/>
  <c r="I34" i="1"/>
  <c r="J34" i="1" s="1"/>
  <c r="H34" i="1"/>
  <c r="I33" i="1"/>
  <c r="J33" i="1" s="1"/>
  <c r="H33" i="1"/>
  <c r="I32" i="1"/>
  <c r="J32" i="1" s="1"/>
  <c r="H32" i="1"/>
  <c r="J31" i="1"/>
  <c r="I31" i="1"/>
  <c r="H31" i="1"/>
  <c r="J30" i="1"/>
  <c r="I30" i="1"/>
  <c r="H30" i="1"/>
  <c r="J29" i="1"/>
  <c r="I29" i="1"/>
  <c r="H29" i="1"/>
  <c r="I28" i="1"/>
  <c r="J28" i="1" s="1"/>
  <c r="H28" i="1"/>
  <c r="I27" i="1"/>
  <c r="J27" i="1" s="1"/>
  <c r="H27" i="1"/>
  <c r="J26" i="1"/>
  <c r="I26" i="1"/>
  <c r="H26" i="1"/>
  <c r="J25" i="1"/>
  <c r="I25" i="1"/>
  <c r="H25" i="1"/>
  <c r="I24" i="1"/>
  <c r="J24" i="1" s="1"/>
  <c r="H24" i="1"/>
  <c r="I23" i="1"/>
  <c r="J23" i="1" s="1"/>
  <c r="H23" i="1"/>
  <c r="I22" i="1"/>
  <c r="J22" i="1" s="1"/>
  <c r="H22" i="1"/>
  <c r="J21" i="1"/>
  <c r="I21" i="1"/>
  <c r="H21" i="1"/>
  <c r="I20" i="1"/>
  <c r="J20" i="1" s="1"/>
  <c r="H20" i="1"/>
  <c r="I19" i="1"/>
  <c r="J19" i="1" s="1"/>
  <c r="H19" i="1"/>
  <c r="I18" i="1"/>
  <c r="J18" i="1" s="1"/>
  <c r="H18" i="1"/>
  <c r="J17" i="1"/>
  <c r="I17" i="1"/>
  <c r="H17" i="1"/>
  <c r="J16" i="1"/>
  <c r="I16" i="1"/>
  <c r="H16" i="1"/>
  <c r="J15" i="1"/>
  <c r="I15" i="1"/>
  <c r="H15" i="1"/>
  <c r="I14" i="1"/>
  <c r="J14" i="1" s="1"/>
  <c r="H14" i="1"/>
  <c r="I13" i="1"/>
  <c r="J13" i="1" s="1"/>
  <c r="H13" i="1"/>
  <c r="J12" i="1"/>
  <c r="I12" i="1"/>
  <c r="H12" i="1"/>
  <c r="J11" i="1"/>
  <c r="I11" i="1"/>
  <c r="H11" i="1"/>
  <c r="I10" i="1"/>
  <c r="J10" i="1" s="1"/>
  <c r="H10" i="1"/>
  <c r="I9" i="1"/>
  <c r="J9" i="1" s="1"/>
  <c r="H9" i="1"/>
  <c r="I8" i="1"/>
  <c r="J8" i="1" s="1"/>
  <c r="H8" i="1"/>
  <c r="J7" i="1"/>
  <c r="I7" i="1"/>
  <c r="H7" i="1"/>
  <c r="I6" i="1"/>
  <c r="J6" i="1" s="1"/>
  <c r="H6" i="1"/>
  <c r="I5" i="1"/>
  <c r="J5" i="1" s="1"/>
  <c r="H5" i="1"/>
  <c r="I4" i="1"/>
  <c r="J4" i="1" s="1"/>
  <c r="H4" i="1"/>
  <c r="J3" i="1"/>
  <c r="I3" i="1"/>
  <c r="H3" i="1"/>
  <c r="J2" i="1"/>
  <c r="I2" i="1"/>
  <c r="H2" i="1"/>
  <c r="J2645" i="1" l="1"/>
  <c r="J2490" i="1"/>
  <c r="J2478" i="1"/>
  <c r="J2483" i="1"/>
  <c r="J2469" i="1"/>
  <c r="J2006" i="1"/>
  <c r="J2007" i="1"/>
</calcChain>
</file>

<file path=xl/sharedStrings.xml><?xml version="1.0" encoding="utf-8"?>
<sst xmlns="http://schemas.openxmlformats.org/spreadsheetml/2006/main" count="8085" uniqueCount="311">
  <si>
    <t>Obligation</t>
  </si>
  <si>
    <t>Disbursement</t>
  </si>
  <si>
    <t>Country</t>
  </si>
  <si>
    <t>Grantee</t>
  </si>
  <si>
    <t>NU14GH0012382020</t>
  </si>
  <si>
    <t>NU2GGH0013532020</t>
  </si>
  <si>
    <t>NU2GGH0014632019</t>
  </si>
  <si>
    <t>NU2GGH0019372020</t>
  </si>
  <si>
    <t>NU2GGH0019372021</t>
  </si>
  <si>
    <t>NU2GGH0019762020</t>
  </si>
  <si>
    <t>NU2GGH0019782020</t>
  </si>
  <si>
    <t>NU2GGH0019792020</t>
  </si>
  <si>
    <t>NU2GGH0019802020</t>
  </si>
  <si>
    <t>NU2GGH0019992020</t>
  </si>
  <si>
    <t>NU2GGH0020002022</t>
  </si>
  <si>
    <t>NU2GGH0020022022</t>
  </si>
  <si>
    <t>NU2GGH0020082020</t>
  </si>
  <si>
    <t>NU2GGH0020102020</t>
  </si>
  <si>
    <t>NU2GGH0020212020</t>
  </si>
  <si>
    <t>NU2GGH0020222020</t>
  </si>
  <si>
    <t>NU2GGH0020272020</t>
  </si>
  <si>
    <t>NU2GGH0020462020</t>
  </si>
  <si>
    <t>NU2GGH0020592021</t>
  </si>
  <si>
    <t>NU2GGH0020902020</t>
  </si>
  <si>
    <t>NU2GGH0020902022</t>
  </si>
  <si>
    <t>NU2GGH0020932020</t>
  </si>
  <si>
    <t>NU2GGH0020932021</t>
  </si>
  <si>
    <t>NU2GGH0020982020</t>
  </si>
  <si>
    <t>NU2GGH0021382020</t>
  </si>
  <si>
    <t>NU2GGH0021402020</t>
  </si>
  <si>
    <t>NU2GGH0021702020</t>
  </si>
  <si>
    <t>NU2GGH0021712020</t>
  </si>
  <si>
    <t>NU2GGH0021712021</t>
  </si>
  <si>
    <t>NU2GGH0021722020</t>
  </si>
  <si>
    <t>NU2GGH0021732020</t>
  </si>
  <si>
    <t>NU2GGH0021752020</t>
  </si>
  <si>
    <t>NU2GGH0021772020</t>
  </si>
  <si>
    <t>NU2GGH0021832020</t>
  </si>
  <si>
    <t>NU2GGH0021882020</t>
  </si>
  <si>
    <t>NU2GGH0021892020</t>
  </si>
  <si>
    <t>NU2GGH0021902020</t>
  </si>
  <si>
    <t>NU2GGH0021932020</t>
  </si>
  <si>
    <t>NU2GGH0021942020</t>
  </si>
  <si>
    <t>NU2GGH0021952020</t>
  </si>
  <si>
    <t>NU2GGH0022012020</t>
  </si>
  <si>
    <t>NU2GGH0022032020</t>
  </si>
  <si>
    <t>NU2GGH0022132020</t>
  </si>
  <si>
    <t>NU2GGH0022152020</t>
  </si>
  <si>
    <t>NU2GGH0022192020</t>
  </si>
  <si>
    <t>NU2GGH0022272020</t>
  </si>
  <si>
    <t>NU2GGH0022342020</t>
  </si>
  <si>
    <t>NU2GGH0022442020</t>
  </si>
  <si>
    <t>NU2GGH0022682022</t>
  </si>
  <si>
    <t>NU2GGH0022692020</t>
  </si>
  <si>
    <t>NU2GGH0022812020</t>
  </si>
  <si>
    <t>NU2GGH0022912020</t>
  </si>
  <si>
    <t>NU2GGH0023092020</t>
  </si>
  <si>
    <t>NU2GGH0023182020</t>
  </si>
  <si>
    <t>NU2GGH0023182021</t>
  </si>
  <si>
    <t>NU2GGH0023212020</t>
  </si>
  <si>
    <t>NU2GGH0023212021</t>
  </si>
  <si>
    <t>NU2GGH0023222021</t>
  </si>
  <si>
    <t>NU2GGH0023362021</t>
  </si>
  <si>
    <t>NU2GGH0023452021</t>
  </si>
  <si>
    <t>NU2GGH0023562021</t>
  </si>
  <si>
    <t>NU2GGH0023912021</t>
  </si>
  <si>
    <t>NU2GGH0023972021</t>
  </si>
  <si>
    <t>NU2GGH0024062022</t>
  </si>
  <si>
    <t>NU2HGH0000022020</t>
  </si>
  <si>
    <t>NU2HGH0000032020</t>
  </si>
  <si>
    <t>NU2HGH0000042020</t>
  </si>
  <si>
    <t>NU2HGH0000042021</t>
  </si>
  <si>
    <t>NU2HGH0000052021</t>
  </si>
  <si>
    <t>NU2HGH0000092021</t>
  </si>
  <si>
    <t>NU2HGH0000142020</t>
  </si>
  <si>
    <t>NU2HGH0000162020</t>
  </si>
  <si>
    <t>NU2HGH0000192021</t>
  </si>
  <si>
    <t>NU2HGH0000292020</t>
  </si>
  <si>
    <t>NU2HGH0000322020</t>
  </si>
  <si>
    <t>NU2HGH0000332021</t>
  </si>
  <si>
    <t>NU2HGH0000342020</t>
  </si>
  <si>
    <t>NU2HGH0000352020</t>
  </si>
  <si>
    <t>NU2HGH0000392020</t>
  </si>
  <si>
    <t>NU2HGH0000422020</t>
  </si>
  <si>
    <t>NU2HGH0000452020</t>
  </si>
  <si>
    <t>NU2HGH0000462020</t>
  </si>
  <si>
    <t>NU2HGH0000502020</t>
  </si>
  <si>
    <t>NU2HGH0000562020</t>
  </si>
  <si>
    <t>NU2HGH0000582020</t>
  </si>
  <si>
    <t>NU2HGH0000622020</t>
  </si>
  <si>
    <t>NU2HGH0000622021</t>
  </si>
  <si>
    <t>NU2HGH0000682021</t>
  </si>
  <si>
    <t>NU2HGH0000732020</t>
  </si>
  <si>
    <t>NU2HGH0000742020</t>
  </si>
  <si>
    <t>NU2HGH0000782020</t>
  </si>
  <si>
    <t>NU2HGH0000802020</t>
  </si>
  <si>
    <t>NU2HGH0000972021</t>
  </si>
  <si>
    <t>NU2HGH0000982021</t>
  </si>
  <si>
    <t>NU2HGH0000992021</t>
  </si>
  <si>
    <t>NU2HGH0001002021</t>
  </si>
  <si>
    <t>NU38OT0002822020</t>
  </si>
  <si>
    <t>NU38OT0003282021</t>
  </si>
  <si>
    <t>NU50CK0004932020</t>
  </si>
  <si>
    <t>NU50CK0004942020</t>
  </si>
  <si>
    <t>NU50CK0004952020</t>
  </si>
  <si>
    <t>NU50CK0005002020</t>
  </si>
  <si>
    <t>NU50CK0005002021</t>
  </si>
  <si>
    <t>NU50CK0005012020</t>
  </si>
  <si>
    <t>NU50CK0005042020</t>
  </si>
  <si>
    <t>NU50CK0005102020</t>
  </si>
  <si>
    <t>NU50CK0005102022</t>
  </si>
  <si>
    <t>NU50CK0005152020</t>
  </si>
  <si>
    <t>NU50CK0005152021</t>
  </si>
  <si>
    <t>NU50CK0005162020</t>
  </si>
  <si>
    <t>NU50CK0005162021</t>
  </si>
  <si>
    <t>NU50CK0005252020</t>
  </si>
  <si>
    <t>NU50CK0005252021</t>
  </si>
  <si>
    <t>NU50CK0005262020</t>
  </si>
  <si>
    <t>NU50CK0005262021</t>
  </si>
  <si>
    <t>NU50CK0005282020</t>
  </si>
  <si>
    <t>NU50CK0005292020</t>
  </si>
  <si>
    <t>NU50CK0005302020</t>
  </si>
  <si>
    <t>NU50CK0005342020</t>
  </si>
  <si>
    <t>NU50CK0005342021</t>
  </si>
  <si>
    <t>NU50CK0005392020</t>
  </si>
  <si>
    <t>NU50CK0005392021</t>
  </si>
  <si>
    <t>NU50CK0005432020</t>
  </si>
  <si>
    <t>NU50CK0005432021</t>
  </si>
  <si>
    <t>NU50CK0005472020</t>
  </si>
  <si>
    <t>NU50CK0005472021</t>
  </si>
  <si>
    <t>NU50CK0005522021</t>
  </si>
  <si>
    <t>NU50CK0005532020</t>
  </si>
  <si>
    <t>NU50CK0005542020</t>
  </si>
  <si>
    <t>NU50CK0005602021</t>
  </si>
  <si>
    <t>NU51IP0009422021</t>
  </si>
  <si>
    <t>NU51IP0009422022</t>
  </si>
  <si>
    <t>NU66GH0021722020</t>
  </si>
  <si>
    <t>R43GH0023682021</t>
  </si>
  <si>
    <t>U01GH0021152020</t>
  </si>
  <si>
    <t>U01GH0021192019</t>
  </si>
  <si>
    <t>U01GH0022382020</t>
  </si>
  <si>
    <t>U01GH0022482020</t>
  </si>
  <si>
    <t>U01GH0022562019</t>
  </si>
  <si>
    <t>U01GH0022562021</t>
  </si>
  <si>
    <t>U01GH0022782020</t>
  </si>
  <si>
    <t>U01GH0023382021</t>
  </si>
  <si>
    <t>U01GH0023462021</t>
  </si>
  <si>
    <t>Unique ID</t>
  </si>
  <si>
    <t>Month</t>
  </si>
  <si>
    <t>Undisbursed Amount</t>
  </si>
  <si>
    <t>Grant Start Date</t>
  </si>
  <si>
    <t>Grant End Date</t>
  </si>
  <si>
    <t>UDO Status</t>
  </si>
  <si>
    <t>NU2GGH0024112023</t>
  </si>
  <si>
    <t>LESOTHO</t>
  </si>
  <si>
    <t>BAYLOR COLLEGE OF MEDICINE CHILDREN'S FOUNDATION - LESO</t>
  </si>
  <si>
    <t>Non UDO</t>
  </si>
  <si>
    <t>NU2GGH0024482023</t>
  </si>
  <si>
    <t>KENYA</t>
  </si>
  <si>
    <t>COPTIC ORTHODOX CHURCH</t>
  </si>
  <si>
    <t>NU51IP0009462022</t>
  </si>
  <si>
    <t>VIETNAM</t>
  </si>
  <si>
    <t>VIETNAM DEPARTMENT OF ANIMAL HEALTH</t>
  </si>
  <si>
    <t>NU2GGH0023982022</t>
  </si>
  <si>
    <t>NAMIBIA</t>
  </si>
  <si>
    <t>SOCIETY FOR FAMILY HEALTH NAMIBIA</t>
  </si>
  <si>
    <t>NU2GGH0023992023</t>
  </si>
  <si>
    <t>UNITED STATES</t>
  </si>
  <si>
    <t>JOHNS HOPKINS UNIVERSITY</t>
  </si>
  <si>
    <t>NU2GGH0024012022</t>
  </si>
  <si>
    <t>MOZAMBIQUE</t>
  </si>
  <si>
    <t>SERVICO PROVINCIAL DE SAUDE DA ZAMBEZIA</t>
  </si>
  <si>
    <t>NU2GGH0024012023</t>
  </si>
  <si>
    <t>NU2GGH0024052023</t>
  </si>
  <si>
    <t>VIETNAM NATIONAL LUNG HOSPITAL</t>
  </si>
  <si>
    <t>NU2GGH0024272023</t>
  </si>
  <si>
    <t>MALAWI</t>
  </si>
  <si>
    <t>GLOBAL HEALTH INFORMATICS INSTITUTE</t>
  </si>
  <si>
    <t>NU2GGH0023582023</t>
  </si>
  <si>
    <t>UGANDA</t>
  </si>
  <si>
    <t>KAMPALA CAPITAL CITY AUTHORITY</t>
  </si>
  <si>
    <t>NU2GGH0023782023</t>
  </si>
  <si>
    <t>SOUTH AFRICA</t>
  </si>
  <si>
    <t>TRUST FOR HEALTH SYSTEMS PLANNING AND DEVELOPMENT</t>
  </si>
  <si>
    <t>NU2GGH0022982023</t>
  </si>
  <si>
    <t>UNIVERSITY OF WASHINGTON</t>
  </si>
  <si>
    <t>NU2HGH0000812021</t>
  </si>
  <si>
    <t>Pan American Health Organization</t>
  </si>
  <si>
    <t>COUNCIL FOR SCIENTIFIC &amp; INDUSTRIAL RESEARCH</t>
  </si>
  <si>
    <t>UDO</t>
  </si>
  <si>
    <t>519476.11000000004</t>
  </si>
  <si>
    <t>1033754.9400000001</t>
  </si>
  <si>
    <t>927205.0700000001</t>
  </si>
  <si>
    <t>1229920.9300000002</t>
  </si>
  <si>
    <t>1443582.3599999999</t>
  </si>
  <si>
    <t>185141.63999999998</t>
  </si>
  <si>
    <t>56945957.99999999</t>
  </si>
  <si>
    <t>45229995.00000001</t>
  </si>
  <si>
    <t>94917754.99999999</t>
  </si>
  <si>
    <t>97824707.99999999</t>
  </si>
  <si>
    <t>TB/HIV Care</t>
  </si>
  <si>
    <t>14501730.219999999</t>
  </si>
  <si>
    <t>15622565.969999999</t>
  </si>
  <si>
    <t>4907817.359999999</t>
  </si>
  <si>
    <t>2023060.9300000002</t>
  </si>
  <si>
    <t>20562317.799999997</t>
  </si>
  <si>
    <t>21455211.689999998</t>
  </si>
  <si>
    <t>3575640.3699999996</t>
  </si>
  <si>
    <t>2989332.5300000003</t>
  </si>
  <si>
    <t>2009582.3599999999</t>
  </si>
  <si>
    <t>1490152.5699999998</t>
  </si>
  <si>
    <t>331399.41000000003</t>
  </si>
  <si>
    <t>1018016.3500000001</t>
  </si>
  <si>
    <t>South Africa Partners Inc</t>
  </si>
  <si>
    <t>1594497.6099999999</t>
  </si>
  <si>
    <t>1149392.3900000001</t>
  </si>
  <si>
    <t>1842280.6099999999</t>
  </si>
  <si>
    <t>901609.3899999999</t>
  </si>
  <si>
    <t>1959334.6099999999</t>
  </si>
  <si>
    <t>2524690.6100000003</t>
  </si>
  <si>
    <t>MEDICAL RESEARCH COUNCIL</t>
  </si>
  <si>
    <t>572035.9299999999</t>
  </si>
  <si>
    <t>1727964.0699999998</t>
  </si>
  <si>
    <t>896125.1000000001</t>
  </si>
  <si>
    <t>1162577.8199999998</t>
  </si>
  <si>
    <t>1137422.1800000002</t>
  </si>
  <si>
    <t>National Health Laboratory Service</t>
  </si>
  <si>
    <t>843466.7500000001</t>
  </si>
  <si>
    <t>2848848.6999999997</t>
  </si>
  <si>
    <t>1035839.1299999999</t>
  </si>
  <si>
    <t>1594382.7100000002</t>
  </si>
  <si>
    <t>1615535.7100000002</t>
  </si>
  <si>
    <t>1633911.7100000002</t>
  </si>
  <si>
    <t>1660495.7100000002</t>
  </si>
  <si>
    <t>2145751.4099999997</t>
  </si>
  <si>
    <t>1793281.4000000001</t>
  </si>
  <si>
    <t>2031718.5999999999</t>
  </si>
  <si>
    <t>1896811.4000000001</t>
  </si>
  <si>
    <t>1928188.5999999999</t>
  </si>
  <si>
    <t>1986470.4000000001</t>
  </si>
  <si>
    <t>1838529.5999999999</t>
  </si>
  <si>
    <t>2091059.4000000001</t>
  </si>
  <si>
    <t>1733940.5999999999</t>
  </si>
  <si>
    <t>2432117.4000000004</t>
  </si>
  <si>
    <t>2672240.1999999997</t>
  </si>
  <si>
    <t>2902467.1999999997</t>
  </si>
  <si>
    <t>922532.7999999999</t>
  </si>
  <si>
    <t>HISP HEALTH INFORMATION SYSTEMS SOUTH AFRICA</t>
  </si>
  <si>
    <t>625830.9199999999</t>
  </si>
  <si>
    <t>525830.9199999999</t>
  </si>
  <si>
    <t>215830.91999999998</t>
  </si>
  <si>
    <t>105830.92000000001</t>
  </si>
  <si>
    <t>MAKERERE UNIVERSITY SCHOOL OF PUBLIC HEALTH</t>
  </si>
  <si>
    <t>502531.00000000006</t>
  </si>
  <si>
    <t>MEDICAL ACCESS UGANDA LIMITED</t>
  </si>
  <si>
    <t>INFECTIOUS DISEASES INSTITUTE AT MAKERERE UNIVERSI</t>
  </si>
  <si>
    <t>13805851.270000001</t>
  </si>
  <si>
    <t>MILDMAY UGANDA</t>
  </si>
  <si>
    <t>7555286.619999999</t>
  </si>
  <si>
    <t>9549486.620000001</t>
  </si>
  <si>
    <t>10318486.620000001</t>
  </si>
  <si>
    <t>11377886.620000001</t>
  </si>
  <si>
    <t>11390886.620000001</t>
  </si>
  <si>
    <t>1566473.2200000002</t>
  </si>
  <si>
    <t>African Field Epidemology Network Limited (AFENET)</t>
  </si>
  <si>
    <t>1566473.2199999997</t>
  </si>
  <si>
    <t>3456473.2199999997</t>
  </si>
  <si>
    <t>3486473.2199999997</t>
  </si>
  <si>
    <t>4621184.780000001</t>
  </si>
  <si>
    <t>3616473.2199999997</t>
  </si>
  <si>
    <t>4153283.0799999996</t>
  </si>
  <si>
    <t>4813321.449999999</t>
  </si>
  <si>
    <t>3294336.5500000003</t>
  </si>
  <si>
    <t>5429321.449999999</t>
  </si>
  <si>
    <t>2678336.5500000003</t>
  </si>
  <si>
    <t>5994321.449999999</t>
  </si>
  <si>
    <t>2113336.5500000003</t>
  </si>
  <si>
    <t>6489321.449999999</t>
  </si>
  <si>
    <t>95003.20999999999</t>
  </si>
  <si>
    <t>405858.33999999997</t>
  </si>
  <si>
    <t>5552608.5200000005</t>
  </si>
  <si>
    <t>4566633.119999999</t>
  </si>
  <si>
    <t>850706.1900000001</t>
  </si>
  <si>
    <t>6134119.569999999</t>
  </si>
  <si>
    <t>African Field Epidemology Network Limited AFENET -</t>
  </si>
  <si>
    <t>2045475.0299999998</t>
  </si>
  <si>
    <t>BAYLOR COLLEGE OF MEDICINE CHILDRENS FDN - UGANDA</t>
  </si>
  <si>
    <t>16329226.999999998</t>
  </si>
  <si>
    <t>15323933.999999998</t>
  </si>
  <si>
    <t>6855312.999999999</t>
  </si>
  <si>
    <t>14315998.999999996</t>
  </si>
  <si>
    <t>10753502.000000002</t>
  </si>
  <si>
    <t>10417809.999999998</t>
  </si>
  <si>
    <t>15767638.000000004</t>
  </si>
  <si>
    <t>16540556.019999998</t>
  </si>
  <si>
    <t>3691147.9999999995</t>
  </si>
  <si>
    <t>20080930.999999996</t>
  </si>
  <si>
    <t>ROGH0022482020</t>
  </si>
  <si>
    <t>ROGH0022482021</t>
  </si>
  <si>
    <t>ROGH0022482022</t>
  </si>
  <si>
    <t>ROGH0022482023</t>
  </si>
  <si>
    <t>ROGH0022482024</t>
  </si>
  <si>
    <t>ROGH0022482025</t>
  </si>
  <si>
    <t>ROGH0022482026</t>
  </si>
  <si>
    <t>ROGH0022482027</t>
  </si>
  <si>
    <t>ROGH0022482028</t>
  </si>
  <si>
    <t>ROGH0022482029</t>
  </si>
  <si>
    <t>ROGH0022482030</t>
  </si>
  <si>
    <t>ROGH0022482031</t>
  </si>
  <si>
    <t>INSTITUE OF RESEARCH</t>
  </si>
  <si>
    <t>Uganda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</si>
</sst>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3" xfId="0" applyFont="1" applyFill="1" applyBorder="1"/>
    <xf numFmtId="14" fontId="1" fillId="3" borderId="3" xfId="0" applyNumberFormat="1" applyFont="1" applyFill="1" applyBorder="1"/>
    <xf numFmtId="0" fontId="0" fillId="4" borderId="1" xfId="0" applyFill="1" applyBorder="1"/>
    <xf numFmtId="14" fontId="0" fillId="4" borderId="2" xfId="0" applyNumberFormat="1" applyFill="1" applyBorder="1"/>
    <xf numFmtId="0" fontId="0" fillId="4" borderId="2" xfId="0" applyFill="1" applyBorder="1"/>
    <xf numFmtId="14" fontId="0" fillId="0" borderId="0" xfId="0" applyNumberFormat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kearns\Downloads\Cleaned%20grants%20summary%201%20(1).xlsm" TargetMode="External"/><Relationship Id="rId1" Type="http://schemas.openxmlformats.org/officeDocument/2006/relationships/externalLinkPath" Target="/Users/rkearns/Downloads/Cleaned%20grants%20summary%201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HC data"/>
      <sheetName val="Sheet1"/>
      <sheetName val="Cleaned grants summary 1 (1)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D422-339D-4C5B-BAE3-5FFF365C3C94}">
  <dimension ref="A1:J5443"/>
  <sheetViews>
    <sheetView tabSelected="1" topLeftCell="A5358" zoomScale="56" workbookViewId="0">
      <selection activeCell="R5392" sqref="R5392"/>
    </sheetView>
  </sheetViews>
  <sheetFormatPr defaultRowHeight="14.5" x14ac:dyDescent="0.35"/>
  <cols>
    <col min="1" max="1" width="27" customWidth="1"/>
    <col min="2" max="2" width="10.81640625" bestFit="1" customWidth="1"/>
    <col min="3" max="3" width="9.81640625" bestFit="1" customWidth="1"/>
    <col min="4" max="4" width="12.54296875" bestFit="1" customWidth="1"/>
    <col min="5" max="5" width="18.6328125" bestFit="1" customWidth="1"/>
    <col min="6" max="6" width="13.81640625" bestFit="1" customWidth="1"/>
    <col min="7" max="7" width="29" customWidth="1"/>
    <col min="8" max="8" width="22.6328125" style="8" bestFit="1" customWidth="1"/>
    <col min="9" max="9" width="21.81640625" style="8" bestFit="1" customWidth="1"/>
    <col min="10" max="10" width="13.453125" customWidth="1"/>
  </cols>
  <sheetData>
    <row r="1" spans="1:10" x14ac:dyDescent="0.35">
      <c r="A1" s="1" t="s">
        <v>147</v>
      </c>
      <c r="B1" s="2" t="s">
        <v>148</v>
      </c>
      <c r="C1" s="2" t="s">
        <v>0</v>
      </c>
      <c r="D1" s="2" t="s">
        <v>1</v>
      </c>
      <c r="E1" s="2" t="s">
        <v>149</v>
      </c>
      <c r="F1" s="3" t="s">
        <v>2</v>
      </c>
      <c r="G1" s="3" t="s">
        <v>3</v>
      </c>
      <c r="H1" s="4" t="s">
        <v>150</v>
      </c>
      <c r="I1" s="4" t="s">
        <v>151</v>
      </c>
      <c r="J1" s="4" t="s">
        <v>152</v>
      </c>
    </row>
    <row r="2" spans="1:10" x14ac:dyDescent="0.35">
      <c r="A2" s="5" t="s">
        <v>4</v>
      </c>
      <c r="B2" s="6">
        <v>44105</v>
      </c>
      <c r="C2" s="7">
        <v>3562500</v>
      </c>
      <c r="D2" s="7">
        <v>0</v>
      </c>
      <c r="E2" s="7">
        <v>3562500</v>
      </c>
      <c r="F2" t="s">
        <v>179</v>
      </c>
      <c r="G2" t="s">
        <v>310</v>
      </c>
      <c r="H2" s="8">
        <f>VLOOKUP(A2,[1]!Table1[#All],32,FALSE)</f>
        <v>43738</v>
      </c>
      <c r="I2" s="8">
        <f>VLOOKUP(A2,[1]!Table1[#All],33,FALSE)</f>
        <v>45564</v>
      </c>
      <c r="J2" t="str">
        <f ca="1">IF(AND( E2&gt;0,TODAY()&gt;I2),"UDO","Non UDO")</f>
        <v>UDO</v>
      </c>
    </row>
    <row r="3" spans="1:10" x14ac:dyDescent="0.35">
      <c r="A3" s="9" t="s">
        <v>4</v>
      </c>
      <c r="B3" s="10">
        <v>44136</v>
      </c>
      <c r="C3" s="11">
        <v>3562500</v>
      </c>
      <c r="D3" s="11">
        <v>2647.56</v>
      </c>
      <c r="E3" s="11">
        <v>3559852.44</v>
      </c>
      <c r="F3" t="s">
        <v>179</v>
      </c>
      <c r="G3" t="s">
        <v>310</v>
      </c>
      <c r="H3" s="8">
        <f>VLOOKUP(A3,[1]!Table1[#All],32,FALSE)</f>
        <v>43738</v>
      </c>
      <c r="I3" s="8">
        <f>VLOOKUP(A3,[1]!Table1[#All],33,FALSE)</f>
        <v>45564</v>
      </c>
      <c r="J3" t="str">
        <f t="shared" ref="J3:J66" ca="1" si="0">IF(AND( E3&gt;0,TODAY()&gt;I3),"UDO","Non UDO")</f>
        <v>UDO</v>
      </c>
    </row>
    <row r="4" spans="1:10" x14ac:dyDescent="0.35">
      <c r="A4" s="5" t="s">
        <v>4</v>
      </c>
      <c r="B4" s="6">
        <v>44166</v>
      </c>
      <c r="C4" s="7">
        <v>3562500</v>
      </c>
      <c r="D4" s="7">
        <v>2647.56</v>
      </c>
      <c r="E4" s="7">
        <v>3559852.44</v>
      </c>
      <c r="F4" t="s">
        <v>179</v>
      </c>
      <c r="G4" t="s">
        <v>310</v>
      </c>
      <c r="H4" s="8">
        <f>VLOOKUP(A4,[1]!Table1[#All],32,FALSE)</f>
        <v>43738</v>
      </c>
      <c r="I4" s="8">
        <f>VLOOKUP(A4,[1]!Table1[#All],33,FALSE)</f>
        <v>45564</v>
      </c>
      <c r="J4" t="str">
        <f t="shared" ca="1" si="0"/>
        <v>UDO</v>
      </c>
    </row>
    <row r="5" spans="1:10" x14ac:dyDescent="0.35">
      <c r="A5" s="9" t="s">
        <v>4</v>
      </c>
      <c r="B5" s="10">
        <v>44197</v>
      </c>
      <c r="C5" s="11">
        <v>3562500</v>
      </c>
      <c r="D5" s="11">
        <v>2647.55</v>
      </c>
      <c r="E5" s="11">
        <v>3559852.45</v>
      </c>
      <c r="F5" t="s">
        <v>179</v>
      </c>
      <c r="G5" t="s">
        <v>310</v>
      </c>
      <c r="H5" s="8">
        <f>VLOOKUP(A5,[1]!Table1[#All],32,FALSE)</f>
        <v>43738</v>
      </c>
      <c r="I5" s="8">
        <f>VLOOKUP(A5,[1]!Table1[#All],33,FALSE)</f>
        <v>45564</v>
      </c>
      <c r="J5" t="str">
        <f t="shared" ca="1" si="0"/>
        <v>UDO</v>
      </c>
    </row>
    <row r="6" spans="1:10" x14ac:dyDescent="0.35">
      <c r="A6" s="5" t="s">
        <v>4</v>
      </c>
      <c r="B6" s="6">
        <v>44228</v>
      </c>
      <c r="C6" s="7">
        <v>3562500</v>
      </c>
      <c r="D6" s="7">
        <v>2647.55</v>
      </c>
      <c r="E6" s="7">
        <v>3559852.45</v>
      </c>
      <c r="F6" t="s">
        <v>179</v>
      </c>
      <c r="G6" t="s">
        <v>310</v>
      </c>
      <c r="H6" s="8">
        <f>VLOOKUP(A6,[1]!Table1[#All],32,FALSE)</f>
        <v>43738</v>
      </c>
      <c r="I6" s="8">
        <f>VLOOKUP(A6,[1]!Table1[#All],33,FALSE)</f>
        <v>45564</v>
      </c>
      <c r="J6" t="str">
        <f t="shared" ca="1" si="0"/>
        <v>UDO</v>
      </c>
    </row>
    <row r="7" spans="1:10" x14ac:dyDescent="0.35">
      <c r="A7" s="9" t="s">
        <v>4</v>
      </c>
      <c r="B7" s="10">
        <v>44256</v>
      </c>
      <c r="C7" s="11">
        <v>3562500</v>
      </c>
      <c r="D7" s="11">
        <v>14748.42</v>
      </c>
      <c r="E7" s="11">
        <v>3547751.58</v>
      </c>
      <c r="F7" t="s">
        <v>179</v>
      </c>
      <c r="G7" t="s">
        <v>310</v>
      </c>
      <c r="H7" s="8">
        <f>VLOOKUP(A7,[1]!Table1[#All],32,FALSE)</f>
        <v>43738</v>
      </c>
      <c r="I7" s="8">
        <f>VLOOKUP(A7,[1]!Table1[#All],33,FALSE)</f>
        <v>45564</v>
      </c>
      <c r="J7" t="str">
        <f t="shared" ca="1" si="0"/>
        <v>UDO</v>
      </c>
    </row>
    <row r="8" spans="1:10" x14ac:dyDescent="0.35">
      <c r="A8" s="5" t="s">
        <v>4</v>
      </c>
      <c r="B8" s="6">
        <v>44287</v>
      </c>
      <c r="C8" s="7">
        <v>3562500</v>
      </c>
      <c r="D8" s="7">
        <v>14748.42</v>
      </c>
      <c r="E8" s="7">
        <v>3547751.58</v>
      </c>
      <c r="F8" t="s">
        <v>179</v>
      </c>
      <c r="G8" t="s">
        <v>310</v>
      </c>
      <c r="H8" s="8">
        <f>VLOOKUP(A8,[1]!Table1[#All],32,FALSE)</f>
        <v>43738</v>
      </c>
      <c r="I8" s="8">
        <f>VLOOKUP(A8,[1]!Table1[#All],33,FALSE)</f>
        <v>45564</v>
      </c>
      <c r="J8" t="str">
        <f t="shared" ca="1" si="0"/>
        <v>UDO</v>
      </c>
    </row>
    <row r="9" spans="1:10" x14ac:dyDescent="0.35">
      <c r="A9" s="9" t="s">
        <v>4</v>
      </c>
      <c r="B9" s="10">
        <v>44317</v>
      </c>
      <c r="C9" s="11">
        <v>3562500</v>
      </c>
      <c r="D9" s="11">
        <v>14748.42</v>
      </c>
      <c r="E9" s="11">
        <v>3547751.58</v>
      </c>
      <c r="F9" t="s">
        <v>179</v>
      </c>
      <c r="G9" t="s">
        <v>310</v>
      </c>
      <c r="H9" s="8">
        <f>VLOOKUP(A9,[1]!Table1[#All],32,FALSE)</f>
        <v>43738</v>
      </c>
      <c r="I9" s="8">
        <f>VLOOKUP(A9,[1]!Table1[#All],33,FALSE)</f>
        <v>45564</v>
      </c>
      <c r="J9" t="str">
        <f t="shared" ca="1" si="0"/>
        <v>UDO</v>
      </c>
    </row>
    <row r="10" spans="1:10" x14ac:dyDescent="0.35">
      <c r="A10" s="5" t="s">
        <v>4</v>
      </c>
      <c r="B10" s="6">
        <v>44348</v>
      </c>
      <c r="C10" s="7">
        <v>3562500</v>
      </c>
      <c r="D10" s="7">
        <v>14748.42</v>
      </c>
      <c r="E10" s="7">
        <v>3547751.58</v>
      </c>
      <c r="F10" t="s">
        <v>179</v>
      </c>
      <c r="G10" t="s">
        <v>310</v>
      </c>
      <c r="H10" s="8">
        <f>VLOOKUP(A10,[1]!Table1[#All],32,FALSE)</f>
        <v>43738</v>
      </c>
      <c r="I10" s="8">
        <f>VLOOKUP(A10,[1]!Table1[#All],33,FALSE)</f>
        <v>45564</v>
      </c>
      <c r="J10" t="str">
        <f t="shared" ca="1" si="0"/>
        <v>UDO</v>
      </c>
    </row>
    <row r="11" spans="1:10" x14ac:dyDescent="0.35">
      <c r="A11" s="9" t="s">
        <v>4</v>
      </c>
      <c r="B11" s="10">
        <v>44378</v>
      </c>
      <c r="C11" s="11">
        <v>3562500</v>
      </c>
      <c r="D11" s="11">
        <v>14748.42</v>
      </c>
      <c r="E11" s="11">
        <v>3547751.58</v>
      </c>
      <c r="F11" t="s">
        <v>179</v>
      </c>
      <c r="G11" t="s">
        <v>310</v>
      </c>
      <c r="H11" s="8">
        <f>VLOOKUP(A11,[1]!Table1[#All],32,FALSE)</f>
        <v>43738</v>
      </c>
      <c r="I11" s="8">
        <f>VLOOKUP(A11,[1]!Table1[#All],33,FALSE)</f>
        <v>45564</v>
      </c>
      <c r="J11" t="str">
        <f t="shared" ca="1" si="0"/>
        <v>UDO</v>
      </c>
    </row>
    <row r="12" spans="1:10" x14ac:dyDescent="0.35">
      <c r="A12" s="5" t="s">
        <v>4</v>
      </c>
      <c r="B12" s="6">
        <v>44409</v>
      </c>
      <c r="C12" s="7">
        <v>3562500</v>
      </c>
      <c r="D12" s="7">
        <v>69861.97</v>
      </c>
      <c r="E12" s="7">
        <v>3492638.0300000003</v>
      </c>
      <c r="F12" t="s">
        <v>179</v>
      </c>
      <c r="G12" t="s">
        <v>310</v>
      </c>
      <c r="H12" s="8">
        <f>VLOOKUP(A12,[1]!Table1[#All],32,FALSE)</f>
        <v>43738</v>
      </c>
      <c r="I12" s="8">
        <f>VLOOKUP(A12,[1]!Table1[#All],33,FALSE)</f>
        <v>45564</v>
      </c>
      <c r="J12" t="str">
        <f t="shared" ca="1" si="0"/>
        <v>UDO</v>
      </c>
    </row>
    <row r="13" spans="1:10" x14ac:dyDescent="0.35">
      <c r="A13" s="9" t="s">
        <v>4</v>
      </c>
      <c r="B13" s="10">
        <v>44440</v>
      </c>
      <c r="C13" s="11">
        <v>3562500</v>
      </c>
      <c r="D13" s="11">
        <v>69861.97</v>
      </c>
      <c r="E13" s="11">
        <v>3492638.0300000003</v>
      </c>
      <c r="F13" t="s">
        <v>179</v>
      </c>
      <c r="G13" t="s">
        <v>310</v>
      </c>
      <c r="H13" s="8">
        <f>VLOOKUP(A13,[1]!Table1[#All],32,FALSE)</f>
        <v>43738</v>
      </c>
      <c r="I13" s="8">
        <f>VLOOKUP(A13,[1]!Table1[#All],33,FALSE)</f>
        <v>45564</v>
      </c>
      <c r="J13" t="str">
        <f t="shared" ca="1" si="0"/>
        <v>UDO</v>
      </c>
    </row>
    <row r="14" spans="1:10" x14ac:dyDescent="0.35">
      <c r="A14" s="5" t="s">
        <v>4</v>
      </c>
      <c r="B14" s="6">
        <v>44470</v>
      </c>
      <c r="C14" s="7">
        <v>3562500</v>
      </c>
      <c r="D14" s="7">
        <v>92441.19</v>
      </c>
      <c r="E14" s="7">
        <v>3470058.81</v>
      </c>
      <c r="F14" t="s">
        <v>179</v>
      </c>
      <c r="G14" t="s">
        <v>310</v>
      </c>
      <c r="H14" s="8">
        <f>VLOOKUP(A14,[1]!Table1[#All],32,FALSE)</f>
        <v>43738</v>
      </c>
      <c r="I14" s="8">
        <f>VLOOKUP(A14,[1]!Table1[#All],33,FALSE)</f>
        <v>45564</v>
      </c>
      <c r="J14" t="str">
        <f t="shared" ca="1" si="0"/>
        <v>UDO</v>
      </c>
    </row>
    <row r="15" spans="1:10" x14ac:dyDescent="0.35">
      <c r="A15" s="9" t="s">
        <v>4</v>
      </c>
      <c r="B15" s="10">
        <v>44501</v>
      </c>
      <c r="C15" s="11">
        <v>3562500</v>
      </c>
      <c r="D15" s="11">
        <v>96851.6</v>
      </c>
      <c r="E15" s="11">
        <v>3465648.4</v>
      </c>
      <c r="F15" t="s">
        <v>179</v>
      </c>
      <c r="G15" t="s">
        <v>310</v>
      </c>
      <c r="H15" s="8">
        <f>VLOOKUP(A15,[1]!Table1[#All],32,FALSE)</f>
        <v>43738</v>
      </c>
      <c r="I15" s="8">
        <f>VLOOKUP(A15,[1]!Table1[#All],33,FALSE)</f>
        <v>45564</v>
      </c>
      <c r="J15" t="str">
        <f t="shared" ca="1" si="0"/>
        <v>UDO</v>
      </c>
    </row>
    <row r="16" spans="1:10" x14ac:dyDescent="0.35">
      <c r="A16" s="5" t="s">
        <v>4</v>
      </c>
      <c r="B16" s="6">
        <v>44531</v>
      </c>
      <c r="C16" s="7">
        <v>3562500</v>
      </c>
      <c r="D16" s="7">
        <v>96092.92</v>
      </c>
      <c r="E16" s="7">
        <v>3466407.08</v>
      </c>
      <c r="F16" t="s">
        <v>179</v>
      </c>
      <c r="G16" t="s">
        <v>310</v>
      </c>
      <c r="H16" s="8">
        <f>VLOOKUP(A16,[1]!Table1[#All],32,FALSE)</f>
        <v>43738</v>
      </c>
      <c r="I16" s="8">
        <f>VLOOKUP(A16,[1]!Table1[#All],33,FALSE)</f>
        <v>45564</v>
      </c>
      <c r="J16" t="str">
        <f t="shared" ca="1" si="0"/>
        <v>UDO</v>
      </c>
    </row>
    <row r="17" spans="1:10" x14ac:dyDescent="0.35">
      <c r="A17" s="9" t="s">
        <v>4</v>
      </c>
      <c r="B17" s="10">
        <v>44562</v>
      </c>
      <c r="C17" s="11">
        <v>3562500</v>
      </c>
      <c r="D17" s="11">
        <v>128937.92</v>
      </c>
      <c r="E17" s="11">
        <v>3433562.08</v>
      </c>
      <c r="F17" t="s">
        <v>179</v>
      </c>
      <c r="G17" t="s">
        <v>310</v>
      </c>
      <c r="H17" s="8">
        <f>VLOOKUP(A17,[1]!Table1[#All],32,FALSE)</f>
        <v>43738</v>
      </c>
      <c r="I17" s="8">
        <f>VLOOKUP(A17,[1]!Table1[#All],33,FALSE)</f>
        <v>45564</v>
      </c>
      <c r="J17" t="str">
        <f t="shared" ca="1" si="0"/>
        <v>UDO</v>
      </c>
    </row>
    <row r="18" spans="1:10" x14ac:dyDescent="0.35">
      <c r="A18" s="5" t="s">
        <v>4</v>
      </c>
      <c r="B18" s="6">
        <v>44593</v>
      </c>
      <c r="C18" s="7">
        <v>3562500</v>
      </c>
      <c r="D18" s="7">
        <v>139886.26999999999</v>
      </c>
      <c r="E18" s="7">
        <v>3422613.73</v>
      </c>
      <c r="F18" t="s">
        <v>179</v>
      </c>
      <c r="G18" t="s">
        <v>310</v>
      </c>
      <c r="H18" s="8">
        <f>VLOOKUP(A18,[1]!Table1[#All],32,FALSE)</f>
        <v>43738</v>
      </c>
      <c r="I18" s="8">
        <f>VLOOKUP(A18,[1]!Table1[#All],33,FALSE)</f>
        <v>45564</v>
      </c>
      <c r="J18" t="str">
        <f t="shared" ca="1" si="0"/>
        <v>UDO</v>
      </c>
    </row>
    <row r="19" spans="1:10" x14ac:dyDescent="0.35">
      <c r="A19" s="9" t="s">
        <v>4</v>
      </c>
      <c r="B19" s="10">
        <v>44621</v>
      </c>
      <c r="C19" s="11">
        <v>3562500</v>
      </c>
      <c r="D19" s="11">
        <v>153081.56</v>
      </c>
      <c r="E19" s="11">
        <v>3409418.44</v>
      </c>
      <c r="F19" t="s">
        <v>179</v>
      </c>
      <c r="G19" t="s">
        <v>310</v>
      </c>
      <c r="H19" s="8">
        <f>VLOOKUP(A19,[1]!Table1[#All],32,FALSE)</f>
        <v>43738</v>
      </c>
      <c r="I19" s="8">
        <f>VLOOKUP(A19,[1]!Table1[#All],33,FALSE)</f>
        <v>45564</v>
      </c>
      <c r="J19" t="str">
        <f t="shared" ca="1" si="0"/>
        <v>UDO</v>
      </c>
    </row>
    <row r="20" spans="1:10" x14ac:dyDescent="0.35">
      <c r="A20" s="5" t="s">
        <v>4</v>
      </c>
      <c r="B20" s="6">
        <v>44652</v>
      </c>
      <c r="C20" s="7">
        <v>3562500</v>
      </c>
      <c r="D20" s="7">
        <v>165541.16</v>
      </c>
      <c r="E20" s="7">
        <v>3396958.84</v>
      </c>
      <c r="F20" t="s">
        <v>179</v>
      </c>
      <c r="G20" t="s">
        <v>310</v>
      </c>
      <c r="H20" s="8">
        <f>VLOOKUP(A20,[1]!Table1[#All],32,FALSE)</f>
        <v>43738</v>
      </c>
      <c r="I20" s="8">
        <f>VLOOKUP(A20,[1]!Table1[#All],33,FALSE)</f>
        <v>45564</v>
      </c>
      <c r="J20" t="str">
        <f t="shared" ca="1" si="0"/>
        <v>UDO</v>
      </c>
    </row>
    <row r="21" spans="1:10" x14ac:dyDescent="0.35">
      <c r="A21" s="9" t="s">
        <v>4</v>
      </c>
      <c r="B21" s="10">
        <v>44682</v>
      </c>
      <c r="C21" s="11">
        <v>3562500</v>
      </c>
      <c r="D21" s="11">
        <v>178000.76</v>
      </c>
      <c r="E21" s="11">
        <v>3384499.24</v>
      </c>
      <c r="F21" t="s">
        <v>179</v>
      </c>
      <c r="G21" t="s">
        <v>310</v>
      </c>
      <c r="H21" s="8">
        <f>VLOOKUP(A21,[1]!Table1[#All],32,FALSE)</f>
        <v>43738</v>
      </c>
      <c r="I21" s="8">
        <f>VLOOKUP(A21,[1]!Table1[#All],33,FALSE)</f>
        <v>45564</v>
      </c>
      <c r="J21" t="str">
        <f t="shared" ca="1" si="0"/>
        <v>UDO</v>
      </c>
    </row>
    <row r="22" spans="1:10" x14ac:dyDescent="0.35">
      <c r="A22" s="5" t="s">
        <v>4</v>
      </c>
      <c r="B22" s="6">
        <v>44713</v>
      </c>
      <c r="C22" s="7">
        <v>3562500</v>
      </c>
      <c r="D22" s="7">
        <v>190460.36</v>
      </c>
      <c r="E22" s="7">
        <v>3372039.6399999997</v>
      </c>
      <c r="F22" t="s">
        <v>179</v>
      </c>
      <c r="G22" t="s">
        <v>310</v>
      </c>
      <c r="H22" s="8">
        <f>VLOOKUP(A22,[1]!Table1[#All],32,FALSE)</f>
        <v>43738</v>
      </c>
      <c r="I22" s="8">
        <f>VLOOKUP(A22,[1]!Table1[#All],33,FALSE)</f>
        <v>45564</v>
      </c>
      <c r="J22" t="str">
        <f t="shared" ca="1" si="0"/>
        <v>UDO</v>
      </c>
    </row>
    <row r="23" spans="1:10" x14ac:dyDescent="0.35">
      <c r="A23" s="9" t="s">
        <v>4</v>
      </c>
      <c r="B23" s="10">
        <v>44743</v>
      </c>
      <c r="C23" s="11">
        <v>3562500</v>
      </c>
      <c r="D23" s="11">
        <v>248506.44</v>
      </c>
      <c r="E23" s="11">
        <v>3313993.56</v>
      </c>
      <c r="F23" t="s">
        <v>179</v>
      </c>
      <c r="G23" t="s">
        <v>310</v>
      </c>
      <c r="H23" s="8">
        <f>VLOOKUP(A23,[1]!Table1[#All],32,FALSE)</f>
        <v>43738</v>
      </c>
      <c r="I23" s="8">
        <f>VLOOKUP(A23,[1]!Table1[#All],33,FALSE)</f>
        <v>45564</v>
      </c>
      <c r="J23" t="str">
        <f t="shared" ca="1" si="0"/>
        <v>UDO</v>
      </c>
    </row>
    <row r="24" spans="1:10" x14ac:dyDescent="0.35">
      <c r="A24" s="5" t="s">
        <v>4</v>
      </c>
      <c r="B24" s="6">
        <v>44774</v>
      </c>
      <c r="C24" s="7">
        <v>3562500</v>
      </c>
      <c r="D24" s="7">
        <v>422321.12</v>
      </c>
      <c r="E24" s="7">
        <v>3140178.88</v>
      </c>
      <c r="F24" t="s">
        <v>179</v>
      </c>
      <c r="G24" t="s">
        <v>310</v>
      </c>
      <c r="H24" s="8">
        <f>VLOOKUP(A24,[1]!Table1[#All],32,FALSE)</f>
        <v>43738</v>
      </c>
      <c r="I24" s="8">
        <f>VLOOKUP(A24,[1]!Table1[#All],33,FALSE)</f>
        <v>45564</v>
      </c>
      <c r="J24" t="str">
        <f t="shared" ca="1" si="0"/>
        <v>UDO</v>
      </c>
    </row>
    <row r="25" spans="1:10" x14ac:dyDescent="0.35">
      <c r="A25" s="9" t="s">
        <v>4</v>
      </c>
      <c r="B25" s="10">
        <v>44805</v>
      </c>
      <c r="C25" s="11">
        <v>3562500</v>
      </c>
      <c r="D25" s="11">
        <v>449375.92</v>
      </c>
      <c r="E25" s="11">
        <v>3113124.08</v>
      </c>
      <c r="F25" t="s">
        <v>179</v>
      </c>
      <c r="G25" t="s">
        <v>310</v>
      </c>
      <c r="H25" s="8">
        <f>VLOOKUP(A25,[1]!Table1[#All],32,FALSE)</f>
        <v>43738</v>
      </c>
      <c r="I25" s="8">
        <f>VLOOKUP(A25,[1]!Table1[#All],33,FALSE)</f>
        <v>45564</v>
      </c>
      <c r="J25" t="str">
        <f t="shared" ca="1" si="0"/>
        <v>UDO</v>
      </c>
    </row>
    <row r="26" spans="1:10" x14ac:dyDescent="0.35">
      <c r="A26" s="5" t="s">
        <v>4</v>
      </c>
      <c r="B26" s="6">
        <v>44835</v>
      </c>
      <c r="C26" s="7">
        <v>3562500</v>
      </c>
      <c r="D26" s="7">
        <v>530218.92000000004</v>
      </c>
      <c r="E26" s="7">
        <v>3032281.08</v>
      </c>
      <c r="F26" t="s">
        <v>179</v>
      </c>
      <c r="G26" t="s">
        <v>310</v>
      </c>
      <c r="H26" s="8">
        <f>VLOOKUP(A26,[1]!Table1[#All],32,FALSE)</f>
        <v>43738</v>
      </c>
      <c r="I26" s="8">
        <f>VLOOKUP(A26,[1]!Table1[#All],33,FALSE)</f>
        <v>45564</v>
      </c>
      <c r="J26" t="str">
        <f t="shared" ca="1" si="0"/>
        <v>UDO</v>
      </c>
    </row>
    <row r="27" spans="1:10" x14ac:dyDescent="0.35">
      <c r="A27" s="9" t="s">
        <v>4</v>
      </c>
      <c r="B27" s="10">
        <v>44866</v>
      </c>
      <c r="C27" s="11">
        <v>3562500</v>
      </c>
      <c r="D27" s="11">
        <v>539641.48</v>
      </c>
      <c r="E27" s="11">
        <v>3022858.52</v>
      </c>
      <c r="F27" t="s">
        <v>179</v>
      </c>
      <c r="G27" t="s">
        <v>310</v>
      </c>
      <c r="H27" s="8">
        <f>VLOOKUP(A27,[1]!Table1[#All],32,FALSE)</f>
        <v>43738</v>
      </c>
      <c r="I27" s="8">
        <f>VLOOKUP(A27,[1]!Table1[#All],33,FALSE)</f>
        <v>45564</v>
      </c>
      <c r="J27" t="str">
        <f t="shared" ca="1" si="0"/>
        <v>UDO</v>
      </c>
    </row>
    <row r="28" spans="1:10" x14ac:dyDescent="0.35">
      <c r="A28" s="5" t="s">
        <v>4</v>
      </c>
      <c r="B28" s="6">
        <v>44896</v>
      </c>
      <c r="C28" s="7">
        <v>3562500</v>
      </c>
      <c r="D28" s="7">
        <v>597351.68999999994</v>
      </c>
      <c r="E28" s="7">
        <v>2965148.31</v>
      </c>
      <c r="F28" t="s">
        <v>179</v>
      </c>
      <c r="G28" t="s">
        <v>310</v>
      </c>
      <c r="H28" s="8">
        <f>VLOOKUP(A28,[1]!Table1[#All],32,FALSE)</f>
        <v>43738</v>
      </c>
      <c r="I28" s="8">
        <f>VLOOKUP(A28,[1]!Table1[#All],33,FALSE)</f>
        <v>45564</v>
      </c>
      <c r="J28" t="str">
        <f t="shared" ca="1" si="0"/>
        <v>UDO</v>
      </c>
    </row>
    <row r="29" spans="1:10" x14ac:dyDescent="0.35">
      <c r="A29" s="9" t="s">
        <v>4</v>
      </c>
      <c r="B29" s="10">
        <v>44927</v>
      </c>
      <c r="C29" s="11">
        <v>3562500</v>
      </c>
      <c r="D29" s="11">
        <v>609314.98</v>
      </c>
      <c r="E29" s="11">
        <v>2953185.02</v>
      </c>
      <c r="F29" t="s">
        <v>179</v>
      </c>
      <c r="G29" t="s">
        <v>310</v>
      </c>
      <c r="H29" s="8">
        <f>VLOOKUP(A29,[1]!Table1[#All],32,FALSE)</f>
        <v>43738</v>
      </c>
      <c r="I29" s="8">
        <f>VLOOKUP(A29,[1]!Table1[#All],33,FALSE)</f>
        <v>45564</v>
      </c>
      <c r="J29" t="str">
        <f t="shared" ca="1" si="0"/>
        <v>UDO</v>
      </c>
    </row>
    <row r="30" spans="1:10" x14ac:dyDescent="0.35">
      <c r="A30" s="5" t="s">
        <v>4</v>
      </c>
      <c r="B30" s="6">
        <v>44958</v>
      </c>
      <c r="C30" s="7">
        <v>3562500</v>
      </c>
      <c r="D30" s="7">
        <v>1015247.5399999999</v>
      </c>
      <c r="E30" s="7">
        <v>2547252.46</v>
      </c>
      <c r="F30" t="s">
        <v>179</v>
      </c>
      <c r="G30" t="s">
        <v>310</v>
      </c>
      <c r="H30" s="8">
        <f>VLOOKUP(A30,[1]!Table1[#All],32,FALSE)</f>
        <v>43738</v>
      </c>
      <c r="I30" s="8">
        <f>VLOOKUP(A30,[1]!Table1[#All],33,FALSE)</f>
        <v>45564</v>
      </c>
      <c r="J30" t="str">
        <f t="shared" ca="1" si="0"/>
        <v>UDO</v>
      </c>
    </row>
    <row r="31" spans="1:10" x14ac:dyDescent="0.35">
      <c r="A31" s="9" t="s">
        <v>4</v>
      </c>
      <c r="B31" s="10">
        <v>44986</v>
      </c>
      <c r="C31" s="11">
        <v>3562500</v>
      </c>
      <c r="D31" s="11">
        <v>1057101.46</v>
      </c>
      <c r="E31" s="11">
        <v>2505398.54</v>
      </c>
      <c r="F31" t="s">
        <v>179</v>
      </c>
      <c r="G31" t="s">
        <v>310</v>
      </c>
      <c r="H31" s="8">
        <f>VLOOKUP(A31,[1]!Table1[#All],32,FALSE)</f>
        <v>43738</v>
      </c>
      <c r="I31" s="8">
        <f>VLOOKUP(A31,[1]!Table1[#All],33,FALSE)</f>
        <v>45564</v>
      </c>
      <c r="J31" t="str">
        <f t="shared" ca="1" si="0"/>
        <v>UDO</v>
      </c>
    </row>
    <row r="32" spans="1:10" x14ac:dyDescent="0.35">
      <c r="A32" s="5" t="s">
        <v>4</v>
      </c>
      <c r="B32" s="6">
        <v>45017</v>
      </c>
      <c r="C32" s="7">
        <v>3562500</v>
      </c>
      <c r="D32" s="7">
        <v>1218065.71</v>
      </c>
      <c r="E32" s="7">
        <v>2344434.29</v>
      </c>
      <c r="F32" t="s">
        <v>179</v>
      </c>
      <c r="G32" t="s">
        <v>310</v>
      </c>
      <c r="H32" s="8">
        <f>VLOOKUP(A32,[1]!Table1[#All],32,FALSE)</f>
        <v>43738</v>
      </c>
      <c r="I32" s="8">
        <f>VLOOKUP(A32,[1]!Table1[#All],33,FALSE)</f>
        <v>45564</v>
      </c>
      <c r="J32" t="str">
        <f t="shared" ca="1" si="0"/>
        <v>UDO</v>
      </c>
    </row>
    <row r="33" spans="1:10" x14ac:dyDescent="0.35">
      <c r="A33" s="9" t="s">
        <v>4</v>
      </c>
      <c r="B33" s="10">
        <v>45047</v>
      </c>
      <c r="C33" s="11">
        <v>3562500</v>
      </c>
      <c r="D33" s="11">
        <v>1351992.62</v>
      </c>
      <c r="E33" s="11">
        <v>2210507.38</v>
      </c>
      <c r="F33" t="s">
        <v>179</v>
      </c>
      <c r="G33" t="s">
        <v>310</v>
      </c>
      <c r="H33" s="8">
        <f>VLOOKUP(A33,[1]!Table1[#All],32,FALSE)</f>
        <v>43738</v>
      </c>
      <c r="I33" s="8">
        <f>VLOOKUP(A33,[1]!Table1[#All],33,FALSE)</f>
        <v>45564</v>
      </c>
      <c r="J33" t="str">
        <f t="shared" ca="1" si="0"/>
        <v>UDO</v>
      </c>
    </row>
    <row r="34" spans="1:10" x14ac:dyDescent="0.35">
      <c r="A34" s="5" t="s">
        <v>4</v>
      </c>
      <c r="B34" s="6">
        <v>45078</v>
      </c>
      <c r="C34" s="7">
        <v>3562500</v>
      </c>
      <c r="D34" s="7">
        <v>1654579.5899999999</v>
      </c>
      <c r="E34" s="7">
        <v>1907920.4100000001</v>
      </c>
      <c r="F34" t="s">
        <v>179</v>
      </c>
      <c r="G34" t="s">
        <v>310</v>
      </c>
      <c r="H34" s="8">
        <f>VLOOKUP(A34,[1]!Table1[#All],32,FALSE)</f>
        <v>43738</v>
      </c>
      <c r="I34" s="8">
        <f>VLOOKUP(A34,[1]!Table1[#All],33,FALSE)</f>
        <v>45564</v>
      </c>
      <c r="J34" t="str">
        <f t="shared" ca="1" si="0"/>
        <v>UDO</v>
      </c>
    </row>
    <row r="35" spans="1:10" x14ac:dyDescent="0.35">
      <c r="A35" s="9" t="s">
        <v>4</v>
      </c>
      <c r="B35" s="10">
        <v>45108</v>
      </c>
      <c r="C35" s="11">
        <v>3562500</v>
      </c>
      <c r="D35" s="11">
        <v>1736187.24</v>
      </c>
      <c r="E35" s="11">
        <v>1826312.76</v>
      </c>
      <c r="F35" t="s">
        <v>179</v>
      </c>
      <c r="G35" t="s">
        <v>310</v>
      </c>
      <c r="H35" s="8">
        <f>VLOOKUP(A35,[1]!Table1[#All],32,FALSE)</f>
        <v>43738</v>
      </c>
      <c r="I35" s="8">
        <f>VLOOKUP(A35,[1]!Table1[#All],33,FALSE)</f>
        <v>45564</v>
      </c>
      <c r="J35" t="str">
        <f t="shared" ca="1" si="0"/>
        <v>UDO</v>
      </c>
    </row>
    <row r="36" spans="1:10" x14ac:dyDescent="0.35">
      <c r="A36" s="5" t="s">
        <v>4</v>
      </c>
      <c r="B36" s="6">
        <v>45139</v>
      </c>
      <c r="C36" s="7">
        <v>3562500</v>
      </c>
      <c r="D36" s="7">
        <v>1855721.63</v>
      </c>
      <c r="E36" s="7">
        <v>1706778.3699999999</v>
      </c>
      <c r="F36" t="s">
        <v>179</v>
      </c>
      <c r="G36" t="s">
        <v>310</v>
      </c>
      <c r="H36" s="8">
        <f>VLOOKUP(A36,[1]!Table1[#All],32,FALSE)</f>
        <v>43738</v>
      </c>
      <c r="I36" s="8">
        <f>VLOOKUP(A36,[1]!Table1[#All],33,FALSE)</f>
        <v>45564</v>
      </c>
      <c r="J36" t="str">
        <f t="shared" ca="1" si="0"/>
        <v>UDO</v>
      </c>
    </row>
    <row r="37" spans="1:10" x14ac:dyDescent="0.35">
      <c r="A37" s="9" t="s">
        <v>4</v>
      </c>
      <c r="B37" s="10">
        <v>45170</v>
      </c>
      <c r="C37" s="11">
        <v>3562500</v>
      </c>
      <c r="D37" s="11">
        <v>2011284.1900000002</v>
      </c>
      <c r="E37" s="11">
        <v>1551215.81</v>
      </c>
      <c r="F37" t="s">
        <v>179</v>
      </c>
      <c r="G37" t="s">
        <v>310</v>
      </c>
      <c r="H37" s="8">
        <f>VLOOKUP(A37,[1]!Table1[#All],32,FALSE)</f>
        <v>43738</v>
      </c>
      <c r="I37" s="8">
        <f>VLOOKUP(A37,[1]!Table1[#All],33,FALSE)</f>
        <v>45564</v>
      </c>
      <c r="J37" t="str">
        <f t="shared" ca="1" si="0"/>
        <v>UDO</v>
      </c>
    </row>
    <row r="38" spans="1:10" x14ac:dyDescent="0.35">
      <c r="A38" s="5" t="s">
        <v>5</v>
      </c>
      <c r="B38" s="6">
        <v>44105</v>
      </c>
      <c r="C38" s="7">
        <v>1665771</v>
      </c>
      <c r="D38" s="7">
        <v>663240</v>
      </c>
      <c r="E38" s="7">
        <v>1002531</v>
      </c>
      <c r="F38" t="str">
        <f>VLOOKUP(A38,[1]!Table1[#All],17,FALSE)</f>
        <v>UGANDA</v>
      </c>
      <c r="G38" t="str">
        <f>VLOOKUP(A38,[1]!Table1[#All],22,FALSE)</f>
        <v>MAKERERE UNIVERSITY SCHOOL OF PUBLIC HEALTH</v>
      </c>
      <c r="H38" s="8">
        <f>VLOOKUP(A38,[1]!Table1[#All],32,FALSE)</f>
        <v>42461</v>
      </c>
      <c r="I38" s="8">
        <f>VLOOKUP(A38,[1]!Table1[#All],33,FALSE)</f>
        <v>44833</v>
      </c>
      <c r="J38" t="str">
        <f t="shared" ca="1" si="0"/>
        <v>UDO</v>
      </c>
    </row>
    <row r="39" spans="1:10" x14ac:dyDescent="0.35">
      <c r="A39" s="9" t="s">
        <v>5</v>
      </c>
      <c r="B39" s="10">
        <v>44136</v>
      </c>
      <c r="C39" s="11">
        <v>1665771</v>
      </c>
      <c r="D39" s="11">
        <v>753240</v>
      </c>
      <c r="E39" s="11">
        <v>912531</v>
      </c>
      <c r="F39" t="str">
        <f>VLOOKUP(A39,[1]!Table1[#All],17,FALSE)</f>
        <v>UGANDA</v>
      </c>
      <c r="G39" t="str">
        <f>VLOOKUP(A39,[1]!Table1[#All],22,FALSE)</f>
        <v>MAKERERE UNIVERSITY SCHOOL OF PUBLIC HEALTH</v>
      </c>
      <c r="H39" s="8">
        <f>VLOOKUP(A39,[1]!Table1[#All],32,FALSE)</f>
        <v>42461</v>
      </c>
      <c r="I39" s="8">
        <f>VLOOKUP(A39,[1]!Table1[#All],33,FALSE)</f>
        <v>44833</v>
      </c>
      <c r="J39" t="str">
        <f t="shared" ca="1" si="0"/>
        <v>UDO</v>
      </c>
    </row>
    <row r="40" spans="1:10" x14ac:dyDescent="0.35">
      <c r="A40" s="5" t="s">
        <v>5</v>
      </c>
      <c r="B40" s="6">
        <v>44166</v>
      </c>
      <c r="C40" s="7">
        <v>1665771</v>
      </c>
      <c r="D40" s="7">
        <v>753240</v>
      </c>
      <c r="E40" s="7">
        <v>912531</v>
      </c>
      <c r="F40" t="str">
        <f>VLOOKUP(A40,[1]!Table1[#All],17,FALSE)</f>
        <v>UGANDA</v>
      </c>
      <c r="G40" t="str">
        <f>VLOOKUP(A40,[1]!Table1[#All],22,FALSE)</f>
        <v>MAKERERE UNIVERSITY SCHOOL OF PUBLIC HEALTH</v>
      </c>
      <c r="H40" s="8">
        <f>VLOOKUP(A40,[1]!Table1[#All],32,FALSE)</f>
        <v>42461</v>
      </c>
      <c r="I40" s="8">
        <f>VLOOKUP(A40,[1]!Table1[#All],33,FALSE)</f>
        <v>44833</v>
      </c>
      <c r="J40" t="str">
        <f t="shared" ca="1" si="0"/>
        <v>UDO</v>
      </c>
    </row>
    <row r="41" spans="1:10" x14ac:dyDescent="0.35">
      <c r="A41" s="9" t="s">
        <v>5</v>
      </c>
      <c r="B41" s="10">
        <v>44197</v>
      </c>
      <c r="C41" s="11">
        <v>1665771</v>
      </c>
      <c r="D41" s="11">
        <v>923240</v>
      </c>
      <c r="E41" s="11">
        <v>742531</v>
      </c>
      <c r="F41" t="str">
        <f>VLOOKUP(A41,[1]!Table1[#All],17,FALSE)</f>
        <v>UGANDA</v>
      </c>
      <c r="G41" t="str">
        <f>VLOOKUP(A41,[1]!Table1[#All],22,FALSE)</f>
        <v>MAKERERE UNIVERSITY SCHOOL OF PUBLIC HEALTH</v>
      </c>
      <c r="H41" s="8">
        <f>VLOOKUP(A41,[1]!Table1[#All],32,FALSE)</f>
        <v>42461</v>
      </c>
      <c r="I41" s="8">
        <f>VLOOKUP(A41,[1]!Table1[#All],33,FALSE)</f>
        <v>44833</v>
      </c>
      <c r="J41" t="str">
        <f t="shared" ca="1" si="0"/>
        <v>UDO</v>
      </c>
    </row>
    <row r="42" spans="1:10" x14ac:dyDescent="0.35">
      <c r="A42" s="5" t="s">
        <v>5</v>
      </c>
      <c r="B42" s="6">
        <v>44228</v>
      </c>
      <c r="C42" s="7">
        <v>1665771</v>
      </c>
      <c r="D42" s="7">
        <v>1023240</v>
      </c>
      <c r="E42" s="7">
        <v>642531</v>
      </c>
      <c r="F42" t="str">
        <f>VLOOKUP(A42,[1]!Table1[#All],17,FALSE)</f>
        <v>UGANDA</v>
      </c>
      <c r="G42" t="str">
        <f>VLOOKUP(A42,[1]!Table1[#All],22,FALSE)</f>
        <v>MAKERERE UNIVERSITY SCHOOL OF PUBLIC HEALTH</v>
      </c>
      <c r="H42" s="8">
        <f>VLOOKUP(A42,[1]!Table1[#All],32,FALSE)</f>
        <v>42461</v>
      </c>
      <c r="I42" s="8">
        <f>VLOOKUP(A42,[1]!Table1[#All],33,FALSE)</f>
        <v>44833</v>
      </c>
      <c r="J42" t="str">
        <f t="shared" ca="1" si="0"/>
        <v>UDO</v>
      </c>
    </row>
    <row r="43" spans="1:10" x14ac:dyDescent="0.35">
      <c r="A43" s="9" t="s">
        <v>5</v>
      </c>
      <c r="B43" s="10">
        <v>44256</v>
      </c>
      <c r="C43" s="11">
        <v>1665771</v>
      </c>
      <c r="D43" s="11">
        <v>1163240</v>
      </c>
      <c r="E43" s="11">
        <v>502531</v>
      </c>
      <c r="F43" t="str">
        <f>VLOOKUP(A43,[1]!Table1[#All],17,FALSE)</f>
        <v>UGANDA</v>
      </c>
      <c r="G43" t="str">
        <f>VLOOKUP(A43,[1]!Table1[#All],22,FALSE)</f>
        <v>MAKERERE UNIVERSITY SCHOOL OF PUBLIC HEALTH</v>
      </c>
      <c r="H43" s="8">
        <f>VLOOKUP(A43,[1]!Table1[#All],32,FALSE)</f>
        <v>42461</v>
      </c>
      <c r="I43" s="8">
        <f>VLOOKUP(A43,[1]!Table1[#All],33,FALSE)</f>
        <v>44833</v>
      </c>
      <c r="J43" t="str">
        <f t="shared" ca="1" si="0"/>
        <v>UDO</v>
      </c>
    </row>
    <row r="44" spans="1:10" x14ac:dyDescent="0.35">
      <c r="A44" s="5" t="s">
        <v>5</v>
      </c>
      <c r="B44" s="6">
        <v>44287</v>
      </c>
      <c r="C44" s="7">
        <v>1665771</v>
      </c>
      <c r="D44" s="7">
        <v>1163240</v>
      </c>
      <c r="E44" s="7">
        <v>502531.00000000006</v>
      </c>
      <c r="F44" t="str">
        <f>VLOOKUP(A44,[1]!Table1[#All],17,FALSE)</f>
        <v>UGANDA</v>
      </c>
      <c r="G44" t="str">
        <f>VLOOKUP(A44,[1]!Table1[#All],22,FALSE)</f>
        <v>MAKERERE UNIVERSITY SCHOOL OF PUBLIC HEALTH</v>
      </c>
      <c r="H44" s="8">
        <f>VLOOKUP(A44,[1]!Table1[#All],32,FALSE)</f>
        <v>42461</v>
      </c>
      <c r="I44" s="8">
        <f>VLOOKUP(A44,[1]!Table1[#All],33,FALSE)</f>
        <v>44833</v>
      </c>
      <c r="J44" t="str">
        <f t="shared" ca="1" si="0"/>
        <v>UDO</v>
      </c>
    </row>
    <row r="45" spans="1:10" x14ac:dyDescent="0.35">
      <c r="A45" s="9" t="s">
        <v>5</v>
      </c>
      <c r="B45" s="10">
        <v>44317</v>
      </c>
      <c r="C45" s="11">
        <v>1665771</v>
      </c>
      <c r="D45" s="11">
        <v>1269771</v>
      </c>
      <c r="E45" s="11">
        <v>396000</v>
      </c>
      <c r="F45" t="str">
        <f>VLOOKUP(A45,[1]!Table1[#All],17,FALSE)</f>
        <v>UGANDA</v>
      </c>
      <c r="G45" t="str">
        <f>VLOOKUP(A45,[1]!Table1[#All],22,FALSE)</f>
        <v>MAKERERE UNIVERSITY SCHOOL OF PUBLIC HEALTH</v>
      </c>
      <c r="H45" s="8">
        <f>VLOOKUP(A45,[1]!Table1[#All],32,FALSE)</f>
        <v>42461</v>
      </c>
      <c r="I45" s="8">
        <f>VLOOKUP(A45,[1]!Table1[#All],33,FALSE)</f>
        <v>44833</v>
      </c>
      <c r="J45" t="str">
        <f t="shared" ca="1" si="0"/>
        <v>UDO</v>
      </c>
    </row>
    <row r="46" spans="1:10" x14ac:dyDescent="0.35">
      <c r="A46" s="5" t="s">
        <v>5</v>
      </c>
      <c r="B46" s="6">
        <v>44348</v>
      </c>
      <c r="C46" s="7">
        <v>1665771</v>
      </c>
      <c r="D46" s="7">
        <v>1269771</v>
      </c>
      <c r="E46" s="7">
        <v>396000</v>
      </c>
      <c r="F46" t="str">
        <f>VLOOKUP(A46,[1]!Table1[#All],17,FALSE)</f>
        <v>UGANDA</v>
      </c>
      <c r="G46" t="str">
        <f>VLOOKUP(A46,[1]!Table1[#All],22,FALSE)</f>
        <v>MAKERERE UNIVERSITY SCHOOL OF PUBLIC HEALTH</v>
      </c>
      <c r="H46" s="8">
        <f>VLOOKUP(A46,[1]!Table1[#All],32,FALSE)</f>
        <v>42461</v>
      </c>
      <c r="I46" s="8">
        <f>VLOOKUP(A46,[1]!Table1[#All],33,FALSE)</f>
        <v>44833</v>
      </c>
      <c r="J46" t="str">
        <f t="shared" ca="1" si="0"/>
        <v>UDO</v>
      </c>
    </row>
    <row r="47" spans="1:10" x14ac:dyDescent="0.35">
      <c r="A47" s="9" t="s">
        <v>5</v>
      </c>
      <c r="B47" s="10">
        <v>44378</v>
      </c>
      <c r="C47" s="11">
        <v>1665771</v>
      </c>
      <c r="D47" s="11">
        <v>1269771</v>
      </c>
      <c r="E47" s="11">
        <v>396000</v>
      </c>
      <c r="F47" t="str">
        <f>VLOOKUP(A47,[1]!Table1[#All],17,FALSE)</f>
        <v>UGANDA</v>
      </c>
      <c r="G47" t="str">
        <f>VLOOKUP(A47,[1]!Table1[#All],22,FALSE)</f>
        <v>MAKERERE UNIVERSITY SCHOOL OF PUBLIC HEALTH</v>
      </c>
      <c r="H47" s="8">
        <f>VLOOKUP(A47,[1]!Table1[#All],32,FALSE)</f>
        <v>42461</v>
      </c>
      <c r="I47" s="8">
        <f>VLOOKUP(A47,[1]!Table1[#All],33,FALSE)</f>
        <v>44833</v>
      </c>
      <c r="J47" t="str">
        <f t="shared" ca="1" si="0"/>
        <v>UDO</v>
      </c>
    </row>
    <row r="48" spans="1:10" x14ac:dyDescent="0.35">
      <c r="A48" s="5" t="s">
        <v>5</v>
      </c>
      <c r="B48" s="6">
        <v>44409</v>
      </c>
      <c r="C48" s="7">
        <v>1665771</v>
      </c>
      <c r="D48" s="7">
        <v>1289771</v>
      </c>
      <c r="E48" s="7">
        <v>376000</v>
      </c>
      <c r="F48" t="str">
        <f>VLOOKUP(A48,[1]!Table1[#All],17,FALSE)</f>
        <v>UGANDA</v>
      </c>
      <c r="G48" t="str">
        <f>VLOOKUP(A48,[1]!Table1[#All],22,FALSE)</f>
        <v>MAKERERE UNIVERSITY SCHOOL OF PUBLIC HEALTH</v>
      </c>
      <c r="H48" s="8">
        <f>VLOOKUP(A48,[1]!Table1[#All],32,FALSE)</f>
        <v>42461</v>
      </c>
      <c r="I48" s="8">
        <f>VLOOKUP(A48,[1]!Table1[#All],33,FALSE)</f>
        <v>44833</v>
      </c>
      <c r="J48" t="str">
        <f t="shared" ca="1" si="0"/>
        <v>UDO</v>
      </c>
    </row>
    <row r="49" spans="1:10" x14ac:dyDescent="0.35">
      <c r="A49" s="9" t="s">
        <v>5</v>
      </c>
      <c r="B49" s="10">
        <v>44440</v>
      </c>
      <c r="C49" s="11">
        <v>1665771</v>
      </c>
      <c r="D49" s="11">
        <v>1318271</v>
      </c>
      <c r="E49" s="11">
        <v>347500</v>
      </c>
      <c r="F49" t="str">
        <f>VLOOKUP(A49,[1]!Table1[#All],17,FALSE)</f>
        <v>UGANDA</v>
      </c>
      <c r="G49" t="str">
        <f>VLOOKUP(A49,[1]!Table1[#All],22,FALSE)</f>
        <v>MAKERERE UNIVERSITY SCHOOL OF PUBLIC HEALTH</v>
      </c>
      <c r="H49" s="8">
        <f>VLOOKUP(A49,[1]!Table1[#All],32,FALSE)</f>
        <v>42461</v>
      </c>
      <c r="I49" s="8">
        <f>VLOOKUP(A49,[1]!Table1[#All],33,FALSE)</f>
        <v>44833</v>
      </c>
      <c r="J49" t="str">
        <f t="shared" ca="1" si="0"/>
        <v>UDO</v>
      </c>
    </row>
    <row r="50" spans="1:10" x14ac:dyDescent="0.35">
      <c r="A50" s="5" t="s">
        <v>5</v>
      </c>
      <c r="B50" s="6">
        <v>44470</v>
      </c>
      <c r="C50" s="7">
        <v>1665771</v>
      </c>
      <c r="D50" s="7">
        <v>1318271</v>
      </c>
      <c r="E50" s="7">
        <v>347500</v>
      </c>
      <c r="F50" t="str">
        <f>VLOOKUP(A50,[1]!Table1[#All],17,FALSE)</f>
        <v>UGANDA</v>
      </c>
      <c r="G50" t="str">
        <f>VLOOKUP(A50,[1]!Table1[#All],22,FALSE)</f>
        <v>MAKERERE UNIVERSITY SCHOOL OF PUBLIC HEALTH</v>
      </c>
      <c r="H50" s="8">
        <f>VLOOKUP(A50,[1]!Table1[#All],32,FALSE)</f>
        <v>42461</v>
      </c>
      <c r="I50" s="8">
        <f>VLOOKUP(A50,[1]!Table1[#All],33,FALSE)</f>
        <v>44833</v>
      </c>
      <c r="J50" t="str">
        <f t="shared" ca="1" si="0"/>
        <v>UDO</v>
      </c>
    </row>
    <row r="51" spans="1:10" x14ac:dyDescent="0.35">
      <c r="A51" s="9" t="s">
        <v>5</v>
      </c>
      <c r="B51" s="10">
        <v>44501</v>
      </c>
      <c r="C51" s="11">
        <v>1665771</v>
      </c>
      <c r="D51" s="11">
        <v>1348271</v>
      </c>
      <c r="E51" s="11">
        <v>317500</v>
      </c>
      <c r="F51" t="str">
        <f>VLOOKUP(A51,[1]!Table1[#All],17,FALSE)</f>
        <v>UGANDA</v>
      </c>
      <c r="G51" t="str">
        <f>VLOOKUP(A51,[1]!Table1[#All],22,FALSE)</f>
        <v>MAKERERE UNIVERSITY SCHOOL OF PUBLIC HEALTH</v>
      </c>
      <c r="H51" s="8">
        <f>VLOOKUP(A51,[1]!Table1[#All],32,FALSE)</f>
        <v>42461</v>
      </c>
      <c r="I51" s="8">
        <f>VLOOKUP(A51,[1]!Table1[#All],33,FALSE)</f>
        <v>44833</v>
      </c>
      <c r="J51" t="str">
        <f t="shared" ca="1" si="0"/>
        <v>UDO</v>
      </c>
    </row>
    <row r="52" spans="1:10" x14ac:dyDescent="0.35">
      <c r="A52" s="5" t="s">
        <v>5</v>
      </c>
      <c r="B52" s="6">
        <v>44531</v>
      </c>
      <c r="C52" s="7">
        <v>1665771</v>
      </c>
      <c r="D52" s="7">
        <v>1398271</v>
      </c>
      <c r="E52" s="7">
        <v>267500</v>
      </c>
      <c r="F52" t="str">
        <f>VLOOKUP(A52,[1]!Table1[#All],17,FALSE)</f>
        <v>UGANDA</v>
      </c>
      <c r="G52" t="str">
        <f>VLOOKUP(A52,[1]!Table1[#All],22,FALSE)</f>
        <v>MAKERERE UNIVERSITY SCHOOL OF PUBLIC HEALTH</v>
      </c>
      <c r="H52" s="8">
        <f>VLOOKUP(A52,[1]!Table1[#All],32,FALSE)</f>
        <v>42461</v>
      </c>
      <c r="I52" s="8">
        <f>VLOOKUP(A52,[1]!Table1[#All],33,FALSE)</f>
        <v>44833</v>
      </c>
      <c r="J52" t="str">
        <f t="shared" ca="1" si="0"/>
        <v>UDO</v>
      </c>
    </row>
    <row r="53" spans="1:10" x14ac:dyDescent="0.35">
      <c r="A53" s="9" t="s">
        <v>5</v>
      </c>
      <c r="B53" s="10">
        <v>44562</v>
      </c>
      <c r="C53" s="11">
        <v>1665771</v>
      </c>
      <c r="D53" s="11">
        <v>1448271</v>
      </c>
      <c r="E53" s="11">
        <v>217500</v>
      </c>
      <c r="F53" t="str">
        <f>VLOOKUP(A53,[1]!Table1[#All],17,FALSE)</f>
        <v>UGANDA</v>
      </c>
      <c r="G53" t="str">
        <f>VLOOKUP(A53,[1]!Table1[#All],22,FALSE)</f>
        <v>MAKERERE UNIVERSITY SCHOOL OF PUBLIC HEALTH</v>
      </c>
      <c r="H53" s="8">
        <f>VLOOKUP(A53,[1]!Table1[#All],32,FALSE)</f>
        <v>42461</v>
      </c>
      <c r="I53" s="8">
        <f>VLOOKUP(A53,[1]!Table1[#All],33,FALSE)</f>
        <v>44833</v>
      </c>
      <c r="J53" t="str">
        <f t="shared" ca="1" si="0"/>
        <v>UDO</v>
      </c>
    </row>
    <row r="54" spans="1:10" x14ac:dyDescent="0.35">
      <c r="A54" s="5" t="s">
        <v>5</v>
      </c>
      <c r="B54" s="6">
        <v>44593</v>
      </c>
      <c r="C54" s="7">
        <v>1665771</v>
      </c>
      <c r="D54" s="7">
        <v>1498271</v>
      </c>
      <c r="E54" s="7">
        <v>167500</v>
      </c>
      <c r="F54" t="str">
        <f>VLOOKUP(A54,[1]!Table1[#All],17,FALSE)</f>
        <v>UGANDA</v>
      </c>
      <c r="G54" t="str">
        <f>VLOOKUP(A54,[1]!Table1[#All],22,FALSE)</f>
        <v>MAKERERE UNIVERSITY SCHOOL OF PUBLIC HEALTH</v>
      </c>
      <c r="H54" s="8">
        <f>VLOOKUP(A54,[1]!Table1[#All],32,FALSE)</f>
        <v>42461</v>
      </c>
      <c r="I54" s="8">
        <f>VLOOKUP(A54,[1]!Table1[#All],33,FALSE)</f>
        <v>44833</v>
      </c>
      <c r="J54" t="str">
        <f t="shared" ca="1" si="0"/>
        <v>UDO</v>
      </c>
    </row>
    <row r="55" spans="1:10" x14ac:dyDescent="0.35">
      <c r="A55" s="9" t="s">
        <v>5</v>
      </c>
      <c r="B55" s="10">
        <v>44621</v>
      </c>
      <c r="C55" s="11">
        <v>1665771</v>
      </c>
      <c r="D55" s="11">
        <v>1558271</v>
      </c>
      <c r="E55" s="11">
        <v>107500</v>
      </c>
      <c r="F55" t="str">
        <f>VLOOKUP(A55,[1]!Table1[#All],17,FALSE)</f>
        <v>UGANDA</v>
      </c>
      <c r="G55" t="str">
        <f>VLOOKUP(A55,[1]!Table1[#All],22,FALSE)</f>
        <v>MAKERERE UNIVERSITY SCHOOL OF PUBLIC HEALTH</v>
      </c>
      <c r="H55" s="8">
        <f>VLOOKUP(A55,[1]!Table1[#All],32,FALSE)</f>
        <v>42461</v>
      </c>
      <c r="I55" s="8">
        <f>VLOOKUP(A55,[1]!Table1[#All],33,FALSE)</f>
        <v>44833</v>
      </c>
      <c r="J55" t="str">
        <f t="shared" ca="1" si="0"/>
        <v>UDO</v>
      </c>
    </row>
    <row r="56" spans="1:10" x14ac:dyDescent="0.35">
      <c r="A56" s="5" t="s">
        <v>5</v>
      </c>
      <c r="B56" s="6">
        <v>44652</v>
      </c>
      <c r="C56" s="7">
        <v>1665771</v>
      </c>
      <c r="D56" s="7">
        <v>1558271</v>
      </c>
      <c r="E56" s="7">
        <v>107500</v>
      </c>
      <c r="F56" t="str">
        <f>VLOOKUP(A56,[1]!Table1[#All],17,FALSE)</f>
        <v>UGANDA</v>
      </c>
      <c r="G56" t="str">
        <f>VLOOKUP(A56,[1]!Table1[#All],22,FALSE)</f>
        <v>MAKERERE UNIVERSITY SCHOOL OF PUBLIC HEALTH</v>
      </c>
      <c r="H56" s="8">
        <f>VLOOKUP(A56,[1]!Table1[#All],32,FALSE)</f>
        <v>42461</v>
      </c>
      <c r="I56" s="8">
        <f>VLOOKUP(A56,[1]!Table1[#All],33,FALSE)</f>
        <v>44833</v>
      </c>
      <c r="J56" t="str">
        <f t="shared" ca="1" si="0"/>
        <v>UDO</v>
      </c>
    </row>
    <row r="57" spans="1:10" x14ac:dyDescent="0.35">
      <c r="A57" s="9" t="s">
        <v>5</v>
      </c>
      <c r="B57" s="10">
        <v>44682</v>
      </c>
      <c r="C57" s="11">
        <v>1665771</v>
      </c>
      <c r="D57" s="11">
        <v>1608271</v>
      </c>
      <c r="E57" s="11">
        <v>57500</v>
      </c>
      <c r="F57" t="str">
        <f>VLOOKUP(A57,[1]!Table1[#All],17,FALSE)</f>
        <v>UGANDA</v>
      </c>
      <c r="G57" t="str">
        <f>VLOOKUP(A57,[1]!Table1[#All],22,FALSE)</f>
        <v>MAKERERE UNIVERSITY SCHOOL OF PUBLIC HEALTH</v>
      </c>
      <c r="H57" s="8">
        <f>VLOOKUP(A57,[1]!Table1[#All],32,FALSE)</f>
        <v>42461</v>
      </c>
      <c r="I57" s="8">
        <f>VLOOKUP(A57,[1]!Table1[#All],33,FALSE)</f>
        <v>44833</v>
      </c>
      <c r="J57" t="str">
        <f t="shared" ca="1" si="0"/>
        <v>UDO</v>
      </c>
    </row>
    <row r="58" spans="1:10" x14ac:dyDescent="0.35">
      <c r="A58" s="5" t="s">
        <v>5</v>
      </c>
      <c r="B58" s="6">
        <v>44713</v>
      </c>
      <c r="C58" s="7">
        <v>1665771</v>
      </c>
      <c r="D58" s="7">
        <v>1608271</v>
      </c>
      <c r="E58" s="7">
        <v>57500</v>
      </c>
      <c r="F58" t="str">
        <f>VLOOKUP(A58,[1]!Table1[#All],17,FALSE)</f>
        <v>UGANDA</v>
      </c>
      <c r="G58" t="str">
        <f>VLOOKUP(A58,[1]!Table1[#All],22,FALSE)</f>
        <v>MAKERERE UNIVERSITY SCHOOL OF PUBLIC HEALTH</v>
      </c>
      <c r="H58" s="8">
        <f>VLOOKUP(A58,[1]!Table1[#All],32,FALSE)</f>
        <v>42461</v>
      </c>
      <c r="I58" s="8">
        <f>VLOOKUP(A58,[1]!Table1[#All],33,FALSE)</f>
        <v>44833</v>
      </c>
      <c r="J58" t="str">
        <f t="shared" ca="1" si="0"/>
        <v>UDO</v>
      </c>
    </row>
    <row r="59" spans="1:10" x14ac:dyDescent="0.35">
      <c r="A59" s="9" t="s">
        <v>5</v>
      </c>
      <c r="B59" s="10">
        <v>44743</v>
      </c>
      <c r="C59" s="11">
        <v>1665771</v>
      </c>
      <c r="D59" s="11">
        <v>1608271</v>
      </c>
      <c r="E59" s="11">
        <v>57500</v>
      </c>
      <c r="F59" t="str">
        <f>VLOOKUP(A59,[1]!Table1[#All],17,FALSE)</f>
        <v>UGANDA</v>
      </c>
      <c r="G59" t="str">
        <f>VLOOKUP(A59,[1]!Table1[#All],22,FALSE)</f>
        <v>MAKERERE UNIVERSITY SCHOOL OF PUBLIC HEALTH</v>
      </c>
      <c r="H59" s="8">
        <f>VLOOKUP(A59,[1]!Table1[#All],32,FALSE)</f>
        <v>42461</v>
      </c>
      <c r="I59" s="8">
        <f>VLOOKUP(A59,[1]!Table1[#All],33,FALSE)</f>
        <v>44833</v>
      </c>
      <c r="J59" t="str">
        <f t="shared" ca="1" si="0"/>
        <v>UDO</v>
      </c>
    </row>
    <row r="60" spans="1:10" x14ac:dyDescent="0.35">
      <c r="A60" s="5" t="s">
        <v>5</v>
      </c>
      <c r="B60" s="6">
        <v>44774</v>
      </c>
      <c r="C60" s="7">
        <v>1665771</v>
      </c>
      <c r="D60" s="7">
        <v>1665771</v>
      </c>
      <c r="E60" s="7">
        <v>0</v>
      </c>
      <c r="F60" t="str">
        <f>VLOOKUP(A60,[1]!Table1[#All],17,FALSE)</f>
        <v>UGANDA</v>
      </c>
      <c r="G60" t="str">
        <f>VLOOKUP(A60,[1]!Table1[#All],22,FALSE)</f>
        <v>MAKERERE UNIVERSITY SCHOOL OF PUBLIC HEALTH</v>
      </c>
      <c r="H60" s="8">
        <f>VLOOKUP(A60,[1]!Table1[#All],32,FALSE)</f>
        <v>42461</v>
      </c>
      <c r="I60" s="8">
        <f>VLOOKUP(A60,[1]!Table1[#All],33,FALSE)</f>
        <v>44833</v>
      </c>
      <c r="J60" t="str">
        <f t="shared" ca="1" si="0"/>
        <v>Non UDO</v>
      </c>
    </row>
    <row r="61" spans="1:10" x14ac:dyDescent="0.35">
      <c r="A61" s="9" t="s">
        <v>5</v>
      </c>
      <c r="B61" s="10">
        <v>44805</v>
      </c>
      <c r="C61" s="11">
        <v>1665771</v>
      </c>
      <c r="D61" s="11">
        <v>1665771</v>
      </c>
      <c r="E61" s="11">
        <v>0</v>
      </c>
      <c r="F61" t="str">
        <f>VLOOKUP(A61,[1]!Table1[#All],17,FALSE)</f>
        <v>UGANDA</v>
      </c>
      <c r="G61" t="str">
        <f>VLOOKUP(A61,[1]!Table1[#All],22,FALSE)</f>
        <v>MAKERERE UNIVERSITY SCHOOL OF PUBLIC HEALTH</v>
      </c>
      <c r="H61" s="8">
        <f>VLOOKUP(A61,[1]!Table1[#All],32,FALSE)</f>
        <v>42461</v>
      </c>
      <c r="I61" s="8">
        <f>VLOOKUP(A61,[1]!Table1[#All],33,FALSE)</f>
        <v>44833</v>
      </c>
      <c r="J61" t="str">
        <f t="shared" ca="1" si="0"/>
        <v>Non UDO</v>
      </c>
    </row>
    <row r="62" spans="1:10" x14ac:dyDescent="0.35">
      <c r="A62" s="5" t="s">
        <v>5</v>
      </c>
      <c r="B62" s="6">
        <v>44835</v>
      </c>
      <c r="C62" s="7">
        <v>1665771</v>
      </c>
      <c r="D62" s="7">
        <v>1665771</v>
      </c>
      <c r="E62" s="7">
        <v>0</v>
      </c>
      <c r="F62" t="str">
        <f>VLOOKUP(A62,[1]!Table1[#All],17,FALSE)</f>
        <v>UGANDA</v>
      </c>
      <c r="G62" t="str">
        <f>VLOOKUP(A62,[1]!Table1[#All],22,FALSE)</f>
        <v>MAKERERE UNIVERSITY SCHOOL OF PUBLIC HEALTH</v>
      </c>
      <c r="H62" s="8">
        <f>VLOOKUP(A62,[1]!Table1[#All],32,FALSE)</f>
        <v>42461</v>
      </c>
      <c r="I62" s="8">
        <f>VLOOKUP(A62,[1]!Table1[#All],33,FALSE)</f>
        <v>44833</v>
      </c>
      <c r="J62" t="str">
        <f t="shared" ca="1" si="0"/>
        <v>Non UDO</v>
      </c>
    </row>
    <row r="63" spans="1:10" x14ac:dyDescent="0.35">
      <c r="A63" s="9" t="s">
        <v>5</v>
      </c>
      <c r="B63" s="10">
        <v>44866</v>
      </c>
      <c r="C63" s="11">
        <v>1665771</v>
      </c>
      <c r="D63" s="11">
        <v>1665771</v>
      </c>
      <c r="E63" s="11">
        <v>0</v>
      </c>
      <c r="F63" t="str">
        <f>VLOOKUP(A63,[1]!Table1[#All],17,FALSE)</f>
        <v>UGANDA</v>
      </c>
      <c r="G63" t="str">
        <f>VLOOKUP(A63,[1]!Table1[#All],22,FALSE)</f>
        <v>MAKERERE UNIVERSITY SCHOOL OF PUBLIC HEALTH</v>
      </c>
      <c r="H63" s="8">
        <f>VLOOKUP(A63,[1]!Table1[#All],32,FALSE)</f>
        <v>42461</v>
      </c>
      <c r="I63" s="8">
        <f>VLOOKUP(A63,[1]!Table1[#All],33,FALSE)</f>
        <v>44833</v>
      </c>
      <c r="J63" t="str">
        <f t="shared" ca="1" si="0"/>
        <v>Non UDO</v>
      </c>
    </row>
    <row r="64" spans="1:10" x14ac:dyDescent="0.35">
      <c r="A64" s="5" t="s">
        <v>5</v>
      </c>
      <c r="B64" s="6">
        <v>44896</v>
      </c>
      <c r="C64" s="7">
        <v>1665771</v>
      </c>
      <c r="D64" s="7">
        <v>1665771</v>
      </c>
      <c r="E64" s="7">
        <v>0</v>
      </c>
      <c r="F64" t="str">
        <f>VLOOKUP(A64,[1]!Table1[#All],17,FALSE)</f>
        <v>UGANDA</v>
      </c>
      <c r="G64" t="str">
        <f>VLOOKUP(A64,[1]!Table1[#All],22,FALSE)</f>
        <v>MAKERERE UNIVERSITY SCHOOL OF PUBLIC HEALTH</v>
      </c>
      <c r="H64" s="8">
        <f>VLOOKUP(A64,[1]!Table1[#All],32,FALSE)</f>
        <v>42461</v>
      </c>
      <c r="I64" s="8">
        <f>VLOOKUP(A64,[1]!Table1[#All],33,FALSE)</f>
        <v>44833</v>
      </c>
      <c r="J64" t="str">
        <f t="shared" ca="1" si="0"/>
        <v>Non UDO</v>
      </c>
    </row>
    <row r="65" spans="1:10" x14ac:dyDescent="0.35">
      <c r="A65" s="9" t="s">
        <v>5</v>
      </c>
      <c r="B65" s="10">
        <v>44927</v>
      </c>
      <c r="C65" s="11">
        <v>1665771</v>
      </c>
      <c r="D65" s="11">
        <v>1665771</v>
      </c>
      <c r="E65" s="11">
        <v>0</v>
      </c>
      <c r="F65" t="str">
        <f>VLOOKUP(A65,[1]!Table1[#All],17,FALSE)</f>
        <v>UGANDA</v>
      </c>
      <c r="G65" t="str">
        <f>VLOOKUP(A65,[1]!Table1[#All],22,FALSE)</f>
        <v>MAKERERE UNIVERSITY SCHOOL OF PUBLIC HEALTH</v>
      </c>
      <c r="H65" s="8">
        <f>VLOOKUP(A65,[1]!Table1[#All],32,FALSE)</f>
        <v>42461</v>
      </c>
      <c r="I65" s="8">
        <f>VLOOKUP(A65,[1]!Table1[#All],33,FALSE)</f>
        <v>44833</v>
      </c>
      <c r="J65" t="str">
        <f t="shared" ca="1" si="0"/>
        <v>Non UDO</v>
      </c>
    </row>
    <row r="66" spans="1:10" x14ac:dyDescent="0.35">
      <c r="A66" s="5" t="s">
        <v>5</v>
      </c>
      <c r="B66" s="6">
        <v>44958</v>
      </c>
      <c r="C66" s="7">
        <v>1665771</v>
      </c>
      <c r="D66" s="7">
        <v>1665771</v>
      </c>
      <c r="E66" s="7">
        <v>0</v>
      </c>
      <c r="F66" t="str">
        <f>VLOOKUP(A66,[1]!Table1[#All],17,FALSE)</f>
        <v>UGANDA</v>
      </c>
      <c r="G66" t="str">
        <f>VLOOKUP(A66,[1]!Table1[#All],22,FALSE)</f>
        <v>MAKERERE UNIVERSITY SCHOOL OF PUBLIC HEALTH</v>
      </c>
      <c r="H66" s="8">
        <f>VLOOKUP(A66,[1]!Table1[#All],32,FALSE)</f>
        <v>42461</v>
      </c>
      <c r="I66" s="8">
        <f>VLOOKUP(A66,[1]!Table1[#All],33,FALSE)</f>
        <v>44833</v>
      </c>
      <c r="J66" t="str">
        <f t="shared" ca="1" si="0"/>
        <v>Non UDO</v>
      </c>
    </row>
    <row r="67" spans="1:10" x14ac:dyDescent="0.35">
      <c r="A67" s="9" t="s">
        <v>5</v>
      </c>
      <c r="B67" s="10">
        <v>44986</v>
      </c>
      <c r="C67" s="11">
        <v>1665771</v>
      </c>
      <c r="D67" s="11">
        <v>1665771</v>
      </c>
      <c r="E67" s="11">
        <v>0</v>
      </c>
      <c r="F67" t="str">
        <f>VLOOKUP(A67,[1]!Table1[#All],17,FALSE)</f>
        <v>UGANDA</v>
      </c>
      <c r="G67" t="str">
        <f>VLOOKUP(A67,[1]!Table1[#All],22,FALSE)</f>
        <v>MAKERERE UNIVERSITY SCHOOL OF PUBLIC HEALTH</v>
      </c>
      <c r="H67" s="8">
        <f>VLOOKUP(A67,[1]!Table1[#All],32,FALSE)</f>
        <v>42461</v>
      </c>
      <c r="I67" s="8">
        <f>VLOOKUP(A67,[1]!Table1[#All],33,FALSE)</f>
        <v>44833</v>
      </c>
      <c r="J67" t="str">
        <f t="shared" ref="J67:J130" ca="1" si="1">IF(AND( E67&gt;0,TODAY()&gt;I67),"UDO","Non UDO")</f>
        <v>Non UDO</v>
      </c>
    </row>
    <row r="68" spans="1:10" x14ac:dyDescent="0.35">
      <c r="A68" s="5" t="s">
        <v>5</v>
      </c>
      <c r="B68" s="6">
        <v>45017</v>
      </c>
      <c r="C68" s="7">
        <v>1665771</v>
      </c>
      <c r="D68" s="7">
        <v>1665771</v>
      </c>
      <c r="E68" s="7">
        <v>0</v>
      </c>
      <c r="F68" t="str">
        <f>VLOOKUP(A68,[1]!Table1[#All],17,FALSE)</f>
        <v>UGANDA</v>
      </c>
      <c r="G68" t="str">
        <f>VLOOKUP(A68,[1]!Table1[#All],22,FALSE)</f>
        <v>MAKERERE UNIVERSITY SCHOOL OF PUBLIC HEALTH</v>
      </c>
      <c r="H68" s="8">
        <f>VLOOKUP(A68,[1]!Table1[#All],32,FALSE)</f>
        <v>42461</v>
      </c>
      <c r="I68" s="8">
        <f>VLOOKUP(A68,[1]!Table1[#All],33,FALSE)</f>
        <v>44833</v>
      </c>
      <c r="J68" t="str">
        <f t="shared" ca="1" si="1"/>
        <v>Non UDO</v>
      </c>
    </row>
    <row r="69" spans="1:10" x14ac:dyDescent="0.35">
      <c r="A69" s="9" t="s">
        <v>5</v>
      </c>
      <c r="B69" s="10">
        <v>45047</v>
      </c>
      <c r="C69" s="11">
        <v>1665771</v>
      </c>
      <c r="D69" s="11">
        <v>1665771</v>
      </c>
      <c r="E69" s="11">
        <v>0</v>
      </c>
      <c r="F69" t="str">
        <f>VLOOKUP(A69,[1]!Table1[#All],17,FALSE)</f>
        <v>UGANDA</v>
      </c>
      <c r="G69" t="str">
        <f>VLOOKUP(A69,[1]!Table1[#All],22,FALSE)</f>
        <v>MAKERERE UNIVERSITY SCHOOL OF PUBLIC HEALTH</v>
      </c>
      <c r="H69" s="8">
        <f>VLOOKUP(A69,[1]!Table1[#All],32,FALSE)</f>
        <v>42461</v>
      </c>
      <c r="I69" s="8">
        <f>VLOOKUP(A69,[1]!Table1[#All],33,FALSE)</f>
        <v>44833</v>
      </c>
      <c r="J69" t="str">
        <f t="shared" ca="1" si="1"/>
        <v>Non UDO</v>
      </c>
    </row>
    <row r="70" spans="1:10" x14ac:dyDescent="0.35">
      <c r="A70" s="5" t="s">
        <v>5</v>
      </c>
      <c r="B70" s="6">
        <v>45078</v>
      </c>
      <c r="C70" s="7">
        <v>1665771</v>
      </c>
      <c r="D70" s="7">
        <v>1665771</v>
      </c>
      <c r="E70" s="7">
        <v>0</v>
      </c>
      <c r="F70" t="str">
        <f>VLOOKUP(A70,[1]!Table1[#All],17,FALSE)</f>
        <v>UGANDA</v>
      </c>
      <c r="G70" t="str">
        <f>VLOOKUP(A70,[1]!Table1[#All],22,FALSE)</f>
        <v>MAKERERE UNIVERSITY SCHOOL OF PUBLIC HEALTH</v>
      </c>
      <c r="H70" s="8">
        <f>VLOOKUP(A70,[1]!Table1[#All],32,FALSE)</f>
        <v>42461</v>
      </c>
      <c r="I70" s="8">
        <f>VLOOKUP(A70,[1]!Table1[#All],33,FALSE)</f>
        <v>44833</v>
      </c>
      <c r="J70" t="str">
        <f t="shared" ca="1" si="1"/>
        <v>Non UDO</v>
      </c>
    </row>
    <row r="71" spans="1:10" x14ac:dyDescent="0.35">
      <c r="A71" s="9" t="s">
        <v>5</v>
      </c>
      <c r="B71" s="10">
        <v>45108</v>
      </c>
      <c r="C71" s="11">
        <v>1665771</v>
      </c>
      <c r="D71" s="11">
        <v>1665771</v>
      </c>
      <c r="E71" s="11">
        <v>0</v>
      </c>
      <c r="F71" t="str">
        <f>VLOOKUP(A71,[1]!Table1[#All],17,FALSE)</f>
        <v>UGANDA</v>
      </c>
      <c r="G71" t="str">
        <f>VLOOKUP(A71,[1]!Table1[#All],22,FALSE)</f>
        <v>MAKERERE UNIVERSITY SCHOOL OF PUBLIC HEALTH</v>
      </c>
      <c r="H71" s="8">
        <f>VLOOKUP(A71,[1]!Table1[#All],32,FALSE)</f>
        <v>42461</v>
      </c>
      <c r="I71" s="8">
        <f>VLOOKUP(A71,[1]!Table1[#All],33,FALSE)</f>
        <v>44833</v>
      </c>
      <c r="J71" t="str">
        <f t="shared" ca="1" si="1"/>
        <v>Non UDO</v>
      </c>
    </row>
    <row r="72" spans="1:10" x14ac:dyDescent="0.35">
      <c r="A72" s="5" t="s">
        <v>5</v>
      </c>
      <c r="B72" s="6">
        <v>45139</v>
      </c>
      <c r="C72" s="7">
        <v>1665771</v>
      </c>
      <c r="D72" s="7">
        <v>1665771</v>
      </c>
      <c r="E72" s="7">
        <v>0</v>
      </c>
      <c r="F72" t="str">
        <f>VLOOKUP(A72,[1]!Table1[#All],17,FALSE)</f>
        <v>UGANDA</v>
      </c>
      <c r="G72" t="str">
        <f>VLOOKUP(A72,[1]!Table1[#All],22,FALSE)</f>
        <v>MAKERERE UNIVERSITY SCHOOL OF PUBLIC HEALTH</v>
      </c>
      <c r="H72" s="8">
        <f>VLOOKUP(A72,[1]!Table1[#All],32,FALSE)</f>
        <v>42461</v>
      </c>
      <c r="I72" s="8">
        <f>VLOOKUP(A72,[1]!Table1[#All],33,FALSE)</f>
        <v>44833</v>
      </c>
      <c r="J72" t="str">
        <f t="shared" ca="1" si="1"/>
        <v>Non UDO</v>
      </c>
    </row>
    <row r="73" spans="1:10" x14ac:dyDescent="0.35">
      <c r="A73" s="9" t="s">
        <v>5</v>
      </c>
      <c r="B73" s="10">
        <v>45170</v>
      </c>
      <c r="C73" s="11">
        <v>1665771</v>
      </c>
      <c r="D73" s="11">
        <v>1665771</v>
      </c>
      <c r="E73" s="11">
        <v>0</v>
      </c>
      <c r="F73" t="str">
        <f>VLOOKUP(A73,[1]!Table1[#All],17,FALSE)</f>
        <v>UGANDA</v>
      </c>
      <c r="G73" t="str">
        <f>VLOOKUP(A73,[1]!Table1[#All],22,FALSE)</f>
        <v>MAKERERE UNIVERSITY SCHOOL OF PUBLIC HEALTH</v>
      </c>
      <c r="H73" s="8">
        <f>VLOOKUP(A73,[1]!Table1[#All],32,FALSE)</f>
        <v>42461</v>
      </c>
      <c r="I73" s="8">
        <f>VLOOKUP(A73,[1]!Table1[#All],33,FALSE)</f>
        <v>44833</v>
      </c>
      <c r="J73" t="str">
        <f t="shared" ca="1" si="1"/>
        <v>Non UDO</v>
      </c>
    </row>
    <row r="74" spans="1:10" x14ac:dyDescent="0.35">
      <c r="A74" s="5" t="s">
        <v>6</v>
      </c>
      <c r="B74" s="6">
        <v>44105</v>
      </c>
      <c r="C74" s="7">
        <v>43861219</v>
      </c>
      <c r="D74" s="7">
        <v>20112456.810000002</v>
      </c>
      <c r="E74" s="7">
        <v>23748762.189999998</v>
      </c>
      <c r="F74" t="str">
        <f>VLOOKUP(A74,[1]!Table1[#All],17,FALSE)</f>
        <v>UNITED STATES</v>
      </c>
      <c r="G74" t="str">
        <f>VLOOKUP(A74,[1]!Table1[#All],22,FALSE)</f>
        <v>Catholic Relief Services</v>
      </c>
      <c r="H74" s="8">
        <f>VLOOKUP(A74,[1]!Table1[#All],32,FALSE)</f>
        <v>42095</v>
      </c>
      <c r="I74" s="8">
        <f>VLOOKUP(A74,[1]!Table1[#All],33,FALSE)</f>
        <v>44741</v>
      </c>
      <c r="J74" t="str">
        <f t="shared" ca="1" si="1"/>
        <v>UDO</v>
      </c>
    </row>
    <row r="75" spans="1:10" x14ac:dyDescent="0.35">
      <c r="A75" s="9" t="s">
        <v>6</v>
      </c>
      <c r="B75" s="10">
        <v>44136</v>
      </c>
      <c r="C75" s="11">
        <v>43861219</v>
      </c>
      <c r="D75" s="11">
        <v>20112456.810000002</v>
      </c>
      <c r="E75" s="11">
        <v>23748762.189999998</v>
      </c>
      <c r="F75" t="str">
        <f>VLOOKUP(A75,[1]!Table1[#All],17,FALSE)</f>
        <v>UNITED STATES</v>
      </c>
      <c r="G75" t="str">
        <f>VLOOKUP(A75,[1]!Table1[#All],22,FALSE)</f>
        <v>Catholic Relief Services</v>
      </c>
      <c r="H75" s="8">
        <f>VLOOKUP(A75,[1]!Table1[#All],32,FALSE)</f>
        <v>42095</v>
      </c>
      <c r="I75" s="8">
        <f>VLOOKUP(A75,[1]!Table1[#All],33,FALSE)</f>
        <v>44741</v>
      </c>
      <c r="J75" t="str">
        <f t="shared" ca="1" si="1"/>
        <v>UDO</v>
      </c>
    </row>
    <row r="76" spans="1:10" x14ac:dyDescent="0.35">
      <c r="A76" s="5" t="s">
        <v>6</v>
      </c>
      <c r="B76" s="6">
        <v>44166</v>
      </c>
      <c r="C76" s="7">
        <v>43861219</v>
      </c>
      <c r="D76" s="7">
        <v>20112456.810000002</v>
      </c>
      <c r="E76" s="7">
        <v>23748762.189999998</v>
      </c>
      <c r="F76" t="str">
        <f>VLOOKUP(A76,[1]!Table1[#All],17,FALSE)</f>
        <v>UNITED STATES</v>
      </c>
      <c r="G76" t="str">
        <f>VLOOKUP(A76,[1]!Table1[#All],22,FALSE)</f>
        <v>Catholic Relief Services</v>
      </c>
      <c r="H76" s="8">
        <f>VLOOKUP(A76,[1]!Table1[#All],32,FALSE)</f>
        <v>42095</v>
      </c>
      <c r="I76" s="8">
        <f>VLOOKUP(A76,[1]!Table1[#All],33,FALSE)</f>
        <v>44741</v>
      </c>
      <c r="J76" t="str">
        <f t="shared" ca="1" si="1"/>
        <v>UDO</v>
      </c>
    </row>
    <row r="77" spans="1:10" x14ac:dyDescent="0.35">
      <c r="A77" s="9" t="s">
        <v>6</v>
      </c>
      <c r="B77" s="10">
        <v>44197</v>
      </c>
      <c r="C77" s="11">
        <v>43861219</v>
      </c>
      <c r="D77" s="11">
        <v>22104056.810000002</v>
      </c>
      <c r="E77" s="11">
        <v>21757162.189999998</v>
      </c>
      <c r="F77" t="str">
        <f>VLOOKUP(A77,[1]!Table1[#All],17,FALSE)</f>
        <v>UNITED STATES</v>
      </c>
      <c r="G77" t="str">
        <f>VLOOKUP(A77,[1]!Table1[#All],22,FALSE)</f>
        <v>Catholic Relief Services</v>
      </c>
      <c r="H77" s="8">
        <f>VLOOKUP(A77,[1]!Table1[#All],32,FALSE)</f>
        <v>42095</v>
      </c>
      <c r="I77" s="8">
        <f>VLOOKUP(A77,[1]!Table1[#All],33,FALSE)</f>
        <v>44741</v>
      </c>
      <c r="J77" t="str">
        <f t="shared" ca="1" si="1"/>
        <v>UDO</v>
      </c>
    </row>
    <row r="78" spans="1:10" x14ac:dyDescent="0.35">
      <c r="A78" s="5" t="s">
        <v>6</v>
      </c>
      <c r="B78" s="6">
        <v>44228</v>
      </c>
      <c r="C78" s="7">
        <v>43861219</v>
      </c>
      <c r="D78" s="7">
        <v>22884356.810000002</v>
      </c>
      <c r="E78" s="7">
        <v>20976862.190000001</v>
      </c>
      <c r="F78" t="str">
        <f>VLOOKUP(A78,[1]!Table1[#All],17,FALSE)</f>
        <v>UNITED STATES</v>
      </c>
      <c r="G78" t="str">
        <f>VLOOKUP(A78,[1]!Table1[#All],22,FALSE)</f>
        <v>Catholic Relief Services</v>
      </c>
      <c r="H78" s="8">
        <f>VLOOKUP(A78,[1]!Table1[#All],32,FALSE)</f>
        <v>42095</v>
      </c>
      <c r="I78" s="8">
        <f>VLOOKUP(A78,[1]!Table1[#All],33,FALSE)</f>
        <v>44741</v>
      </c>
      <c r="J78" t="str">
        <f t="shared" ca="1" si="1"/>
        <v>UDO</v>
      </c>
    </row>
    <row r="79" spans="1:10" x14ac:dyDescent="0.35">
      <c r="A79" s="9" t="s">
        <v>6</v>
      </c>
      <c r="B79" s="10">
        <v>44256</v>
      </c>
      <c r="C79" s="11">
        <v>43861219</v>
      </c>
      <c r="D79" s="11">
        <v>26899756.810000002</v>
      </c>
      <c r="E79" s="11">
        <v>16961462.190000001</v>
      </c>
      <c r="F79" t="str">
        <f>VLOOKUP(A79,[1]!Table1[#All],17,FALSE)</f>
        <v>UNITED STATES</v>
      </c>
      <c r="G79" t="str">
        <f>VLOOKUP(A79,[1]!Table1[#All],22,FALSE)</f>
        <v>Catholic Relief Services</v>
      </c>
      <c r="H79" s="8">
        <f>VLOOKUP(A79,[1]!Table1[#All],32,FALSE)</f>
        <v>42095</v>
      </c>
      <c r="I79" s="8">
        <f>VLOOKUP(A79,[1]!Table1[#All],33,FALSE)</f>
        <v>44741</v>
      </c>
      <c r="J79" t="str">
        <f t="shared" ca="1" si="1"/>
        <v>UDO</v>
      </c>
    </row>
    <row r="80" spans="1:10" x14ac:dyDescent="0.35">
      <c r="A80" s="5" t="s">
        <v>6</v>
      </c>
      <c r="B80" s="6">
        <v>44317</v>
      </c>
      <c r="C80" s="7">
        <v>43861219</v>
      </c>
      <c r="D80" s="7">
        <v>28787556.810000002</v>
      </c>
      <c r="E80" s="7">
        <v>15073662.189999999</v>
      </c>
      <c r="F80" t="str">
        <f>VLOOKUP(A80,[1]!Table1[#All],17,FALSE)</f>
        <v>UNITED STATES</v>
      </c>
      <c r="G80" t="str">
        <f>VLOOKUP(A80,[1]!Table1[#All],22,FALSE)</f>
        <v>Catholic Relief Services</v>
      </c>
      <c r="H80" s="8">
        <f>VLOOKUP(A80,[1]!Table1[#All],32,FALSE)</f>
        <v>42095</v>
      </c>
      <c r="I80" s="8">
        <f>VLOOKUP(A80,[1]!Table1[#All],33,FALSE)</f>
        <v>44741</v>
      </c>
      <c r="J80" t="str">
        <f t="shared" ca="1" si="1"/>
        <v>UDO</v>
      </c>
    </row>
    <row r="81" spans="1:10" x14ac:dyDescent="0.35">
      <c r="A81" s="9" t="s">
        <v>6</v>
      </c>
      <c r="B81" s="10">
        <v>44348</v>
      </c>
      <c r="C81" s="11">
        <v>43861219</v>
      </c>
      <c r="D81" s="11">
        <v>31217856.809999999</v>
      </c>
      <c r="E81" s="11">
        <v>12643362.189999999</v>
      </c>
      <c r="F81" t="str">
        <f>VLOOKUP(A81,[1]!Table1[#All],17,FALSE)</f>
        <v>UNITED STATES</v>
      </c>
      <c r="G81" t="str">
        <f>VLOOKUP(A81,[1]!Table1[#All],22,FALSE)</f>
        <v>Catholic Relief Services</v>
      </c>
      <c r="H81" s="8">
        <f>VLOOKUP(A81,[1]!Table1[#All],32,FALSE)</f>
        <v>42095</v>
      </c>
      <c r="I81" s="8">
        <f>VLOOKUP(A81,[1]!Table1[#All],33,FALSE)</f>
        <v>44741</v>
      </c>
      <c r="J81" t="str">
        <f t="shared" ca="1" si="1"/>
        <v>UDO</v>
      </c>
    </row>
    <row r="82" spans="1:10" x14ac:dyDescent="0.35">
      <c r="A82" s="5" t="s">
        <v>6</v>
      </c>
      <c r="B82" s="6">
        <v>44378</v>
      </c>
      <c r="C82" s="7">
        <v>43861219</v>
      </c>
      <c r="D82" s="7">
        <v>34278856.810000002</v>
      </c>
      <c r="E82" s="7">
        <v>9582362.1900000013</v>
      </c>
      <c r="F82" t="str">
        <f>VLOOKUP(A82,[1]!Table1[#All],17,FALSE)</f>
        <v>UNITED STATES</v>
      </c>
      <c r="G82" t="str">
        <f>VLOOKUP(A82,[1]!Table1[#All],22,FALSE)</f>
        <v>Catholic Relief Services</v>
      </c>
      <c r="H82" s="8">
        <f>VLOOKUP(A82,[1]!Table1[#All],32,FALSE)</f>
        <v>42095</v>
      </c>
      <c r="I82" s="8">
        <f>VLOOKUP(A82,[1]!Table1[#All],33,FALSE)</f>
        <v>44741</v>
      </c>
      <c r="J82" t="str">
        <f t="shared" ca="1" si="1"/>
        <v>UDO</v>
      </c>
    </row>
    <row r="83" spans="1:10" x14ac:dyDescent="0.35">
      <c r="A83" s="9" t="s">
        <v>6</v>
      </c>
      <c r="B83" s="10">
        <v>44409</v>
      </c>
      <c r="C83" s="11">
        <v>43861219</v>
      </c>
      <c r="D83" s="11">
        <v>34278856.810000002</v>
      </c>
      <c r="E83" s="11">
        <v>9582362.1900000013</v>
      </c>
      <c r="F83" t="str">
        <f>VLOOKUP(A83,[1]!Table1[#All],17,FALSE)</f>
        <v>UNITED STATES</v>
      </c>
      <c r="G83" t="str">
        <f>VLOOKUP(A83,[1]!Table1[#All],22,FALSE)</f>
        <v>Catholic Relief Services</v>
      </c>
      <c r="H83" s="8">
        <f>VLOOKUP(A83,[1]!Table1[#All],32,FALSE)</f>
        <v>42095</v>
      </c>
      <c r="I83" s="8">
        <f>VLOOKUP(A83,[1]!Table1[#All],33,FALSE)</f>
        <v>44741</v>
      </c>
      <c r="J83" t="str">
        <f t="shared" ca="1" si="1"/>
        <v>UDO</v>
      </c>
    </row>
    <row r="84" spans="1:10" x14ac:dyDescent="0.35">
      <c r="A84" s="5" t="s">
        <v>6</v>
      </c>
      <c r="B84" s="6">
        <v>44440</v>
      </c>
      <c r="C84" s="7">
        <v>43861219</v>
      </c>
      <c r="D84" s="7">
        <v>38014893.810000002</v>
      </c>
      <c r="E84" s="7">
        <v>5846325.1900000004</v>
      </c>
      <c r="F84" t="str">
        <f>VLOOKUP(A84,[1]!Table1[#All],17,FALSE)</f>
        <v>UNITED STATES</v>
      </c>
      <c r="G84" t="str">
        <f>VLOOKUP(A84,[1]!Table1[#All],22,FALSE)</f>
        <v>Catholic Relief Services</v>
      </c>
      <c r="H84" s="8">
        <f>VLOOKUP(A84,[1]!Table1[#All],32,FALSE)</f>
        <v>42095</v>
      </c>
      <c r="I84" s="8">
        <f>VLOOKUP(A84,[1]!Table1[#All],33,FALSE)</f>
        <v>44741</v>
      </c>
      <c r="J84" t="str">
        <f t="shared" ca="1" si="1"/>
        <v>UDO</v>
      </c>
    </row>
    <row r="85" spans="1:10" x14ac:dyDescent="0.35">
      <c r="A85" s="9" t="s">
        <v>6</v>
      </c>
      <c r="B85" s="10">
        <v>44470</v>
      </c>
      <c r="C85" s="11">
        <v>43861219</v>
      </c>
      <c r="D85" s="11">
        <v>39800493.810000002</v>
      </c>
      <c r="E85" s="11">
        <v>4060725.19</v>
      </c>
      <c r="F85" t="str">
        <f>VLOOKUP(A85,[1]!Table1[#All],17,FALSE)</f>
        <v>UNITED STATES</v>
      </c>
      <c r="G85" t="str">
        <f>VLOOKUP(A85,[1]!Table1[#All],22,FALSE)</f>
        <v>Catholic Relief Services</v>
      </c>
      <c r="H85" s="8">
        <f>VLOOKUP(A85,[1]!Table1[#All],32,FALSE)</f>
        <v>42095</v>
      </c>
      <c r="I85" s="8">
        <f>VLOOKUP(A85,[1]!Table1[#All],33,FALSE)</f>
        <v>44741</v>
      </c>
      <c r="J85" t="str">
        <f t="shared" ca="1" si="1"/>
        <v>UDO</v>
      </c>
    </row>
    <row r="86" spans="1:10" x14ac:dyDescent="0.35">
      <c r="A86" s="5" t="s">
        <v>6</v>
      </c>
      <c r="B86" s="6">
        <v>44501</v>
      </c>
      <c r="C86" s="7">
        <v>43861219</v>
      </c>
      <c r="D86" s="7">
        <v>40068493.810000002</v>
      </c>
      <c r="E86" s="7">
        <v>3792725.19</v>
      </c>
      <c r="F86" t="str">
        <f>VLOOKUP(A86,[1]!Table1[#All],17,FALSE)</f>
        <v>UNITED STATES</v>
      </c>
      <c r="G86" t="str">
        <f>VLOOKUP(A86,[1]!Table1[#All],22,FALSE)</f>
        <v>Catholic Relief Services</v>
      </c>
      <c r="H86" s="8">
        <f>VLOOKUP(A86,[1]!Table1[#All],32,FALSE)</f>
        <v>42095</v>
      </c>
      <c r="I86" s="8">
        <f>VLOOKUP(A86,[1]!Table1[#All],33,FALSE)</f>
        <v>44741</v>
      </c>
      <c r="J86" t="str">
        <f t="shared" ca="1" si="1"/>
        <v>UDO</v>
      </c>
    </row>
    <row r="87" spans="1:10" x14ac:dyDescent="0.35">
      <c r="A87" s="9" t="s">
        <v>6</v>
      </c>
      <c r="B87" s="10">
        <v>44531</v>
      </c>
      <c r="C87" s="11">
        <v>43861219</v>
      </c>
      <c r="D87" s="11">
        <v>40068493.810000002</v>
      </c>
      <c r="E87" s="11">
        <v>3792725.19</v>
      </c>
      <c r="F87" t="str">
        <f>VLOOKUP(A87,[1]!Table1[#All],17,FALSE)</f>
        <v>UNITED STATES</v>
      </c>
      <c r="G87" t="str">
        <f>VLOOKUP(A87,[1]!Table1[#All],22,FALSE)</f>
        <v>Catholic Relief Services</v>
      </c>
      <c r="H87" s="8">
        <f>VLOOKUP(A87,[1]!Table1[#All],32,FALSE)</f>
        <v>42095</v>
      </c>
      <c r="I87" s="8">
        <f>VLOOKUP(A87,[1]!Table1[#All],33,FALSE)</f>
        <v>44741</v>
      </c>
      <c r="J87" t="str">
        <f t="shared" ca="1" si="1"/>
        <v>UDO</v>
      </c>
    </row>
    <row r="88" spans="1:10" x14ac:dyDescent="0.35">
      <c r="A88" s="5" t="s">
        <v>6</v>
      </c>
      <c r="B88" s="6">
        <v>44562</v>
      </c>
      <c r="C88" s="7">
        <v>43861219</v>
      </c>
      <c r="D88" s="7">
        <v>40068493.810000002</v>
      </c>
      <c r="E88" s="7">
        <v>3792725.19</v>
      </c>
      <c r="F88" t="str">
        <f>VLOOKUP(A88,[1]!Table1[#All],17,FALSE)</f>
        <v>UNITED STATES</v>
      </c>
      <c r="G88" t="str">
        <f>VLOOKUP(A88,[1]!Table1[#All],22,FALSE)</f>
        <v>Catholic Relief Services</v>
      </c>
      <c r="H88" s="8">
        <f>VLOOKUP(A88,[1]!Table1[#All],32,FALSE)</f>
        <v>42095</v>
      </c>
      <c r="I88" s="8">
        <f>VLOOKUP(A88,[1]!Table1[#All],33,FALSE)</f>
        <v>44741</v>
      </c>
      <c r="J88" t="str">
        <f t="shared" ca="1" si="1"/>
        <v>UDO</v>
      </c>
    </row>
    <row r="89" spans="1:10" x14ac:dyDescent="0.35">
      <c r="A89" s="9" t="s">
        <v>6</v>
      </c>
      <c r="B89" s="10">
        <v>44593</v>
      </c>
      <c r="C89" s="11">
        <v>43861219</v>
      </c>
      <c r="D89" s="11">
        <v>40399893.810000002</v>
      </c>
      <c r="E89" s="11">
        <v>3461325.19</v>
      </c>
      <c r="F89" t="str">
        <f>VLOOKUP(A89,[1]!Table1[#All],17,FALSE)</f>
        <v>UNITED STATES</v>
      </c>
      <c r="G89" t="str">
        <f>VLOOKUP(A89,[1]!Table1[#All],22,FALSE)</f>
        <v>Catholic Relief Services</v>
      </c>
      <c r="H89" s="8">
        <f>VLOOKUP(A89,[1]!Table1[#All],32,FALSE)</f>
        <v>42095</v>
      </c>
      <c r="I89" s="8">
        <f>VLOOKUP(A89,[1]!Table1[#All],33,FALSE)</f>
        <v>44741</v>
      </c>
      <c r="J89" t="str">
        <f t="shared" ca="1" si="1"/>
        <v>UDO</v>
      </c>
    </row>
    <row r="90" spans="1:10" x14ac:dyDescent="0.35">
      <c r="A90" s="5" t="s">
        <v>6</v>
      </c>
      <c r="B90" s="6">
        <v>44621</v>
      </c>
      <c r="C90" s="7">
        <v>43861219</v>
      </c>
      <c r="D90" s="7">
        <v>40634193.810000002</v>
      </c>
      <c r="E90" s="7">
        <v>3227025.19</v>
      </c>
      <c r="F90" t="str">
        <f>VLOOKUP(A90,[1]!Table1[#All],17,FALSE)</f>
        <v>UNITED STATES</v>
      </c>
      <c r="G90" t="str">
        <f>VLOOKUP(A90,[1]!Table1[#All],22,FALSE)</f>
        <v>Catholic Relief Services</v>
      </c>
      <c r="H90" s="8">
        <f>VLOOKUP(A90,[1]!Table1[#All],32,FALSE)</f>
        <v>42095</v>
      </c>
      <c r="I90" s="8">
        <f>VLOOKUP(A90,[1]!Table1[#All],33,FALSE)</f>
        <v>44741</v>
      </c>
      <c r="J90" t="str">
        <f t="shared" ca="1" si="1"/>
        <v>UDO</v>
      </c>
    </row>
    <row r="91" spans="1:10" x14ac:dyDescent="0.35">
      <c r="A91" s="9" t="s">
        <v>6</v>
      </c>
      <c r="B91" s="10">
        <v>44652</v>
      </c>
      <c r="C91" s="11">
        <v>43861219</v>
      </c>
      <c r="D91" s="11">
        <v>42716993.810000002</v>
      </c>
      <c r="E91" s="11">
        <v>1144225.19</v>
      </c>
      <c r="F91" t="str">
        <f>VLOOKUP(A91,[1]!Table1[#All],17,FALSE)</f>
        <v>UNITED STATES</v>
      </c>
      <c r="G91" t="str">
        <f>VLOOKUP(A91,[1]!Table1[#All],22,FALSE)</f>
        <v>Catholic Relief Services</v>
      </c>
      <c r="H91" s="8">
        <f>VLOOKUP(A91,[1]!Table1[#All],32,FALSE)</f>
        <v>42095</v>
      </c>
      <c r="I91" s="8">
        <f>VLOOKUP(A91,[1]!Table1[#All],33,FALSE)</f>
        <v>44741</v>
      </c>
      <c r="J91" t="str">
        <f t="shared" ca="1" si="1"/>
        <v>UDO</v>
      </c>
    </row>
    <row r="92" spans="1:10" x14ac:dyDescent="0.35">
      <c r="A92" s="5" t="s">
        <v>6</v>
      </c>
      <c r="B92" s="6">
        <v>44682</v>
      </c>
      <c r="C92" s="7">
        <v>43861219</v>
      </c>
      <c r="D92" s="7">
        <v>42716993.810000002</v>
      </c>
      <c r="E92" s="7">
        <v>1144225.19</v>
      </c>
      <c r="F92" t="str">
        <f>VLOOKUP(A92,[1]!Table1[#All],17,FALSE)</f>
        <v>UNITED STATES</v>
      </c>
      <c r="G92" t="str">
        <f>VLOOKUP(A92,[1]!Table1[#All],22,FALSE)</f>
        <v>Catholic Relief Services</v>
      </c>
      <c r="H92" s="8">
        <f>VLOOKUP(A92,[1]!Table1[#All],32,FALSE)</f>
        <v>42095</v>
      </c>
      <c r="I92" s="8">
        <f>VLOOKUP(A92,[1]!Table1[#All],33,FALSE)</f>
        <v>44741</v>
      </c>
      <c r="J92" t="str">
        <f t="shared" ca="1" si="1"/>
        <v>UDO</v>
      </c>
    </row>
    <row r="93" spans="1:10" x14ac:dyDescent="0.35">
      <c r="A93" s="9" t="s">
        <v>6</v>
      </c>
      <c r="B93" s="10">
        <v>44713</v>
      </c>
      <c r="C93" s="11">
        <v>43861219</v>
      </c>
      <c r="D93" s="11">
        <v>43185493.810000002</v>
      </c>
      <c r="E93" s="11">
        <v>675725.19</v>
      </c>
      <c r="F93" t="str">
        <f>VLOOKUP(A93,[1]!Table1[#All],17,FALSE)</f>
        <v>UNITED STATES</v>
      </c>
      <c r="G93" t="str">
        <f>VLOOKUP(A93,[1]!Table1[#All],22,FALSE)</f>
        <v>Catholic Relief Services</v>
      </c>
      <c r="H93" s="8">
        <f>VLOOKUP(A93,[1]!Table1[#All],32,FALSE)</f>
        <v>42095</v>
      </c>
      <c r="I93" s="8">
        <f>VLOOKUP(A93,[1]!Table1[#All],33,FALSE)</f>
        <v>44741</v>
      </c>
      <c r="J93" t="str">
        <f t="shared" ca="1" si="1"/>
        <v>UDO</v>
      </c>
    </row>
    <row r="94" spans="1:10" x14ac:dyDescent="0.35">
      <c r="A94" s="5" t="s">
        <v>6</v>
      </c>
      <c r="B94" s="6">
        <v>44743</v>
      </c>
      <c r="C94" s="7">
        <v>43861219</v>
      </c>
      <c r="D94" s="7">
        <v>43861219</v>
      </c>
      <c r="E94" s="7">
        <v>0</v>
      </c>
      <c r="F94" t="str">
        <f>VLOOKUP(A94,[1]!Table1[#All],17,FALSE)</f>
        <v>UNITED STATES</v>
      </c>
      <c r="G94" t="str">
        <f>VLOOKUP(A94,[1]!Table1[#All],22,FALSE)</f>
        <v>Catholic Relief Services</v>
      </c>
      <c r="H94" s="8">
        <f>VLOOKUP(A94,[1]!Table1[#All],32,FALSE)</f>
        <v>42095</v>
      </c>
      <c r="I94" s="8">
        <f>VLOOKUP(A94,[1]!Table1[#All],33,FALSE)</f>
        <v>44741</v>
      </c>
      <c r="J94" t="str">
        <f t="shared" ca="1" si="1"/>
        <v>Non UDO</v>
      </c>
    </row>
    <row r="95" spans="1:10" x14ac:dyDescent="0.35">
      <c r="A95" s="9" t="s">
        <v>6</v>
      </c>
      <c r="B95" s="10">
        <v>44774</v>
      </c>
      <c r="C95" s="11">
        <v>43861219</v>
      </c>
      <c r="D95" s="11">
        <v>43861219</v>
      </c>
      <c r="E95" s="11">
        <v>0</v>
      </c>
      <c r="F95" t="str">
        <f>VLOOKUP(A95,[1]!Table1[#All],17,FALSE)</f>
        <v>UNITED STATES</v>
      </c>
      <c r="G95" t="str">
        <f>VLOOKUP(A95,[1]!Table1[#All],22,FALSE)</f>
        <v>Catholic Relief Services</v>
      </c>
      <c r="H95" s="8">
        <f>VLOOKUP(A95,[1]!Table1[#All],32,FALSE)</f>
        <v>42095</v>
      </c>
      <c r="I95" s="8">
        <f>VLOOKUP(A95,[1]!Table1[#All],33,FALSE)</f>
        <v>44741</v>
      </c>
      <c r="J95" t="str">
        <f t="shared" ca="1" si="1"/>
        <v>Non UDO</v>
      </c>
    </row>
    <row r="96" spans="1:10" x14ac:dyDescent="0.35">
      <c r="A96" s="5" t="s">
        <v>6</v>
      </c>
      <c r="B96" s="6">
        <v>44805</v>
      </c>
      <c r="C96" s="7">
        <v>43861219</v>
      </c>
      <c r="D96" s="7">
        <v>43861219</v>
      </c>
      <c r="E96" s="7">
        <v>0</v>
      </c>
      <c r="F96" t="str">
        <f>VLOOKUP(A96,[1]!Table1[#All],17,FALSE)</f>
        <v>UNITED STATES</v>
      </c>
      <c r="G96" t="str">
        <f>VLOOKUP(A96,[1]!Table1[#All],22,FALSE)</f>
        <v>Catholic Relief Services</v>
      </c>
      <c r="H96" s="8">
        <f>VLOOKUP(A96,[1]!Table1[#All],32,FALSE)</f>
        <v>42095</v>
      </c>
      <c r="I96" s="8">
        <f>VLOOKUP(A96,[1]!Table1[#All],33,FALSE)</f>
        <v>44741</v>
      </c>
      <c r="J96" t="str">
        <f t="shared" ca="1" si="1"/>
        <v>Non UDO</v>
      </c>
    </row>
    <row r="97" spans="1:10" x14ac:dyDescent="0.35">
      <c r="A97" s="9" t="s">
        <v>6</v>
      </c>
      <c r="B97" s="10">
        <v>44835</v>
      </c>
      <c r="C97" s="11">
        <v>43861219</v>
      </c>
      <c r="D97" s="11">
        <v>43861219</v>
      </c>
      <c r="E97" s="11">
        <v>0</v>
      </c>
      <c r="F97" t="str">
        <f>VLOOKUP(A97,[1]!Table1[#All],17,FALSE)</f>
        <v>UNITED STATES</v>
      </c>
      <c r="G97" t="str">
        <f>VLOOKUP(A97,[1]!Table1[#All],22,FALSE)</f>
        <v>Catholic Relief Services</v>
      </c>
      <c r="H97" s="8">
        <f>VLOOKUP(A97,[1]!Table1[#All],32,FALSE)</f>
        <v>42095</v>
      </c>
      <c r="I97" s="8">
        <f>VLOOKUP(A97,[1]!Table1[#All],33,FALSE)</f>
        <v>44741</v>
      </c>
      <c r="J97" t="str">
        <f t="shared" ca="1" si="1"/>
        <v>Non UDO</v>
      </c>
    </row>
    <row r="98" spans="1:10" x14ac:dyDescent="0.35">
      <c r="A98" s="5" t="s">
        <v>6</v>
      </c>
      <c r="B98" s="6">
        <v>44866</v>
      </c>
      <c r="C98" s="7">
        <v>43861219</v>
      </c>
      <c r="D98" s="7">
        <v>43861219</v>
      </c>
      <c r="E98" s="7">
        <v>0</v>
      </c>
      <c r="F98" t="str">
        <f>VLOOKUP(A98,[1]!Table1[#All],17,FALSE)</f>
        <v>UNITED STATES</v>
      </c>
      <c r="G98" t="str">
        <f>VLOOKUP(A98,[1]!Table1[#All],22,FALSE)</f>
        <v>Catholic Relief Services</v>
      </c>
      <c r="H98" s="8">
        <f>VLOOKUP(A98,[1]!Table1[#All],32,FALSE)</f>
        <v>42095</v>
      </c>
      <c r="I98" s="8">
        <f>VLOOKUP(A98,[1]!Table1[#All],33,FALSE)</f>
        <v>44741</v>
      </c>
      <c r="J98" t="str">
        <f t="shared" ca="1" si="1"/>
        <v>Non UDO</v>
      </c>
    </row>
    <row r="99" spans="1:10" x14ac:dyDescent="0.35">
      <c r="A99" s="9" t="s">
        <v>6</v>
      </c>
      <c r="B99" s="10">
        <v>44896</v>
      </c>
      <c r="C99" s="11">
        <v>43861219</v>
      </c>
      <c r="D99" s="11">
        <v>43861219</v>
      </c>
      <c r="E99" s="11">
        <v>0</v>
      </c>
      <c r="F99" t="str">
        <f>VLOOKUP(A99,[1]!Table1[#All],17,FALSE)</f>
        <v>UNITED STATES</v>
      </c>
      <c r="G99" t="str">
        <f>VLOOKUP(A99,[1]!Table1[#All],22,FALSE)</f>
        <v>Catholic Relief Services</v>
      </c>
      <c r="H99" s="8">
        <f>VLOOKUP(A99,[1]!Table1[#All],32,FALSE)</f>
        <v>42095</v>
      </c>
      <c r="I99" s="8">
        <f>VLOOKUP(A99,[1]!Table1[#All],33,FALSE)</f>
        <v>44741</v>
      </c>
      <c r="J99" t="str">
        <f t="shared" ca="1" si="1"/>
        <v>Non UDO</v>
      </c>
    </row>
    <row r="100" spans="1:10" x14ac:dyDescent="0.35">
      <c r="A100" s="5" t="s">
        <v>6</v>
      </c>
      <c r="B100" s="6">
        <v>44927</v>
      </c>
      <c r="C100" s="7">
        <v>43861219</v>
      </c>
      <c r="D100" s="7">
        <v>43861219</v>
      </c>
      <c r="E100" s="7">
        <v>0</v>
      </c>
      <c r="F100" t="str">
        <f>VLOOKUP(A100,[1]!Table1[#All],17,FALSE)</f>
        <v>UNITED STATES</v>
      </c>
      <c r="G100" t="str">
        <f>VLOOKUP(A100,[1]!Table1[#All],22,FALSE)</f>
        <v>Catholic Relief Services</v>
      </c>
      <c r="H100" s="8">
        <f>VLOOKUP(A100,[1]!Table1[#All],32,FALSE)</f>
        <v>42095</v>
      </c>
      <c r="I100" s="8">
        <f>VLOOKUP(A100,[1]!Table1[#All],33,FALSE)</f>
        <v>44741</v>
      </c>
      <c r="J100" t="str">
        <f t="shared" ca="1" si="1"/>
        <v>Non UDO</v>
      </c>
    </row>
    <row r="101" spans="1:10" x14ac:dyDescent="0.35">
      <c r="A101" s="9" t="s">
        <v>6</v>
      </c>
      <c r="B101" s="10">
        <v>44958</v>
      </c>
      <c r="C101" s="11">
        <v>43861219</v>
      </c>
      <c r="D101" s="11">
        <v>43861219</v>
      </c>
      <c r="E101" s="11">
        <v>0</v>
      </c>
      <c r="F101" t="str">
        <f>VLOOKUP(A101,[1]!Table1[#All],17,FALSE)</f>
        <v>UNITED STATES</v>
      </c>
      <c r="G101" t="str">
        <f>VLOOKUP(A101,[1]!Table1[#All],22,FALSE)</f>
        <v>Catholic Relief Services</v>
      </c>
      <c r="H101" s="8">
        <f>VLOOKUP(A101,[1]!Table1[#All],32,FALSE)</f>
        <v>42095</v>
      </c>
      <c r="I101" s="8">
        <f>VLOOKUP(A101,[1]!Table1[#All],33,FALSE)</f>
        <v>44741</v>
      </c>
      <c r="J101" t="str">
        <f t="shared" ca="1" si="1"/>
        <v>Non UDO</v>
      </c>
    </row>
    <row r="102" spans="1:10" x14ac:dyDescent="0.35">
      <c r="A102" s="5" t="s">
        <v>6</v>
      </c>
      <c r="B102" s="6">
        <v>44986</v>
      </c>
      <c r="C102" s="7">
        <v>43861219</v>
      </c>
      <c r="D102" s="7">
        <v>43861219</v>
      </c>
      <c r="E102" s="7">
        <v>0</v>
      </c>
      <c r="F102" t="str">
        <f>VLOOKUP(A102,[1]!Table1[#All],17,FALSE)</f>
        <v>UNITED STATES</v>
      </c>
      <c r="G102" t="str">
        <f>VLOOKUP(A102,[1]!Table1[#All],22,FALSE)</f>
        <v>Catholic Relief Services</v>
      </c>
      <c r="H102" s="8">
        <f>VLOOKUP(A102,[1]!Table1[#All],32,FALSE)</f>
        <v>42095</v>
      </c>
      <c r="I102" s="8">
        <f>VLOOKUP(A102,[1]!Table1[#All],33,FALSE)</f>
        <v>44741</v>
      </c>
      <c r="J102" t="str">
        <f t="shared" ca="1" si="1"/>
        <v>Non UDO</v>
      </c>
    </row>
    <row r="103" spans="1:10" x14ac:dyDescent="0.35">
      <c r="A103" s="9" t="s">
        <v>6</v>
      </c>
      <c r="B103" s="10">
        <v>45017</v>
      </c>
      <c r="C103" s="11">
        <v>43861219</v>
      </c>
      <c r="D103" s="11">
        <v>43861219</v>
      </c>
      <c r="E103" s="11">
        <v>0</v>
      </c>
      <c r="F103" t="str">
        <f>VLOOKUP(A103,[1]!Table1[#All],17,FALSE)</f>
        <v>UNITED STATES</v>
      </c>
      <c r="G103" t="str">
        <f>VLOOKUP(A103,[1]!Table1[#All],22,FALSE)</f>
        <v>Catholic Relief Services</v>
      </c>
      <c r="H103" s="8">
        <f>VLOOKUP(A103,[1]!Table1[#All],32,FALSE)</f>
        <v>42095</v>
      </c>
      <c r="I103" s="8">
        <f>VLOOKUP(A103,[1]!Table1[#All],33,FALSE)</f>
        <v>44741</v>
      </c>
      <c r="J103" t="str">
        <f t="shared" ca="1" si="1"/>
        <v>Non UDO</v>
      </c>
    </row>
    <row r="104" spans="1:10" x14ac:dyDescent="0.35">
      <c r="A104" s="5" t="s">
        <v>6</v>
      </c>
      <c r="B104" s="6">
        <v>45047</v>
      </c>
      <c r="C104" s="7">
        <v>43861219</v>
      </c>
      <c r="D104" s="7">
        <v>43861219</v>
      </c>
      <c r="E104" s="7">
        <v>0</v>
      </c>
      <c r="F104" t="str">
        <f>VLOOKUP(A104,[1]!Table1[#All],17,FALSE)</f>
        <v>UNITED STATES</v>
      </c>
      <c r="G104" t="str">
        <f>VLOOKUP(A104,[1]!Table1[#All],22,FALSE)</f>
        <v>Catholic Relief Services</v>
      </c>
      <c r="H104" s="8">
        <f>VLOOKUP(A104,[1]!Table1[#All],32,FALSE)</f>
        <v>42095</v>
      </c>
      <c r="I104" s="8">
        <f>VLOOKUP(A104,[1]!Table1[#All],33,FALSE)</f>
        <v>44741</v>
      </c>
      <c r="J104" t="str">
        <f t="shared" ca="1" si="1"/>
        <v>Non UDO</v>
      </c>
    </row>
    <row r="105" spans="1:10" x14ac:dyDescent="0.35">
      <c r="A105" s="9" t="s">
        <v>6</v>
      </c>
      <c r="B105" s="10">
        <v>45078</v>
      </c>
      <c r="C105" s="11">
        <v>43861219</v>
      </c>
      <c r="D105" s="11">
        <v>43861219</v>
      </c>
      <c r="E105" s="11">
        <v>0</v>
      </c>
      <c r="F105" t="str">
        <f>VLOOKUP(A105,[1]!Table1[#All],17,FALSE)</f>
        <v>UNITED STATES</v>
      </c>
      <c r="G105" t="str">
        <f>VLOOKUP(A105,[1]!Table1[#All],22,FALSE)</f>
        <v>Catholic Relief Services</v>
      </c>
      <c r="H105" s="8">
        <f>VLOOKUP(A105,[1]!Table1[#All],32,FALSE)</f>
        <v>42095</v>
      </c>
      <c r="I105" s="8">
        <f>VLOOKUP(A105,[1]!Table1[#All],33,FALSE)</f>
        <v>44741</v>
      </c>
      <c r="J105" t="str">
        <f t="shared" ca="1" si="1"/>
        <v>Non UDO</v>
      </c>
    </row>
    <row r="106" spans="1:10" x14ac:dyDescent="0.35">
      <c r="A106" s="5" t="s">
        <v>6</v>
      </c>
      <c r="B106" s="6">
        <v>45108</v>
      </c>
      <c r="C106" s="7">
        <v>43861219</v>
      </c>
      <c r="D106" s="7">
        <v>43861219</v>
      </c>
      <c r="E106" s="7">
        <v>0</v>
      </c>
      <c r="F106" t="str">
        <f>VLOOKUP(A106,[1]!Table1[#All],17,FALSE)</f>
        <v>UNITED STATES</v>
      </c>
      <c r="G106" t="str">
        <f>VLOOKUP(A106,[1]!Table1[#All],22,FALSE)</f>
        <v>Catholic Relief Services</v>
      </c>
      <c r="H106" s="8">
        <f>VLOOKUP(A106,[1]!Table1[#All],32,FALSE)</f>
        <v>42095</v>
      </c>
      <c r="I106" s="8">
        <f>VLOOKUP(A106,[1]!Table1[#All],33,FALSE)</f>
        <v>44741</v>
      </c>
      <c r="J106" t="str">
        <f t="shared" ca="1" si="1"/>
        <v>Non UDO</v>
      </c>
    </row>
    <row r="107" spans="1:10" x14ac:dyDescent="0.35">
      <c r="A107" s="9" t="s">
        <v>6</v>
      </c>
      <c r="B107" s="10">
        <v>45139</v>
      </c>
      <c r="C107" s="11">
        <v>43861219</v>
      </c>
      <c r="D107" s="11">
        <v>43861219</v>
      </c>
      <c r="E107" s="11">
        <v>0</v>
      </c>
      <c r="F107" t="str">
        <f>VLOOKUP(A107,[1]!Table1[#All],17,FALSE)</f>
        <v>UNITED STATES</v>
      </c>
      <c r="G107" t="str">
        <f>VLOOKUP(A107,[1]!Table1[#All],22,FALSE)</f>
        <v>Catholic Relief Services</v>
      </c>
      <c r="H107" s="8">
        <f>VLOOKUP(A107,[1]!Table1[#All],32,FALSE)</f>
        <v>42095</v>
      </c>
      <c r="I107" s="8">
        <f>VLOOKUP(A107,[1]!Table1[#All],33,FALSE)</f>
        <v>44741</v>
      </c>
      <c r="J107" t="str">
        <f t="shared" ca="1" si="1"/>
        <v>Non UDO</v>
      </c>
    </row>
    <row r="108" spans="1:10" x14ac:dyDescent="0.35">
      <c r="A108" s="5" t="s">
        <v>6</v>
      </c>
      <c r="B108" s="6">
        <v>45170</v>
      </c>
      <c r="C108" s="7">
        <v>43861219</v>
      </c>
      <c r="D108" s="7">
        <v>43861219</v>
      </c>
      <c r="E108" s="7">
        <v>0</v>
      </c>
      <c r="F108" t="str">
        <f>VLOOKUP(A108,[1]!Table1[#All],17,FALSE)</f>
        <v>UNITED STATES</v>
      </c>
      <c r="G108" t="str">
        <f>VLOOKUP(A108,[1]!Table1[#All],22,FALSE)</f>
        <v>Catholic Relief Services</v>
      </c>
      <c r="H108" s="8">
        <f>VLOOKUP(A108,[1]!Table1[#All],32,FALSE)</f>
        <v>42095</v>
      </c>
      <c r="I108" s="8">
        <f>VLOOKUP(A108,[1]!Table1[#All],33,FALSE)</f>
        <v>44741</v>
      </c>
      <c r="J108" t="str">
        <f t="shared" ca="1" si="1"/>
        <v>Non UDO</v>
      </c>
    </row>
    <row r="109" spans="1:10" x14ac:dyDescent="0.35">
      <c r="A109" s="9" t="s">
        <v>7</v>
      </c>
      <c r="B109" s="10">
        <v>44105</v>
      </c>
      <c r="C109" s="11">
        <v>1628724</v>
      </c>
      <c r="D109" s="11">
        <v>471219.59</v>
      </c>
      <c r="E109" s="11">
        <v>1157504.4099999999</v>
      </c>
      <c r="F109" t="str">
        <f>VLOOKUP(A109,[1]!Table1[#All],17,FALSE)</f>
        <v>SOUTH AFRICA</v>
      </c>
      <c r="G109" t="str">
        <f>VLOOKUP(A109,[1]!Table1[#All],22,FALSE)</f>
        <v>COUNCIL FOR SCIENTIFIC &amp; INDUSTRIAL RESEARCH</v>
      </c>
      <c r="H109" s="8">
        <f>VLOOKUP(A109,[1]!Table1[#All],32,FALSE)</f>
        <v>42643</v>
      </c>
      <c r="I109" s="8">
        <f>VLOOKUP(A109,[1]!Table1[#All],33,FALSE)</f>
        <v>44833</v>
      </c>
      <c r="J109" t="str">
        <f t="shared" ca="1" si="1"/>
        <v>UDO</v>
      </c>
    </row>
    <row r="110" spans="1:10" x14ac:dyDescent="0.35">
      <c r="A110" s="5" t="s">
        <v>7</v>
      </c>
      <c r="B110" s="6">
        <v>44136</v>
      </c>
      <c r="C110" s="7">
        <v>1628724</v>
      </c>
      <c r="D110" s="7">
        <v>471219.59</v>
      </c>
      <c r="E110" s="7">
        <v>1157504.4099999999</v>
      </c>
      <c r="F110" t="str">
        <f>VLOOKUP(A110,[1]!Table1[#All],17,FALSE)</f>
        <v>SOUTH AFRICA</v>
      </c>
      <c r="G110" t="str">
        <f>VLOOKUP(A110,[1]!Table1[#All],22,FALSE)</f>
        <v>COUNCIL FOR SCIENTIFIC &amp; INDUSTRIAL RESEARCH</v>
      </c>
      <c r="H110" s="8">
        <f>VLOOKUP(A110,[1]!Table1[#All],32,FALSE)</f>
        <v>42643</v>
      </c>
      <c r="I110" s="8">
        <f>VLOOKUP(A110,[1]!Table1[#All],33,FALSE)</f>
        <v>44833</v>
      </c>
      <c r="J110" t="str">
        <f t="shared" ca="1" si="1"/>
        <v>UDO</v>
      </c>
    </row>
    <row r="111" spans="1:10" x14ac:dyDescent="0.35">
      <c r="A111" s="9" t="s">
        <v>7</v>
      </c>
      <c r="B111" s="10">
        <v>44166</v>
      </c>
      <c r="C111" s="11">
        <v>1628724</v>
      </c>
      <c r="D111" s="11">
        <v>519476.11000000004</v>
      </c>
      <c r="E111" s="11">
        <v>1109247.8899999999</v>
      </c>
      <c r="F111" t="str">
        <f>VLOOKUP(A111,[1]!Table1[#All],17,FALSE)</f>
        <v>SOUTH AFRICA</v>
      </c>
      <c r="G111" t="str">
        <f>VLOOKUP(A111,[1]!Table1[#All],22,FALSE)</f>
        <v>COUNCIL FOR SCIENTIFIC &amp; INDUSTRIAL RESEARCH</v>
      </c>
      <c r="H111" s="8">
        <f>VLOOKUP(A111,[1]!Table1[#All],32,FALSE)</f>
        <v>42643</v>
      </c>
      <c r="I111" s="8">
        <f>VLOOKUP(A111,[1]!Table1[#All],33,FALSE)</f>
        <v>44833</v>
      </c>
      <c r="J111" t="str">
        <f t="shared" ca="1" si="1"/>
        <v>UDO</v>
      </c>
    </row>
    <row r="112" spans="1:10" x14ac:dyDescent="0.35">
      <c r="A112" s="5" t="s">
        <v>7</v>
      </c>
      <c r="B112" s="6">
        <v>44197</v>
      </c>
      <c r="C112" s="7">
        <v>1628724</v>
      </c>
      <c r="D112" s="7">
        <v>594969.06000000006</v>
      </c>
      <c r="E112" s="7">
        <v>1033754.9400000001</v>
      </c>
      <c r="F112" t="str">
        <f>VLOOKUP(A112,[1]!Table1[#All],17,FALSE)</f>
        <v>SOUTH AFRICA</v>
      </c>
      <c r="G112" t="str">
        <f>VLOOKUP(A112,[1]!Table1[#All],22,FALSE)</f>
        <v>COUNCIL FOR SCIENTIFIC &amp; INDUSTRIAL RESEARCH</v>
      </c>
      <c r="H112" s="8">
        <f>VLOOKUP(A112,[1]!Table1[#All],32,FALSE)</f>
        <v>42643</v>
      </c>
      <c r="I112" s="8">
        <f>VLOOKUP(A112,[1]!Table1[#All],33,FALSE)</f>
        <v>44833</v>
      </c>
      <c r="J112" t="str">
        <f t="shared" ca="1" si="1"/>
        <v>UDO</v>
      </c>
    </row>
    <row r="113" spans="1:10" x14ac:dyDescent="0.35">
      <c r="A113" s="9" t="s">
        <v>7</v>
      </c>
      <c r="B113" s="10">
        <v>44228</v>
      </c>
      <c r="C113" s="11">
        <v>1628724</v>
      </c>
      <c r="D113" s="11">
        <v>612582.63</v>
      </c>
      <c r="E113" s="11">
        <v>1016141.37</v>
      </c>
      <c r="F113" t="str">
        <f>VLOOKUP(A113,[1]!Table1[#All],17,FALSE)</f>
        <v>SOUTH AFRICA</v>
      </c>
      <c r="G113" t="str">
        <f>VLOOKUP(A113,[1]!Table1[#All],22,FALSE)</f>
        <v>COUNCIL FOR SCIENTIFIC &amp; INDUSTRIAL RESEARCH</v>
      </c>
      <c r="H113" s="8">
        <f>VLOOKUP(A113,[1]!Table1[#All],32,FALSE)</f>
        <v>42643</v>
      </c>
      <c r="I113" s="8">
        <f>VLOOKUP(A113,[1]!Table1[#All],33,FALSE)</f>
        <v>44833</v>
      </c>
      <c r="J113" t="str">
        <f t="shared" ca="1" si="1"/>
        <v>UDO</v>
      </c>
    </row>
    <row r="114" spans="1:10" x14ac:dyDescent="0.35">
      <c r="A114" s="5" t="s">
        <v>7</v>
      </c>
      <c r="B114" s="6">
        <v>44256</v>
      </c>
      <c r="C114" s="7">
        <v>1628724</v>
      </c>
      <c r="D114" s="7">
        <v>652946.49</v>
      </c>
      <c r="E114" s="7">
        <v>975777.51</v>
      </c>
      <c r="F114" t="str">
        <f>VLOOKUP(A114,[1]!Table1[#All],17,FALSE)</f>
        <v>SOUTH AFRICA</v>
      </c>
      <c r="G114" t="str">
        <f>VLOOKUP(A114,[1]!Table1[#All],22,FALSE)</f>
        <v>COUNCIL FOR SCIENTIFIC &amp; INDUSTRIAL RESEARCH</v>
      </c>
      <c r="H114" s="8">
        <f>VLOOKUP(A114,[1]!Table1[#All],32,FALSE)</f>
        <v>42643</v>
      </c>
      <c r="I114" s="8">
        <f>VLOOKUP(A114,[1]!Table1[#All],33,FALSE)</f>
        <v>44833</v>
      </c>
      <c r="J114" t="str">
        <f t="shared" ca="1" si="1"/>
        <v>UDO</v>
      </c>
    </row>
    <row r="115" spans="1:10" x14ac:dyDescent="0.35">
      <c r="A115" s="9" t="s">
        <v>7</v>
      </c>
      <c r="B115" s="10">
        <v>44287</v>
      </c>
      <c r="C115" s="11">
        <v>1000000</v>
      </c>
      <c r="D115" s="11">
        <v>264706</v>
      </c>
      <c r="E115" s="11">
        <v>735294</v>
      </c>
      <c r="F115" t="str">
        <f>VLOOKUP(A115,[1]!Table1[#All],17,FALSE)</f>
        <v>SOUTH AFRICA</v>
      </c>
      <c r="G115" t="str">
        <f>VLOOKUP(A115,[1]!Table1[#All],22,FALSE)</f>
        <v>COUNCIL FOR SCIENTIFIC &amp; INDUSTRIAL RESEARCH</v>
      </c>
      <c r="H115" s="8">
        <f>VLOOKUP(A115,[1]!Table1[#All],32,FALSE)</f>
        <v>42643</v>
      </c>
      <c r="I115" s="8">
        <f>VLOOKUP(A115,[1]!Table1[#All],33,FALSE)</f>
        <v>44833</v>
      </c>
      <c r="J115" t="str">
        <f t="shared" ca="1" si="1"/>
        <v>UDO</v>
      </c>
    </row>
    <row r="116" spans="1:10" x14ac:dyDescent="0.35">
      <c r="A116" s="5" t="s">
        <v>7</v>
      </c>
      <c r="B116" s="6">
        <v>44317</v>
      </c>
      <c r="C116" s="7">
        <v>1628724</v>
      </c>
      <c r="D116" s="7">
        <v>816739.86</v>
      </c>
      <c r="E116" s="7">
        <v>811984.14</v>
      </c>
      <c r="F116" t="str">
        <f>VLOOKUP(A116,[1]!Table1[#All],17,FALSE)</f>
        <v>SOUTH AFRICA</v>
      </c>
      <c r="G116" t="str">
        <f>VLOOKUP(A116,[1]!Table1[#All],22,FALSE)</f>
        <v>COUNCIL FOR SCIENTIFIC &amp; INDUSTRIAL RESEARCH</v>
      </c>
      <c r="H116" s="8">
        <f>VLOOKUP(A116,[1]!Table1[#All],32,FALSE)</f>
        <v>42643</v>
      </c>
      <c r="I116" s="8">
        <f>VLOOKUP(A116,[1]!Table1[#All],33,FALSE)</f>
        <v>44833</v>
      </c>
      <c r="J116" t="str">
        <f t="shared" ca="1" si="1"/>
        <v>UDO</v>
      </c>
    </row>
    <row r="117" spans="1:10" x14ac:dyDescent="0.35">
      <c r="A117" s="9" t="s">
        <v>7</v>
      </c>
      <c r="B117" s="10">
        <v>44348</v>
      </c>
      <c r="C117" s="11">
        <v>1628724</v>
      </c>
      <c r="D117" s="11">
        <v>927205.07000000007</v>
      </c>
      <c r="E117" s="11">
        <v>701518.93</v>
      </c>
      <c r="F117" t="str">
        <f>VLOOKUP(A117,[1]!Table1[#All],17,FALSE)</f>
        <v>SOUTH AFRICA</v>
      </c>
      <c r="G117" t="str">
        <f>VLOOKUP(A117,[1]!Table1[#All],22,FALSE)</f>
        <v>COUNCIL FOR SCIENTIFIC &amp; INDUSTRIAL RESEARCH</v>
      </c>
      <c r="H117" s="8">
        <f>VLOOKUP(A117,[1]!Table1[#All],32,FALSE)</f>
        <v>42643</v>
      </c>
      <c r="I117" s="8">
        <f>VLOOKUP(A117,[1]!Table1[#All],33,FALSE)</f>
        <v>44833</v>
      </c>
      <c r="J117" t="str">
        <f t="shared" ca="1" si="1"/>
        <v>UDO</v>
      </c>
    </row>
    <row r="118" spans="1:10" x14ac:dyDescent="0.35">
      <c r="A118" s="5" t="s">
        <v>7</v>
      </c>
      <c r="B118" s="6">
        <v>44378</v>
      </c>
      <c r="C118" s="7">
        <v>1628724</v>
      </c>
      <c r="D118" s="7">
        <v>927205.07000000007</v>
      </c>
      <c r="E118" s="7">
        <v>701518.93</v>
      </c>
      <c r="F118" t="str">
        <f>VLOOKUP(A118,[1]!Table1[#All],17,FALSE)</f>
        <v>SOUTH AFRICA</v>
      </c>
      <c r="G118" t="str">
        <f>VLOOKUP(A118,[1]!Table1[#All],22,FALSE)</f>
        <v>COUNCIL FOR SCIENTIFIC &amp; INDUSTRIAL RESEARCH</v>
      </c>
      <c r="H118" s="8">
        <f>VLOOKUP(A118,[1]!Table1[#All],32,FALSE)</f>
        <v>42643</v>
      </c>
      <c r="I118" s="8">
        <f>VLOOKUP(A118,[1]!Table1[#All],33,FALSE)</f>
        <v>44833</v>
      </c>
      <c r="J118" t="str">
        <f t="shared" ca="1" si="1"/>
        <v>UDO</v>
      </c>
    </row>
    <row r="119" spans="1:10" x14ac:dyDescent="0.35">
      <c r="A119" s="9" t="s">
        <v>7</v>
      </c>
      <c r="B119" s="10">
        <v>44409</v>
      </c>
      <c r="C119" s="11">
        <v>1628724</v>
      </c>
      <c r="D119" s="11">
        <v>981175.89</v>
      </c>
      <c r="E119" s="11">
        <v>647548.11</v>
      </c>
      <c r="F119" t="str">
        <f>VLOOKUP(A119,[1]!Table1[#All],17,FALSE)</f>
        <v>SOUTH AFRICA</v>
      </c>
      <c r="G119" t="str">
        <f>VLOOKUP(A119,[1]!Table1[#All],22,FALSE)</f>
        <v>COUNCIL FOR SCIENTIFIC &amp; INDUSTRIAL RESEARCH</v>
      </c>
      <c r="H119" s="8">
        <f>VLOOKUP(A119,[1]!Table1[#All],32,FALSE)</f>
        <v>42643</v>
      </c>
      <c r="I119" s="8">
        <f>VLOOKUP(A119,[1]!Table1[#All],33,FALSE)</f>
        <v>44833</v>
      </c>
      <c r="J119" t="str">
        <f t="shared" ca="1" si="1"/>
        <v>UDO</v>
      </c>
    </row>
    <row r="120" spans="1:10" x14ac:dyDescent="0.35">
      <c r="A120" s="5" t="s">
        <v>7</v>
      </c>
      <c r="B120" s="6">
        <v>44440</v>
      </c>
      <c r="C120" s="7">
        <v>1628724</v>
      </c>
      <c r="D120" s="7">
        <v>1187798.5</v>
      </c>
      <c r="E120" s="7">
        <v>440925.5</v>
      </c>
      <c r="F120" t="str">
        <f>VLOOKUP(A120,[1]!Table1[#All],17,FALSE)</f>
        <v>SOUTH AFRICA</v>
      </c>
      <c r="G120" t="str">
        <f>VLOOKUP(A120,[1]!Table1[#All],22,FALSE)</f>
        <v>COUNCIL FOR SCIENTIFIC &amp; INDUSTRIAL RESEARCH</v>
      </c>
      <c r="H120" s="8">
        <f>VLOOKUP(A120,[1]!Table1[#All],32,FALSE)</f>
        <v>42643</v>
      </c>
      <c r="I120" s="8">
        <f>VLOOKUP(A120,[1]!Table1[#All],33,FALSE)</f>
        <v>44833</v>
      </c>
      <c r="J120" t="str">
        <f t="shared" ca="1" si="1"/>
        <v>UDO</v>
      </c>
    </row>
    <row r="121" spans="1:10" x14ac:dyDescent="0.35">
      <c r="A121" s="9" t="s">
        <v>7</v>
      </c>
      <c r="B121" s="10">
        <v>44470</v>
      </c>
      <c r="C121" s="11">
        <v>1628724</v>
      </c>
      <c r="D121" s="11">
        <v>1187798.5</v>
      </c>
      <c r="E121" s="11">
        <v>440925.5</v>
      </c>
      <c r="F121" t="str">
        <f>VLOOKUP(A121,[1]!Table1[#All],17,FALSE)</f>
        <v>SOUTH AFRICA</v>
      </c>
      <c r="G121" t="str">
        <f>VLOOKUP(A121,[1]!Table1[#All],22,FALSE)</f>
        <v>COUNCIL FOR SCIENTIFIC &amp; INDUSTRIAL RESEARCH</v>
      </c>
      <c r="H121" s="8">
        <f>VLOOKUP(A121,[1]!Table1[#All],32,FALSE)</f>
        <v>42643</v>
      </c>
      <c r="I121" s="8">
        <f>VLOOKUP(A121,[1]!Table1[#All],33,FALSE)</f>
        <v>44833</v>
      </c>
      <c r="J121" t="str">
        <f t="shared" ca="1" si="1"/>
        <v>UDO</v>
      </c>
    </row>
    <row r="122" spans="1:10" x14ac:dyDescent="0.35">
      <c r="A122" s="5" t="s">
        <v>7</v>
      </c>
      <c r="B122" s="6">
        <v>44501</v>
      </c>
      <c r="C122" s="7">
        <v>1628724</v>
      </c>
      <c r="D122" s="7">
        <v>1187798.5</v>
      </c>
      <c r="E122" s="7">
        <v>440925.5</v>
      </c>
      <c r="F122" t="str">
        <f>VLOOKUP(A122,[1]!Table1[#All],17,FALSE)</f>
        <v>SOUTH AFRICA</v>
      </c>
      <c r="G122" t="str">
        <f>VLOOKUP(A122,[1]!Table1[#All],22,FALSE)</f>
        <v>COUNCIL FOR SCIENTIFIC &amp; INDUSTRIAL RESEARCH</v>
      </c>
      <c r="H122" s="8">
        <f>VLOOKUP(A122,[1]!Table1[#All],32,FALSE)</f>
        <v>42643</v>
      </c>
      <c r="I122" s="8">
        <f>VLOOKUP(A122,[1]!Table1[#All],33,FALSE)</f>
        <v>44833</v>
      </c>
      <c r="J122" t="str">
        <f t="shared" ca="1" si="1"/>
        <v>UDO</v>
      </c>
    </row>
    <row r="123" spans="1:10" x14ac:dyDescent="0.35">
      <c r="A123" s="9" t="s">
        <v>7</v>
      </c>
      <c r="B123" s="10">
        <v>44531</v>
      </c>
      <c r="C123" s="11">
        <v>1628724</v>
      </c>
      <c r="D123" s="11">
        <v>1229920.9300000002</v>
      </c>
      <c r="E123" s="11">
        <v>398803.07</v>
      </c>
      <c r="F123" t="str">
        <f>VLOOKUP(A123,[1]!Table1[#All],17,FALSE)</f>
        <v>SOUTH AFRICA</v>
      </c>
      <c r="G123" t="str">
        <f>VLOOKUP(A123,[1]!Table1[#All],22,FALSE)</f>
        <v>COUNCIL FOR SCIENTIFIC &amp; INDUSTRIAL RESEARCH</v>
      </c>
      <c r="H123" s="8">
        <f>VLOOKUP(A123,[1]!Table1[#All],32,FALSE)</f>
        <v>42643</v>
      </c>
      <c r="I123" s="8">
        <f>VLOOKUP(A123,[1]!Table1[#All],33,FALSE)</f>
        <v>44833</v>
      </c>
      <c r="J123" t="str">
        <f t="shared" ca="1" si="1"/>
        <v>UDO</v>
      </c>
    </row>
    <row r="124" spans="1:10" x14ac:dyDescent="0.35">
      <c r="A124" s="5" t="s">
        <v>7</v>
      </c>
      <c r="B124" s="6">
        <v>44562</v>
      </c>
      <c r="C124" s="7">
        <v>1628724</v>
      </c>
      <c r="D124" s="7">
        <v>1229920.9300000002</v>
      </c>
      <c r="E124" s="7">
        <v>398803.07</v>
      </c>
      <c r="F124" t="str">
        <f>VLOOKUP(A124,[1]!Table1[#All],17,FALSE)</f>
        <v>SOUTH AFRICA</v>
      </c>
      <c r="G124" t="str">
        <f>VLOOKUP(A124,[1]!Table1[#All],22,FALSE)</f>
        <v>COUNCIL FOR SCIENTIFIC &amp; INDUSTRIAL RESEARCH</v>
      </c>
      <c r="H124" s="8">
        <f>VLOOKUP(A124,[1]!Table1[#All],32,FALSE)</f>
        <v>42643</v>
      </c>
      <c r="I124" s="8">
        <f>VLOOKUP(A124,[1]!Table1[#All],33,FALSE)</f>
        <v>44833</v>
      </c>
      <c r="J124" t="str">
        <f t="shared" ca="1" si="1"/>
        <v>UDO</v>
      </c>
    </row>
    <row r="125" spans="1:10" x14ac:dyDescent="0.35">
      <c r="A125" s="9" t="s">
        <v>7</v>
      </c>
      <c r="B125" s="10">
        <v>44593</v>
      </c>
      <c r="C125" s="11">
        <v>1628724</v>
      </c>
      <c r="D125" s="11">
        <v>1229920.9300000002</v>
      </c>
      <c r="E125" s="11">
        <v>398803.07</v>
      </c>
      <c r="F125" t="str">
        <f>VLOOKUP(A125,[1]!Table1[#All],17,FALSE)</f>
        <v>SOUTH AFRICA</v>
      </c>
      <c r="G125" t="str">
        <f>VLOOKUP(A125,[1]!Table1[#All],22,FALSE)</f>
        <v>COUNCIL FOR SCIENTIFIC &amp; INDUSTRIAL RESEARCH</v>
      </c>
      <c r="H125" s="8">
        <f>VLOOKUP(A125,[1]!Table1[#All],32,FALSE)</f>
        <v>42643</v>
      </c>
      <c r="I125" s="8">
        <f>VLOOKUP(A125,[1]!Table1[#All],33,FALSE)</f>
        <v>44833</v>
      </c>
      <c r="J125" t="str">
        <f t="shared" ca="1" si="1"/>
        <v>UDO</v>
      </c>
    </row>
    <row r="126" spans="1:10" x14ac:dyDescent="0.35">
      <c r="A126" s="5" t="s">
        <v>7</v>
      </c>
      <c r="B126" s="6">
        <v>44621</v>
      </c>
      <c r="C126" s="7">
        <v>1628724</v>
      </c>
      <c r="D126" s="7">
        <v>1265515.1200000001</v>
      </c>
      <c r="E126" s="7">
        <v>363208.88</v>
      </c>
      <c r="F126" t="str">
        <f>VLOOKUP(A126,[1]!Table1[#All],17,FALSE)</f>
        <v>SOUTH AFRICA</v>
      </c>
      <c r="G126" t="str">
        <f>VLOOKUP(A126,[1]!Table1[#All],22,FALSE)</f>
        <v>COUNCIL FOR SCIENTIFIC &amp; INDUSTRIAL RESEARCH</v>
      </c>
      <c r="H126" s="8">
        <f>VLOOKUP(A126,[1]!Table1[#All],32,FALSE)</f>
        <v>42643</v>
      </c>
      <c r="I126" s="8">
        <f>VLOOKUP(A126,[1]!Table1[#All],33,FALSE)</f>
        <v>44833</v>
      </c>
      <c r="J126" t="str">
        <f t="shared" ca="1" si="1"/>
        <v>UDO</v>
      </c>
    </row>
    <row r="127" spans="1:10" x14ac:dyDescent="0.35">
      <c r="A127" s="9" t="s">
        <v>7</v>
      </c>
      <c r="B127" s="10">
        <v>44652</v>
      </c>
      <c r="C127" s="11">
        <v>1628724</v>
      </c>
      <c r="D127" s="11">
        <v>1358148.63</v>
      </c>
      <c r="E127" s="11">
        <v>270575.37</v>
      </c>
      <c r="F127" t="str">
        <f>VLOOKUP(A127,[1]!Table1[#All],17,FALSE)</f>
        <v>SOUTH AFRICA</v>
      </c>
      <c r="G127" t="str">
        <f>VLOOKUP(A127,[1]!Table1[#All],22,FALSE)</f>
        <v>COUNCIL FOR SCIENTIFIC &amp; INDUSTRIAL RESEARCH</v>
      </c>
      <c r="H127" s="8">
        <f>VLOOKUP(A127,[1]!Table1[#All],32,FALSE)</f>
        <v>42643</v>
      </c>
      <c r="I127" s="8">
        <f>VLOOKUP(A127,[1]!Table1[#All],33,FALSE)</f>
        <v>44833</v>
      </c>
      <c r="J127" t="str">
        <f t="shared" ca="1" si="1"/>
        <v>UDO</v>
      </c>
    </row>
    <row r="128" spans="1:10" x14ac:dyDescent="0.35">
      <c r="A128" s="5" t="s">
        <v>7</v>
      </c>
      <c r="B128" s="6">
        <v>44682</v>
      </c>
      <c r="C128" s="7">
        <v>1628724</v>
      </c>
      <c r="D128" s="7">
        <v>1366201.62</v>
      </c>
      <c r="E128" s="7">
        <v>262522.38</v>
      </c>
      <c r="F128" t="str">
        <f>VLOOKUP(A128,[1]!Table1[#All],17,FALSE)</f>
        <v>SOUTH AFRICA</v>
      </c>
      <c r="G128" t="str">
        <f>VLOOKUP(A128,[1]!Table1[#All],22,FALSE)</f>
        <v>COUNCIL FOR SCIENTIFIC &amp; INDUSTRIAL RESEARCH</v>
      </c>
      <c r="H128" s="8">
        <f>VLOOKUP(A128,[1]!Table1[#All],32,FALSE)</f>
        <v>42643</v>
      </c>
      <c r="I128" s="8">
        <f>VLOOKUP(A128,[1]!Table1[#All],33,FALSE)</f>
        <v>44833</v>
      </c>
      <c r="J128" t="str">
        <f t="shared" ca="1" si="1"/>
        <v>UDO</v>
      </c>
    </row>
    <row r="129" spans="1:10" x14ac:dyDescent="0.35">
      <c r="A129" s="9" t="s">
        <v>7</v>
      </c>
      <c r="B129" s="10">
        <v>44713</v>
      </c>
      <c r="C129" s="11">
        <v>1628724</v>
      </c>
      <c r="D129" s="11">
        <v>1388945.56</v>
      </c>
      <c r="E129" s="11">
        <v>239778.44</v>
      </c>
      <c r="F129" t="str">
        <f>VLOOKUP(A129,[1]!Table1[#All],17,FALSE)</f>
        <v>SOUTH AFRICA</v>
      </c>
      <c r="G129" t="str">
        <f>VLOOKUP(A129,[1]!Table1[#All],22,FALSE)</f>
        <v>COUNCIL FOR SCIENTIFIC &amp; INDUSTRIAL RESEARCH</v>
      </c>
      <c r="H129" s="8">
        <f>VLOOKUP(A129,[1]!Table1[#All],32,FALSE)</f>
        <v>42643</v>
      </c>
      <c r="I129" s="8">
        <f>VLOOKUP(A129,[1]!Table1[#All],33,FALSE)</f>
        <v>44833</v>
      </c>
      <c r="J129" t="str">
        <f t="shared" ca="1" si="1"/>
        <v>UDO</v>
      </c>
    </row>
    <row r="130" spans="1:10" x14ac:dyDescent="0.35">
      <c r="A130" s="5" t="s">
        <v>7</v>
      </c>
      <c r="B130" s="6">
        <v>44743</v>
      </c>
      <c r="C130" s="7">
        <v>1628724</v>
      </c>
      <c r="D130" s="7">
        <v>1443582.3599999999</v>
      </c>
      <c r="E130" s="7">
        <v>185141.63999999998</v>
      </c>
      <c r="F130" t="str">
        <f>VLOOKUP(A130,[1]!Table1[#All],17,FALSE)</f>
        <v>SOUTH AFRICA</v>
      </c>
      <c r="G130" t="str">
        <f>VLOOKUP(A130,[1]!Table1[#All],22,FALSE)</f>
        <v>COUNCIL FOR SCIENTIFIC &amp; INDUSTRIAL RESEARCH</v>
      </c>
      <c r="H130" s="8">
        <f>VLOOKUP(A130,[1]!Table1[#All],32,FALSE)</f>
        <v>42643</v>
      </c>
      <c r="I130" s="8">
        <f>VLOOKUP(A130,[1]!Table1[#All],33,FALSE)</f>
        <v>44833</v>
      </c>
      <c r="J130" t="str">
        <f t="shared" ca="1" si="1"/>
        <v>UDO</v>
      </c>
    </row>
    <row r="131" spans="1:10" x14ac:dyDescent="0.35">
      <c r="A131" s="9" t="s">
        <v>7</v>
      </c>
      <c r="B131" s="10">
        <v>44774</v>
      </c>
      <c r="C131" s="11">
        <v>1628724</v>
      </c>
      <c r="D131" s="11">
        <v>1469638.51</v>
      </c>
      <c r="E131" s="11">
        <v>159085.49</v>
      </c>
      <c r="F131" t="str">
        <f>VLOOKUP(A131,[1]!Table1[#All],17,FALSE)</f>
        <v>SOUTH AFRICA</v>
      </c>
      <c r="G131" t="str">
        <f>VLOOKUP(A131,[1]!Table1[#All],22,FALSE)</f>
        <v>COUNCIL FOR SCIENTIFIC &amp; INDUSTRIAL RESEARCH</v>
      </c>
      <c r="H131" s="8">
        <f>VLOOKUP(A131,[1]!Table1[#All],32,FALSE)</f>
        <v>42643</v>
      </c>
      <c r="I131" s="8">
        <f>VLOOKUP(A131,[1]!Table1[#All],33,FALSE)</f>
        <v>44833</v>
      </c>
      <c r="J131" t="str">
        <f t="shared" ref="J131:J194" ca="1" si="2">IF(AND( E131&gt;0,TODAY()&gt;I131),"UDO","Non UDO")</f>
        <v>UDO</v>
      </c>
    </row>
    <row r="132" spans="1:10" x14ac:dyDescent="0.35">
      <c r="A132" s="5" t="s">
        <v>7</v>
      </c>
      <c r="B132" s="6">
        <v>44805</v>
      </c>
      <c r="C132" s="7">
        <v>1628724</v>
      </c>
      <c r="D132" s="7">
        <v>1500013.88</v>
      </c>
      <c r="E132" s="7">
        <v>128710.12</v>
      </c>
      <c r="F132" t="str">
        <f>VLOOKUP(A132,[1]!Table1[#All],17,FALSE)</f>
        <v>SOUTH AFRICA</v>
      </c>
      <c r="G132" t="str">
        <f>VLOOKUP(A132,[1]!Table1[#All],22,FALSE)</f>
        <v>COUNCIL FOR SCIENTIFIC &amp; INDUSTRIAL RESEARCH</v>
      </c>
      <c r="H132" s="8">
        <f>VLOOKUP(A132,[1]!Table1[#All],32,FALSE)</f>
        <v>42643</v>
      </c>
      <c r="I132" s="8">
        <f>VLOOKUP(A132,[1]!Table1[#All],33,FALSE)</f>
        <v>44833</v>
      </c>
      <c r="J132" t="str">
        <f t="shared" ca="1" si="2"/>
        <v>UDO</v>
      </c>
    </row>
    <row r="133" spans="1:10" x14ac:dyDescent="0.35">
      <c r="A133" s="9" t="s">
        <v>7</v>
      </c>
      <c r="B133" s="10">
        <v>44835</v>
      </c>
      <c r="C133" s="11">
        <v>1628724</v>
      </c>
      <c r="D133" s="11">
        <v>1574960.26</v>
      </c>
      <c r="E133" s="11">
        <v>53763.74</v>
      </c>
      <c r="F133" t="str">
        <f>VLOOKUP(A133,[1]!Table1[#All],17,FALSE)</f>
        <v>SOUTH AFRICA</v>
      </c>
      <c r="G133" t="str">
        <f>VLOOKUP(A133,[1]!Table1[#All],22,FALSE)</f>
        <v>COUNCIL FOR SCIENTIFIC &amp; INDUSTRIAL RESEARCH</v>
      </c>
      <c r="H133" s="8">
        <f>VLOOKUP(A133,[1]!Table1[#All],32,FALSE)</f>
        <v>42643</v>
      </c>
      <c r="I133" s="8">
        <f>VLOOKUP(A133,[1]!Table1[#All],33,FALSE)</f>
        <v>44833</v>
      </c>
      <c r="J133" t="str">
        <f t="shared" ca="1" si="2"/>
        <v>UDO</v>
      </c>
    </row>
    <row r="134" spans="1:10" x14ac:dyDescent="0.35">
      <c r="A134" s="5" t="s">
        <v>7</v>
      </c>
      <c r="B134" s="6">
        <v>44866</v>
      </c>
      <c r="C134" s="7">
        <v>1628724</v>
      </c>
      <c r="D134" s="7">
        <v>1574960.26</v>
      </c>
      <c r="E134" s="7">
        <v>53763.74</v>
      </c>
      <c r="F134" t="str">
        <f>VLOOKUP(A134,[1]!Table1[#All],17,FALSE)</f>
        <v>SOUTH AFRICA</v>
      </c>
      <c r="G134" t="str">
        <f>VLOOKUP(A134,[1]!Table1[#All],22,FALSE)</f>
        <v>COUNCIL FOR SCIENTIFIC &amp; INDUSTRIAL RESEARCH</v>
      </c>
      <c r="H134" s="8">
        <f>VLOOKUP(A134,[1]!Table1[#All],32,FALSE)</f>
        <v>42643</v>
      </c>
      <c r="I134" s="8">
        <f>VLOOKUP(A134,[1]!Table1[#All],33,FALSE)</f>
        <v>44833</v>
      </c>
      <c r="J134" t="str">
        <f t="shared" ca="1" si="2"/>
        <v>UDO</v>
      </c>
    </row>
    <row r="135" spans="1:10" x14ac:dyDescent="0.35">
      <c r="A135" s="9" t="s">
        <v>7</v>
      </c>
      <c r="B135" s="10">
        <v>44896</v>
      </c>
      <c r="C135" s="11">
        <v>1628724</v>
      </c>
      <c r="D135" s="11">
        <v>1574960.26</v>
      </c>
      <c r="E135" s="11">
        <v>53763.74</v>
      </c>
      <c r="F135" t="str">
        <f>VLOOKUP(A135,[1]!Table1[#All],17,FALSE)</f>
        <v>SOUTH AFRICA</v>
      </c>
      <c r="G135" t="str">
        <f>VLOOKUP(A135,[1]!Table1[#All],22,FALSE)</f>
        <v>COUNCIL FOR SCIENTIFIC &amp; INDUSTRIAL RESEARCH</v>
      </c>
      <c r="H135" s="8">
        <f>VLOOKUP(A135,[1]!Table1[#All],32,FALSE)</f>
        <v>42643</v>
      </c>
      <c r="I135" s="8">
        <f>VLOOKUP(A135,[1]!Table1[#All],33,FALSE)</f>
        <v>44833</v>
      </c>
      <c r="J135" t="str">
        <f t="shared" ca="1" si="2"/>
        <v>UDO</v>
      </c>
    </row>
    <row r="136" spans="1:10" x14ac:dyDescent="0.35">
      <c r="A136" s="5" t="s">
        <v>7</v>
      </c>
      <c r="B136" s="6">
        <v>44927</v>
      </c>
      <c r="C136" s="7">
        <v>1628724</v>
      </c>
      <c r="D136" s="7">
        <v>1574960.26</v>
      </c>
      <c r="E136" s="7">
        <v>53763.74</v>
      </c>
      <c r="F136" t="str">
        <f>VLOOKUP(A136,[1]!Table1[#All],17,FALSE)</f>
        <v>SOUTH AFRICA</v>
      </c>
      <c r="G136" t="str">
        <f>VLOOKUP(A136,[1]!Table1[#All],22,FALSE)</f>
        <v>COUNCIL FOR SCIENTIFIC &amp; INDUSTRIAL RESEARCH</v>
      </c>
      <c r="H136" s="8">
        <f>VLOOKUP(A136,[1]!Table1[#All],32,FALSE)</f>
        <v>42643</v>
      </c>
      <c r="I136" s="8">
        <f>VLOOKUP(A136,[1]!Table1[#All],33,FALSE)</f>
        <v>44833</v>
      </c>
      <c r="J136" t="str">
        <f t="shared" ca="1" si="2"/>
        <v>UDO</v>
      </c>
    </row>
    <row r="137" spans="1:10" x14ac:dyDescent="0.35">
      <c r="A137" s="9" t="s">
        <v>7</v>
      </c>
      <c r="B137" s="10">
        <v>44958</v>
      </c>
      <c r="C137" s="11">
        <v>1628724</v>
      </c>
      <c r="D137" s="11">
        <v>1574960.26</v>
      </c>
      <c r="E137" s="11">
        <v>53763.74</v>
      </c>
      <c r="F137" t="str">
        <f>VLOOKUP(A137,[1]!Table1[#All],17,FALSE)</f>
        <v>SOUTH AFRICA</v>
      </c>
      <c r="G137" t="str">
        <f>VLOOKUP(A137,[1]!Table1[#All],22,FALSE)</f>
        <v>COUNCIL FOR SCIENTIFIC &amp; INDUSTRIAL RESEARCH</v>
      </c>
      <c r="H137" s="8">
        <f>VLOOKUP(A137,[1]!Table1[#All],32,FALSE)</f>
        <v>42643</v>
      </c>
      <c r="I137" s="8">
        <f>VLOOKUP(A137,[1]!Table1[#All],33,FALSE)</f>
        <v>44833</v>
      </c>
      <c r="J137" t="str">
        <f t="shared" ca="1" si="2"/>
        <v>UDO</v>
      </c>
    </row>
    <row r="138" spans="1:10" x14ac:dyDescent="0.35">
      <c r="A138" s="5" t="s">
        <v>7</v>
      </c>
      <c r="B138" s="6">
        <v>44986</v>
      </c>
      <c r="C138" s="7">
        <v>1628724</v>
      </c>
      <c r="D138" s="7">
        <v>1574960.26</v>
      </c>
      <c r="E138" s="7">
        <v>53763.74</v>
      </c>
      <c r="F138" t="str">
        <f>VLOOKUP(A138,[1]!Table1[#All],17,FALSE)</f>
        <v>SOUTH AFRICA</v>
      </c>
      <c r="G138" t="str">
        <f>VLOOKUP(A138,[1]!Table1[#All],22,FALSE)</f>
        <v>COUNCIL FOR SCIENTIFIC &amp; INDUSTRIAL RESEARCH</v>
      </c>
      <c r="H138" s="8">
        <f>VLOOKUP(A138,[1]!Table1[#All],32,FALSE)</f>
        <v>42643</v>
      </c>
      <c r="I138" s="8">
        <f>VLOOKUP(A138,[1]!Table1[#All],33,FALSE)</f>
        <v>44833</v>
      </c>
      <c r="J138" t="str">
        <f t="shared" ca="1" si="2"/>
        <v>UDO</v>
      </c>
    </row>
    <row r="139" spans="1:10" x14ac:dyDescent="0.35">
      <c r="A139" s="9" t="s">
        <v>7</v>
      </c>
      <c r="B139" s="10">
        <v>45017</v>
      </c>
      <c r="C139" s="11">
        <v>1628724</v>
      </c>
      <c r="D139" s="11">
        <v>1574960.26</v>
      </c>
      <c r="E139" s="11">
        <v>53763.74</v>
      </c>
      <c r="F139" t="str">
        <f>VLOOKUP(A139,[1]!Table1[#All],17,FALSE)</f>
        <v>SOUTH AFRICA</v>
      </c>
      <c r="G139" t="str">
        <f>VLOOKUP(A139,[1]!Table1[#All],22,FALSE)</f>
        <v>COUNCIL FOR SCIENTIFIC &amp; INDUSTRIAL RESEARCH</v>
      </c>
      <c r="H139" s="8">
        <f>VLOOKUP(A139,[1]!Table1[#All],32,FALSE)</f>
        <v>42643</v>
      </c>
      <c r="I139" s="8">
        <f>VLOOKUP(A139,[1]!Table1[#All],33,FALSE)</f>
        <v>44833</v>
      </c>
      <c r="J139" t="str">
        <f t="shared" ca="1" si="2"/>
        <v>UDO</v>
      </c>
    </row>
    <row r="140" spans="1:10" x14ac:dyDescent="0.35">
      <c r="A140" s="5" t="s">
        <v>7</v>
      </c>
      <c r="B140" s="6">
        <v>45047</v>
      </c>
      <c r="C140" s="7">
        <v>1628724</v>
      </c>
      <c r="D140" s="7">
        <v>1574960.26</v>
      </c>
      <c r="E140" s="7">
        <v>53763.74</v>
      </c>
      <c r="F140" t="str">
        <f>VLOOKUP(A140,[1]!Table1[#All],17,FALSE)</f>
        <v>SOUTH AFRICA</v>
      </c>
      <c r="G140" t="str">
        <f>VLOOKUP(A140,[1]!Table1[#All],22,FALSE)</f>
        <v>COUNCIL FOR SCIENTIFIC &amp; INDUSTRIAL RESEARCH</v>
      </c>
      <c r="H140" s="8">
        <f>VLOOKUP(A140,[1]!Table1[#All],32,FALSE)</f>
        <v>42643</v>
      </c>
      <c r="I140" s="8">
        <f>VLOOKUP(A140,[1]!Table1[#All],33,FALSE)</f>
        <v>44833</v>
      </c>
      <c r="J140" t="str">
        <f t="shared" ca="1" si="2"/>
        <v>UDO</v>
      </c>
    </row>
    <row r="141" spans="1:10" x14ac:dyDescent="0.35">
      <c r="A141" s="9" t="s">
        <v>7</v>
      </c>
      <c r="B141" s="10">
        <v>45078</v>
      </c>
      <c r="C141" s="11">
        <v>1628724</v>
      </c>
      <c r="D141" s="11">
        <v>1574960.26</v>
      </c>
      <c r="E141" s="11">
        <v>53763.74</v>
      </c>
      <c r="F141" t="str">
        <f>VLOOKUP(A141,[1]!Table1[#All],17,FALSE)</f>
        <v>SOUTH AFRICA</v>
      </c>
      <c r="G141" t="str">
        <f>VLOOKUP(A141,[1]!Table1[#All],22,FALSE)</f>
        <v>COUNCIL FOR SCIENTIFIC &amp; INDUSTRIAL RESEARCH</v>
      </c>
      <c r="H141" s="8">
        <f>VLOOKUP(A141,[1]!Table1[#All],32,FALSE)</f>
        <v>42643</v>
      </c>
      <c r="I141" s="8">
        <f>VLOOKUP(A141,[1]!Table1[#All],33,FALSE)</f>
        <v>44833</v>
      </c>
      <c r="J141" t="str">
        <f t="shared" ca="1" si="2"/>
        <v>UDO</v>
      </c>
    </row>
    <row r="142" spans="1:10" x14ac:dyDescent="0.35">
      <c r="A142" s="5" t="s">
        <v>7</v>
      </c>
      <c r="B142" s="6">
        <v>45108</v>
      </c>
      <c r="C142" s="7">
        <v>1628724</v>
      </c>
      <c r="D142" s="7">
        <v>1574960.26</v>
      </c>
      <c r="E142" s="7">
        <v>53763.74</v>
      </c>
      <c r="F142" t="str">
        <f>VLOOKUP(A142,[1]!Table1[#All],17,FALSE)</f>
        <v>SOUTH AFRICA</v>
      </c>
      <c r="G142" t="str">
        <f>VLOOKUP(A142,[1]!Table1[#All],22,FALSE)</f>
        <v>COUNCIL FOR SCIENTIFIC &amp; INDUSTRIAL RESEARCH</v>
      </c>
      <c r="H142" s="8">
        <f>VLOOKUP(A142,[1]!Table1[#All],32,FALSE)</f>
        <v>42643</v>
      </c>
      <c r="I142" s="8">
        <f>VLOOKUP(A142,[1]!Table1[#All],33,FALSE)</f>
        <v>44833</v>
      </c>
      <c r="J142" t="str">
        <f t="shared" ca="1" si="2"/>
        <v>UDO</v>
      </c>
    </row>
    <row r="143" spans="1:10" x14ac:dyDescent="0.35">
      <c r="A143" s="9" t="s">
        <v>7</v>
      </c>
      <c r="B143" s="10">
        <v>45139</v>
      </c>
      <c r="C143" s="11">
        <v>1628724</v>
      </c>
      <c r="D143" s="11">
        <v>1574960.26</v>
      </c>
      <c r="E143" s="11">
        <v>53763.74</v>
      </c>
      <c r="F143" t="str">
        <f>VLOOKUP(A143,[1]!Table1[#All],17,FALSE)</f>
        <v>SOUTH AFRICA</v>
      </c>
      <c r="G143" t="str">
        <f>VLOOKUP(A143,[1]!Table1[#All],22,FALSE)</f>
        <v>COUNCIL FOR SCIENTIFIC &amp; INDUSTRIAL RESEARCH</v>
      </c>
      <c r="H143" s="8">
        <f>VLOOKUP(A143,[1]!Table1[#All],32,FALSE)</f>
        <v>42643</v>
      </c>
      <c r="I143" s="8">
        <f>VLOOKUP(A143,[1]!Table1[#All],33,FALSE)</f>
        <v>44833</v>
      </c>
      <c r="J143" t="str">
        <f t="shared" ca="1" si="2"/>
        <v>UDO</v>
      </c>
    </row>
    <row r="144" spans="1:10" x14ac:dyDescent="0.35">
      <c r="A144" s="5" t="s">
        <v>7</v>
      </c>
      <c r="B144" s="6">
        <v>45170</v>
      </c>
      <c r="C144" s="7">
        <v>1628724</v>
      </c>
      <c r="D144" s="7">
        <v>1574960.26</v>
      </c>
      <c r="E144" s="7">
        <v>53763.74</v>
      </c>
      <c r="F144" t="str">
        <f>VLOOKUP(A144,[1]!Table1[#All],17,FALSE)</f>
        <v>SOUTH AFRICA</v>
      </c>
      <c r="G144" t="str">
        <f>VLOOKUP(A144,[1]!Table1[#All],22,FALSE)</f>
        <v>COUNCIL FOR SCIENTIFIC &amp; INDUSTRIAL RESEARCH</v>
      </c>
      <c r="H144" s="8">
        <f>VLOOKUP(A144,[1]!Table1[#All],32,FALSE)</f>
        <v>42643</v>
      </c>
      <c r="I144" s="8">
        <f>VLOOKUP(A144,[1]!Table1[#All],33,FALSE)</f>
        <v>44833</v>
      </c>
      <c r="J144" t="str">
        <f t="shared" ca="1" si="2"/>
        <v>UDO</v>
      </c>
    </row>
    <row r="145" spans="1:10" x14ac:dyDescent="0.35">
      <c r="A145" s="9" t="s">
        <v>8</v>
      </c>
      <c r="B145" s="10">
        <v>44317</v>
      </c>
      <c r="C145" s="11">
        <v>350000</v>
      </c>
      <c r="D145" s="11">
        <v>0</v>
      </c>
      <c r="E145" s="11">
        <v>350000</v>
      </c>
      <c r="F145" t="str">
        <f>VLOOKUP(A145,[1]!Table1[#All],17,FALSE)</f>
        <v>SOUTH AFRICA</v>
      </c>
      <c r="G145" t="str">
        <f>VLOOKUP(A145,[1]!Table1[#All],22,FALSE)</f>
        <v>COUNCIL FOR SCIENTIFIC &amp; INDUSTRIAL RESEARCH</v>
      </c>
      <c r="H145" s="8">
        <f>VLOOKUP(A145,[1]!Table1[#All],32,FALSE)</f>
        <v>42643</v>
      </c>
      <c r="I145" s="8">
        <f>VLOOKUP(A145,[1]!Table1[#All],33,FALSE)</f>
        <v>44833</v>
      </c>
      <c r="J145" t="str">
        <f t="shared" ca="1" si="2"/>
        <v>UDO</v>
      </c>
    </row>
    <row r="146" spans="1:10" x14ac:dyDescent="0.35">
      <c r="A146" s="5" t="s">
        <v>8</v>
      </c>
      <c r="B146" s="6">
        <v>44348</v>
      </c>
      <c r="C146" s="7">
        <v>350000</v>
      </c>
      <c r="D146" s="7">
        <v>0</v>
      </c>
      <c r="E146" s="7">
        <v>350000</v>
      </c>
      <c r="F146" t="str">
        <f>VLOOKUP(A146,[1]!Table1[#All],17,FALSE)</f>
        <v>SOUTH AFRICA</v>
      </c>
      <c r="G146" t="str">
        <f>VLOOKUP(A146,[1]!Table1[#All],22,FALSE)</f>
        <v>COUNCIL FOR SCIENTIFIC &amp; INDUSTRIAL RESEARCH</v>
      </c>
      <c r="H146" s="8">
        <f>VLOOKUP(A146,[1]!Table1[#All],32,FALSE)</f>
        <v>42643</v>
      </c>
      <c r="I146" s="8">
        <f>VLOOKUP(A146,[1]!Table1[#All],33,FALSE)</f>
        <v>44833</v>
      </c>
      <c r="J146" t="str">
        <f t="shared" ca="1" si="2"/>
        <v>UDO</v>
      </c>
    </row>
    <row r="147" spans="1:10" x14ac:dyDescent="0.35">
      <c r="A147" s="9" t="s">
        <v>8</v>
      </c>
      <c r="B147" s="10">
        <v>44378</v>
      </c>
      <c r="C147" s="11">
        <v>350000</v>
      </c>
      <c r="D147" s="11">
        <v>0</v>
      </c>
      <c r="E147" s="11">
        <v>350000</v>
      </c>
      <c r="F147" t="str">
        <f>VLOOKUP(A147,[1]!Table1[#All],17,FALSE)</f>
        <v>SOUTH AFRICA</v>
      </c>
      <c r="G147" t="str">
        <f>VLOOKUP(A147,[1]!Table1[#All],22,FALSE)</f>
        <v>COUNCIL FOR SCIENTIFIC &amp; INDUSTRIAL RESEARCH</v>
      </c>
      <c r="H147" s="8">
        <f>VLOOKUP(A147,[1]!Table1[#All],32,FALSE)</f>
        <v>42643</v>
      </c>
      <c r="I147" s="8">
        <f>VLOOKUP(A147,[1]!Table1[#All],33,FALSE)</f>
        <v>44833</v>
      </c>
      <c r="J147" t="str">
        <f t="shared" ca="1" si="2"/>
        <v>UDO</v>
      </c>
    </row>
    <row r="148" spans="1:10" x14ac:dyDescent="0.35">
      <c r="A148" s="5" t="s">
        <v>8</v>
      </c>
      <c r="B148" s="6">
        <v>44409</v>
      </c>
      <c r="C148" s="7">
        <v>350000</v>
      </c>
      <c r="D148" s="7">
        <v>0</v>
      </c>
      <c r="E148" s="7">
        <v>350000</v>
      </c>
      <c r="F148" t="str">
        <f>VLOOKUP(A148,[1]!Table1[#All],17,FALSE)</f>
        <v>SOUTH AFRICA</v>
      </c>
      <c r="G148" t="str">
        <f>VLOOKUP(A148,[1]!Table1[#All],22,FALSE)</f>
        <v>COUNCIL FOR SCIENTIFIC &amp; INDUSTRIAL RESEARCH</v>
      </c>
      <c r="H148" s="8">
        <f>VLOOKUP(A148,[1]!Table1[#All],32,FALSE)</f>
        <v>42643</v>
      </c>
      <c r="I148" s="8">
        <f>VLOOKUP(A148,[1]!Table1[#All],33,FALSE)</f>
        <v>44833</v>
      </c>
      <c r="J148" t="str">
        <f t="shared" ca="1" si="2"/>
        <v>UDO</v>
      </c>
    </row>
    <row r="149" spans="1:10" x14ac:dyDescent="0.35">
      <c r="A149" s="9" t="s">
        <v>8</v>
      </c>
      <c r="B149" s="10">
        <v>44440</v>
      </c>
      <c r="C149" s="11">
        <v>350000</v>
      </c>
      <c r="D149" s="11">
        <v>0</v>
      </c>
      <c r="E149" s="11">
        <v>350000</v>
      </c>
      <c r="F149" t="str">
        <f>VLOOKUP(A149,[1]!Table1[#All],17,FALSE)</f>
        <v>SOUTH AFRICA</v>
      </c>
      <c r="G149" t="str">
        <f>VLOOKUP(A149,[1]!Table1[#All],22,FALSE)</f>
        <v>COUNCIL FOR SCIENTIFIC &amp; INDUSTRIAL RESEARCH</v>
      </c>
      <c r="H149" s="8">
        <f>VLOOKUP(A149,[1]!Table1[#All],32,FALSE)</f>
        <v>42643</v>
      </c>
      <c r="I149" s="8">
        <f>VLOOKUP(A149,[1]!Table1[#All],33,FALSE)</f>
        <v>44833</v>
      </c>
      <c r="J149" t="str">
        <f t="shared" ca="1" si="2"/>
        <v>UDO</v>
      </c>
    </row>
    <row r="150" spans="1:10" x14ac:dyDescent="0.35">
      <c r="A150" s="5" t="s">
        <v>8</v>
      </c>
      <c r="B150" s="6">
        <v>44470</v>
      </c>
      <c r="C150" s="7">
        <v>350000</v>
      </c>
      <c r="D150" s="7">
        <v>0</v>
      </c>
      <c r="E150" s="7">
        <v>350000</v>
      </c>
      <c r="F150" t="str">
        <f>VLOOKUP(A150,[1]!Table1[#All],17,FALSE)</f>
        <v>SOUTH AFRICA</v>
      </c>
      <c r="G150" t="str">
        <f>VLOOKUP(A150,[1]!Table1[#All],22,FALSE)</f>
        <v>COUNCIL FOR SCIENTIFIC &amp; INDUSTRIAL RESEARCH</v>
      </c>
      <c r="H150" s="8">
        <f>VLOOKUP(A150,[1]!Table1[#All],32,FALSE)</f>
        <v>42643</v>
      </c>
      <c r="I150" s="8">
        <f>VLOOKUP(A150,[1]!Table1[#All],33,FALSE)</f>
        <v>44833</v>
      </c>
      <c r="J150" t="str">
        <f t="shared" ca="1" si="2"/>
        <v>UDO</v>
      </c>
    </row>
    <row r="151" spans="1:10" x14ac:dyDescent="0.35">
      <c r="A151" s="9" t="s">
        <v>8</v>
      </c>
      <c r="B151" s="10">
        <v>44501</v>
      </c>
      <c r="C151" s="11">
        <v>350000</v>
      </c>
      <c r="D151" s="11">
        <v>0</v>
      </c>
      <c r="E151" s="11">
        <v>350000</v>
      </c>
      <c r="F151" t="str">
        <f>VLOOKUP(A151,[1]!Table1[#All],17,FALSE)</f>
        <v>SOUTH AFRICA</v>
      </c>
      <c r="G151" t="str">
        <f>VLOOKUP(A151,[1]!Table1[#All],22,FALSE)</f>
        <v>COUNCIL FOR SCIENTIFIC &amp; INDUSTRIAL RESEARCH</v>
      </c>
      <c r="H151" s="8">
        <f>VLOOKUP(A151,[1]!Table1[#All],32,FALSE)</f>
        <v>42643</v>
      </c>
      <c r="I151" s="8">
        <f>VLOOKUP(A151,[1]!Table1[#All],33,FALSE)</f>
        <v>44833</v>
      </c>
      <c r="J151" t="str">
        <f t="shared" ca="1" si="2"/>
        <v>UDO</v>
      </c>
    </row>
    <row r="152" spans="1:10" x14ac:dyDescent="0.35">
      <c r="A152" s="5" t="s">
        <v>8</v>
      </c>
      <c r="B152" s="6">
        <v>44531</v>
      </c>
      <c r="C152" s="7">
        <v>350000</v>
      </c>
      <c r="D152" s="7">
        <v>24159.21</v>
      </c>
      <c r="E152" s="7">
        <v>325840.78999999998</v>
      </c>
      <c r="F152" t="str">
        <f>VLOOKUP(A152,[1]!Table1[#All],17,FALSE)</f>
        <v>SOUTH AFRICA</v>
      </c>
      <c r="G152" t="str">
        <f>VLOOKUP(A152,[1]!Table1[#All],22,FALSE)</f>
        <v>COUNCIL FOR SCIENTIFIC &amp; INDUSTRIAL RESEARCH</v>
      </c>
      <c r="H152" s="8">
        <f>VLOOKUP(A152,[1]!Table1[#All],32,FALSE)</f>
        <v>42643</v>
      </c>
      <c r="I152" s="8">
        <f>VLOOKUP(A152,[1]!Table1[#All],33,FALSE)</f>
        <v>44833</v>
      </c>
      <c r="J152" t="str">
        <f t="shared" ca="1" si="2"/>
        <v>UDO</v>
      </c>
    </row>
    <row r="153" spans="1:10" x14ac:dyDescent="0.35">
      <c r="A153" s="9" t="s">
        <v>8</v>
      </c>
      <c r="B153" s="10">
        <v>44562</v>
      </c>
      <c r="C153" s="11">
        <v>350000</v>
      </c>
      <c r="D153" s="11">
        <v>24159.21</v>
      </c>
      <c r="E153" s="11">
        <v>325840.78999999998</v>
      </c>
      <c r="F153" t="str">
        <f>VLOOKUP(A153,[1]!Table1[#All],17,FALSE)</f>
        <v>SOUTH AFRICA</v>
      </c>
      <c r="G153" t="str">
        <f>VLOOKUP(A153,[1]!Table1[#All],22,FALSE)</f>
        <v>COUNCIL FOR SCIENTIFIC &amp; INDUSTRIAL RESEARCH</v>
      </c>
      <c r="H153" s="8">
        <f>VLOOKUP(A153,[1]!Table1[#All],32,FALSE)</f>
        <v>42643</v>
      </c>
      <c r="I153" s="8">
        <f>VLOOKUP(A153,[1]!Table1[#All],33,FALSE)</f>
        <v>44833</v>
      </c>
      <c r="J153" t="str">
        <f t="shared" ca="1" si="2"/>
        <v>UDO</v>
      </c>
    </row>
    <row r="154" spans="1:10" x14ac:dyDescent="0.35">
      <c r="A154" s="5" t="s">
        <v>8</v>
      </c>
      <c r="B154" s="6">
        <v>44593</v>
      </c>
      <c r="C154" s="7">
        <v>350000</v>
      </c>
      <c r="D154" s="7">
        <v>24159.21</v>
      </c>
      <c r="E154" s="7">
        <v>325840.78999999998</v>
      </c>
      <c r="F154" t="str">
        <f>VLOOKUP(A154,[1]!Table1[#All],17,FALSE)</f>
        <v>SOUTH AFRICA</v>
      </c>
      <c r="G154" t="str">
        <f>VLOOKUP(A154,[1]!Table1[#All],22,FALSE)</f>
        <v>COUNCIL FOR SCIENTIFIC &amp; INDUSTRIAL RESEARCH</v>
      </c>
      <c r="H154" s="8">
        <f>VLOOKUP(A154,[1]!Table1[#All],32,FALSE)</f>
        <v>42643</v>
      </c>
      <c r="I154" s="8">
        <f>VLOOKUP(A154,[1]!Table1[#All],33,FALSE)</f>
        <v>44833</v>
      </c>
      <c r="J154" t="str">
        <f t="shared" ca="1" si="2"/>
        <v>UDO</v>
      </c>
    </row>
    <row r="155" spans="1:10" x14ac:dyDescent="0.35">
      <c r="A155" s="9" t="s">
        <v>8</v>
      </c>
      <c r="B155" s="10">
        <v>44621</v>
      </c>
      <c r="C155" s="11">
        <v>350000</v>
      </c>
      <c r="D155" s="11">
        <v>34080.800000000003</v>
      </c>
      <c r="E155" s="11">
        <v>315919.2</v>
      </c>
      <c r="F155" t="str">
        <f>VLOOKUP(A155,[1]!Table1[#All],17,FALSE)</f>
        <v>SOUTH AFRICA</v>
      </c>
      <c r="G155" t="str">
        <f>VLOOKUP(A155,[1]!Table1[#All],22,FALSE)</f>
        <v>COUNCIL FOR SCIENTIFIC &amp; INDUSTRIAL RESEARCH</v>
      </c>
      <c r="H155" s="8">
        <f>VLOOKUP(A155,[1]!Table1[#All],32,FALSE)</f>
        <v>42643</v>
      </c>
      <c r="I155" s="8">
        <f>VLOOKUP(A155,[1]!Table1[#All],33,FALSE)</f>
        <v>44833</v>
      </c>
      <c r="J155" t="str">
        <f t="shared" ca="1" si="2"/>
        <v>UDO</v>
      </c>
    </row>
    <row r="156" spans="1:10" x14ac:dyDescent="0.35">
      <c r="A156" s="5" t="s">
        <v>8</v>
      </c>
      <c r="B156" s="6">
        <v>44652</v>
      </c>
      <c r="C156" s="7">
        <v>350000</v>
      </c>
      <c r="D156" s="7">
        <v>57056.25</v>
      </c>
      <c r="E156" s="7">
        <v>292943.75</v>
      </c>
      <c r="F156" t="str">
        <f>VLOOKUP(A156,[1]!Table1[#All],17,FALSE)</f>
        <v>SOUTH AFRICA</v>
      </c>
      <c r="G156" t="str">
        <f>VLOOKUP(A156,[1]!Table1[#All],22,FALSE)</f>
        <v>COUNCIL FOR SCIENTIFIC &amp; INDUSTRIAL RESEARCH</v>
      </c>
      <c r="H156" s="8">
        <f>VLOOKUP(A156,[1]!Table1[#All],32,FALSE)</f>
        <v>42643</v>
      </c>
      <c r="I156" s="8">
        <f>VLOOKUP(A156,[1]!Table1[#All],33,FALSE)</f>
        <v>44833</v>
      </c>
      <c r="J156" t="str">
        <f t="shared" ca="1" si="2"/>
        <v>UDO</v>
      </c>
    </row>
    <row r="157" spans="1:10" x14ac:dyDescent="0.35">
      <c r="A157" s="9" t="s">
        <v>8</v>
      </c>
      <c r="B157" s="10">
        <v>44682</v>
      </c>
      <c r="C157" s="11">
        <v>350000</v>
      </c>
      <c r="D157" s="11">
        <v>66371.37</v>
      </c>
      <c r="E157" s="11">
        <v>283628.63</v>
      </c>
      <c r="F157" t="str">
        <f>VLOOKUP(A157,[1]!Table1[#All],17,FALSE)</f>
        <v>SOUTH AFRICA</v>
      </c>
      <c r="G157" t="str">
        <f>VLOOKUP(A157,[1]!Table1[#All],22,FALSE)</f>
        <v>COUNCIL FOR SCIENTIFIC &amp; INDUSTRIAL RESEARCH</v>
      </c>
      <c r="H157" s="8">
        <f>VLOOKUP(A157,[1]!Table1[#All],32,FALSE)</f>
        <v>42643</v>
      </c>
      <c r="I157" s="8">
        <f>VLOOKUP(A157,[1]!Table1[#All],33,FALSE)</f>
        <v>44833</v>
      </c>
      <c r="J157" t="str">
        <f t="shared" ca="1" si="2"/>
        <v>UDO</v>
      </c>
    </row>
    <row r="158" spans="1:10" x14ac:dyDescent="0.35">
      <c r="A158" s="5" t="s">
        <v>8</v>
      </c>
      <c r="B158" s="6">
        <v>44713</v>
      </c>
      <c r="C158" s="7">
        <v>350000</v>
      </c>
      <c r="D158" s="7">
        <v>77915.66</v>
      </c>
      <c r="E158" s="7">
        <v>272084.34000000003</v>
      </c>
      <c r="F158" t="str">
        <f>VLOOKUP(A158,[1]!Table1[#All],17,FALSE)</f>
        <v>SOUTH AFRICA</v>
      </c>
      <c r="G158" t="str">
        <f>VLOOKUP(A158,[1]!Table1[#All],22,FALSE)</f>
        <v>COUNCIL FOR SCIENTIFIC &amp; INDUSTRIAL RESEARCH</v>
      </c>
      <c r="H158" s="8">
        <f>VLOOKUP(A158,[1]!Table1[#All],32,FALSE)</f>
        <v>42643</v>
      </c>
      <c r="I158" s="8">
        <f>VLOOKUP(A158,[1]!Table1[#All],33,FALSE)</f>
        <v>44833</v>
      </c>
      <c r="J158" t="str">
        <f t="shared" ca="1" si="2"/>
        <v>UDO</v>
      </c>
    </row>
    <row r="159" spans="1:10" x14ac:dyDescent="0.35">
      <c r="A159" s="9" t="s">
        <v>8</v>
      </c>
      <c r="B159" s="10">
        <v>44743</v>
      </c>
      <c r="C159" s="11">
        <v>350000</v>
      </c>
      <c r="D159" s="11">
        <v>92494.35</v>
      </c>
      <c r="E159" s="11">
        <v>257505.65</v>
      </c>
      <c r="F159" t="str">
        <f>VLOOKUP(A159,[1]!Table1[#All],17,FALSE)</f>
        <v>SOUTH AFRICA</v>
      </c>
      <c r="G159" t="str">
        <f>VLOOKUP(A159,[1]!Table1[#All],22,FALSE)</f>
        <v>COUNCIL FOR SCIENTIFIC &amp; INDUSTRIAL RESEARCH</v>
      </c>
      <c r="H159" s="8">
        <f>VLOOKUP(A159,[1]!Table1[#All],32,FALSE)</f>
        <v>42643</v>
      </c>
      <c r="I159" s="8">
        <f>VLOOKUP(A159,[1]!Table1[#All],33,FALSE)</f>
        <v>44833</v>
      </c>
      <c r="J159" t="str">
        <f t="shared" ca="1" si="2"/>
        <v>UDO</v>
      </c>
    </row>
    <row r="160" spans="1:10" x14ac:dyDescent="0.35">
      <c r="A160" s="5" t="s">
        <v>8</v>
      </c>
      <c r="B160" s="6">
        <v>44774</v>
      </c>
      <c r="C160" s="7">
        <v>350000</v>
      </c>
      <c r="D160" s="7">
        <v>107169.32</v>
      </c>
      <c r="E160" s="7">
        <v>242830.68</v>
      </c>
      <c r="F160" t="str">
        <f>VLOOKUP(A160,[1]!Table1[#All],17,FALSE)</f>
        <v>SOUTH AFRICA</v>
      </c>
      <c r="G160" t="str">
        <f>VLOOKUP(A160,[1]!Table1[#All],22,FALSE)</f>
        <v>COUNCIL FOR SCIENTIFIC &amp; INDUSTRIAL RESEARCH</v>
      </c>
      <c r="H160" s="8">
        <f>VLOOKUP(A160,[1]!Table1[#All],32,FALSE)</f>
        <v>42643</v>
      </c>
      <c r="I160" s="8">
        <f>VLOOKUP(A160,[1]!Table1[#All],33,FALSE)</f>
        <v>44833</v>
      </c>
      <c r="J160" t="str">
        <f t="shared" ca="1" si="2"/>
        <v>UDO</v>
      </c>
    </row>
    <row r="161" spans="1:10" x14ac:dyDescent="0.35">
      <c r="A161" s="9" t="s">
        <v>8</v>
      </c>
      <c r="B161" s="10">
        <v>44805</v>
      </c>
      <c r="C161" s="11">
        <v>350000</v>
      </c>
      <c r="D161" s="11">
        <v>123210.32</v>
      </c>
      <c r="E161" s="11">
        <v>226789.68</v>
      </c>
      <c r="F161" t="str">
        <f>VLOOKUP(A161,[1]!Table1[#All],17,FALSE)</f>
        <v>SOUTH AFRICA</v>
      </c>
      <c r="G161" t="str">
        <f>VLOOKUP(A161,[1]!Table1[#All],22,FALSE)</f>
        <v>COUNCIL FOR SCIENTIFIC &amp; INDUSTRIAL RESEARCH</v>
      </c>
      <c r="H161" s="8">
        <f>VLOOKUP(A161,[1]!Table1[#All],32,FALSE)</f>
        <v>42643</v>
      </c>
      <c r="I161" s="8">
        <f>VLOOKUP(A161,[1]!Table1[#All],33,FALSE)</f>
        <v>44833</v>
      </c>
      <c r="J161" t="str">
        <f t="shared" ca="1" si="2"/>
        <v>UDO</v>
      </c>
    </row>
    <row r="162" spans="1:10" x14ac:dyDescent="0.35">
      <c r="A162" s="5" t="s">
        <v>8</v>
      </c>
      <c r="B162" s="6">
        <v>44835</v>
      </c>
      <c r="C162" s="7">
        <v>350000</v>
      </c>
      <c r="D162" s="7">
        <v>158585.5</v>
      </c>
      <c r="E162" s="7">
        <v>191414.5</v>
      </c>
      <c r="F162" t="str">
        <f>VLOOKUP(A162,[1]!Table1[#All],17,FALSE)</f>
        <v>SOUTH AFRICA</v>
      </c>
      <c r="G162" t="str">
        <f>VLOOKUP(A162,[1]!Table1[#All],22,FALSE)</f>
        <v>COUNCIL FOR SCIENTIFIC &amp; INDUSTRIAL RESEARCH</v>
      </c>
      <c r="H162" s="8">
        <f>VLOOKUP(A162,[1]!Table1[#All],32,FALSE)</f>
        <v>42643</v>
      </c>
      <c r="I162" s="8">
        <f>VLOOKUP(A162,[1]!Table1[#All],33,FALSE)</f>
        <v>44833</v>
      </c>
      <c r="J162" t="str">
        <f t="shared" ca="1" si="2"/>
        <v>UDO</v>
      </c>
    </row>
    <row r="163" spans="1:10" x14ac:dyDescent="0.35">
      <c r="A163" s="9" t="s">
        <v>8</v>
      </c>
      <c r="B163" s="10">
        <v>44866</v>
      </c>
      <c r="C163" s="11">
        <v>350000</v>
      </c>
      <c r="D163" s="11">
        <v>187739.11</v>
      </c>
      <c r="E163" s="11">
        <v>162260.89000000001</v>
      </c>
      <c r="F163" t="str">
        <f>VLOOKUP(A163,[1]!Table1[#All],17,FALSE)</f>
        <v>SOUTH AFRICA</v>
      </c>
      <c r="G163" t="str">
        <f>VLOOKUP(A163,[1]!Table1[#All],22,FALSE)</f>
        <v>COUNCIL FOR SCIENTIFIC &amp; INDUSTRIAL RESEARCH</v>
      </c>
      <c r="H163" s="8">
        <f>VLOOKUP(A163,[1]!Table1[#All],32,FALSE)</f>
        <v>42643</v>
      </c>
      <c r="I163" s="8">
        <f>VLOOKUP(A163,[1]!Table1[#All],33,FALSE)</f>
        <v>44833</v>
      </c>
      <c r="J163" t="str">
        <f t="shared" ca="1" si="2"/>
        <v>UDO</v>
      </c>
    </row>
    <row r="164" spans="1:10" x14ac:dyDescent="0.35">
      <c r="A164" s="5" t="s">
        <v>8</v>
      </c>
      <c r="B164" s="6">
        <v>44896</v>
      </c>
      <c r="C164" s="7">
        <v>350000</v>
      </c>
      <c r="D164" s="7">
        <v>203031.01</v>
      </c>
      <c r="E164" s="7">
        <v>146968.99</v>
      </c>
      <c r="F164" t="str">
        <f>VLOOKUP(A164,[1]!Table1[#All],17,FALSE)</f>
        <v>SOUTH AFRICA</v>
      </c>
      <c r="G164" t="str">
        <f>VLOOKUP(A164,[1]!Table1[#All],22,FALSE)</f>
        <v>COUNCIL FOR SCIENTIFIC &amp; INDUSTRIAL RESEARCH</v>
      </c>
      <c r="H164" s="8">
        <f>VLOOKUP(A164,[1]!Table1[#All],32,FALSE)</f>
        <v>42643</v>
      </c>
      <c r="I164" s="8">
        <f>VLOOKUP(A164,[1]!Table1[#All],33,FALSE)</f>
        <v>44833</v>
      </c>
      <c r="J164" t="str">
        <f t="shared" ca="1" si="2"/>
        <v>UDO</v>
      </c>
    </row>
    <row r="165" spans="1:10" x14ac:dyDescent="0.35">
      <c r="A165" s="9" t="s">
        <v>8</v>
      </c>
      <c r="B165" s="10">
        <v>44927</v>
      </c>
      <c r="C165" s="11">
        <v>350000</v>
      </c>
      <c r="D165" s="11">
        <v>203031.01</v>
      </c>
      <c r="E165" s="11">
        <v>146968.99</v>
      </c>
      <c r="F165" t="str">
        <f>VLOOKUP(A165,[1]!Table1[#All],17,FALSE)</f>
        <v>SOUTH AFRICA</v>
      </c>
      <c r="G165" t="str">
        <f>VLOOKUP(A165,[1]!Table1[#All],22,FALSE)</f>
        <v>COUNCIL FOR SCIENTIFIC &amp; INDUSTRIAL RESEARCH</v>
      </c>
      <c r="H165" s="8">
        <f>VLOOKUP(A165,[1]!Table1[#All],32,FALSE)</f>
        <v>42643</v>
      </c>
      <c r="I165" s="8">
        <f>VLOOKUP(A165,[1]!Table1[#All],33,FALSE)</f>
        <v>44833</v>
      </c>
      <c r="J165" t="str">
        <f t="shared" ca="1" si="2"/>
        <v>UDO</v>
      </c>
    </row>
    <row r="166" spans="1:10" x14ac:dyDescent="0.35">
      <c r="A166" s="5" t="s">
        <v>8</v>
      </c>
      <c r="B166" s="6">
        <v>44958</v>
      </c>
      <c r="C166" s="7">
        <v>350000</v>
      </c>
      <c r="D166" s="7">
        <v>203031.01</v>
      </c>
      <c r="E166" s="7">
        <v>146968.99</v>
      </c>
      <c r="F166" t="str">
        <f>VLOOKUP(A166,[1]!Table1[#All],17,FALSE)</f>
        <v>SOUTH AFRICA</v>
      </c>
      <c r="G166" t="str">
        <f>VLOOKUP(A166,[1]!Table1[#All],22,FALSE)</f>
        <v>COUNCIL FOR SCIENTIFIC &amp; INDUSTRIAL RESEARCH</v>
      </c>
      <c r="H166" s="8">
        <f>VLOOKUP(A166,[1]!Table1[#All],32,FALSE)</f>
        <v>42643</v>
      </c>
      <c r="I166" s="8">
        <f>VLOOKUP(A166,[1]!Table1[#All],33,FALSE)</f>
        <v>44833</v>
      </c>
      <c r="J166" t="str">
        <f t="shared" ca="1" si="2"/>
        <v>UDO</v>
      </c>
    </row>
    <row r="167" spans="1:10" x14ac:dyDescent="0.35">
      <c r="A167" s="9" t="s">
        <v>8</v>
      </c>
      <c r="B167" s="10">
        <v>44986</v>
      </c>
      <c r="C167" s="11">
        <v>350000</v>
      </c>
      <c r="D167" s="11">
        <v>231082.42</v>
      </c>
      <c r="E167" s="11">
        <v>118917.58</v>
      </c>
      <c r="F167" t="str">
        <f>VLOOKUP(A167,[1]!Table1[#All],17,FALSE)</f>
        <v>SOUTH AFRICA</v>
      </c>
      <c r="G167" t="str">
        <f>VLOOKUP(A167,[1]!Table1[#All],22,FALSE)</f>
        <v>COUNCIL FOR SCIENTIFIC &amp; INDUSTRIAL RESEARCH</v>
      </c>
      <c r="H167" s="8">
        <f>VLOOKUP(A167,[1]!Table1[#All],32,FALSE)</f>
        <v>42643</v>
      </c>
      <c r="I167" s="8">
        <f>VLOOKUP(A167,[1]!Table1[#All],33,FALSE)</f>
        <v>44833</v>
      </c>
      <c r="J167" t="str">
        <f t="shared" ca="1" si="2"/>
        <v>UDO</v>
      </c>
    </row>
    <row r="168" spans="1:10" x14ac:dyDescent="0.35">
      <c r="A168" s="5" t="s">
        <v>8</v>
      </c>
      <c r="B168" s="6">
        <v>45017</v>
      </c>
      <c r="C168" s="7">
        <v>350000</v>
      </c>
      <c r="D168" s="7">
        <v>245881.95</v>
      </c>
      <c r="E168" s="7">
        <v>104118.05</v>
      </c>
      <c r="F168" t="str">
        <f>VLOOKUP(A168,[1]!Table1[#All],17,FALSE)</f>
        <v>SOUTH AFRICA</v>
      </c>
      <c r="G168" t="str">
        <f>VLOOKUP(A168,[1]!Table1[#All],22,FALSE)</f>
        <v>COUNCIL FOR SCIENTIFIC &amp; INDUSTRIAL RESEARCH</v>
      </c>
      <c r="H168" s="8">
        <f>VLOOKUP(A168,[1]!Table1[#All],32,FALSE)</f>
        <v>42643</v>
      </c>
      <c r="I168" s="8">
        <f>VLOOKUP(A168,[1]!Table1[#All],33,FALSE)</f>
        <v>44833</v>
      </c>
      <c r="J168" t="str">
        <f t="shared" ca="1" si="2"/>
        <v>UDO</v>
      </c>
    </row>
    <row r="169" spans="1:10" x14ac:dyDescent="0.35">
      <c r="A169" s="9" t="s">
        <v>8</v>
      </c>
      <c r="B169" s="10">
        <v>45047</v>
      </c>
      <c r="C169" s="11">
        <v>350000</v>
      </c>
      <c r="D169" s="11">
        <v>256555.6</v>
      </c>
      <c r="E169" s="11">
        <v>93444.4</v>
      </c>
      <c r="F169" t="str">
        <f>VLOOKUP(A169,[1]!Table1[#All],17,FALSE)</f>
        <v>SOUTH AFRICA</v>
      </c>
      <c r="G169" t="str">
        <f>VLOOKUP(A169,[1]!Table1[#All],22,FALSE)</f>
        <v>COUNCIL FOR SCIENTIFIC &amp; INDUSTRIAL RESEARCH</v>
      </c>
      <c r="H169" s="8">
        <f>VLOOKUP(A169,[1]!Table1[#All],32,FALSE)</f>
        <v>42643</v>
      </c>
      <c r="I169" s="8">
        <f>VLOOKUP(A169,[1]!Table1[#All],33,FALSE)</f>
        <v>44833</v>
      </c>
      <c r="J169" t="str">
        <f t="shared" ca="1" si="2"/>
        <v>UDO</v>
      </c>
    </row>
    <row r="170" spans="1:10" x14ac:dyDescent="0.35">
      <c r="A170" s="5" t="s">
        <v>8</v>
      </c>
      <c r="B170" s="6">
        <v>45078</v>
      </c>
      <c r="C170" s="7">
        <v>350000</v>
      </c>
      <c r="D170" s="7">
        <v>265787.32</v>
      </c>
      <c r="E170" s="7">
        <v>84212.68</v>
      </c>
      <c r="F170" t="str">
        <f>VLOOKUP(A170,[1]!Table1[#All],17,FALSE)</f>
        <v>SOUTH AFRICA</v>
      </c>
      <c r="G170" t="str">
        <f>VLOOKUP(A170,[1]!Table1[#All],22,FALSE)</f>
        <v>COUNCIL FOR SCIENTIFIC &amp; INDUSTRIAL RESEARCH</v>
      </c>
      <c r="H170" s="8">
        <f>VLOOKUP(A170,[1]!Table1[#All],32,FALSE)</f>
        <v>42643</v>
      </c>
      <c r="I170" s="8">
        <f>VLOOKUP(A170,[1]!Table1[#All],33,FALSE)</f>
        <v>44833</v>
      </c>
      <c r="J170" t="str">
        <f t="shared" ca="1" si="2"/>
        <v>UDO</v>
      </c>
    </row>
    <row r="171" spans="1:10" x14ac:dyDescent="0.35">
      <c r="A171" s="9" t="s">
        <v>8</v>
      </c>
      <c r="B171" s="10">
        <v>45108</v>
      </c>
      <c r="C171" s="11">
        <v>350000</v>
      </c>
      <c r="D171" s="11">
        <v>278621.28999999998</v>
      </c>
      <c r="E171" s="11">
        <v>71378.710000000006</v>
      </c>
      <c r="F171" t="str">
        <f>VLOOKUP(A171,[1]!Table1[#All],17,FALSE)</f>
        <v>SOUTH AFRICA</v>
      </c>
      <c r="G171" t="str">
        <f>VLOOKUP(A171,[1]!Table1[#All],22,FALSE)</f>
        <v>COUNCIL FOR SCIENTIFIC &amp; INDUSTRIAL RESEARCH</v>
      </c>
      <c r="H171" s="8">
        <f>VLOOKUP(A171,[1]!Table1[#All],32,FALSE)</f>
        <v>42643</v>
      </c>
      <c r="I171" s="8">
        <f>VLOOKUP(A171,[1]!Table1[#All],33,FALSE)</f>
        <v>44833</v>
      </c>
      <c r="J171" t="str">
        <f t="shared" ca="1" si="2"/>
        <v>UDO</v>
      </c>
    </row>
    <row r="172" spans="1:10" x14ac:dyDescent="0.35">
      <c r="A172" s="5" t="s">
        <v>8</v>
      </c>
      <c r="B172" s="6">
        <v>45139</v>
      </c>
      <c r="C172" s="7">
        <v>350000</v>
      </c>
      <c r="D172" s="7">
        <v>290441.67</v>
      </c>
      <c r="E172" s="7">
        <v>59558.33</v>
      </c>
      <c r="F172" t="str">
        <f>VLOOKUP(A172,[1]!Table1[#All],17,FALSE)</f>
        <v>SOUTH AFRICA</v>
      </c>
      <c r="G172" t="str">
        <f>VLOOKUP(A172,[1]!Table1[#All],22,FALSE)</f>
        <v>COUNCIL FOR SCIENTIFIC &amp; INDUSTRIAL RESEARCH</v>
      </c>
      <c r="H172" s="8">
        <f>VLOOKUP(A172,[1]!Table1[#All],32,FALSE)</f>
        <v>42643</v>
      </c>
      <c r="I172" s="8">
        <f>VLOOKUP(A172,[1]!Table1[#All],33,FALSE)</f>
        <v>44833</v>
      </c>
      <c r="J172" t="str">
        <f t="shared" ca="1" si="2"/>
        <v>UDO</v>
      </c>
    </row>
    <row r="173" spans="1:10" x14ac:dyDescent="0.35">
      <c r="A173" s="9" t="s">
        <v>8</v>
      </c>
      <c r="B173" s="10">
        <v>45170</v>
      </c>
      <c r="C173" s="11">
        <v>350000</v>
      </c>
      <c r="D173" s="11">
        <v>350000</v>
      </c>
      <c r="E173" s="11">
        <v>0</v>
      </c>
      <c r="F173" t="str">
        <f>VLOOKUP(A173,[1]!Table1[#All],17,FALSE)</f>
        <v>SOUTH AFRICA</v>
      </c>
      <c r="G173" t="str">
        <f>VLOOKUP(A173,[1]!Table1[#All],22,FALSE)</f>
        <v>COUNCIL FOR SCIENTIFIC &amp; INDUSTRIAL RESEARCH</v>
      </c>
      <c r="H173" s="8">
        <f>VLOOKUP(A173,[1]!Table1[#All],32,FALSE)</f>
        <v>42643</v>
      </c>
      <c r="I173" s="8">
        <f>VLOOKUP(A173,[1]!Table1[#All],33,FALSE)</f>
        <v>44833</v>
      </c>
      <c r="J173" t="str">
        <f t="shared" ca="1" si="2"/>
        <v>Non UDO</v>
      </c>
    </row>
    <row r="174" spans="1:10" x14ac:dyDescent="0.35">
      <c r="A174" s="5" t="s">
        <v>9</v>
      </c>
      <c r="B174" s="6">
        <v>44105</v>
      </c>
      <c r="C174" s="7">
        <v>7441845</v>
      </c>
      <c r="D174" s="7">
        <v>2417905.92</v>
      </c>
      <c r="E174" s="7">
        <v>5023939.08</v>
      </c>
      <c r="F174" t="str">
        <f>VLOOKUP(A174,[1]!Table1[#All],17,FALSE)</f>
        <v>UNITED STATES</v>
      </c>
      <c r="G174" t="str">
        <f>VLOOKUP(A174,[1]!Table1[#All],22,FALSE)</f>
        <v>UNIVERSITY OF MARYLAND BALTIMORE PROFESSIONAL SCHO</v>
      </c>
      <c r="H174" s="8">
        <f>VLOOKUP(A174,[1]!Table1[#All],32,FALSE)</f>
        <v>42643</v>
      </c>
      <c r="I174" s="8">
        <f>VLOOKUP(A174,[1]!Table1[#All],33,FALSE)</f>
        <v>44468</v>
      </c>
      <c r="J174" t="str">
        <f t="shared" ca="1" si="2"/>
        <v>UDO</v>
      </c>
    </row>
    <row r="175" spans="1:10" x14ac:dyDescent="0.35">
      <c r="A175" s="9" t="s">
        <v>9</v>
      </c>
      <c r="B175" s="10">
        <v>44136</v>
      </c>
      <c r="C175" s="11">
        <v>7441845</v>
      </c>
      <c r="D175" s="11">
        <v>2500057.2000000002</v>
      </c>
      <c r="E175" s="11">
        <v>4941787.8</v>
      </c>
      <c r="F175" t="str">
        <f>VLOOKUP(A175,[1]!Table1[#All],17,FALSE)</f>
        <v>UNITED STATES</v>
      </c>
      <c r="G175" t="str">
        <f>VLOOKUP(A175,[1]!Table1[#All],22,FALSE)</f>
        <v>UNIVERSITY OF MARYLAND BALTIMORE PROFESSIONAL SCHO</v>
      </c>
      <c r="H175" s="8">
        <f>VLOOKUP(A175,[1]!Table1[#All],32,FALSE)</f>
        <v>42643</v>
      </c>
      <c r="I175" s="8">
        <f>VLOOKUP(A175,[1]!Table1[#All],33,FALSE)</f>
        <v>44468</v>
      </c>
      <c r="J175" t="str">
        <f t="shared" ca="1" si="2"/>
        <v>UDO</v>
      </c>
    </row>
    <row r="176" spans="1:10" x14ac:dyDescent="0.35">
      <c r="A176" s="5" t="s">
        <v>9</v>
      </c>
      <c r="B176" s="6">
        <v>44166</v>
      </c>
      <c r="C176" s="7">
        <v>7441845</v>
      </c>
      <c r="D176" s="7">
        <v>3247236.39</v>
      </c>
      <c r="E176" s="7">
        <v>4194608.6100000003</v>
      </c>
      <c r="F176" t="str">
        <f>VLOOKUP(A176,[1]!Table1[#All],17,FALSE)</f>
        <v>UNITED STATES</v>
      </c>
      <c r="G176" t="str">
        <f>VLOOKUP(A176,[1]!Table1[#All],22,FALSE)</f>
        <v>UNIVERSITY OF MARYLAND BALTIMORE PROFESSIONAL SCHO</v>
      </c>
      <c r="H176" s="8">
        <f>VLOOKUP(A176,[1]!Table1[#All],32,FALSE)</f>
        <v>42643</v>
      </c>
      <c r="I176" s="8">
        <f>VLOOKUP(A176,[1]!Table1[#All],33,FALSE)</f>
        <v>44468</v>
      </c>
      <c r="J176" t="str">
        <f t="shared" ca="1" si="2"/>
        <v>UDO</v>
      </c>
    </row>
    <row r="177" spans="1:10" x14ac:dyDescent="0.35">
      <c r="A177" s="9" t="s">
        <v>9</v>
      </c>
      <c r="B177" s="10">
        <v>44197</v>
      </c>
      <c r="C177" s="11">
        <v>7441845</v>
      </c>
      <c r="D177" s="11">
        <v>4892763.22</v>
      </c>
      <c r="E177" s="11">
        <v>2549081.7800000003</v>
      </c>
      <c r="F177" t="str">
        <f>VLOOKUP(A177,[1]!Table1[#All],17,FALSE)</f>
        <v>UNITED STATES</v>
      </c>
      <c r="G177" t="str">
        <f>VLOOKUP(A177,[1]!Table1[#All],22,FALSE)</f>
        <v>UNIVERSITY OF MARYLAND BALTIMORE PROFESSIONAL SCHO</v>
      </c>
      <c r="H177" s="8">
        <f>VLOOKUP(A177,[1]!Table1[#All],32,FALSE)</f>
        <v>42643</v>
      </c>
      <c r="I177" s="8">
        <f>VLOOKUP(A177,[1]!Table1[#All],33,FALSE)</f>
        <v>44468</v>
      </c>
      <c r="J177" t="str">
        <f t="shared" ca="1" si="2"/>
        <v>UDO</v>
      </c>
    </row>
    <row r="178" spans="1:10" x14ac:dyDescent="0.35">
      <c r="A178" s="5" t="s">
        <v>9</v>
      </c>
      <c r="B178" s="6">
        <v>44228</v>
      </c>
      <c r="C178" s="7">
        <v>7441845</v>
      </c>
      <c r="D178" s="7">
        <v>5178354.72</v>
      </c>
      <c r="E178" s="7">
        <v>2263490.2799999998</v>
      </c>
      <c r="F178" t="str">
        <f>VLOOKUP(A178,[1]!Table1[#All],17,FALSE)</f>
        <v>UNITED STATES</v>
      </c>
      <c r="G178" t="str">
        <f>VLOOKUP(A178,[1]!Table1[#All],22,FALSE)</f>
        <v>UNIVERSITY OF MARYLAND BALTIMORE PROFESSIONAL SCHO</v>
      </c>
      <c r="H178" s="8">
        <f>VLOOKUP(A178,[1]!Table1[#All],32,FALSE)</f>
        <v>42643</v>
      </c>
      <c r="I178" s="8">
        <f>VLOOKUP(A178,[1]!Table1[#All],33,FALSE)</f>
        <v>44468</v>
      </c>
      <c r="J178" t="str">
        <f t="shared" ca="1" si="2"/>
        <v>UDO</v>
      </c>
    </row>
    <row r="179" spans="1:10" x14ac:dyDescent="0.35">
      <c r="A179" s="9" t="s">
        <v>9</v>
      </c>
      <c r="B179" s="10">
        <v>44256</v>
      </c>
      <c r="C179" s="11">
        <v>7441845</v>
      </c>
      <c r="D179" s="11">
        <v>5580078.8300000001</v>
      </c>
      <c r="E179" s="11">
        <v>1861766.17</v>
      </c>
      <c r="F179" t="str">
        <f>VLOOKUP(A179,[1]!Table1[#All],17,FALSE)</f>
        <v>UNITED STATES</v>
      </c>
      <c r="G179" t="str">
        <f>VLOOKUP(A179,[1]!Table1[#All],22,FALSE)</f>
        <v>UNIVERSITY OF MARYLAND BALTIMORE PROFESSIONAL SCHO</v>
      </c>
      <c r="H179" s="8">
        <f>VLOOKUP(A179,[1]!Table1[#All],32,FALSE)</f>
        <v>42643</v>
      </c>
      <c r="I179" s="8">
        <f>VLOOKUP(A179,[1]!Table1[#All],33,FALSE)</f>
        <v>44468</v>
      </c>
      <c r="J179" t="str">
        <f t="shared" ca="1" si="2"/>
        <v>UDO</v>
      </c>
    </row>
    <row r="180" spans="1:10" x14ac:dyDescent="0.35">
      <c r="A180" s="5" t="s">
        <v>9</v>
      </c>
      <c r="B180" s="6">
        <v>44287</v>
      </c>
      <c r="C180" s="7">
        <v>2100000</v>
      </c>
      <c r="D180" s="7">
        <v>1935343.35</v>
      </c>
      <c r="E180" s="7">
        <v>164656.65</v>
      </c>
      <c r="F180" t="str">
        <f>VLOOKUP(A180,[1]!Table1[#All],17,FALSE)</f>
        <v>UNITED STATES</v>
      </c>
      <c r="G180" t="str">
        <f>VLOOKUP(A180,[1]!Table1[#All],22,FALSE)</f>
        <v>UNIVERSITY OF MARYLAND BALTIMORE PROFESSIONAL SCHO</v>
      </c>
      <c r="H180" s="8">
        <f>VLOOKUP(A180,[1]!Table1[#All],32,FALSE)</f>
        <v>42643</v>
      </c>
      <c r="I180" s="8">
        <f>VLOOKUP(A180,[1]!Table1[#All],33,FALSE)</f>
        <v>44468</v>
      </c>
      <c r="J180" t="str">
        <f t="shared" ca="1" si="2"/>
        <v>UDO</v>
      </c>
    </row>
    <row r="181" spans="1:10" x14ac:dyDescent="0.35">
      <c r="A181" s="9" t="s">
        <v>9</v>
      </c>
      <c r="B181" s="10">
        <v>44317</v>
      </c>
      <c r="C181" s="11">
        <v>7441845</v>
      </c>
      <c r="D181" s="11">
        <v>6264461.6400000006</v>
      </c>
      <c r="E181" s="11">
        <v>1177383.3600000001</v>
      </c>
      <c r="F181" t="str">
        <f>VLOOKUP(A181,[1]!Table1[#All],17,FALSE)</f>
        <v>UNITED STATES</v>
      </c>
      <c r="G181" t="str">
        <f>VLOOKUP(A181,[1]!Table1[#All],22,FALSE)</f>
        <v>UNIVERSITY OF MARYLAND BALTIMORE PROFESSIONAL SCHO</v>
      </c>
      <c r="H181" s="8">
        <f>VLOOKUP(A181,[1]!Table1[#All],32,FALSE)</f>
        <v>42643</v>
      </c>
      <c r="I181" s="8">
        <f>VLOOKUP(A181,[1]!Table1[#All],33,FALSE)</f>
        <v>44468</v>
      </c>
      <c r="J181" t="str">
        <f t="shared" ca="1" si="2"/>
        <v>UDO</v>
      </c>
    </row>
    <row r="182" spans="1:10" x14ac:dyDescent="0.35">
      <c r="A182" s="5" t="s">
        <v>9</v>
      </c>
      <c r="B182" s="6">
        <v>44348</v>
      </c>
      <c r="C182" s="7">
        <v>7441845</v>
      </c>
      <c r="D182" s="7">
        <v>6627801.2199999997</v>
      </c>
      <c r="E182" s="7">
        <v>814043.78</v>
      </c>
      <c r="F182" t="str">
        <f>VLOOKUP(A182,[1]!Table1[#All],17,FALSE)</f>
        <v>UNITED STATES</v>
      </c>
      <c r="G182" t="str">
        <f>VLOOKUP(A182,[1]!Table1[#All],22,FALSE)</f>
        <v>UNIVERSITY OF MARYLAND BALTIMORE PROFESSIONAL SCHO</v>
      </c>
      <c r="H182" s="8">
        <f>VLOOKUP(A182,[1]!Table1[#All],32,FALSE)</f>
        <v>42643</v>
      </c>
      <c r="I182" s="8">
        <f>VLOOKUP(A182,[1]!Table1[#All],33,FALSE)</f>
        <v>44468</v>
      </c>
      <c r="J182" t="str">
        <f t="shared" ca="1" si="2"/>
        <v>UDO</v>
      </c>
    </row>
    <row r="183" spans="1:10" x14ac:dyDescent="0.35">
      <c r="A183" s="9" t="s">
        <v>9</v>
      </c>
      <c r="B183" s="10">
        <v>44378</v>
      </c>
      <c r="C183" s="11">
        <v>7441845</v>
      </c>
      <c r="D183" s="11">
        <v>6992731.3600000003</v>
      </c>
      <c r="E183" s="11">
        <v>449113.64</v>
      </c>
      <c r="F183" t="str">
        <f>VLOOKUP(A183,[1]!Table1[#All],17,FALSE)</f>
        <v>UNITED STATES</v>
      </c>
      <c r="G183" t="str">
        <f>VLOOKUP(A183,[1]!Table1[#All],22,FALSE)</f>
        <v>UNIVERSITY OF MARYLAND BALTIMORE PROFESSIONAL SCHO</v>
      </c>
      <c r="H183" s="8">
        <f>VLOOKUP(A183,[1]!Table1[#All],32,FALSE)</f>
        <v>42643</v>
      </c>
      <c r="I183" s="8">
        <f>VLOOKUP(A183,[1]!Table1[#All],33,FALSE)</f>
        <v>44468</v>
      </c>
      <c r="J183" t="str">
        <f t="shared" ca="1" si="2"/>
        <v>UDO</v>
      </c>
    </row>
    <row r="184" spans="1:10" x14ac:dyDescent="0.35">
      <c r="A184" s="5" t="s">
        <v>9</v>
      </c>
      <c r="B184" s="6">
        <v>44409</v>
      </c>
      <c r="C184" s="7">
        <v>7441845</v>
      </c>
      <c r="D184" s="7">
        <v>7314977.5</v>
      </c>
      <c r="E184" s="7">
        <v>126867.5</v>
      </c>
      <c r="F184" t="str">
        <f>VLOOKUP(A184,[1]!Table1[#All],17,FALSE)</f>
        <v>UNITED STATES</v>
      </c>
      <c r="G184" t="str">
        <f>VLOOKUP(A184,[1]!Table1[#All],22,FALSE)</f>
        <v>UNIVERSITY OF MARYLAND BALTIMORE PROFESSIONAL SCHO</v>
      </c>
      <c r="H184" s="8">
        <f>VLOOKUP(A184,[1]!Table1[#All],32,FALSE)</f>
        <v>42643</v>
      </c>
      <c r="I184" s="8">
        <f>VLOOKUP(A184,[1]!Table1[#All],33,FALSE)</f>
        <v>44468</v>
      </c>
      <c r="J184" t="str">
        <f t="shared" ca="1" si="2"/>
        <v>UDO</v>
      </c>
    </row>
    <row r="185" spans="1:10" x14ac:dyDescent="0.35">
      <c r="A185" s="9" t="s">
        <v>9</v>
      </c>
      <c r="B185" s="10">
        <v>44440</v>
      </c>
      <c r="C185" s="11">
        <v>7441845</v>
      </c>
      <c r="D185" s="11">
        <v>7441845</v>
      </c>
      <c r="E185" s="11">
        <v>0</v>
      </c>
      <c r="F185" t="str">
        <f>VLOOKUP(A185,[1]!Table1[#All],17,FALSE)</f>
        <v>UNITED STATES</v>
      </c>
      <c r="G185" t="str">
        <f>VLOOKUP(A185,[1]!Table1[#All],22,FALSE)</f>
        <v>UNIVERSITY OF MARYLAND BALTIMORE PROFESSIONAL SCHO</v>
      </c>
      <c r="H185" s="8">
        <f>VLOOKUP(A185,[1]!Table1[#All],32,FALSE)</f>
        <v>42643</v>
      </c>
      <c r="I185" s="8">
        <f>VLOOKUP(A185,[1]!Table1[#All],33,FALSE)</f>
        <v>44468</v>
      </c>
      <c r="J185" t="str">
        <f t="shared" ca="1" si="2"/>
        <v>Non UDO</v>
      </c>
    </row>
    <row r="186" spans="1:10" x14ac:dyDescent="0.35">
      <c r="A186" s="5" t="s">
        <v>9</v>
      </c>
      <c r="B186" s="6">
        <v>44470</v>
      </c>
      <c r="C186" s="7">
        <v>7441845</v>
      </c>
      <c r="D186" s="7">
        <v>7441845</v>
      </c>
      <c r="E186" s="7">
        <v>0</v>
      </c>
      <c r="F186" t="str">
        <f>VLOOKUP(A186,[1]!Table1[#All],17,FALSE)</f>
        <v>UNITED STATES</v>
      </c>
      <c r="G186" t="str">
        <f>VLOOKUP(A186,[1]!Table1[#All],22,FALSE)</f>
        <v>UNIVERSITY OF MARYLAND BALTIMORE PROFESSIONAL SCHO</v>
      </c>
      <c r="H186" s="8">
        <f>VLOOKUP(A186,[1]!Table1[#All],32,FALSE)</f>
        <v>42643</v>
      </c>
      <c r="I186" s="8">
        <f>VLOOKUP(A186,[1]!Table1[#All],33,FALSE)</f>
        <v>44468</v>
      </c>
      <c r="J186" t="str">
        <f t="shared" ca="1" si="2"/>
        <v>Non UDO</v>
      </c>
    </row>
    <row r="187" spans="1:10" x14ac:dyDescent="0.35">
      <c r="A187" s="9" t="s">
        <v>9</v>
      </c>
      <c r="B187" s="10">
        <v>44501</v>
      </c>
      <c r="C187" s="11">
        <v>7441845</v>
      </c>
      <c r="D187" s="11">
        <v>7441845</v>
      </c>
      <c r="E187" s="11">
        <v>0</v>
      </c>
      <c r="F187" t="str">
        <f>VLOOKUP(A187,[1]!Table1[#All],17,FALSE)</f>
        <v>UNITED STATES</v>
      </c>
      <c r="G187" t="str">
        <f>VLOOKUP(A187,[1]!Table1[#All],22,FALSE)</f>
        <v>UNIVERSITY OF MARYLAND BALTIMORE PROFESSIONAL SCHO</v>
      </c>
      <c r="H187" s="8">
        <f>VLOOKUP(A187,[1]!Table1[#All],32,FALSE)</f>
        <v>42643</v>
      </c>
      <c r="I187" s="8">
        <f>VLOOKUP(A187,[1]!Table1[#All],33,FALSE)</f>
        <v>44468</v>
      </c>
      <c r="J187" t="str">
        <f t="shared" ca="1" si="2"/>
        <v>Non UDO</v>
      </c>
    </row>
    <row r="188" spans="1:10" x14ac:dyDescent="0.35">
      <c r="A188" s="5" t="s">
        <v>9</v>
      </c>
      <c r="B188" s="6">
        <v>44531</v>
      </c>
      <c r="C188" s="7">
        <v>7441845</v>
      </c>
      <c r="D188" s="7">
        <v>7441845</v>
      </c>
      <c r="E188" s="7">
        <v>0</v>
      </c>
      <c r="F188" t="str">
        <f>VLOOKUP(A188,[1]!Table1[#All],17,FALSE)</f>
        <v>UNITED STATES</v>
      </c>
      <c r="G188" t="str">
        <f>VLOOKUP(A188,[1]!Table1[#All],22,FALSE)</f>
        <v>UNIVERSITY OF MARYLAND BALTIMORE PROFESSIONAL SCHO</v>
      </c>
      <c r="H188" s="8">
        <f>VLOOKUP(A188,[1]!Table1[#All],32,FALSE)</f>
        <v>42643</v>
      </c>
      <c r="I188" s="8">
        <f>VLOOKUP(A188,[1]!Table1[#All],33,FALSE)</f>
        <v>44468</v>
      </c>
      <c r="J188" t="str">
        <f t="shared" ca="1" si="2"/>
        <v>Non UDO</v>
      </c>
    </row>
    <row r="189" spans="1:10" x14ac:dyDescent="0.35">
      <c r="A189" s="9" t="s">
        <v>9</v>
      </c>
      <c r="B189" s="10">
        <v>44562</v>
      </c>
      <c r="C189" s="11">
        <v>7441845</v>
      </c>
      <c r="D189" s="11">
        <v>7441845</v>
      </c>
      <c r="E189" s="11">
        <v>0</v>
      </c>
      <c r="F189" t="str">
        <f>VLOOKUP(A189,[1]!Table1[#All],17,FALSE)</f>
        <v>UNITED STATES</v>
      </c>
      <c r="G189" t="str">
        <f>VLOOKUP(A189,[1]!Table1[#All],22,FALSE)</f>
        <v>UNIVERSITY OF MARYLAND BALTIMORE PROFESSIONAL SCHO</v>
      </c>
      <c r="H189" s="8">
        <f>VLOOKUP(A189,[1]!Table1[#All],32,FALSE)</f>
        <v>42643</v>
      </c>
      <c r="I189" s="8">
        <f>VLOOKUP(A189,[1]!Table1[#All],33,FALSE)</f>
        <v>44468</v>
      </c>
      <c r="J189" t="str">
        <f t="shared" ca="1" si="2"/>
        <v>Non UDO</v>
      </c>
    </row>
    <row r="190" spans="1:10" x14ac:dyDescent="0.35">
      <c r="A190" s="5" t="s">
        <v>9</v>
      </c>
      <c r="B190" s="6">
        <v>44593</v>
      </c>
      <c r="C190" s="7">
        <v>7441845</v>
      </c>
      <c r="D190" s="7">
        <v>7441845</v>
      </c>
      <c r="E190" s="7">
        <v>0</v>
      </c>
      <c r="F190" t="str">
        <f>VLOOKUP(A190,[1]!Table1[#All],17,FALSE)</f>
        <v>UNITED STATES</v>
      </c>
      <c r="G190" t="str">
        <f>VLOOKUP(A190,[1]!Table1[#All],22,FALSE)</f>
        <v>UNIVERSITY OF MARYLAND BALTIMORE PROFESSIONAL SCHO</v>
      </c>
      <c r="H190" s="8">
        <f>VLOOKUP(A190,[1]!Table1[#All],32,FALSE)</f>
        <v>42643</v>
      </c>
      <c r="I190" s="8">
        <f>VLOOKUP(A190,[1]!Table1[#All],33,FALSE)</f>
        <v>44468</v>
      </c>
      <c r="J190" t="str">
        <f t="shared" ca="1" si="2"/>
        <v>Non UDO</v>
      </c>
    </row>
    <row r="191" spans="1:10" x14ac:dyDescent="0.35">
      <c r="A191" s="9" t="s">
        <v>9</v>
      </c>
      <c r="B191" s="10">
        <v>44621</v>
      </c>
      <c r="C191" s="11">
        <v>7441845</v>
      </c>
      <c r="D191" s="11">
        <v>7441845</v>
      </c>
      <c r="E191" s="11">
        <v>0</v>
      </c>
      <c r="F191" t="str">
        <f>VLOOKUP(A191,[1]!Table1[#All],17,FALSE)</f>
        <v>UNITED STATES</v>
      </c>
      <c r="G191" t="str">
        <f>VLOOKUP(A191,[1]!Table1[#All],22,FALSE)</f>
        <v>UNIVERSITY OF MARYLAND BALTIMORE PROFESSIONAL SCHO</v>
      </c>
      <c r="H191" s="8">
        <f>VLOOKUP(A191,[1]!Table1[#All],32,FALSE)</f>
        <v>42643</v>
      </c>
      <c r="I191" s="8">
        <f>VLOOKUP(A191,[1]!Table1[#All],33,FALSE)</f>
        <v>44468</v>
      </c>
      <c r="J191" t="str">
        <f t="shared" ca="1" si="2"/>
        <v>Non UDO</v>
      </c>
    </row>
    <row r="192" spans="1:10" x14ac:dyDescent="0.35">
      <c r="A192" s="5" t="s">
        <v>9</v>
      </c>
      <c r="B192" s="6">
        <v>44652</v>
      </c>
      <c r="C192" s="7">
        <v>7441845</v>
      </c>
      <c r="D192" s="7">
        <v>7441845</v>
      </c>
      <c r="E192" s="7">
        <v>0</v>
      </c>
      <c r="F192" t="str">
        <f>VLOOKUP(A192,[1]!Table1[#All],17,FALSE)</f>
        <v>UNITED STATES</v>
      </c>
      <c r="G192" t="str">
        <f>VLOOKUP(A192,[1]!Table1[#All],22,FALSE)</f>
        <v>UNIVERSITY OF MARYLAND BALTIMORE PROFESSIONAL SCHO</v>
      </c>
      <c r="H192" s="8">
        <f>VLOOKUP(A192,[1]!Table1[#All],32,FALSE)</f>
        <v>42643</v>
      </c>
      <c r="I192" s="8">
        <f>VLOOKUP(A192,[1]!Table1[#All],33,FALSE)</f>
        <v>44468</v>
      </c>
      <c r="J192" t="str">
        <f t="shared" ca="1" si="2"/>
        <v>Non UDO</v>
      </c>
    </row>
    <row r="193" spans="1:10" x14ac:dyDescent="0.35">
      <c r="A193" s="9" t="s">
        <v>9</v>
      </c>
      <c r="B193" s="10">
        <v>44682</v>
      </c>
      <c r="C193" s="11">
        <v>7441845</v>
      </c>
      <c r="D193" s="11">
        <v>7441845</v>
      </c>
      <c r="E193" s="11">
        <v>0</v>
      </c>
      <c r="F193" t="str">
        <f>VLOOKUP(A193,[1]!Table1[#All],17,FALSE)</f>
        <v>UNITED STATES</v>
      </c>
      <c r="G193" t="str">
        <f>VLOOKUP(A193,[1]!Table1[#All],22,FALSE)</f>
        <v>UNIVERSITY OF MARYLAND BALTIMORE PROFESSIONAL SCHO</v>
      </c>
      <c r="H193" s="8">
        <f>VLOOKUP(A193,[1]!Table1[#All],32,FALSE)</f>
        <v>42643</v>
      </c>
      <c r="I193" s="8">
        <f>VLOOKUP(A193,[1]!Table1[#All],33,FALSE)</f>
        <v>44468</v>
      </c>
      <c r="J193" t="str">
        <f t="shared" ca="1" si="2"/>
        <v>Non UDO</v>
      </c>
    </row>
    <row r="194" spans="1:10" x14ac:dyDescent="0.35">
      <c r="A194" s="5" t="s">
        <v>9</v>
      </c>
      <c r="B194" s="6">
        <v>44713</v>
      </c>
      <c r="C194" s="7">
        <v>7441845</v>
      </c>
      <c r="D194" s="7">
        <v>7441845</v>
      </c>
      <c r="E194" s="7">
        <v>0</v>
      </c>
      <c r="F194" t="str">
        <f>VLOOKUP(A194,[1]!Table1[#All],17,FALSE)</f>
        <v>UNITED STATES</v>
      </c>
      <c r="G194" t="str">
        <f>VLOOKUP(A194,[1]!Table1[#All],22,FALSE)</f>
        <v>UNIVERSITY OF MARYLAND BALTIMORE PROFESSIONAL SCHO</v>
      </c>
      <c r="H194" s="8">
        <f>VLOOKUP(A194,[1]!Table1[#All],32,FALSE)</f>
        <v>42643</v>
      </c>
      <c r="I194" s="8">
        <f>VLOOKUP(A194,[1]!Table1[#All],33,FALSE)</f>
        <v>44468</v>
      </c>
      <c r="J194" t="str">
        <f t="shared" ca="1" si="2"/>
        <v>Non UDO</v>
      </c>
    </row>
    <row r="195" spans="1:10" x14ac:dyDescent="0.35">
      <c r="A195" s="9" t="s">
        <v>9</v>
      </c>
      <c r="B195" s="10">
        <v>44743</v>
      </c>
      <c r="C195" s="11">
        <v>7441845</v>
      </c>
      <c r="D195" s="11">
        <v>7441845</v>
      </c>
      <c r="E195" s="11">
        <v>0</v>
      </c>
      <c r="F195" t="str">
        <f>VLOOKUP(A195,[1]!Table1[#All],17,FALSE)</f>
        <v>UNITED STATES</v>
      </c>
      <c r="G195" t="str">
        <f>VLOOKUP(A195,[1]!Table1[#All],22,FALSE)</f>
        <v>UNIVERSITY OF MARYLAND BALTIMORE PROFESSIONAL SCHO</v>
      </c>
      <c r="H195" s="8">
        <f>VLOOKUP(A195,[1]!Table1[#All],32,FALSE)</f>
        <v>42643</v>
      </c>
      <c r="I195" s="8">
        <f>VLOOKUP(A195,[1]!Table1[#All],33,FALSE)</f>
        <v>44468</v>
      </c>
      <c r="J195" t="str">
        <f t="shared" ref="J195:J258" ca="1" si="3">IF(AND( E195&gt;0,TODAY()&gt;I195),"UDO","Non UDO")</f>
        <v>Non UDO</v>
      </c>
    </row>
    <row r="196" spans="1:10" x14ac:dyDescent="0.35">
      <c r="A196" s="5" t="s">
        <v>9</v>
      </c>
      <c r="B196" s="6">
        <v>44774</v>
      </c>
      <c r="C196" s="7">
        <v>7441845</v>
      </c>
      <c r="D196" s="7">
        <v>7441845</v>
      </c>
      <c r="E196" s="7">
        <v>0</v>
      </c>
      <c r="F196" t="str">
        <f>VLOOKUP(A196,[1]!Table1[#All],17,FALSE)</f>
        <v>UNITED STATES</v>
      </c>
      <c r="G196" t="str">
        <f>VLOOKUP(A196,[1]!Table1[#All],22,FALSE)</f>
        <v>UNIVERSITY OF MARYLAND BALTIMORE PROFESSIONAL SCHO</v>
      </c>
      <c r="H196" s="8">
        <f>VLOOKUP(A196,[1]!Table1[#All],32,FALSE)</f>
        <v>42643</v>
      </c>
      <c r="I196" s="8">
        <f>VLOOKUP(A196,[1]!Table1[#All],33,FALSE)</f>
        <v>44468</v>
      </c>
      <c r="J196" t="str">
        <f t="shared" ca="1" si="3"/>
        <v>Non UDO</v>
      </c>
    </row>
    <row r="197" spans="1:10" x14ac:dyDescent="0.35">
      <c r="A197" s="9" t="s">
        <v>9</v>
      </c>
      <c r="B197" s="10">
        <v>44805</v>
      </c>
      <c r="C197" s="11">
        <v>7441845</v>
      </c>
      <c r="D197" s="11">
        <v>7441845</v>
      </c>
      <c r="E197" s="11">
        <v>0</v>
      </c>
      <c r="F197" t="str">
        <f>VLOOKUP(A197,[1]!Table1[#All],17,FALSE)</f>
        <v>UNITED STATES</v>
      </c>
      <c r="G197" t="str">
        <f>VLOOKUP(A197,[1]!Table1[#All],22,FALSE)</f>
        <v>UNIVERSITY OF MARYLAND BALTIMORE PROFESSIONAL SCHO</v>
      </c>
      <c r="H197" s="8">
        <f>VLOOKUP(A197,[1]!Table1[#All],32,FALSE)</f>
        <v>42643</v>
      </c>
      <c r="I197" s="8">
        <f>VLOOKUP(A197,[1]!Table1[#All],33,FALSE)</f>
        <v>44468</v>
      </c>
      <c r="J197" t="str">
        <f t="shared" ca="1" si="3"/>
        <v>Non UDO</v>
      </c>
    </row>
    <row r="198" spans="1:10" x14ac:dyDescent="0.35">
      <c r="A198" s="5" t="s">
        <v>9</v>
      </c>
      <c r="B198" s="6">
        <v>44835</v>
      </c>
      <c r="C198" s="7">
        <v>7441845</v>
      </c>
      <c r="D198" s="7">
        <v>7441845</v>
      </c>
      <c r="E198" s="7">
        <v>0</v>
      </c>
      <c r="F198" t="str">
        <f>VLOOKUP(A198,[1]!Table1[#All],17,FALSE)</f>
        <v>UNITED STATES</v>
      </c>
      <c r="G198" t="str">
        <f>VLOOKUP(A198,[1]!Table1[#All],22,FALSE)</f>
        <v>UNIVERSITY OF MARYLAND BALTIMORE PROFESSIONAL SCHO</v>
      </c>
      <c r="H198" s="8">
        <f>VLOOKUP(A198,[1]!Table1[#All],32,FALSE)</f>
        <v>42643</v>
      </c>
      <c r="I198" s="8">
        <f>VLOOKUP(A198,[1]!Table1[#All],33,FALSE)</f>
        <v>44468</v>
      </c>
      <c r="J198" t="str">
        <f t="shared" ca="1" si="3"/>
        <v>Non UDO</v>
      </c>
    </row>
    <row r="199" spans="1:10" x14ac:dyDescent="0.35">
      <c r="A199" s="9" t="s">
        <v>9</v>
      </c>
      <c r="B199" s="10">
        <v>44866</v>
      </c>
      <c r="C199" s="11">
        <v>7441845</v>
      </c>
      <c r="D199" s="11">
        <v>7441845</v>
      </c>
      <c r="E199" s="11">
        <v>0</v>
      </c>
      <c r="F199" t="str">
        <f>VLOOKUP(A199,[1]!Table1[#All],17,FALSE)</f>
        <v>UNITED STATES</v>
      </c>
      <c r="G199" t="str">
        <f>VLOOKUP(A199,[1]!Table1[#All],22,FALSE)</f>
        <v>UNIVERSITY OF MARYLAND BALTIMORE PROFESSIONAL SCHO</v>
      </c>
      <c r="H199" s="8">
        <f>VLOOKUP(A199,[1]!Table1[#All],32,FALSE)</f>
        <v>42643</v>
      </c>
      <c r="I199" s="8">
        <f>VLOOKUP(A199,[1]!Table1[#All],33,FALSE)</f>
        <v>44468</v>
      </c>
      <c r="J199" t="str">
        <f t="shared" ca="1" si="3"/>
        <v>Non UDO</v>
      </c>
    </row>
    <row r="200" spans="1:10" x14ac:dyDescent="0.35">
      <c r="A200" s="5" t="s">
        <v>9</v>
      </c>
      <c r="B200" s="6">
        <v>44896</v>
      </c>
      <c r="C200" s="7">
        <v>7441845</v>
      </c>
      <c r="D200" s="7">
        <v>7441845</v>
      </c>
      <c r="E200" s="7">
        <v>0</v>
      </c>
      <c r="F200" t="str">
        <f>VLOOKUP(A200,[1]!Table1[#All],17,FALSE)</f>
        <v>UNITED STATES</v>
      </c>
      <c r="G200" t="str">
        <f>VLOOKUP(A200,[1]!Table1[#All],22,FALSE)</f>
        <v>UNIVERSITY OF MARYLAND BALTIMORE PROFESSIONAL SCHO</v>
      </c>
      <c r="H200" s="8">
        <f>VLOOKUP(A200,[1]!Table1[#All],32,FALSE)</f>
        <v>42643</v>
      </c>
      <c r="I200" s="8">
        <f>VLOOKUP(A200,[1]!Table1[#All],33,FALSE)</f>
        <v>44468</v>
      </c>
      <c r="J200" t="str">
        <f t="shared" ca="1" si="3"/>
        <v>Non UDO</v>
      </c>
    </row>
    <row r="201" spans="1:10" x14ac:dyDescent="0.35">
      <c r="A201" s="9" t="s">
        <v>9</v>
      </c>
      <c r="B201" s="10">
        <v>44927</v>
      </c>
      <c r="C201" s="11">
        <v>7441845</v>
      </c>
      <c r="D201" s="11">
        <v>7441845</v>
      </c>
      <c r="E201" s="11">
        <v>0</v>
      </c>
      <c r="F201" t="str">
        <f>VLOOKUP(A201,[1]!Table1[#All],17,FALSE)</f>
        <v>UNITED STATES</v>
      </c>
      <c r="G201" t="str">
        <f>VLOOKUP(A201,[1]!Table1[#All],22,FALSE)</f>
        <v>UNIVERSITY OF MARYLAND BALTIMORE PROFESSIONAL SCHO</v>
      </c>
      <c r="H201" s="8">
        <f>VLOOKUP(A201,[1]!Table1[#All],32,FALSE)</f>
        <v>42643</v>
      </c>
      <c r="I201" s="8">
        <f>VLOOKUP(A201,[1]!Table1[#All],33,FALSE)</f>
        <v>44468</v>
      </c>
      <c r="J201" t="str">
        <f t="shared" ca="1" si="3"/>
        <v>Non UDO</v>
      </c>
    </row>
    <row r="202" spans="1:10" x14ac:dyDescent="0.35">
      <c r="A202" s="5" t="s">
        <v>9</v>
      </c>
      <c r="B202" s="6">
        <v>44958</v>
      </c>
      <c r="C202" s="7">
        <v>7441845</v>
      </c>
      <c r="D202" s="7">
        <v>7441845</v>
      </c>
      <c r="E202" s="7">
        <v>0</v>
      </c>
      <c r="F202" t="str">
        <f>VLOOKUP(A202,[1]!Table1[#All],17,FALSE)</f>
        <v>UNITED STATES</v>
      </c>
      <c r="G202" t="str">
        <f>VLOOKUP(A202,[1]!Table1[#All],22,FALSE)</f>
        <v>UNIVERSITY OF MARYLAND BALTIMORE PROFESSIONAL SCHO</v>
      </c>
      <c r="H202" s="8">
        <f>VLOOKUP(A202,[1]!Table1[#All],32,FALSE)</f>
        <v>42643</v>
      </c>
      <c r="I202" s="8">
        <f>VLOOKUP(A202,[1]!Table1[#All],33,FALSE)</f>
        <v>44468</v>
      </c>
      <c r="J202" t="str">
        <f t="shared" ca="1" si="3"/>
        <v>Non UDO</v>
      </c>
    </row>
    <row r="203" spans="1:10" x14ac:dyDescent="0.35">
      <c r="A203" s="9" t="s">
        <v>9</v>
      </c>
      <c r="B203" s="10">
        <v>44986</v>
      </c>
      <c r="C203" s="11">
        <v>7441845</v>
      </c>
      <c r="D203" s="11">
        <v>7441845</v>
      </c>
      <c r="E203" s="11">
        <v>0</v>
      </c>
      <c r="F203" t="str">
        <f>VLOOKUP(A203,[1]!Table1[#All],17,FALSE)</f>
        <v>UNITED STATES</v>
      </c>
      <c r="G203" t="str">
        <f>VLOOKUP(A203,[1]!Table1[#All],22,FALSE)</f>
        <v>UNIVERSITY OF MARYLAND BALTIMORE PROFESSIONAL SCHO</v>
      </c>
      <c r="H203" s="8">
        <f>VLOOKUP(A203,[1]!Table1[#All],32,FALSE)</f>
        <v>42643</v>
      </c>
      <c r="I203" s="8">
        <f>VLOOKUP(A203,[1]!Table1[#All],33,FALSE)</f>
        <v>44468</v>
      </c>
      <c r="J203" t="str">
        <f t="shared" ca="1" si="3"/>
        <v>Non UDO</v>
      </c>
    </row>
    <row r="204" spans="1:10" x14ac:dyDescent="0.35">
      <c r="A204" s="5" t="s">
        <v>9</v>
      </c>
      <c r="B204" s="6">
        <v>45017</v>
      </c>
      <c r="C204" s="7">
        <v>7441845</v>
      </c>
      <c r="D204" s="7">
        <v>7441845</v>
      </c>
      <c r="E204" s="7">
        <v>0</v>
      </c>
      <c r="F204" t="str">
        <f>VLOOKUP(A204,[1]!Table1[#All],17,FALSE)</f>
        <v>UNITED STATES</v>
      </c>
      <c r="G204" t="str">
        <f>VLOOKUP(A204,[1]!Table1[#All],22,FALSE)</f>
        <v>UNIVERSITY OF MARYLAND BALTIMORE PROFESSIONAL SCHO</v>
      </c>
      <c r="H204" s="8">
        <f>VLOOKUP(A204,[1]!Table1[#All],32,FALSE)</f>
        <v>42643</v>
      </c>
      <c r="I204" s="8">
        <f>VLOOKUP(A204,[1]!Table1[#All],33,FALSE)</f>
        <v>44468</v>
      </c>
      <c r="J204" t="str">
        <f t="shared" ca="1" si="3"/>
        <v>Non UDO</v>
      </c>
    </row>
    <row r="205" spans="1:10" x14ac:dyDescent="0.35">
      <c r="A205" s="9" t="s">
        <v>9</v>
      </c>
      <c r="B205" s="10">
        <v>45047</v>
      </c>
      <c r="C205" s="11">
        <v>7441845</v>
      </c>
      <c r="D205" s="11">
        <v>7441845</v>
      </c>
      <c r="E205" s="11">
        <v>0</v>
      </c>
      <c r="F205" t="str">
        <f>VLOOKUP(A205,[1]!Table1[#All],17,FALSE)</f>
        <v>UNITED STATES</v>
      </c>
      <c r="G205" t="str">
        <f>VLOOKUP(A205,[1]!Table1[#All],22,FALSE)</f>
        <v>UNIVERSITY OF MARYLAND BALTIMORE PROFESSIONAL SCHO</v>
      </c>
      <c r="H205" s="8">
        <f>VLOOKUP(A205,[1]!Table1[#All],32,FALSE)</f>
        <v>42643</v>
      </c>
      <c r="I205" s="8">
        <f>VLOOKUP(A205,[1]!Table1[#All],33,FALSE)</f>
        <v>44468</v>
      </c>
      <c r="J205" t="str">
        <f t="shared" ca="1" si="3"/>
        <v>Non UDO</v>
      </c>
    </row>
    <row r="206" spans="1:10" x14ac:dyDescent="0.35">
      <c r="A206" s="5" t="s">
        <v>9</v>
      </c>
      <c r="B206" s="6">
        <v>45078</v>
      </c>
      <c r="C206" s="7">
        <v>7441845</v>
      </c>
      <c r="D206" s="7">
        <v>7441845</v>
      </c>
      <c r="E206" s="7">
        <v>0</v>
      </c>
      <c r="F206" t="str">
        <f>VLOOKUP(A206,[1]!Table1[#All],17,FALSE)</f>
        <v>UNITED STATES</v>
      </c>
      <c r="G206" t="str">
        <f>VLOOKUP(A206,[1]!Table1[#All],22,FALSE)</f>
        <v>UNIVERSITY OF MARYLAND BALTIMORE PROFESSIONAL SCHO</v>
      </c>
      <c r="H206" s="8">
        <f>VLOOKUP(A206,[1]!Table1[#All],32,FALSE)</f>
        <v>42643</v>
      </c>
      <c r="I206" s="8">
        <f>VLOOKUP(A206,[1]!Table1[#All],33,FALSE)</f>
        <v>44468</v>
      </c>
      <c r="J206" t="str">
        <f t="shared" ca="1" si="3"/>
        <v>Non UDO</v>
      </c>
    </row>
    <row r="207" spans="1:10" x14ac:dyDescent="0.35">
      <c r="A207" s="9" t="s">
        <v>9</v>
      </c>
      <c r="B207" s="10">
        <v>45108</v>
      </c>
      <c r="C207" s="11">
        <v>7441845</v>
      </c>
      <c r="D207" s="11">
        <v>7441845</v>
      </c>
      <c r="E207" s="11">
        <v>0</v>
      </c>
      <c r="F207" t="str">
        <f>VLOOKUP(A207,[1]!Table1[#All],17,FALSE)</f>
        <v>UNITED STATES</v>
      </c>
      <c r="G207" t="str">
        <f>VLOOKUP(A207,[1]!Table1[#All],22,FALSE)</f>
        <v>UNIVERSITY OF MARYLAND BALTIMORE PROFESSIONAL SCHO</v>
      </c>
      <c r="H207" s="8">
        <f>VLOOKUP(A207,[1]!Table1[#All],32,FALSE)</f>
        <v>42643</v>
      </c>
      <c r="I207" s="8">
        <f>VLOOKUP(A207,[1]!Table1[#All],33,FALSE)</f>
        <v>44468</v>
      </c>
      <c r="J207" t="str">
        <f t="shared" ca="1" si="3"/>
        <v>Non UDO</v>
      </c>
    </row>
    <row r="208" spans="1:10" x14ac:dyDescent="0.35">
      <c r="A208" s="5" t="s">
        <v>9</v>
      </c>
      <c r="B208" s="6">
        <v>45139</v>
      </c>
      <c r="C208" s="7">
        <v>7441845</v>
      </c>
      <c r="D208" s="7">
        <v>7441845</v>
      </c>
      <c r="E208" s="7">
        <v>0</v>
      </c>
      <c r="F208" t="str">
        <f>VLOOKUP(A208,[1]!Table1[#All],17,FALSE)</f>
        <v>UNITED STATES</v>
      </c>
      <c r="G208" t="str">
        <f>VLOOKUP(A208,[1]!Table1[#All],22,FALSE)</f>
        <v>UNIVERSITY OF MARYLAND BALTIMORE PROFESSIONAL SCHO</v>
      </c>
      <c r="H208" s="8">
        <f>VLOOKUP(A208,[1]!Table1[#All],32,FALSE)</f>
        <v>42643</v>
      </c>
      <c r="I208" s="8">
        <f>VLOOKUP(A208,[1]!Table1[#All],33,FALSE)</f>
        <v>44468</v>
      </c>
      <c r="J208" t="str">
        <f t="shared" ca="1" si="3"/>
        <v>Non UDO</v>
      </c>
    </row>
    <row r="209" spans="1:10" x14ac:dyDescent="0.35">
      <c r="A209" s="9" t="s">
        <v>9</v>
      </c>
      <c r="B209" s="10">
        <v>45170</v>
      </c>
      <c r="C209" s="11">
        <v>7441845</v>
      </c>
      <c r="D209" s="11">
        <v>7441845</v>
      </c>
      <c r="E209" s="11">
        <v>0</v>
      </c>
      <c r="F209" t="str">
        <f>VLOOKUP(A209,[1]!Table1[#All],17,FALSE)</f>
        <v>UNITED STATES</v>
      </c>
      <c r="G209" t="str">
        <f>VLOOKUP(A209,[1]!Table1[#All],22,FALSE)</f>
        <v>UNIVERSITY OF MARYLAND BALTIMORE PROFESSIONAL SCHO</v>
      </c>
      <c r="H209" s="8">
        <f>VLOOKUP(A209,[1]!Table1[#All],32,FALSE)</f>
        <v>42643</v>
      </c>
      <c r="I209" s="8">
        <f>VLOOKUP(A209,[1]!Table1[#All],33,FALSE)</f>
        <v>44468</v>
      </c>
      <c r="J209" t="str">
        <f t="shared" ca="1" si="3"/>
        <v>Non UDO</v>
      </c>
    </row>
    <row r="210" spans="1:10" x14ac:dyDescent="0.35">
      <c r="A210" s="5" t="s">
        <v>10</v>
      </c>
      <c r="B210" s="6">
        <v>44105</v>
      </c>
      <c r="C210" s="7">
        <v>14000089</v>
      </c>
      <c r="D210" s="7">
        <v>6905123.2700000005</v>
      </c>
      <c r="E210" s="7">
        <v>7094965.7299999995</v>
      </c>
      <c r="F210" t="str">
        <f>VLOOKUP(A210,[1]!Table1[#All],17,FALSE)</f>
        <v>NAMIBIA</v>
      </c>
      <c r="G210" t="str">
        <f>VLOOKUP(A210,[1]!Table1[#All],22,FALSE)</f>
        <v>Potentia Namibia Recruitment consultancy</v>
      </c>
      <c r="H210" s="8">
        <f>VLOOKUP(A210,[1]!Table1[#All],32,FALSE)</f>
        <v>42643</v>
      </c>
      <c r="I210" s="8">
        <f>VLOOKUP(A210,[1]!Table1[#All],33,FALSE)</f>
        <v>44681</v>
      </c>
      <c r="J210" t="str">
        <f t="shared" ca="1" si="3"/>
        <v>UDO</v>
      </c>
    </row>
    <row r="211" spans="1:10" x14ac:dyDescent="0.35">
      <c r="A211" s="9" t="s">
        <v>10</v>
      </c>
      <c r="B211" s="10">
        <v>44136</v>
      </c>
      <c r="C211" s="11">
        <v>14000089</v>
      </c>
      <c r="D211" s="11">
        <v>7986990.1100000003</v>
      </c>
      <c r="E211" s="11">
        <v>6013098.8899999997</v>
      </c>
      <c r="F211" t="str">
        <f>VLOOKUP(A211,[1]!Table1[#All],17,FALSE)</f>
        <v>NAMIBIA</v>
      </c>
      <c r="G211" t="str">
        <f>VLOOKUP(A211,[1]!Table1[#All],22,FALSE)</f>
        <v>Potentia Namibia Recruitment consultancy</v>
      </c>
      <c r="H211" s="8">
        <f>VLOOKUP(A211,[1]!Table1[#All],32,FALSE)</f>
        <v>42643</v>
      </c>
      <c r="I211" s="8">
        <f>VLOOKUP(A211,[1]!Table1[#All],33,FALSE)</f>
        <v>44681</v>
      </c>
      <c r="J211" t="str">
        <f t="shared" ca="1" si="3"/>
        <v>UDO</v>
      </c>
    </row>
    <row r="212" spans="1:10" x14ac:dyDescent="0.35">
      <c r="A212" s="5" t="s">
        <v>10</v>
      </c>
      <c r="B212" s="6">
        <v>44166</v>
      </c>
      <c r="C212" s="7">
        <v>14000089</v>
      </c>
      <c r="D212" s="7">
        <v>9002530.1899999995</v>
      </c>
      <c r="E212" s="7">
        <v>4997558.8099999996</v>
      </c>
      <c r="F212" t="str">
        <f>VLOOKUP(A212,[1]!Table1[#All],17,FALSE)</f>
        <v>NAMIBIA</v>
      </c>
      <c r="G212" t="str">
        <f>VLOOKUP(A212,[1]!Table1[#All],22,FALSE)</f>
        <v>Potentia Namibia Recruitment consultancy</v>
      </c>
      <c r="H212" s="8">
        <f>VLOOKUP(A212,[1]!Table1[#All],32,FALSE)</f>
        <v>42643</v>
      </c>
      <c r="I212" s="8">
        <f>VLOOKUP(A212,[1]!Table1[#All],33,FALSE)</f>
        <v>44681</v>
      </c>
      <c r="J212" t="str">
        <f t="shared" ca="1" si="3"/>
        <v>UDO</v>
      </c>
    </row>
    <row r="213" spans="1:10" x14ac:dyDescent="0.35">
      <c r="A213" s="9" t="s">
        <v>10</v>
      </c>
      <c r="B213" s="10">
        <v>44197</v>
      </c>
      <c r="C213" s="11">
        <v>14000089</v>
      </c>
      <c r="D213" s="11">
        <v>11422074.470000001</v>
      </c>
      <c r="E213" s="11">
        <v>2578014.5299999998</v>
      </c>
      <c r="F213" t="str">
        <f>VLOOKUP(A213,[1]!Table1[#All],17,FALSE)</f>
        <v>NAMIBIA</v>
      </c>
      <c r="G213" t="str">
        <f>VLOOKUP(A213,[1]!Table1[#All],22,FALSE)</f>
        <v>Potentia Namibia Recruitment consultancy</v>
      </c>
      <c r="H213" s="8">
        <f>VLOOKUP(A213,[1]!Table1[#All],32,FALSE)</f>
        <v>42643</v>
      </c>
      <c r="I213" s="8">
        <f>VLOOKUP(A213,[1]!Table1[#All],33,FALSE)</f>
        <v>44681</v>
      </c>
      <c r="J213" t="str">
        <f t="shared" ca="1" si="3"/>
        <v>UDO</v>
      </c>
    </row>
    <row r="214" spans="1:10" x14ac:dyDescent="0.35">
      <c r="A214" s="5" t="s">
        <v>10</v>
      </c>
      <c r="B214" s="6">
        <v>44228</v>
      </c>
      <c r="C214" s="7">
        <v>14000089</v>
      </c>
      <c r="D214" s="7">
        <v>12626251.85</v>
      </c>
      <c r="E214" s="7">
        <v>1373837.1500000001</v>
      </c>
      <c r="F214" t="str">
        <f>VLOOKUP(A214,[1]!Table1[#All],17,FALSE)</f>
        <v>NAMIBIA</v>
      </c>
      <c r="G214" t="str">
        <f>VLOOKUP(A214,[1]!Table1[#All],22,FALSE)</f>
        <v>Potentia Namibia Recruitment consultancy</v>
      </c>
      <c r="H214" s="8">
        <f>VLOOKUP(A214,[1]!Table1[#All],32,FALSE)</f>
        <v>42643</v>
      </c>
      <c r="I214" s="8">
        <f>VLOOKUP(A214,[1]!Table1[#All],33,FALSE)</f>
        <v>44681</v>
      </c>
      <c r="J214" t="str">
        <f t="shared" ca="1" si="3"/>
        <v>UDO</v>
      </c>
    </row>
    <row r="215" spans="1:10" x14ac:dyDescent="0.35">
      <c r="A215" s="9" t="s">
        <v>10</v>
      </c>
      <c r="B215" s="10">
        <v>44256</v>
      </c>
      <c r="C215" s="11">
        <v>14000089</v>
      </c>
      <c r="D215" s="11">
        <v>13699436.32</v>
      </c>
      <c r="E215" s="11">
        <v>300652.68</v>
      </c>
      <c r="F215" t="str">
        <f>VLOOKUP(A215,[1]!Table1[#All],17,FALSE)</f>
        <v>NAMIBIA</v>
      </c>
      <c r="G215" t="str">
        <f>VLOOKUP(A215,[1]!Table1[#All],22,FALSE)</f>
        <v>Potentia Namibia Recruitment consultancy</v>
      </c>
      <c r="H215" s="8">
        <f>VLOOKUP(A215,[1]!Table1[#All],32,FALSE)</f>
        <v>42643</v>
      </c>
      <c r="I215" s="8">
        <f>VLOOKUP(A215,[1]!Table1[#All],33,FALSE)</f>
        <v>44681</v>
      </c>
      <c r="J215" t="str">
        <f t="shared" ca="1" si="3"/>
        <v>UDO</v>
      </c>
    </row>
    <row r="216" spans="1:10" x14ac:dyDescent="0.35">
      <c r="A216" s="5" t="s">
        <v>10</v>
      </c>
      <c r="B216" s="6">
        <v>44287</v>
      </c>
      <c r="C216" s="7">
        <v>14000089</v>
      </c>
      <c r="D216" s="7">
        <v>13699436.32</v>
      </c>
      <c r="E216" s="7">
        <v>300652.68</v>
      </c>
      <c r="F216" t="str">
        <f>VLOOKUP(A216,[1]!Table1[#All],17,FALSE)</f>
        <v>NAMIBIA</v>
      </c>
      <c r="G216" t="str">
        <f>VLOOKUP(A216,[1]!Table1[#All],22,FALSE)</f>
        <v>Potentia Namibia Recruitment consultancy</v>
      </c>
      <c r="H216" s="8">
        <f>VLOOKUP(A216,[1]!Table1[#All],32,FALSE)</f>
        <v>42643</v>
      </c>
      <c r="I216" s="8">
        <f>VLOOKUP(A216,[1]!Table1[#All],33,FALSE)</f>
        <v>44681</v>
      </c>
      <c r="J216" t="str">
        <f t="shared" ca="1" si="3"/>
        <v>UDO</v>
      </c>
    </row>
    <row r="217" spans="1:10" x14ac:dyDescent="0.35">
      <c r="A217" s="9" t="s">
        <v>10</v>
      </c>
      <c r="B217" s="10">
        <v>44317</v>
      </c>
      <c r="C217" s="11">
        <v>14000089</v>
      </c>
      <c r="D217" s="11">
        <v>13810744.93</v>
      </c>
      <c r="E217" s="11">
        <v>189344.07</v>
      </c>
      <c r="F217" t="str">
        <f>VLOOKUP(A217,[1]!Table1[#All],17,FALSE)</f>
        <v>NAMIBIA</v>
      </c>
      <c r="G217" t="str">
        <f>VLOOKUP(A217,[1]!Table1[#All],22,FALSE)</f>
        <v>Potentia Namibia Recruitment consultancy</v>
      </c>
      <c r="H217" s="8">
        <f>VLOOKUP(A217,[1]!Table1[#All],32,FALSE)</f>
        <v>42643</v>
      </c>
      <c r="I217" s="8">
        <f>VLOOKUP(A217,[1]!Table1[#All],33,FALSE)</f>
        <v>44681</v>
      </c>
      <c r="J217" t="str">
        <f t="shared" ca="1" si="3"/>
        <v>UDO</v>
      </c>
    </row>
    <row r="218" spans="1:10" x14ac:dyDescent="0.35">
      <c r="A218" s="5" t="s">
        <v>10</v>
      </c>
      <c r="B218" s="6">
        <v>44348</v>
      </c>
      <c r="C218" s="7">
        <v>14000089</v>
      </c>
      <c r="D218" s="7">
        <v>13832987.26</v>
      </c>
      <c r="E218" s="7">
        <v>167101.74</v>
      </c>
      <c r="F218" t="str">
        <f>VLOOKUP(A218,[1]!Table1[#All],17,FALSE)</f>
        <v>NAMIBIA</v>
      </c>
      <c r="G218" t="str">
        <f>VLOOKUP(A218,[1]!Table1[#All],22,FALSE)</f>
        <v>Potentia Namibia Recruitment consultancy</v>
      </c>
      <c r="H218" s="8">
        <f>VLOOKUP(A218,[1]!Table1[#All],32,FALSE)</f>
        <v>42643</v>
      </c>
      <c r="I218" s="8">
        <f>VLOOKUP(A218,[1]!Table1[#All],33,FALSE)</f>
        <v>44681</v>
      </c>
      <c r="J218" t="str">
        <f t="shared" ca="1" si="3"/>
        <v>UDO</v>
      </c>
    </row>
    <row r="219" spans="1:10" x14ac:dyDescent="0.35">
      <c r="A219" s="9" t="s">
        <v>10</v>
      </c>
      <c r="B219" s="10">
        <v>44378</v>
      </c>
      <c r="C219" s="11">
        <v>14000089</v>
      </c>
      <c r="D219" s="11">
        <v>13851378.5</v>
      </c>
      <c r="E219" s="11">
        <v>148710.5</v>
      </c>
      <c r="F219" t="str">
        <f>VLOOKUP(A219,[1]!Table1[#All],17,FALSE)</f>
        <v>NAMIBIA</v>
      </c>
      <c r="G219" t="str">
        <f>VLOOKUP(A219,[1]!Table1[#All],22,FALSE)</f>
        <v>Potentia Namibia Recruitment consultancy</v>
      </c>
      <c r="H219" s="8">
        <f>VLOOKUP(A219,[1]!Table1[#All],32,FALSE)</f>
        <v>42643</v>
      </c>
      <c r="I219" s="8">
        <f>VLOOKUP(A219,[1]!Table1[#All],33,FALSE)</f>
        <v>44681</v>
      </c>
      <c r="J219" t="str">
        <f t="shared" ca="1" si="3"/>
        <v>UDO</v>
      </c>
    </row>
    <row r="220" spans="1:10" x14ac:dyDescent="0.35">
      <c r="A220" s="5" t="s">
        <v>10</v>
      </c>
      <c r="B220" s="6">
        <v>44409</v>
      </c>
      <c r="C220" s="7">
        <v>14000089</v>
      </c>
      <c r="D220" s="7">
        <v>13893858.800000001</v>
      </c>
      <c r="E220" s="7">
        <v>106230.2</v>
      </c>
      <c r="F220" t="str">
        <f>VLOOKUP(A220,[1]!Table1[#All],17,FALSE)</f>
        <v>NAMIBIA</v>
      </c>
      <c r="G220" t="str">
        <f>VLOOKUP(A220,[1]!Table1[#All],22,FALSE)</f>
        <v>Potentia Namibia Recruitment consultancy</v>
      </c>
      <c r="H220" s="8">
        <f>VLOOKUP(A220,[1]!Table1[#All],32,FALSE)</f>
        <v>42643</v>
      </c>
      <c r="I220" s="8">
        <f>VLOOKUP(A220,[1]!Table1[#All],33,FALSE)</f>
        <v>44681</v>
      </c>
      <c r="J220" t="str">
        <f t="shared" ca="1" si="3"/>
        <v>UDO</v>
      </c>
    </row>
    <row r="221" spans="1:10" x14ac:dyDescent="0.35">
      <c r="A221" s="9" t="s">
        <v>10</v>
      </c>
      <c r="B221" s="10">
        <v>44440</v>
      </c>
      <c r="C221" s="11">
        <v>14000089</v>
      </c>
      <c r="D221" s="11">
        <v>14000089</v>
      </c>
      <c r="E221" s="11">
        <v>0</v>
      </c>
      <c r="F221" t="str">
        <f>VLOOKUP(A221,[1]!Table1[#All],17,FALSE)</f>
        <v>NAMIBIA</v>
      </c>
      <c r="G221" t="str">
        <f>VLOOKUP(A221,[1]!Table1[#All],22,FALSE)</f>
        <v>Potentia Namibia Recruitment consultancy</v>
      </c>
      <c r="H221" s="8">
        <f>VLOOKUP(A221,[1]!Table1[#All],32,FALSE)</f>
        <v>42643</v>
      </c>
      <c r="I221" s="8">
        <f>VLOOKUP(A221,[1]!Table1[#All],33,FALSE)</f>
        <v>44681</v>
      </c>
      <c r="J221" t="str">
        <f t="shared" ca="1" si="3"/>
        <v>Non UDO</v>
      </c>
    </row>
    <row r="222" spans="1:10" x14ac:dyDescent="0.35">
      <c r="A222" s="5" t="s">
        <v>10</v>
      </c>
      <c r="B222" s="6">
        <v>44470</v>
      </c>
      <c r="C222" s="7">
        <v>14000089</v>
      </c>
      <c r="D222" s="7">
        <v>14000089</v>
      </c>
      <c r="E222" s="7">
        <v>0</v>
      </c>
      <c r="F222" t="str">
        <f>VLOOKUP(A222,[1]!Table1[#All],17,FALSE)</f>
        <v>NAMIBIA</v>
      </c>
      <c r="G222" t="str">
        <f>VLOOKUP(A222,[1]!Table1[#All],22,FALSE)</f>
        <v>Potentia Namibia Recruitment consultancy</v>
      </c>
      <c r="H222" s="8">
        <f>VLOOKUP(A222,[1]!Table1[#All],32,FALSE)</f>
        <v>42643</v>
      </c>
      <c r="I222" s="8">
        <f>VLOOKUP(A222,[1]!Table1[#All],33,FALSE)</f>
        <v>44681</v>
      </c>
      <c r="J222" t="str">
        <f t="shared" ca="1" si="3"/>
        <v>Non UDO</v>
      </c>
    </row>
    <row r="223" spans="1:10" x14ac:dyDescent="0.35">
      <c r="A223" s="9" t="s">
        <v>10</v>
      </c>
      <c r="B223" s="10">
        <v>44501</v>
      </c>
      <c r="C223" s="11">
        <v>14000089</v>
      </c>
      <c r="D223" s="11">
        <v>14000089</v>
      </c>
      <c r="E223" s="11">
        <v>0</v>
      </c>
      <c r="F223" t="str">
        <f>VLOOKUP(A223,[1]!Table1[#All],17,FALSE)</f>
        <v>NAMIBIA</v>
      </c>
      <c r="G223" t="str">
        <f>VLOOKUP(A223,[1]!Table1[#All],22,FALSE)</f>
        <v>Potentia Namibia Recruitment consultancy</v>
      </c>
      <c r="H223" s="8">
        <f>VLOOKUP(A223,[1]!Table1[#All],32,FALSE)</f>
        <v>42643</v>
      </c>
      <c r="I223" s="8">
        <f>VLOOKUP(A223,[1]!Table1[#All],33,FALSE)</f>
        <v>44681</v>
      </c>
      <c r="J223" t="str">
        <f t="shared" ca="1" si="3"/>
        <v>Non UDO</v>
      </c>
    </row>
    <row r="224" spans="1:10" x14ac:dyDescent="0.35">
      <c r="A224" s="5" t="s">
        <v>10</v>
      </c>
      <c r="B224" s="6">
        <v>44531</v>
      </c>
      <c r="C224" s="7">
        <v>14000089</v>
      </c>
      <c r="D224" s="7">
        <v>14000089</v>
      </c>
      <c r="E224" s="7">
        <v>0</v>
      </c>
      <c r="F224" t="str">
        <f>VLOOKUP(A224,[1]!Table1[#All],17,FALSE)</f>
        <v>NAMIBIA</v>
      </c>
      <c r="G224" t="str">
        <f>VLOOKUP(A224,[1]!Table1[#All],22,FALSE)</f>
        <v>Potentia Namibia Recruitment consultancy</v>
      </c>
      <c r="H224" s="8">
        <f>VLOOKUP(A224,[1]!Table1[#All],32,FALSE)</f>
        <v>42643</v>
      </c>
      <c r="I224" s="8">
        <f>VLOOKUP(A224,[1]!Table1[#All],33,FALSE)</f>
        <v>44681</v>
      </c>
      <c r="J224" t="str">
        <f t="shared" ca="1" si="3"/>
        <v>Non UDO</v>
      </c>
    </row>
    <row r="225" spans="1:10" x14ac:dyDescent="0.35">
      <c r="A225" s="9" t="s">
        <v>10</v>
      </c>
      <c r="B225" s="10">
        <v>44562</v>
      </c>
      <c r="C225" s="11">
        <v>14000089</v>
      </c>
      <c r="D225" s="11">
        <v>14000089</v>
      </c>
      <c r="E225" s="11">
        <v>0</v>
      </c>
      <c r="F225" t="str">
        <f>VLOOKUP(A225,[1]!Table1[#All],17,FALSE)</f>
        <v>NAMIBIA</v>
      </c>
      <c r="G225" t="str">
        <f>VLOOKUP(A225,[1]!Table1[#All],22,FALSE)</f>
        <v>Potentia Namibia Recruitment consultancy</v>
      </c>
      <c r="H225" s="8">
        <f>VLOOKUP(A225,[1]!Table1[#All],32,FALSE)</f>
        <v>42643</v>
      </c>
      <c r="I225" s="8">
        <f>VLOOKUP(A225,[1]!Table1[#All],33,FALSE)</f>
        <v>44681</v>
      </c>
      <c r="J225" t="str">
        <f t="shared" ca="1" si="3"/>
        <v>Non UDO</v>
      </c>
    </row>
    <row r="226" spans="1:10" x14ac:dyDescent="0.35">
      <c r="A226" s="5" t="s">
        <v>10</v>
      </c>
      <c r="B226" s="6">
        <v>44593</v>
      </c>
      <c r="C226" s="7">
        <v>14000089</v>
      </c>
      <c r="D226" s="7">
        <v>14000089</v>
      </c>
      <c r="E226" s="7">
        <v>0</v>
      </c>
      <c r="F226" t="str">
        <f>VLOOKUP(A226,[1]!Table1[#All],17,FALSE)</f>
        <v>NAMIBIA</v>
      </c>
      <c r="G226" t="str">
        <f>VLOOKUP(A226,[1]!Table1[#All],22,FALSE)</f>
        <v>Potentia Namibia Recruitment consultancy</v>
      </c>
      <c r="H226" s="8">
        <f>VLOOKUP(A226,[1]!Table1[#All],32,FALSE)</f>
        <v>42643</v>
      </c>
      <c r="I226" s="8">
        <f>VLOOKUP(A226,[1]!Table1[#All],33,FALSE)</f>
        <v>44681</v>
      </c>
      <c r="J226" t="str">
        <f t="shared" ca="1" si="3"/>
        <v>Non UDO</v>
      </c>
    </row>
    <row r="227" spans="1:10" x14ac:dyDescent="0.35">
      <c r="A227" s="9" t="s">
        <v>10</v>
      </c>
      <c r="B227" s="10">
        <v>44621</v>
      </c>
      <c r="C227" s="11">
        <v>14000089</v>
      </c>
      <c r="D227" s="11">
        <v>14000089</v>
      </c>
      <c r="E227" s="11">
        <v>0</v>
      </c>
      <c r="F227" t="str">
        <f>VLOOKUP(A227,[1]!Table1[#All],17,FALSE)</f>
        <v>NAMIBIA</v>
      </c>
      <c r="G227" t="str">
        <f>VLOOKUP(A227,[1]!Table1[#All],22,FALSE)</f>
        <v>Potentia Namibia Recruitment consultancy</v>
      </c>
      <c r="H227" s="8">
        <f>VLOOKUP(A227,[1]!Table1[#All],32,FALSE)</f>
        <v>42643</v>
      </c>
      <c r="I227" s="8">
        <f>VLOOKUP(A227,[1]!Table1[#All],33,FALSE)</f>
        <v>44681</v>
      </c>
      <c r="J227" t="str">
        <f t="shared" ca="1" si="3"/>
        <v>Non UDO</v>
      </c>
    </row>
    <row r="228" spans="1:10" x14ac:dyDescent="0.35">
      <c r="A228" s="5" t="s">
        <v>10</v>
      </c>
      <c r="B228" s="6">
        <v>44652</v>
      </c>
      <c r="C228" s="7">
        <v>14000089</v>
      </c>
      <c r="D228" s="7">
        <v>14000089</v>
      </c>
      <c r="E228" s="7">
        <v>0</v>
      </c>
      <c r="F228" t="str">
        <f>VLOOKUP(A228,[1]!Table1[#All],17,FALSE)</f>
        <v>NAMIBIA</v>
      </c>
      <c r="G228" t="str">
        <f>VLOOKUP(A228,[1]!Table1[#All],22,FALSE)</f>
        <v>Potentia Namibia Recruitment consultancy</v>
      </c>
      <c r="H228" s="8">
        <f>VLOOKUP(A228,[1]!Table1[#All],32,FALSE)</f>
        <v>42643</v>
      </c>
      <c r="I228" s="8">
        <f>VLOOKUP(A228,[1]!Table1[#All],33,FALSE)</f>
        <v>44681</v>
      </c>
      <c r="J228" t="str">
        <f t="shared" ca="1" si="3"/>
        <v>Non UDO</v>
      </c>
    </row>
    <row r="229" spans="1:10" x14ac:dyDescent="0.35">
      <c r="A229" s="9" t="s">
        <v>10</v>
      </c>
      <c r="B229" s="10">
        <v>44682</v>
      </c>
      <c r="C229" s="11">
        <v>14000089</v>
      </c>
      <c r="D229" s="11">
        <v>14000089</v>
      </c>
      <c r="E229" s="11">
        <v>0</v>
      </c>
      <c r="F229" t="str">
        <f>VLOOKUP(A229,[1]!Table1[#All],17,FALSE)</f>
        <v>NAMIBIA</v>
      </c>
      <c r="G229" t="str">
        <f>VLOOKUP(A229,[1]!Table1[#All],22,FALSE)</f>
        <v>Potentia Namibia Recruitment consultancy</v>
      </c>
      <c r="H229" s="8">
        <f>VLOOKUP(A229,[1]!Table1[#All],32,FALSE)</f>
        <v>42643</v>
      </c>
      <c r="I229" s="8">
        <f>VLOOKUP(A229,[1]!Table1[#All],33,FALSE)</f>
        <v>44681</v>
      </c>
      <c r="J229" t="str">
        <f t="shared" ca="1" si="3"/>
        <v>Non UDO</v>
      </c>
    </row>
    <row r="230" spans="1:10" x14ac:dyDescent="0.35">
      <c r="A230" s="5" t="s">
        <v>10</v>
      </c>
      <c r="B230" s="6">
        <v>44713</v>
      </c>
      <c r="C230" s="7">
        <v>14000089</v>
      </c>
      <c r="D230" s="7">
        <v>14000089</v>
      </c>
      <c r="E230" s="7">
        <v>0</v>
      </c>
      <c r="F230" t="str">
        <f>VLOOKUP(A230,[1]!Table1[#All],17,FALSE)</f>
        <v>NAMIBIA</v>
      </c>
      <c r="G230" t="str">
        <f>VLOOKUP(A230,[1]!Table1[#All],22,FALSE)</f>
        <v>Potentia Namibia Recruitment consultancy</v>
      </c>
      <c r="H230" s="8">
        <f>VLOOKUP(A230,[1]!Table1[#All],32,FALSE)</f>
        <v>42643</v>
      </c>
      <c r="I230" s="8">
        <f>VLOOKUP(A230,[1]!Table1[#All],33,FALSE)</f>
        <v>44681</v>
      </c>
      <c r="J230" t="str">
        <f t="shared" ca="1" si="3"/>
        <v>Non UDO</v>
      </c>
    </row>
    <row r="231" spans="1:10" x14ac:dyDescent="0.35">
      <c r="A231" s="9" t="s">
        <v>10</v>
      </c>
      <c r="B231" s="10">
        <v>44743</v>
      </c>
      <c r="C231" s="11">
        <v>14000089</v>
      </c>
      <c r="D231" s="11">
        <v>14000089</v>
      </c>
      <c r="E231" s="11">
        <v>0</v>
      </c>
      <c r="F231" t="str">
        <f>VLOOKUP(A231,[1]!Table1[#All],17,FALSE)</f>
        <v>NAMIBIA</v>
      </c>
      <c r="G231" t="str">
        <f>VLOOKUP(A231,[1]!Table1[#All],22,FALSE)</f>
        <v>Potentia Namibia Recruitment consultancy</v>
      </c>
      <c r="H231" s="8">
        <f>VLOOKUP(A231,[1]!Table1[#All],32,FALSE)</f>
        <v>42643</v>
      </c>
      <c r="I231" s="8">
        <f>VLOOKUP(A231,[1]!Table1[#All],33,FALSE)</f>
        <v>44681</v>
      </c>
      <c r="J231" t="str">
        <f t="shared" ca="1" si="3"/>
        <v>Non UDO</v>
      </c>
    </row>
    <row r="232" spans="1:10" x14ac:dyDescent="0.35">
      <c r="A232" s="5" t="s">
        <v>10</v>
      </c>
      <c r="B232" s="6">
        <v>44774</v>
      </c>
      <c r="C232" s="7">
        <v>14000089</v>
      </c>
      <c r="D232" s="7">
        <v>14000089</v>
      </c>
      <c r="E232" s="7">
        <v>0</v>
      </c>
      <c r="F232" t="str">
        <f>VLOOKUP(A232,[1]!Table1[#All],17,FALSE)</f>
        <v>NAMIBIA</v>
      </c>
      <c r="G232" t="str">
        <f>VLOOKUP(A232,[1]!Table1[#All],22,FALSE)</f>
        <v>Potentia Namibia Recruitment consultancy</v>
      </c>
      <c r="H232" s="8">
        <f>VLOOKUP(A232,[1]!Table1[#All],32,FALSE)</f>
        <v>42643</v>
      </c>
      <c r="I232" s="8">
        <f>VLOOKUP(A232,[1]!Table1[#All],33,FALSE)</f>
        <v>44681</v>
      </c>
      <c r="J232" t="str">
        <f t="shared" ca="1" si="3"/>
        <v>Non UDO</v>
      </c>
    </row>
    <row r="233" spans="1:10" x14ac:dyDescent="0.35">
      <c r="A233" s="9" t="s">
        <v>10</v>
      </c>
      <c r="B233" s="10">
        <v>44805</v>
      </c>
      <c r="C233" s="11">
        <v>14000089</v>
      </c>
      <c r="D233" s="11">
        <v>14000089</v>
      </c>
      <c r="E233" s="11">
        <v>0</v>
      </c>
      <c r="F233" t="str">
        <f>VLOOKUP(A233,[1]!Table1[#All],17,FALSE)</f>
        <v>NAMIBIA</v>
      </c>
      <c r="G233" t="str">
        <f>VLOOKUP(A233,[1]!Table1[#All],22,FALSE)</f>
        <v>Potentia Namibia Recruitment consultancy</v>
      </c>
      <c r="H233" s="8">
        <f>VLOOKUP(A233,[1]!Table1[#All],32,FALSE)</f>
        <v>42643</v>
      </c>
      <c r="I233" s="8">
        <f>VLOOKUP(A233,[1]!Table1[#All],33,FALSE)</f>
        <v>44681</v>
      </c>
      <c r="J233" t="str">
        <f t="shared" ca="1" si="3"/>
        <v>Non UDO</v>
      </c>
    </row>
    <row r="234" spans="1:10" x14ac:dyDescent="0.35">
      <c r="A234" s="5" t="s">
        <v>10</v>
      </c>
      <c r="B234" s="6">
        <v>44835</v>
      </c>
      <c r="C234" s="7">
        <v>14000089</v>
      </c>
      <c r="D234" s="7">
        <v>14000089</v>
      </c>
      <c r="E234" s="7">
        <v>0</v>
      </c>
      <c r="F234" t="str">
        <f>VLOOKUP(A234,[1]!Table1[#All],17,FALSE)</f>
        <v>NAMIBIA</v>
      </c>
      <c r="G234" t="str">
        <f>VLOOKUP(A234,[1]!Table1[#All],22,FALSE)</f>
        <v>Potentia Namibia Recruitment consultancy</v>
      </c>
      <c r="H234" s="8">
        <f>VLOOKUP(A234,[1]!Table1[#All],32,FALSE)</f>
        <v>42643</v>
      </c>
      <c r="I234" s="8">
        <f>VLOOKUP(A234,[1]!Table1[#All],33,FALSE)</f>
        <v>44681</v>
      </c>
      <c r="J234" t="str">
        <f t="shared" ca="1" si="3"/>
        <v>Non UDO</v>
      </c>
    </row>
    <row r="235" spans="1:10" x14ac:dyDescent="0.35">
      <c r="A235" s="9" t="s">
        <v>10</v>
      </c>
      <c r="B235" s="10">
        <v>44866</v>
      </c>
      <c r="C235" s="11">
        <v>14000089</v>
      </c>
      <c r="D235" s="11">
        <v>14000089</v>
      </c>
      <c r="E235" s="11">
        <v>0</v>
      </c>
      <c r="F235" t="str">
        <f>VLOOKUP(A235,[1]!Table1[#All],17,FALSE)</f>
        <v>NAMIBIA</v>
      </c>
      <c r="G235" t="str">
        <f>VLOOKUP(A235,[1]!Table1[#All],22,FALSE)</f>
        <v>Potentia Namibia Recruitment consultancy</v>
      </c>
      <c r="H235" s="8">
        <f>VLOOKUP(A235,[1]!Table1[#All],32,FALSE)</f>
        <v>42643</v>
      </c>
      <c r="I235" s="8">
        <f>VLOOKUP(A235,[1]!Table1[#All],33,FALSE)</f>
        <v>44681</v>
      </c>
      <c r="J235" t="str">
        <f t="shared" ca="1" si="3"/>
        <v>Non UDO</v>
      </c>
    </row>
    <row r="236" spans="1:10" x14ac:dyDescent="0.35">
      <c r="A236" s="5" t="s">
        <v>10</v>
      </c>
      <c r="B236" s="6">
        <v>44896</v>
      </c>
      <c r="C236" s="7">
        <v>14000089</v>
      </c>
      <c r="D236" s="7">
        <v>14000089</v>
      </c>
      <c r="E236" s="7">
        <v>0</v>
      </c>
      <c r="F236" t="str">
        <f>VLOOKUP(A236,[1]!Table1[#All],17,FALSE)</f>
        <v>NAMIBIA</v>
      </c>
      <c r="G236" t="str">
        <f>VLOOKUP(A236,[1]!Table1[#All],22,FALSE)</f>
        <v>Potentia Namibia Recruitment consultancy</v>
      </c>
      <c r="H236" s="8">
        <f>VLOOKUP(A236,[1]!Table1[#All],32,FALSE)</f>
        <v>42643</v>
      </c>
      <c r="I236" s="8">
        <f>VLOOKUP(A236,[1]!Table1[#All],33,FALSE)</f>
        <v>44681</v>
      </c>
      <c r="J236" t="str">
        <f t="shared" ca="1" si="3"/>
        <v>Non UDO</v>
      </c>
    </row>
    <row r="237" spans="1:10" x14ac:dyDescent="0.35">
      <c r="A237" s="9" t="s">
        <v>10</v>
      </c>
      <c r="B237" s="10">
        <v>44927</v>
      </c>
      <c r="C237" s="11">
        <v>14000089</v>
      </c>
      <c r="D237" s="11">
        <v>14000089</v>
      </c>
      <c r="E237" s="11">
        <v>0</v>
      </c>
      <c r="F237" t="str">
        <f>VLOOKUP(A237,[1]!Table1[#All],17,FALSE)</f>
        <v>NAMIBIA</v>
      </c>
      <c r="G237" t="str">
        <f>VLOOKUP(A237,[1]!Table1[#All],22,FALSE)</f>
        <v>Potentia Namibia Recruitment consultancy</v>
      </c>
      <c r="H237" s="8">
        <f>VLOOKUP(A237,[1]!Table1[#All],32,FALSE)</f>
        <v>42643</v>
      </c>
      <c r="I237" s="8">
        <f>VLOOKUP(A237,[1]!Table1[#All],33,FALSE)</f>
        <v>44681</v>
      </c>
      <c r="J237" t="str">
        <f t="shared" ca="1" si="3"/>
        <v>Non UDO</v>
      </c>
    </row>
    <row r="238" spans="1:10" x14ac:dyDescent="0.35">
      <c r="A238" s="5" t="s">
        <v>10</v>
      </c>
      <c r="B238" s="6">
        <v>44958</v>
      </c>
      <c r="C238" s="7">
        <v>14000089</v>
      </c>
      <c r="D238" s="7">
        <v>14000089</v>
      </c>
      <c r="E238" s="7">
        <v>0</v>
      </c>
      <c r="F238" t="str">
        <f>VLOOKUP(A238,[1]!Table1[#All],17,FALSE)</f>
        <v>NAMIBIA</v>
      </c>
      <c r="G238" t="str">
        <f>VLOOKUP(A238,[1]!Table1[#All],22,FALSE)</f>
        <v>Potentia Namibia Recruitment consultancy</v>
      </c>
      <c r="H238" s="8">
        <f>VLOOKUP(A238,[1]!Table1[#All],32,FALSE)</f>
        <v>42643</v>
      </c>
      <c r="I238" s="8">
        <f>VLOOKUP(A238,[1]!Table1[#All],33,FALSE)</f>
        <v>44681</v>
      </c>
      <c r="J238" t="str">
        <f t="shared" ca="1" si="3"/>
        <v>Non UDO</v>
      </c>
    </row>
    <row r="239" spans="1:10" x14ac:dyDescent="0.35">
      <c r="A239" s="9" t="s">
        <v>10</v>
      </c>
      <c r="B239" s="10">
        <v>44986</v>
      </c>
      <c r="C239" s="11">
        <v>14000089</v>
      </c>
      <c r="D239" s="11">
        <v>14000089</v>
      </c>
      <c r="E239" s="11">
        <v>0</v>
      </c>
      <c r="F239" t="str">
        <f>VLOOKUP(A239,[1]!Table1[#All],17,FALSE)</f>
        <v>NAMIBIA</v>
      </c>
      <c r="G239" t="str">
        <f>VLOOKUP(A239,[1]!Table1[#All],22,FALSE)</f>
        <v>Potentia Namibia Recruitment consultancy</v>
      </c>
      <c r="H239" s="8">
        <f>VLOOKUP(A239,[1]!Table1[#All],32,FALSE)</f>
        <v>42643</v>
      </c>
      <c r="I239" s="8">
        <f>VLOOKUP(A239,[1]!Table1[#All],33,FALSE)</f>
        <v>44681</v>
      </c>
      <c r="J239" t="str">
        <f t="shared" ca="1" si="3"/>
        <v>Non UDO</v>
      </c>
    </row>
    <row r="240" spans="1:10" x14ac:dyDescent="0.35">
      <c r="A240" s="5" t="s">
        <v>10</v>
      </c>
      <c r="B240" s="6">
        <v>45017</v>
      </c>
      <c r="C240" s="7">
        <v>14000089</v>
      </c>
      <c r="D240" s="7">
        <v>14000089</v>
      </c>
      <c r="E240" s="7">
        <v>0</v>
      </c>
      <c r="F240" t="str">
        <f>VLOOKUP(A240,[1]!Table1[#All],17,FALSE)</f>
        <v>NAMIBIA</v>
      </c>
      <c r="G240" t="str">
        <f>VLOOKUP(A240,[1]!Table1[#All],22,FALSE)</f>
        <v>Potentia Namibia Recruitment consultancy</v>
      </c>
      <c r="H240" s="8">
        <f>VLOOKUP(A240,[1]!Table1[#All],32,FALSE)</f>
        <v>42643</v>
      </c>
      <c r="I240" s="8">
        <f>VLOOKUP(A240,[1]!Table1[#All],33,FALSE)</f>
        <v>44681</v>
      </c>
      <c r="J240" t="str">
        <f t="shared" ca="1" si="3"/>
        <v>Non UDO</v>
      </c>
    </row>
    <row r="241" spans="1:10" x14ac:dyDescent="0.35">
      <c r="A241" s="9" t="s">
        <v>10</v>
      </c>
      <c r="B241" s="10">
        <v>45047</v>
      </c>
      <c r="C241" s="11">
        <v>14000089</v>
      </c>
      <c r="D241" s="11">
        <v>14000089</v>
      </c>
      <c r="E241" s="11">
        <v>0</v>
      </c>
      <c r="F241" t="str">
        <f>VLOOKUP(A241,[1]!Table1[#All],17,FALSE)</f>
        <v>NAMIBIA</v>
      </c>
      <c r="G241" t="str">
        <f>VLOOKUP(A241,[1]!Table1[#All],22,FALSE)</f>
        <v>Potentia Namibia Recruitment consultancy</v>
      </c>
      <c r="H241" s="8">
        <f>VLOOKUP(A241,[1]!Table1[#All],32,FALSE)</f>
        <v>42643</v>
      </c>
      <c r="I241" s="8">
        <f>VLOOKUP(A241,[1]!Table1[#All],33,FALSE)</f>
        <v>44681</v>
      </c>
      <c r="J241" t="str">
        <f t="shared" ca="1" si="3"/>
        <v>Non UDO</v>
      </c>
    </row>
    <row r="242" spans="1:10" x14ac:dyDescent="0.35">
      <c r="A242" s="5" t="s">
        <v>10</v>
      </c>
      <c r="B242" s="6">
        <v>45078</v>
      </c>
      <c r="C242" s="7">
        <v>14000089</v>
      </c>
      <c r="D242" s="7">
        <v>14000089</v>
      </c>
      <c r="E242" s="7">
        <v>0</v>
      </c>
      <c r="F242" t="str">
        <f>VLOOKUP(A242,[1]!Table1[#All],17,FALSE)</f>
        <v>NAMIBIA</v>
      </c>
      <c r="G242" t="str">
        <f>VLOOKUP(A242,[1]!Table1[#All],22,FALSE)</f>
        <v>Potentia Namibia Recruitment consultancy</v>
      </c>
      <c r="H242" s="8">
        <f>VLOOKUP(A242,[1]!Table1[#All],32,FALSE)</f>
        <v>42643</v>
      </c>
      <c r="I242" s="8">
        <f>VLOOKUP(A242,[1]!Table1[#All],33,FALSE)</f>
        <v>44681</v>
      </c>
      <c r="J242" t="str">
        <f t="shared" ca="1" si="3"/>
        <v>Non UDO</v>
      </c>
    </row>
    <row r="243" spans="1:10" x14ac:dyDescent="0.35">
      <c r="A243" s="9" t="s">
        <v>10</v>
      </c>
      <c r="B243" s="10">
        <v>45108</v>
      </c>
      <c r="C243" s="11">
        <v>14000089</v>
      </c>
      <c r="D243" s="11">
        <v>14000089</v>
      </c>
      <c r="E243" s="11">
        <v>0</v>
      </c>
      <c r="F243" t="str">
        <f>VLOOKUP(A243,[1]!Table1[#All],17,FALSE)</f>
        <v>NAMIBIA</v>
      </c>
      <c r="G243" t="str">
        <f>VLOOKUP(A243,[1]!Table1[#All],22,FALSE)</f>
        <v>Potentia Namibia Recruitment consultancy</v>
      </c>
      <c r="H243" s="8">
        <f>VLOOKUP(A243,[1]!Table1[#All],32,FALSE)</f>
        <v>42643</v>
      </c>
      <c r="I243" s="8">
        <f>VLOOKUP(A243,[1]!Table1[#All],33,FALSE)</f>
        <v>44681</v>
      </c>
      <c r="J243" t="str">
        <f t="shared" ca="1" si="3"/>
        <v>Non UDO</v>
      </c>
    </row>
    <row r="244" spans="1:10" x14ac:dyDescent="0.35">
      <c r="A244" s="5" t="s">
        <v>10</v>
      </c>
      <c r="B244" s="6">
        <v>45139</v>
      </c>
      <c r="C244" s="7">
        <v>14000089</v>
      </c>
      <c r="D244" s="7">
        <v>14000089</v>
      </c>
      <c r="E244" s="7">
        <v>0</v>
      </c>
      <c r="F244" t="str">
        <f>VLOOKUP(A244,[1]!Table1[#All],17,FALSE)</f>
        <v>NAMIBIA</v>
      </c>
      <c r="G244" t="str">
        <f>VLOOKUP(A244,[1]!Table1[#All],22,FALSE)</f>
        <v>Potentia Namibia Recruitment consultancy</v>
      </c>
      <c r="H244" s="8">
        <f>VLOOKUP(A244,[1]!Table1[#All],32,FALSE)</f>
        <v>42643</v>
      </c>
      <c r="I244" s="8">
        <f>VLOOKUP(A244,[1]!Table1[#All],33,FALSE)</f>
        <v>44681</v>
      </c>
      <c r="J244" t="str">
        <f t="shared" ca="1" si="3"/>
        <v>Non UDO</v>
      </c>
    </row>
    <row r="245" spans="1:10" x14ac:dyDescent="0.35">
      <c r="A245" s="9" t="s">
        <v>10</v>
      </c>
      <c r="B245" s="10">
        <v>45170</v>
      </c>
      <c r="C245" s="11">
        <v>14000089</v>
      </c>
      <c r="D245" s="11">
        <v>14000089</v>
      </c>
      <c r="E245" s="11">
        <v>0</v>
      </c>
      <c r="F245" t="str">
        <f>VLOOKUP(A245,[1]!Table1[#All],17,FALSE)</f>
        <v>NAMIBIA</v>
      </c>
      <c r="G245" t="str">
        <f>VLOOKUP(A245,[1]!Table1[#All],22,FALSE)</f>
        <v>Potentia Namibia Recruitment consultancy</v>
      </c>
      <c r="H245" s="8">
        <f>VLOOKUP(A245,[1]!Table1[#All],32,FALSE)</f>
        <v>42643</v>
      </c>
      <c r="I245" s="8">
        <f>VLOOKUP(A245,[1]!Table1[#All],33,FALSE)</f>
        <v>44681</v>
      </c>
      <c r="J245" t="str">
        <f t="shared" ca="1" si="3"/>
        <v>Non UDO</v>
      </c>
    </row>
    <row r="246" spans="1:10" x14ac:dyDescent="0.35">
      <c r="A246" s="5" t="s">
        <v>11</v>
      </c>
      <c r="B246" s="6">
        <v>44105</v>
      </c>
      <c r="C246" s="7">
        <v>3938836</v>
      </c>
      <c r="D246" s="7">
        <v>1767419.54</v>
      </c>
      <c r="E246" s="7">
        <v>2171416.46</v>
      </c>
      <c r="F246" t="str">
        <f>VLOOKUP(A246,[1]!Table1[#All],17,FALSE)</f>
        <v>NAMIBIA</v>
      </c>
      <c r="G246" t="str">
        <f>VLOOKUP(A246,[1]!Table1[#All],22,FALSE)</f>
        <v>Namibia Institute of pathology</v>
      </c>
      <c r="H246" s="8">
        <f>VLOOKUP(A246,[1]!Table1[#All],32,FALSE)</f>
        <v>42643</v>
      </c>
      <c r="I246" s="8">
        <f>VLOOKUP(A246,[1]!Table1[#All],33,FALSE)</f>
        <v>44468</v>
      </c>
      <c r="J246" t="str">
        <f t="shared" ca="1" si="3"/>
        <v>UDO</v>
      </c>
    </row>
    <row r="247" spans="1:10" x14ac:dyDescent="0.35">
      <c r="A247" s="9" t="s">
        <v>11</v>
      </c>
      <c r="B247" s="10">
        <v>44136</v>
      </c>
      <c r="C247" s="11">
        <v>3938836</v>
      </c>
      <c r="D247" s="11">
        <v>2158868.4</v>
      </c>
      <c r="E247" s="11">
        <v>1779967.6</v>
      </c>
      <c r="F247" t="str">
        <f>VLOOKUP(A247,[1]!Table1[#All],17,FALSE)</f>
        <v>NAMIBIA</v>
      </c>
      <c r="G247" t="str">
        <f>VLOOKUP(A247,[1]!Table1[#All],22,FALSE)</f>
        <v>Namibia Institute of pathology</v>
      </c>
      <c r="H247" s="8">
        <f>VLOOKUP(A247,[1]!Table1[#All],32,FALSE)</f>
        <v>42643</v>
      </c>
      <c r="I247" s="8">
        <f>VLOOKUP(A247,[1]!Table1[#All],33,FALSE)</f>
        <v>44468</v>
      </c>
      <c r="J247" t="str">
        <f t="shared" ca="1" si="3"/>
        <v>UDO</v>
      </c>
    </row>
    <row r="248" spans="1:10" x14ac:dyDescent="0.35">
      <c r="A248" s="5" t="s">
        <v>11</v>
      </c>
      <c r="B248" s="6">
        <v>44166</v>
      </c>
      <c r="C248" s="7">
        <v>3938836</v>
      </c>
      <c r="D248" s="7">
        <v>2213634.37</v>
      </c>
      <c r="E248" s="7">
        <v>1725201.63</v>
      </c>
      <c r="F248" t="str">
        <f>VLOOKUP(A248,[1]!Table1[#All],17,FALSE)</f>
        <v>NAMIBIA</v>
      </c>
      <c r="G248" t="str">
        <f>VLOOKUP(A248,[1]!Table1[#All],22,FALSE)</f>
        <v>Namibia Institute of pathology</v>
      </c>
      <c r="H248" s="8">
        <f>VLOOKUP(A248,[1]!Table1[#All],32,FALSE)</f>
        <v>42643</v>
      </c>
      <c r="I248" s="8">
        <f>VLOOKUP(A248,[1]!Table1[#All],33,FALSE)</f>
        <v>44468</v>
      </c>
      <c r="J248" t="str">
        <f t="shared" ca="1" si="3"/>
        <v>UDO</v>
      </c>
    </row>
    <row r="249" spans="1:10" x14ac:dyDescent="0.35">
      <c r="A249" s="9" t="s">
        <v>11</v>
      </c>
      <c r="B249" s="10">
        <v>44197</v>
      </c>
      <c r="C249" s="11">
        <v>3938836</v>
      </c>
      <c r="D249" s="11">
        <v>2043083.4</v>
      </c>
      <c r="E249" s="11">
        <v>1895752.6</v>
      </c>
      <c r="F249" t="str">
        <f>VLOOKUP(A249,[1]!Table1[#All],17,FALSE)</f>
        <v>NAMIBIA</v>
      </c>
      <c r="G249" t="str">
        <f>VLOOKUP(A249,[1]!Table1[#All],22,FALSE)</f>
        <v>Namibia Institute of pathology</v>
      </c>
      <c r="H249" s="8">
        <f>VLOOKUP(A249,[1]!Table1[#All],32,FALSE)</f>
        <v>42643</v>
      </c>
      <c r="I249" s="8">
        <f>VLOOKUP(A249,[1]!Table1[#All],33,FALSE)</f>
        <v>44468</v>
      </c>
      <c r="J249" t="str">
        <f t="shared" ca="1" si="3"/>
        <v>UDO</v>
      </c>
    </row>
    <row r="250" spans="1:10" x14ac:dyDescent="0.35">
      <c r="A250" s="5" t="s">
        <v>11</v>
      </c>
      <c r="B250" s="6">
        <v>44228</v>
      </c>
      <c r="C250" s="7">
        <v>3938836</v>
      </c>
      <c r="D250" s="7">
        <v>2442349.8200000003</v>
      </c>
      <c r="E250" s="7">
        <v>1496486.18</v>
      </c>
      <c r="F250" t="str">
        <f>VLOOKUP(A250,[1]!Table1[#All],17,FALSE)</f>
        <v>NAMIBIA</v>
      </c>
      <c r="G250" t="str">
        <f>VLOOKUP(A250,[1]!Table1[#All],22,FALSE)</f>
        <v>Namibia Institute of pathology</v>
      </c>
      <c r="H250" s="8">
        <f>VLOOKUP(A250,[1]!Table1[#All],32,FALSE)</f>
        <v>42643</v>
      </c>
      <c r="I250" s="8">
        <f>VLOOKUP(A250,[1]!Table1[#All],33,FALSE)</f>
        <v>44468</v>
      </c>
      <c r="J250" t="str">
        <f t="shared" ca="1" si="3"/>
        <v>UDO</v>
      </c>
    </row>
    <row r="251" spans="1:10" x14ac:dyDescent="0.35">
      <c r="A251" s="9" t="s">
        <v>11</v>
      </c>
      <c r="B251" s="10">
        <v>44256</v>
      </c>
      <c r="C251" s="11">
        <v>3938836</v>
      </c>
      <c r="D251" s="11">
        <v>2647845.3200000003</v>
      </c>
      <c r="E251" s="11">
        <v>1290990.68</v>
      </c>
      <c r="F251" t="str">
        <f>VLOOKUP(A251,[1]!Table1[#All],17,FALSE)</f>
        <v>NAMIBIA</v>
      </c>
      <c r="G251" t="str">
        <f>VLOOKUP(A251,[1]!Table1[#All],22,FALSE)</f>
        <v>Namibia Institute of pathology</v>
      </c>
      <c r="H251" s="8">
        <f>VLOOKUP(A251,[1]!Table1[#All],32,FALSE)</f>
        <v>42643</v>
      </c>
      <c r="I251" s="8">
        <f>VLOOKUP(A251,[1]!Table1[#All],33,FALSE)</f>
        <v>44468</v>
      </c>
      <c r="J251" t="str">
        <f t="shared" ca="1" si="3"/>
        <v>UDO</v>
      </c>
    </row>
    <row r="252" spans="1:10" x14ac:dyDescent="0.35">
      <c r="A252" s="5" t="s">
        <v>11</v>
      </c>
      <c r="B252" s="6">
        <v>44287</v>
      </c>
      <c r="C252" s="7">
        <v>3938836</v>
      </c>
      <c r="D252" s="7">
        <v>2700205.1500000004</v>
      </c>
      <c r="E252" s="7">
        <v>1238630.8499999999</v>
      </c>
      <c r="F252" t="str">
        <f>VLOOKUP(A252,[1]!Table1[#All],17,FALSE)</f>
        <v>NAMIBIA</v>
      </c>
      <c r="G252" t="str">
        <f>VLOOKUP(A252,[1]!Table1[#All],22,FALSE)</f>
        <v>Namibia Institute of pathology</v>
      </c>
      <c r="H252" s="8">
        <f>VLOOKUP(A252,[1]!Table1[#All],32,FALSE)</f>
        <v>42643</v>
      </c>
      <c r="I252" s="8">
        <f>VLOOKUP(A252,[1]!Table1[#All],33,FALSE)</f>
        <v>44468</v>
      </c>
      <c r="J252" t="str">
        <f t="shared" ca="1" si="3"/>
        <v>UDO</v>
      </c>
    </row>
    <row r="253" spans="1:10" x14ac:dyDescent="0.35">
      <c r="A253" s="9" t="s">
        <v>11</v>
      </c>
      <c r="B253" s="10">
        <v>44317</v>
      </c>
      <c r="C253" s="11">
        <v>3938836</v>
      </c>
      <c r="D253" s="11">
        <v>3012643.6900000004</v>
      </c>
      <c r="E253" s="11">
        <v>926192.31</v>
      </c>
      <c r="F253" t="str">
        <f>VLOOKUP(A253,[1]!Table1[#All],17,FALSE)</f>
        <v>NAMIBIA</v>
      </c>
      <c r="G253" t="str">
        <f>VLOOKUP(A253,[1]!Table1[#All],22,FALSE)</f>
        <v>Namibia Institute of pathology</v>
      </c>
      <c r="H253" s="8">
        <f>VLOOKUP(A253,[1]!Table1[#All],32,FALSE)</f>
        <v>42643</v>
      </c>
      <c r="I253" s="8">
        <f>VLOOKUP(A253,[1]!Table1[#All],33,FALSE)</f>
        <v>44468</v>
      </c>
      <c r="J253" t="str">
        <f t="shared" ca="1" si="3"/>
        <v>UDO</v>
      </c>
    </row>
    <row r="254" spans="1:10" x14ac:dyDescent="0.35">
      <c r="A254" s="5" t="s">
        <v>11</v>
      </c>
      <c r="B254" s="6">
        <v>44348</v>
      </c>
      <c r="C254" s="7">
        <v>3938836</v>
      </c>
      <c r="D254" s="7">
        <v>3197703.69</v>
      </c>
      <c r="E254" s="7">
        <v>741132.30999999994</v>
      </c>
      <c r="F254" t="str">
        <f>VLOOKUP(A254,[1]!Table1[#All],17,FALSE)</f>
        <v>NAMIBIA</v>
      </c>
      <c r="G254" t="str">
        <f>VLOOKUP(A254,[1]!Table1[#All],22,FALSE)</f>
        <v>Namibia Institute of pathology</v>
      </c>
      <c r="H254" s="8">
        <f>VLOOKUP(A254,[1]!Table1[#All],32,FALSE)</f>
        <v>42643</v>
      </c>
      <c r="I254" s="8">
        <f>VLOOKUP(A254,[1]!Table1[#All],33,FALSE)</f>
        <v>44468</v>
      </c>
      <c r="J254" t="str">
        <f t="shared" ca="1" si="3"/>
        <v>UDO</v>
      </c>
    </row>
    <row r="255" spans="1:10" x14ac:dyDescent="0.35">
      <c r="A255" s="9" t="s">
        <v>11</v>
      </c>
      <c r="B255" s="10">
        <v>44378</v>
      </c>
      <c r="C255" s="11">
        <v>3938836</v>
      </c>
      <c r="D255" s="11">
        <v>3264786.09</v>
      </c>
      <c r="E255" s="11">
        <v>674049.90999999992</v>
      </c>
      <c r="F255" t="str">
        <f>VLOOKUP(A255,[1]!Table1[#All],17,FALSE)</f>
        <v>NAMIBIA</v>
      </c>
      <c r="G255" t="str">
        <f>VLOOKUP(A255,[1]!Table1[#All],22,FALSE)</f>
        <v>Namibia Institute of pathology</v>
      </c>
      <c r="H255" s="8">
        <f>VLOOKUP(A255,[1]!Table1[#All],32,FALSE)</f>
        <v>42643</v>
      </c>
      <c r="I255" s="8">
        <f>VLOOKUP(A255,[1]!Table1[#All],33,FALSE)</f>
        <v>44468</v>
      </c>
      <c r="J255" t="str">
        <f t="shared" ca="1" si="3"/>
        <v>UDO</v>
      </c>
    </row>
    <row r="256" spans="1:10" x14ac:dyDescent="0.35">
      <c r="A256" s="5" t="s">
        <v>11</v>
      </c>
      <c r="B256" s="6">
        <v>44409</v>
      </c>
      <c r="C256" s="7">
        <v>3938836</v>
      </c>
      <c r="D256" s="7">
        <v>3616252.63</v>
      </c>
      <c r="E256" s="7">
        <v>322583.37</v>
      </c>
      <c r="F256" t="str">
        <f>VLOOKUP(A256,[1]!Table1[#All],17,FALSE)</f>
        <v>NAMIBIA</v>
      </c>
      <c r="G256" t="str">
        <f>VLOOKUP(A256,[1]!Table1[#All],22,FALSE)</f>
        <v>Namibia Institute of pathology</v>
      </c>
      <c r="H256" s="8">
        <f>VLOOKUP(A256,[1]!Table1[#All],32,FALSE)</f>
        <v>42643</v>
      </c>
      <c r="I256" s="8">
        <f>VLOOKUP(A256,[1]!Table1[#All],33,FALSE)</f>
        <v>44468</v>
      </c>
      <c r="J256" t="str">
        <f t="shared" ca="1" si="3"/>
        <v>UDO</v>
      </c>
    </row>
    <row r="257" spans="1:10" x14ac:dyDescent="0.35">
      <c r="A257" s="9" t="s">
        <v>11</v>
      </c>
      <c r="B257" s="10">
        <v>44440</v>
      </c>
      <c r="C257" s="11">
        <v>3938836</v>
      </c>
      <c r="D257" s="11">
        <v>3645584.15</v>
      </c>
      <c r="E257" s="11">
        <v>293251.84999999998</v>
      </c>
      <c r="F257" t="str">
        <f>VLOOKUP(A257,[1]!Table1[#All],17,FALSE)</f>
        <v>NAMIBIA</v>
      </c>
      <c r="G257" t="str">
        <f>VLOOKUP(A257,[1]!Table1[#All],22,FALSE)</f>
        <v>Namibia Institute of pathology</v>
      </c>
      <c r="H257" s="8">
        <f>VLOOKUP(A257,[1]!Table1[#All],32,FALSE)</f>
        <v>42643</v>
      </c>
      <c r="I257" s="8">
        <f>VLOOKUP(A257,[1]!Table1[#All],33,FALSE)</f>
        <v>44468</v>
      </c>
      <c r="J257" t="str">
        <f t="shared" ca="1" si="3"/>
        <v>UDO</v>
      </c>
    </row>
    <row r="258" spans="1:10" x14ac:dyDescent="0.35">
      <c r="A258" s="5" t="s">
        <v>11</v>
      </c>
      <c r="B258" s="6">
        <v>44470</v>
      </c>
      <c r="C258" s="7">
        <v>3938836</v>
      </c>
      <c r="D258" s="7">
        <v>3938836</v>
      </c>
      <c r="E258" s="7">
        <v>0</v>
      </c>
      <c r="F258" t="str">
        <f>VLOOKUP(A258,[1]!Table1[#All],17,FALSE)</f>
        <v>NAMIBIA</v>
      </c>
      <c r="G258" t="str">
        <f>VLOOKUP(A258,[1]!Table1[#All],22,FALSE)</f>
        <v>Namibia Institute of pathology</v>
      </c>
      <c r="H258" s="8">
        <f>VLOOKUP(A258,[1]!Table1[#All],32,FALSE)</f>
        <v>42643</v>
      </c>
      <c r="I258" s="8">
        <f>VLOOKUP(A258,[1]!Table1[#All],33,FALSE)</f>
        <v>44468</v>
      </c>
      <c r="J258" t="str">
        <f t="shared" ca="1" si="3"/>
        <v>Non UDO</v>
      </c>
    </row>
    <row r="259" spans="1:10" x14ac:dyDescent="0.35">
      <c r="A259" s="9" t="s">
        <v>11</v>
      </c>
      <c r="B259" s="10">
        <v>44501</v>
      </c>
      <c r="C259" s="11">
        <v>3938836</v>
      </c>
      <c r="D259" s="11">
        <v>3938836</v>
      </c>
      <c r="E259" s="11">
        <v>0</v>
      </c>
      <c r="F259" t="str">
        <f>VLOOKUP(A259,[1]!Table1[#All],17,FALSE)</f>
        <v>NAMIBIA</v>
      </c>
      <c r="G259" t="str">
        <f>VLOOKUP(A259,[1]!Table1[#All],22,FALSE)</f>
        <v>Namibia Institute of pathology</v>
      </c>
      <c r="H259" s="8">
        <f>VLOOKUP(A259,[1]!Table1[#All],32,FALSE)</f>
        <v>42643</v>
      </c>
      <c r="I259" s="8">
        <f>VLOOKUP(A259,[1]!Table1[#All],33,FALSE)</f>
        <v>44468</v>
      </c>
      <c r="J259" t="str">
        <f t="shared" ref="J259:J322" ca="1" si="4">IF(AND( E259&gt;0,TODAY()&gt;I259),"UDO","Non UDO")</f>
        <v>Non UDO</v>
      </c>
    </row>
    <row r="260" spans="1:10" x14ac:dyDescent="0.35">
      <c r="A260" s="5" t="s">
        <v>11</v>
      </c>
      <c r="B260" s="6">
        <v>44531</v>
      </c>
      <c r="C260" s="7">
        <v>3938836</v>
      </c>
      <c r="D260" s="7">
        <v>3938836</v>
      </c>
      <c r="E260" s="7">
        <v>0</v>
      </c>
      <c r="F260" t="str">
        <f>VLOOKUP(A260,[1]!Table1[#All],17,FALSE)</f>
        <v>NAMIBIA</v>
      </c>
      <c r="G260" t="str">
        <f>VLOOKUP(A260,[1]!Table1[#All],22,FALSE)</f>
        <v>Namibia Institute of pathology</v>
      </c>
      <c r="H260" s="8">
        <f>VLOOKUP(A260,[1]!Table1[#All],32,FALSE)</f>
        <v>42643</v>
      </c>
      <c r="I260" s="8">
        <f>VLOOKUP(A260,[1]!Table1[#All],33,FALSE)</f>
        <v>44468</v>
      </c>
      <c r="J260" t="str">
        <f t="shared" ca="1" si="4"/>
        <v>Non UDO</v>
      </c>
    </row>
    <row r="261" spans="1:10" x14ac:dyDescent="0.35">
      <c r="A261" s="9" t="s">
        <v>11</v>
      </c>
      <c r="B261" s="10">
        <v>44562</v>
      </c>
      <c r="C261" s="11">
        <v>3938836</v>
      </c>
      <c r="D261" s="11">
        <v>3938836</v>
      </c>
      <c r="E261" s="11">
        <v>0</v>
      </c>
      <c r="F261" t="str">
        <f>VLOOKUP(A261,[1]!Table1[#All],17,FALSE)</f>
        <v>NAMIBIA</v>
      </c>
      <c r="G261" t="str">
        <f>VLOOKUP(A261,[1]!Table1[#All],22,FALSE)</f>
        <v>Namibia Institute of pathology</v>
      </c>
      <c r="H261" s="8">
        <f>VLOOKUP(A261,[1]!Table1[#All],32,FALSE)</f>
        <v>42643</v>
      </c>
      <c r="I261" s="8">
        <f>VLOOKUP(A261,[1]!Table1[#All],33,FALSE)</f>
        <v>44468</v>
      </c>
      <c r="J261" t="str">
        <f t="shared" ca="1" si="4"/>
        <v>Non UDO</v>
      </c>
    </row>
    <row r="262" spans="1:10" x14ac:dyDescent="0.35">
      <c r="A262" s="5" t="s">
        <v>11</v>
      </c>
      <c r="B262" s="6">
        <v>44593</v>
      </c>
      <c r="C262" s="7">
        <v>3938836</v>
      </c>
      <c r="D262" s="7">
        <v>3938836</v>
      </c>
      <c r="E262" s="7">
        <v>0</v>
      </c>
      <c r="F262" t="str">
        <f>VLOOKUP(A262,[1]!Table1[#All],17,FALSE)</f>
        <v>NAMIBIA</v>
      </c>
      <c r="G262" t="str">
        <f>VLOOKUP(A262,[1]!Table1[#All],22,FALSE)</f>
        <v>Namibia Institute of pathology</v>
      </c>
      <c r="H262" s="8">
        <f>VLOOKUP(A262,[1]!Table1[#All],32,FALSE)</f>
        <v>42643</v>
      </c>
      <c r="I262" s="8">
        <f>VLOOKUP(A262,[1]!Table1[#All],33,FALSE)</f>
        <v>44468</v>
      </c>
      <c r="J262" t="str">
        <f t="shared" ca="1" si="4"/>
        <v>Non UDO</v>
      </c>
    </row>
    <row r="263" spans="1:10" x14ac:dyDescent="0.35">
      <c r="A263" s="9" t="s">
        <v>11</v>
      </c>
      <c r="B263" s="10">
        <v>44621</v>
      </c>
      <c r="C263" s="11">
        <v>3938836</v>
      </c>
      <c r="D263" s="11">
        <v>3938836</v>
      </c>
      <c r="E263" s="11">
        <v>0</v>
      </c>
      <c r="F263" t="str">
        <f>VLOOKUP(A263,[1]!Table1[#All],17,FALSE)</f>
        <v>NAMIBIA</v>
      </c>
      <c r="G263" t="str">
        <f>VLOOKUP(A263,[1]!Table1[#All],22,FALSE)</f>
        <v>Namibia Institute of pathology</v>
      </c>
      <c r="H263" s="8">
        <f>VLOOKUP(A263,[1]!Table1[#All],32,FALSE)</f>
        <v>42643</v>
      </c>
      <c r="I263" s="8">
        <f>VLOOKUP(A263,[1]!Table1[#All],33,FALSE)</f>
        <v>44468</v>
      </c>
      <c r="J263" t="str">
        <f t="shared" ca="1" si="4"/>
        <v>Non UDO</v>
      </c>
    </row>
    <row r="264" spans="1:10" x14ac:dyDescent="0.35">
      <c r="A264" s="5" t="s">
        <v>11</v>
      </c>
      <c r="B264" s="6">
        <v>44652</v>
      </c>
      <c r="C264" s="7">
        <v>3938836</v>
      </c>
      <c r="D264" s="7">
        <v>3938836</v>
      </c>
      <c r="E264" s="7">
        <v>0</v>
      </c>
      <c r="F264" t="str">
        <f>VLOOKUP(A264,[1]!Table1[#All],17,FALSE)</f>
        <v>NAMIBIA</v>
      </c>
      <c r="G264" t="str">
        <f>VLOOKUP(A264,[1]!Table1[#All],22,FALSE)</f>
        <v>Namibia Institute of pathology</v>
      </c>
      <c r="H264" s="8">
        <f>VLOOKUP(A264,[1]!Table1[#All],32,FALSE)</f>
        <v>42643</v>
      </c>
      <c r="I264" s="8">
        <f>VLOOKUP(A264,[1]!Table1[#All],33,FALSE)</f>
        <v>44468</v>
      </c>
      <c r="J264" t="str">
        <f t="shared" ca="1" si="4"/>
        <v>Non UDO</v>
      </c>
    </row>
    <row r="265" spans="1:10" x14ac:dyDescent="0.35">
      <c r="A265" s="9" t="s">
        <v>11</v>
      </c>
      <c r="B265" s="10">
        <v>44682</v>
      </c>
      <c r="C265" s="11">
        <v>3938836</v>
      </c>
      <c r="D265" s="11">
        <v>3938836</v>
      </c>
      <c r="E265" s="11">
        <v>0</v>
      </c>
      <c r="F265" t="str">
        <f>VLOOKUP(A265,[1]!Table1[#All],17,FALSE)</f>
        <v>NAMIBIA</v>
      </c>
      <c r="G265" t="str">
        <f>VLOOKUP(A265,[1]!Table1[#All],22,FALSE)</f>
        <v>Namibia Institute of pathology</v>
      </c>
      <c r="H265" s="8">
        <f>VLOOKUP(A265,[1]!Table1[#All],32,FALSE)</f>
        <v>42643</v>
      </c>
      <c r="I265" s="8">
        <f>VLOOKUP(A265,[1]!Table1[#All],33,FALSE)</f>
        <v>44468</v>
      </c>
      <c r="J265" t="str">
        <f t="shared" ca="1" si="4"/>
        <v>Non UDO</v>
      </c>
    </row>
    <row r="266" spans="1:10" x14ac:dyDescent="0.35">
      <c r="A266" s="5" t="s">
        <v>11</v>
      </c>
      <c r="B266" s="6">
        <v>44713</v>
      </c>
      <c r="C266" s="7">
        <v>3938836</v>
      </c>
      <c r="D266" s="7">
        <v>3938836</v>
      </c>
      <c r="E266" s="7">
        <v>0</v>
      </c>
      <c r="F266" t="str">
        <f>VLOOKUP(A266,[1]!Table1[#All],17,FALSE)</f>
        <v>NAMIBIA</v>
      </c>
      <c r="G266" t="str">
        <f>VLOOKUP(A266,[1]!Table1[#All],22,FALSE)</f>
        <v>Namibia Institute of pathology</v>
      </c>
      <c r="H266" s="8">
        <f>VLOOKUP(A266,[1]!Table1[#All],32,FALSE)</f>
        <v>42643</v>
      </c>
      <c r="I266" s="8">
        <f>VLOOKUP(A266,[1]!Table1[#All],33,FALSE)</f>
        <v>44468</v>
      </c>
      <c r="J266" t="str">
        <f t="shared" ca="1" si="4"/>
        <v>Non UDO</v>
      </c>
    </row>
    <row r="267" spans="1:10" x14ac:dyDescent="0.35">
      <c r="A267" s="9" t="s">
        <v>11</v>
      </c>
      <c r="B267" s="10">
        <v>44743</v>
      </c>
      <c r="C267" s="11">
        <v>3938836</v>
      </c>
      <c r="D267" s="11">
        <v>3938836</v>
      </c>
      <c r="E267" s="11">
        <v>0</v>
      </c>
      <c r="F267" t="str">
        <f>VLOOKUP(A267,[1]!Table1[#All],17,FALSE)</f>
        <v>NAMIBIA</v>
      </c>
      <c r="G267" t="str">
        <f>VLOOKUP(A267,[1]!Table1[#All],22,FALSE)</f>
        <v>Namibia Institute of pathology</v>
      </c>
      <c r="H267" s="8">
        <f>VLOOKUP(A267,[1]!Table1[#All],32,FALSE)</f>
        <v>42643</v>
      </c>
      <c r="I267" s="8">
        <f>VLOOKUP(A267,[1]!Table1[#All],33,FALSE)</f>
        <v>44468</v>
      </c>
      <c r="J267" t="str">
        <f t="shared" ca="1" si="4"/>
        <v>Non UDO</v>
      </c>
    </row>
    <row r="268" spans="1:10" x14ac:dyDescent="0.35">
      <c r="A268" s="5" t="s">
        <v>11</v>
      </c>
      <c r="B268" s="6">
        <v>44774</v>
      </c>
      <c r="C268" s="7">
        <v>3938836</v>
      </c>
      <c r="D268" s="7">
        <v>3938836</v>
      </c>
      <c r="E268" s="7">
        <v>0</v>
      </c>
      <c r="F268" t="str">
        <f>VLOOKUP(A268,[1]!Table1[#All],17,FALSE)</f>
        <v>NAMIBIA</v>
      </c>
      <c r="G268" t="str">
        <f>VLOOKUP(A268,[1]!Table1[#All],22,FALSE)</f>
        <v>Namibia Institute of pathology</v>
      </c>
      <c r="H268" s="8">
        <f>VLOOKUP(A268,[1]!Table1[#All],32,FALSE)</f>
        <v>42643</v>
      </c>
      <c r="I268" s="8">
        <f>VLOOKUP(A268,[1]!Table1[#All],33,FALSE)</f>
        <v>44468</v>
      </c>
      <c r="J268" t="str">
        <f t="shared" ca="1" si="4"/>
        <v>Non UDO</v>
      </c>
    </row>
    <row r="269" spans="1:10" x14ac:dyDescent="0.35">
      <c r="A269" s="9" t="s">
        <v>11</v>
      </c>
      <c r="B269" s="10">
        <v>44805</v>
      </c>
      <c r="C269" s="11">
        <v>3938836</v>
      </c>
      <c r="D269" s="11">
        <v>3938836</v>
      </c>
      <c r="E269" s="11">
        <v>0</v>
      </c>
      <c r="F269" t="str">
        <f>VLOOKUP(A269,[1]!Table1[#All],17,FALSE)</f>
        <v>NAMIBIA</v>
      </c>
      <c r="G269" t="str">
        <f>VLOOKUP(A269,[1]!Table1[#All],22,FALSE)</f>
        <v>Namibia Institute of pathology</v>
      </c>
      <c r="H269" s="8">
        <f>VLOOKUP(A269,[1]!Table1[#All],32,FALSE)</f>
        <v>42643</v>
      </c>
      <c r="I269" s="8">
        <f>VLOOKUP(A269,[1]!Table1[#All],33,FALSE)</f>
        <v>44468</v>
      </c>
      <c r="J269" t="str">
        <f t="shared" ca="1" si="4"/>
        <v>Non UDO</v>
      </c>
    </row>
    <row r="270" spans="1:10" x14ac:dyDescent="0.35">
      <c r="A270" s="5" t="s">
        <v>11</v>
      </c>
      <c r="B270" s="6">
        <v>44835</v>
      </c>
      <c r="C270" s="7">
        <v>3938836</v>
      </c>
      <c r="D270" s="7">
        <v>3938836</v>
      </c>
      <c r="E270" s="7">
        <v>0</v>
      </c>
      <c r="F270" t="str">
        <f>VLOOKUP(A270,[1]!Table1[#All],17,FALSE)</f>
        <v>NAMIBIA</v>
      </c>
      <c r="G270" t="str">
        <f>VLOOKUP(A270,[1]!Table1[#All],22,FALSE)</f>
        <v>Namibia Institute of pathology</v>
      </c>
      <c r="H270" s="8">
        <f>VLOOKUP(A270,[1]!Table1[#All],32,FALSE)</f>
        <v>42643</v>
      </c>
      <c r="I270" s="8">
        <f>VLOOKUP(A270,[1]!Table1[#All],33,FALSE)</f>
        <v>44468</v>
      </c>
      <c r="J270" t="str">
        <f t="shared" ca="1" si="4"/>
        <v>Non UDO</v>
      </c>
    </row>
    <row r="271" spans="1:10" x14ac:dyDescent="0.35">
      <c r="A271" s="9" t="s">
        <v>11</v>
      </c>
      <c r="B271" s="10">
        <v>44866</v>
      </c>
      <c r="C271" s="11">
        <v>3938836</v>
      </c>
      <c r="D271" s="11">
        <v>3938836</v>
      </c>
      <c r="E271" s="11">
        <v>0</v>
      </c>
      <c r="F271" t="str">
        <f>VLOOKUP(A271,[1]!Table1[#All],17,FALSE)</f>
        <v>NAMIBIA</v>
      </c>
      <c r="G271" t="str">
        <f>VLOOKUP(A271,[1]!Table1[#All],22,FALSE)</f>
        <v>Namibia Institute of pathology</v>
      </c>
      <c r="H271" s="8">
        <f>VLOOKUP(A271,[1]!Table1[#All],32,FALSE)</f>
        <v>42643</v>
      </c>
      <c r="I271" s="8">
        <f>VLOOKUP(A271,[1]!Table1[#All],33,FALSE)</f>
        <v>44468</v>
      </c>
      <c r="J271" t="str">
        <f t="shared" ca="1" si="4"/>
        <v>Non UDO</v>
      </c>
    </row>
    <row r="272" spans="1:10" x14ac:dyDescent="0.35">
      <c r="A272" s="5" t="s">
        <v>11</v>
      </c>
      <c r="B272" s="6">
        <v>44896</v>
      </c>
      <c r="C272" s="7">
        <v>3938836</v>
      </c>
      <c r="D272" s="7">
        <v>3938836</v>
      </c>
      <c r="E272" s="7">
        <v>0</v>
      </c>
      <c r="F272" t="str">
        <f>VLOOKUP(A272,[1]!Table1[#All],17,FALSE)</f>
        <v>NAMIBIA</v>
      </c>
      <c r="G272" t="str">
        <f>VLOOKUP(A272,[1]!Table1[#All],22,FALSE)</f>
        <v>Namibia Institute of pathology</v>
      </c>
      <c r="H272" s="8">
        <f>VLOOKUP(A272,[1]!Table1[#All],32,FALSE)</f>
        <v>42643</v>
      </c>
      <c r="I272" s="8">
        <f>VLOOKUP(A272,[1]!Table1[#All],33,FALSE)</f>
        <v>44468</v>
      </c>
      <c r="J272" t="str">
        <f t="shared" ca="1" si="4"/>
        <v>Non UDO</v>
      </c>
    </row>
    <row r="273" spans="1:10" x14ac:dyDescent="0.35">
      <c r="A273" s="9" t="s">
        <v>11</v>
      </c>
      <c r="B273" s="10">
        <v>44927</v>
      </c>
      <c r="C273" s="11">
        <v>3938836</v>
      </c>
      <c r="D273" s="11">
        <v>3938836</v>
      </c>
      <c r="E273" s="11">
        <v>0</v>
      </c>
      <c r="F273" t="str">
        <f>VLOOKUP(A273,[1]!Table1[#All],17,FALSE)</f>
        <v>NAMIBIA</v>
      </c>
      <c r="G273" t="str">
        <f>VLOOKUP(A273,[1]!Table1[#All],22,FALSE)</f>
        <v>Namibia Institute of pathology</v>
      </c>
      <c r="H273" s="8">
        <f>VLOOKUP(A273,[1]!Table1[#All],32,FALSE)</f>
        <v>42643</v>
      </c>
      <c r="I273" s="8">
        <f>VLOOKUP(A273,[1]!Table1[#All],33,FALSE)</f>
        <v>44468</v>
      </c>
      <c r="J273" t="str">
        <f t="shared" ca="1" si="4"/>
        <v>Non UDO</v>
      </c>
    </row>
    <row r="274" spans="1:10" x14ac:dyDescent="0.35">
      <c r="A274" s="5" t="s">
        <v>11</v>
      </c>
      <c r="B274" s="6">
        <v>44958</v>
      </c>
      <c r="C274" s="7">
        <v>3938836</v>
      </c>
      <c r="D274" s="7">
        <v>3938836</v>
      </c>
      <c r="E274" s="7">
        <v>0</v>
      </c>
      <c r="F274" t="str">
        <f>VLOOKUP(A274,[1]!Table1[#All],17,FALSE)</f>
        <v>NAMIBIA</v>
      </c>
      <c r="G274" t="str">
        <f>VLOOKUP(A274,[1]!Table1[#All],22,FALSE)</f>
        <v>Namibia Institute of pathology</v>
      </c>
      <c r="H274" s="8">
        <f>VLOOKUP(A274,[1]!Table1[#All],32,FALSE)</f>
        <v>42643</v>
      </c>
      <c r="I274" s="8">
        <f>VLOOKUP(A274,[1]!Table1[#All],33,FALSE)</f>
        <v>44468</v>
      </c>
      <c r="J274" t="str">
        <f t="shared" ca="1" si="4"/>
        <v>Non UDO</v>
      </c>
    </row>
    <row r="275" spans="1:10" x14ac:dyDescent="0.35">
      <c r="A275" s="9" t="s">
        <v>11</v>
      </c>
      <c r="B275" s="10">
        <v>44986</v>
      </c>
      <c r="C275" s="11">
        <v>3938836</v>
      </c>
      <c r="D275" s="11">
        <v>3938836</v>
      </c>
      <c r="E275" s="11">
        <v>0</v>
      </c>
      <c r="F275" t="str">
        <f>VLOOKUP(A275,[1]!Table1[#All],17,FALSE)</f>
        <v>NAMIBIA</v>
      </c>
      <c r="G275" t="str">
        <f>VLOOKUP(A275,[1]!Table1[#All],22,FALSE)</f>
        <v>Namibia Institute of pathology</v>
      </c>
      <c r="H275" s="8">
        <f>VLOOKUP(A275,[1]!Table1[#All],32,FALSE)</f>
        <v>42643</v>
      </c>
      <c r="I275" s="8">
        <f>VLOOKUP(A275,[1]!Table1[#All],33,FALSE)</f>
        <v>44468</v>
      </c>
      <c r="J275" t="str">
        <f t="shared" ca="1" si="4"/>
        <v>Non UDO</v>
      </c>
    </row>
    <row r="276" spans="1:10" x14ac:dyDescent="0.35">
      <c r="A276" s="5" t="s">
        <v>11</v>
      </c>
      <c r="B276" s="6">
        <v>45017</v>
      </c>
      <c r="C276" s="7">
        <v>3938836</v>
      </c>
      <c r="D276" s="7">
        <v>3938836</v>
      </c>
      <c r="E276" s="7">
        <v>0</v>
      </c>
      <c r="F276" t="str">
        <f>VLOOKUP(A276,[1]!Table1[#All],17,FALSE)</f>
        <v>NAMIBIA</v>
      </c>
      <c r="G276" t="str">
        <f>VLOOKUP(A276,[1]!Table1[#All],22,FALSE)</f>
        <v>Namibia Institute of pathology</v>
      </c>
      <c r="H276" s="8">
        <f>VLOOKUP(A276,[1]!Table1[#All],32,FALSE)</f>
        <v>42643</v>
      </c>
      <c r="I276" s="8">
        <f>VLOOKUP(A276,[1]!Table1[#All],33,FALSE)</f>
        <v>44468</v>
      </c>
      <c r="J276" t="str">
        <f t="shared" ca="1" si="4"/>
        <v>Non UDO</v>
      </c>
    </row>
    <row r="277" spans="1:10" x14ac:dyDescent="0.35">
      <c r="A277" s="9" t="s">
        <v>11</v>
      </c>
      <c r="B277" s="10">
        <v>45047</v>
      </c>
      <c r="C277" s="11">
        <v>3938836</v>
      </c>
      <c r="D277" s="11">
        <v>3938836</v>
      </c>
      <c r="E277" s="11">
        <v>0</v>
      </c>
      <c r="F277" t="str">
        <f>VLOOKUP(A277,[1]!Table1[#All],17,FALSE)</f>
        <v>NAMIBIA</v>
      </c>
      <c r="G277" t="str">
        <f>VLOOKUP(A277,[1]!Table1[#All],22,FALSE)</f>
        <v>Namibia Institute of pathology</v>
      </c>
      <c r="H277" s="8">
        <f>VLOOKUP(A277,[1]!Table1[#All],32,FALSE)</f>
        <v>42643</v>
      </c>
      <c r="I277" s="8">
        <f>VLOOKUP(A277,[1]!Table1[#All],33,FALSE)</f>
        <v>44468</v>
      </c>
      <c r="J277" t="str">
        <f t="shared" ca="1" si="4"/>
        <v>Non UDO</v>
      </c>
    </row>
    <row r="278" spans="1:10" x14ac:dyDescent="0.35">
      <c r="A278" s="5" t="s">
        <v>11</v>
      </c>
      <c r="B278" s="6">
        <v>45078</v>
      </c>
      <c r="C278" s="7">
        <v>3938836</v>
      </c>
      <c r="D278" s="7">
        <v>3938836</v>
      </c>
      <c r="E278" s="7">
        <v>0</v>
      </c>
      <c r="F278" t="str">
        <f>VLOOKUP(A278,[1]!Table1[#All],17,FALSE)</f>
        <v>NAMIBIA</v>
      </c>
      <c r="G278" t="str">
        <f>VLOOKUP(A278,[1]!Table1[#All],22,FALSE)</f>
        <v>Namibia Institute of pathology</v>
      </c>
      <c r="H278" s="8">
        <f>VLOOKUP(A278,[1]!Table1[#All],32,FALSE)</f>
        <v>42643</v>
      </c>
      <c r="I278" s="8">
        <f>VLOOKUP(A278,[1]!Table1[#All],33,FALSE)</f>
        <v>44468</v>
      </c>
      <c r="J278" t="str">
        <f t="shared" ca="1" si="4"/>
        <v>Non UDO</v>
      </c>
    </row>
    <row r="279" spans="1:10" x14ac:dyDescent="0.35">
      <c r="A279" s="9" t="s">
        <v>11</v>
      </c>
      <c r="B279" s="10">
        <v>45108</v>
      </c>
      <c r="C279" s="11">
        <v>3938836</v>
      </c>
      <c r="D279" s="11">
        <v>3938836</v>
      </c>
      <c r="E279" s="11">
        <v>0</v>
      </c>
      <c r="F279" t="str">
        <f>VLOOKUP(A279,[1]!Table1[#All],17,FALSE)</f>
        <v>NAMIBIA</v>
      </c>
      <c r="G279" t="str">
        <f>VLOOKUP(A279,[1]!Table1[#All],22,FALSE)</f>
        <v>Namibia Institute of pathology</v>
      </c>
      <c r="H279" s="8">
        <f>VLOOKUP(A279,[1]!Table1[#All],32,FALSE)</f>
        <v>42643</v>
      </c>
      <c r="I279" s="8">
        <f>VLOOKUP(A279,[1]!Table1[#All],33,FALSE)</f>
        <v>44468</v>
      </c>
      <c r="J279" t="str">
        <f t="shared" ca="1" si="4"/>
        <v>Non UDO</v>
      </c>
    </row>
    <row r="280" spans="1:10" x14ac:dyDescent="0.35">
      <c r="A280" s="5" t="s">
        <v>11</v>
      </c>
      <c r="B280" s="6">
        <v>45139</v>
      </c>
      <c r="C280" s="7">
        <v>3938836</v>
      </c>
      <c r="D280" s="7">
        <v>3938836</v>
      </c>
      <c r="E280" s="7">
        <v>0</v>
      </c>
      <c r="F280" t="str">
        <f>VLOOKUP(A280,[1]!Table1[#All],17,FALSE)</f>
        <v>NAMIBIA</v>
      </c>
      <c r="G280" t="str">
        <f>VLOOKUP(A280,[1]!Table1[#All],22,FALSE)</f>
        <v>Namibia Institute of pathology</v>
      </c>
      <c r="H280" s="8">
        <f>VLOOKUP(A280,[1]!Table1[#All],32,FALSE)</f>
        <v>42643</v>
      </c>
      <c r="I280" s="8">
        <f>VLOOKUP(A280,[1]!Table1[#All],33,FALSE)</f>
        <v>44468</v>
      </c>
      <c r="J280" t="str">
        <f t="shared" ca="1" si="4"/>
        <v>Non UDO</v>
      </c>
    </row>
    <row r="281" spans="1:10" x14ac:dyDescent="0.35">
      <c r="A281" s="9" t="s">
        <v>11</v>
      </c>
      <c r="B281" s="10">
        <v>45170</v>
      </c>
      <c r="C281" s="11">
        <v>3938836</v>
      </c>
      <c r="D281" s="11">
        <v>3938836</v>
      </c>
      <c r="E281" s="11">
        <v>0</v>
      </c>
      <c r="F281" t="str">
        <f>VLOOKUP(A281,[1]!Table1[#All],17,FALSE)</f>
        <v>NAMIBIA</v>
      </c>
      <c r="G281" t="str">
        <f>VLOOKUP(A281,[1]!Table1[#All],22,FALSE)</f>
        <v>Namibia Institute of pathology</v>
      </c>
      <c r="H281" s="8">
        <f>VLOOKUP(A281,[1]!Table1[#All],32,FALSE)</f>
        <v>42643</v>
      </c>
      <c r="I281" s="8">
        <f>VLOOKUP(A281,[1]!Table1[#All],33,FALSE)</f>
        <v>44468</v>
      </c>
      <c r="J281" t="str">
        <f t="shared" ca="1" si="4"/>
        <v>Non UDO</v>
      </c>
    </row>
    <row r="282" spans="1:10" x14ac:dyDescent="0.35">
      <c r="A282" s="5" t="s">
        <v>12</v>
      </c>
      <c r="B282" s="6">
        <v>44105</v>
      </c>
      <c r="C282" s="7">
        <v>102175953</v>
      </c>
      <c r="D282" s="7">
        <v>49445958</v>
      </c>
      <c r="E282" s="7">
        <v>52729995</v>
      </c>
      <c r="F282" t="str">
        <f>VLOOKUP(A282,[1]!Table1[#All],17,FALSE)</f>
        <v>SOUTH AFRICA</v>
      </c>
      <c r="G282" t="str">
        <f>VLOOKUP(A282,[1]!Table1[#All],22,FALSE)</f>
        <v>TRUST FOR HEALTH SYSTEMS PLANNING AND DEVELOPMENT</v>
      </c>
      <c r="H282" s="8">
        <f>VLOOKUP(A282,[1]!Table1[#All],32,FALSE)</f>
        <v>42643</v>
      </c>
      <c r="I282" s="8">
        <f>VLOOKUP(A282,[1]!Table1[#All],33,FALSE)</f>
        <v>44833</v>
      </c>
      <c r="J282" t="str">
        <f t="shared" ca="1" si="4"/>
        <v>UDO</v>
      </c>
    </row>
    <row r="283" spans="1:10" x14ac:dyDescent="0.35">
      <c r="A283" s="9" t="s">
        <v>12</v>
      </c>
      <c r="B283" s="10">
        <v>44136</v>
      </c>
      <c r="C283" s="11">
        <v>102175953</v>
      </c>
      <c r="D283" s="11">
        <v>54945958</v>
      </c>
      <c r="E283" s="11">
        <v>47229995</v>
      </c>
      <c r="F283" t="str">
        <f>VLOOKUP(A283,[1]!Table1[#All],17,FALSE)</f>
        <v>SOUTH AFRICA</v>
      </c>
      <c r="G283" t="str">
        <f>VLOOKUP(A283,[1]!Table1[#All],22,FALSE)</f>
        <v>TRUST FOR HEALTH SYSTEMS PLANNING AND DEVELOPMENT</v>
      </c>
      <c r="H283" s="8">
        <f>VLOOKUP(A283,[1]!Table1[#All],32,FALSE)</f>
        <v>42643</v>
      </c>
      <c r="I283" s="8">
        <f>VLOOKUP(A283,[1]!Table1[#All],33,FALSE)</f>
        <v>44833</v>
      </c>
      <c r="J283" t="str">
        <f t="shared" ca="1" si="4"/>
        <v>UDO</v>
      </c>
    </row>
    <row r="284" spans="1:10" x14ac:dyDescent="0.35">
      <c r="A284" s="5" t="s">
        <v>12</v>
      </c>
      <c r="B284" s="6">
        <v>44166</v>
      </c>
      <c r="C284" s="7">
        <v>102175953</v>
      </c>
      <c r="D284" s="7">
        <v>56945957.999999993</v>
      </c>
      <c r="E284" s="7">
        <v>45229995.000000007</v>
      </c>
      <c r="F284" t="str">
        <f>VLOOKUP(A284,[1]!Table1[#All],17,FALSE)</f>
        <v>SOUTH AFRICA</v>
      </c>
      <c r="G284" t="str">
        <f>VLOOKUP(A284,[1]!Table1[#All],22,FALSE)</f>
        <v>TRUST FOR HEALTH SYSTEMS PLANNING AND DEVELOPMENT</v>
      </c>
      <c r="H284" s="8">
        <f>VLOOKUP(A284,[1]!Table1[#All],32,FALSE)</f>
        <v>42643</v>
      </c>
      <c r="I284" s="8">
        <f>VLOOKUP(A284,[1]!Table1[#All],33,FALSE)</f>
        <v>44833</v>
      </c>
      <c r="J284" t="str">
        <f t="shared" ca="1" si="4"/>
        <v>UDO</v>
      </c>
    </row>
    <row r="285" spans="1:10" x14ac:dyDescent="0.35">
      <c r="A285" s="9" t="s">
        <v>12</v>
      </c>
      <c r="B285" s="10">
        <v>44197</v>
      </c>
      <c r="C285" s="11">
        <v>102175953</v>
      </c>
      <c r="D285" s="11">
        <v>69155998</v>
      </c>
      <c r="E285" s="11">
        <v>33019955</v>
      </c>
      <c r="F285" t="str">
        <f>VLOOKUP(A285,[1]!Table1[#All],17,FALSE)</f>
        <v>SOUTH AFRICA</v>
      </c>
      <c r="G285" t="str">
        <f>VLOOKUP(A285,[1]!Table1[#All],22,FALSE)</f>
        <v>TRUST FOR HEALTH SYSTEMS PLANNING AND DEVELOPMENT</v>
      </c>
      <c r="H285" s="8">
        <f>VLOOKUP(A285,[1]!Table1[#All],32,FALSE)</f>
        <v>42643</v>
      </c>
      <c r="I285" s="8">
        <f>VLOOKUP(A285,[1]!Table1[#All],33,FALSE)</f>
        <v>44833</v>
      </c>
      <c r="J285" t="str">
        <f t="shared" ca="1" si="4"/>
        <v>UDO</v>
      </c>
    </row>
    <row r="286" spans="1:10" x14ac:dyDescent="0.35">
      <c r="A286" s="5" t="s">
        <v>12</v>
      </c>
      <c r="B286" s="6">
        <v>44228</v>
      </c>
      <c r="C286" s="7">
        <v>102175953</v>
      </c>
      <c r="D286" s="7">
        <v>74291010</v>
      </c>
      <c r="E286" s="7">
        <v>27884943</v>
      </c>
      <c r="F286" t="str">
        <f>VLOOKUP(A286,[1]!Table1[#All],17,FALSE)</f>
        <v>SOUTH AFRICA</v>
      </c>
      <c r="G286" t="str">
        <f>VLOOKUP(A286,[1]!Table1[#All],22,FALSE)</f>
        <v>TRUST FOR HEALTH SYSTEMS PLANNING AND DEVELOPMENT</v>
      </c>
      <c r="H286" s="8">
        <f>VLOOKUP(A286,[1]!Table1[#All],32,FALSE)</f>
        <v>42643</v>
      </c>
      <c r="I286" s="8">
        <f>VLOOKUP(A286,[1]!Table1[#All],33,FALSE)</f>
        <v>44833</v>
      </c>
      <c r="J286" t="str">
        <f t="shared" ca="1" si="4"/>
        <v>UDO</v>
      </c>
    </row>
    <row r="287" spans="1:10" x14ac:dyDescent="0.35">
      <c r="A287" s="9" t="s">
        <v>12</v>
      </c>
      <c r="B287" s="10">
        <v>44256</v>
      </c>
      <c r="C287" s="11">
        <v>102175953</v>
      </c>
      <c r="D287" s="11">
        <v>78591485</v>
      </c>
      <c r="E287" s="11">
        <v>23584468</v>
      </c>
      <c r="F287" t="str">
        <f>VLOOKUP(A287,[1]!Table1[#All],17,FALSE)</f>
        <v>SOUTH AFRICA</v>
      </c>
      <c r="G287" t="str">
        <f>VLOOKUP(A287,[1]!Table1[#All],22,FALSE)</f>
        <v>TRUST FOR HEALTH SYSTEMS PLANNING AND DEVELOPMENT</v>
      </c>
      <c r="H287" s="8">
        <f>VLOOKUP(A287,[1]!Table1[#All],32,FALSE)</f>
        <v>42643</v>
      </c>
      <c r="I287" s="8">
        <f>VLOOKUP(A287,[1]!Table1[#All],33,FALSE)</f>
        <v>44833</v>
      </c>
      <c r="J287" t="str">
        <f t="shared" ca="1" si="4"/>
        <v>UDO</v>
      </c>
    </row>
    <row r="288" spans="1:10" x14ac:dyDescent="0.35">
      <c r="A288" s="5" t="s">
        <v>12</v>
      </c>
      <c r="B288" s="6">
        <v>44287</v>
      </c>
      <c r="C288" s="7">
        <v>1190000</v>
      </c>
      <c r="D288" s="7">
        <v>460000</v>
      </c>
      <c r="E288" s="7">
        <v>730000</v>
      </c>
      <c r="F288" t="str">
        <f>VLOOKUP(A288,[1]!Table1[#All],17,FALSE)</f>
        <v>SOUTH AFRICA</v>
      </c>
      <c r="G288" t="str">
        <f>VLOOKUP(A288,[1]!Table1[#All],22,FALSE)</f>
        <v>TRUST FOR HEALTH SYSTEMS PLANNING AND DEVELOPMENT</v>
      </c>
      <c r="H288" s="8">
        <f>VLOOKUP(A288,[1]!Table1[#All],32,FALSE)</f>
        <v>42643</v>
      </c>
      <c r="I288" s="8">
        <f>VLOOKUP(A288,[1]!Table1[#All],33,FALSE)</f>
        <v>44833</v>
      </c>
      <c r="J288" t="str">
        <f t="shared" ca="1" si="4"/>
        <v>UDO</v>
      </c>
    </row>
    <row r="289" spans="1:10" x14ac:dyDescent="0.35">
      <c r="A289" s="9" t="s">
        <v>12</v>
      </c>
      <c r="B289" s="10">
        <v>44317</v>
      </c>
      <c r="C289" s="11">
        <v>102175953</v>
      </c>
      <c r="D289" s="11">
        <v>89869100</v>
      </c>
      <c r="E289" s="11">
        <v>12306853</v>
      </c>
      <c r="F289" t="str">
        <f>VLOOKUP(A289,[1]!Table1[#All],17,FALSE)</f>
        <v>SOUTH AFRICA</v>
      </c>
      <c r="G289" t="str">
        <f>VLOOKUP(A289,[1]!Table1[#All],22,FALSE)</f>
        <v>TRUST FOR HEALTH SYSTEMS PLANNING AND DEVELOPMENT</v>
      </c>
      <c r="H289" s="8">
        <f>VLOOKUP(A289,[1]!Table1[#All],32,FALSE)</f>
        <v>42643</v>
      </c>
      <c r="I289" s="8">
        <f>VLOOKUP(A289,[1]!Table1[#All],33,FALSE)</f>
        <v>44833</v>
      </c>
      <c r="J289" t="str">
        <f t="shared" ca="1" si="4"/>
        <v>UDO</v>
      </c>
    </row>
    <row r="290" spans="1:10" x14ac:dyDescent="0.35">
      <c r="A290" s="5" t="s">
        <v>12</v>
      </c>
      <c r="B290" s="6">
        <v>44348</v>
      </c>
      <c r="C290" s="7">
        <v>102175953</v>
      </c>
      <c r="D290" s="7">
        <v>94917754.999999985</v>
      </c>
      <c r="E290" s="7">
        <v>7258198</v>
      </c>
      <c r="F290" t="str">
        <f>VLOOKUP(A290,[1]!Table1[#All],17,FALSE)</f>
        <v>SOUTH AFRICA</v>
      </c>
      <c r="G290" t="str">
        <f>VLOOKUP(A290,[1]!Table1[#All],22,FALSE)</f>
        <v>TRUST FOR HEALTH SYSTEMS PLANNING AND DEVELOPMENT</v>
      </c>
      <c r="H290" s="8">
        <f>VLOOKUP(A290,[1]!Table1[#All],32,FALSE)</f>
        <v>42643</v>
      </c>
      <c r="I290" s="8">
        <f>VLOOKUP(A290,[1]!Table1[#All],33,FALSE)</f>
        <v>44833</v>
      </c>
      <c r="J290" t="str">
        <f t="shared" ca="1" si="4"/>
        <v>UDO</v>
      </c>
    </row>
    <row r="291" spans="1:10" x14ac:dyDescent="0.35">
      <c r="A291" s="9" t="s">
        <v>12</v>
      </c>
      <c r="B291" s="10">
        <v>44378</v>
      </c>
      <c r="C291" s="11">
        <v>102175953</v>
      </c>
      <c r="D291" s="11">
        <v>97824707.999999985</v>
      </c>
      <c r="E291" s="11">
        <v>4351245</v>
      </c>
      <c r="F291" t="str">
        <f>VLOOKUP(A291,[1]!Table1[#All],17,FALSE)</f>
        <v>SOUTH AFRICA</v>
      </c>
      <c r="G291" t="str">
        <f>VLOOKUP(A291,[1]!Table1[#All],22,FALSE)</f>
        <v>TRUST FOR HEALTH SYSTEMS PLANNING AND DEVELOPMENT</v>
      </c>
      <c r="H291" s="8">
        <f>VLOOKUP(A291,[1]!Table1[#All],32,FALSE)</f>
        <v>42643</v>
      </c>
      <c r="I291" s="8">
        <f>VLOOKUP(A291,[1]!Table1[#All],33,FALSE)</f>
        <v>44833</v>
      </c>
      <c r="J291" t="str">
        <f t="shared" ca="1" si="4"/>
        <v>UDO</v>
      </c>
    </row>
    <row r="292" spans="1:10" x14ac:dyDescent="0.35">
      <c r="A292" s="5" t="s">
        <v>12</v>
      </c>
      <c r="B292" s="6">
        <v>44409</v>
      </c>
      <c r="C292" s="7">
        <v>102175953</v>
      </c>
      <c r="D292" s="7">
        <v>101695953</v>
      </c>
      <c r="E292" s="7">
        <v>480000</v>
      </c>
      <c r="F292" t="str">
        <f>VLOOKUP(A292,[1]!Table1[#All],17,FALSE)</f>
        <v>SOUTH AFRICA</v>
      </c>
      <c r="G292" t="str">
        <f>VLOOKUP(A292,[1]!Table1[#All],22,FALSE)</f>
        <v>TRUST FOR HEALTH SYSTEMS PLANNING AND DEVELOPMENT</v>
      </c>
      <c r="H292" s="8">
        <f>VLOOKUP(A292,[1]!Table1[#All],32,FALSE)</f>
        <v>42643</v>
      </c>
      <c r="I292" s="8">
        <f>VLOOKUP(A292,[1]!Table1[#All],33,FALSE)</f>
        <v>44833</v>
      </c>
      <c r="J292" t="str">
        <f t="shared" ca="1" si="4"/>
        <v>UDO</v>
      </c>
    </row>
    <row r="293" spans="1:10" x14ac:dyDescent="0.35">
      <c r="A293" s="9" t="s">
        <v>12</v>
      </c>
      <c r="B293" s="10">
        <v>44440</v>
      </c>
      <c r="C293" s="11">
        <v>102175953</v>
      </c>
      <c r="D293" s="11">
        <v>101695953</v>
      </c>
      <c r="E293" s="11">
        <v>480000</v>
      </c>
      <c r="F293" t="str">
        <f>VLOOKUP(A293,[1]!Table1[#All],17,FALSE)</f>
        <v>SOUTH AFRICA</v>
      </c>
      <c r="G293" t="str">
        <f>VLOOKUP(A293,[1]!Table1[#All],22,FALSE)</f>
        <v>TRUST FOR HEALTH SYSTEMS PLANNING AND DEVELOPMENT</v>
      </c>
      <c r="H293" s="8">
        <f>VLOOKUP(A293,[1]!Table1[#All],32,FALSE)</f>
        <v>42643</v>
      </c>
      <c r="I293" s="8">
        <f>VLOOKUP(A293,[1]!Table1[#All],33,FALSE)</f>
        <v>44833</v>
      </c>
      <c r="J293" t="str">
        <f t="shared" ca="1" si="4"/>
        <v>UDO</v>
      </c>
    </row>
    <row r="294" spans="1:10" x14ac:dyDescent="0.35">
      <c r="A294" s="5" t="s">
        <v>12</v>
      </c>
      <c r="B294" s="6">
        <v>44470</v>
      </c>
      <c r="C294" s="7">
        <v>102175953</v>
      </c>
      <c r="D294" s="7">
        <v>101695953</v>
      </c>
      <c r="E294" s="7">
        <v>480000</v>
      </c>
      <c r="F294" t="str">
        <f>VLOOKUP(A294,[1]!Table1[#All],17,FALSE)</f>
        <v>SOUTH AFRICA</v>
      </c>
      <c r="G294" t="str">
        <f>VLOOKUP(A294,[1]!Table1[#All],22,FALSE)</f>
        <v>TRUST FOR HEALTH SYSTEMS PLANNING AND DEVELOPMENT</v>
      </c>
      <c r="H294" s="8">
        <f>VLOOKUP(A294,[1]!Table1[#All],32,FALSE)</f>
        <v>42643</v>
      </c>
      <c r="I294" s="8">
        <f>VLOOKUP(A294,[1]!Table1[#All],33,FALSE)</f>
        <v>44833</v>
      </c>
      <c r="J294" t="str">
        <f t="shared" ca="1" si="4"/>
        <v>UDO</v>
      </c>
    </row>
    <row r="295" spans="1:10" x14ac:dyDescent="0.35">
      <c r="A295" s="9" t="s">
        <v>12</v>
      </c>
      <c r="B295" s="10">
        <v>44501</v>
      </c>
      <c r="C295" s="11">
        <v>102175953</v>
      </c>
      <c r="D295" s="11">
        <v>101695953</v>
      </c>
      <c r="E295" s="11">
        <v>480000</v>
      </c>
      <c r="F295" t="str">
        <f>VLOOKUP(A295,[1]!Table1[#All],17,FALSE)</f>
        <v>SOUTH AFRICA</v>
      </c>
      <c r="G295" t="str">
        <f>VLOOKUP(A295,[1]!Table1[#All],22,FALSE)</f>
        <v>TRUST FOR HEALTH SYSTEMS PLANNING AND DEVELOPMENT</v>
      </c>
      <c r="H295" s="8">
        <f>VLOOKUP(A295,[1]!Table1[#All],32,FALSE)</f>
        <v>42643</v>
      </c>
      <c r="I295" s="8">
        <f>VLOOKUP(A295,[1]!Table1[#All],33,FALSE)</f>
        <v>44833</v>
      </c>
      <c r="J295" t="str">
        <f t="shared" ca="1" si="4"/>
        <v>UDO</v>
      </c>
    </row>
    <row r="296" spans="1:10" x14ac:dyDescent="0.35">
      <c r="A296" s="5" t="s">
        <v>12</v>
      </c>
      <c r="B296" s="6">
        <v>44531</v>
      </c>
      <c r="C296" s="7">
        <v>102175953</v>
      </c>
      <c r="D296" s="7">
        <v>101838389</v>
      </c>
      <c r="E296" s="7">
        <v>337564</v>
      </c>
      <c r="F296" t="str">
        <f>VLOOKUP(A296,[1]!Table1[#All],17,FALSE)</f>
        <v>SOUTH AFRICA</v>
      </c>
      <c r="G296" t="str">
        <f>VLOOKUP(A296,[1]!Table1[#All],22,FALSE)</f>
        <v>TRUST FOR HEALTH SYSTEMS PLANNING AND DEVELOPMENT</v>
      </c>
      <c r="H296" s="8">
        <f>VLOOKUP(A296,[1]!Table1[#All],32,FALSE)</f>
        <v>42643</v>
      </c>
      <c r="I296" s="8">
        <f>VLOOKUP(A296,[1]!Table1[#All],33,FALSE)</f>
        <v>44833</v>
      </c>
      <c r="J296" t="str">
        <f t="shared" ca="1" si="4"/>
        <v>UDO</v>
      </c>
    </row>
    <row r="297" spans="1:10" x14ac:dyDescent="0.35">
      <c r="A297" s="9" t="s">
        <v>12</v>
      </c>
      <c r="B297" s="10">
        <v>44562</v>
      </c>
      <c r="C297" s="11">
        <v>102175953</v>
      </c>
      <c r="D297" s="11">
        <v>101846207</v>
      </c>
      <c r="E297" s="11">
        <v>329746</v>
      </c>
      <c r="F297" t="str">
        <f>VLOOKUP(A297,[1]!Table1[#All],17,FALSE)</f>
        <v>SOUTH AFRICA</v>
      </c>
      <c r="G297" t="str">
        <f>VLOOKUP(A297,[1]!Table1[#All],22,FALSE)</f>
        <v>TRUST FOR HEALTH SYSTEMS PLANNING AND DEVELOPMENT</v>
      </c>
      <c r="H297" s="8">
        <f>VLOOKUP(A297,[1]!Table1[#All],32,FALSE)</f>
        <v>42643</v>
      </c>
      <c r="I297" s="8">
        <f>VLOOKUP(A297,[1]!Table1[#All],33,FALSE)</f>
        <v>44833</v>
      </c>
      <c r="J297" t="str">
        <f t="shared" ca="1" si="4"/>
        <v>UDO</v>
      </c>
    </row>
    <row r="298" spans="1:10" x14ac:dyDescent="0.35">
      <c r="A298" s="5" t="s">
        <v>12</v>
      </c>
      <c r="B298" s="6">
        <v>44593</v>
      </c>
      <c r="C298" s="7">
        <v>102175953</v>
      </c>
      <c r="D298" s="7">
        <v>101897902</v>
      </c>
      <c r="E298" s="7">
        <v>278051</v>
      </c>
      <c r="F298" t="str">
        <f>VLOOKUP(A298,[1]!Table1[#All],17,FALSE)</f>
        <v>SOUTH AFRICA</v>
      </c>
      <c r="G298" t="str">
        <f>VLOOKUP(A298,[1]!Table1[#All],22,FALSE)</f>
        <v>TRUST FOR HEALTH SYSTEMS PLANNING AND DEVELOPMENT</v>
      </c>
      <c r="H298" s="8">
        <f>VLOOKUP(A298,[1]!Table1[#All],32,FALSE)</f>
        <v>42643</v>
      </c>
      <c r="I298" s="8">
        <f>VLOOKUP(A298,[1]!Table1[#All],33,FALSE)</f>
        <v>44833</v>
      </c>
      <c r="J298" t="str">
        <f t="shared" ca="1" si="4"/>
        <v>UDO</v>
      </c>
    </row>
    <row r="299" spans="1:10" x14ac:dyDescent="0.35">
      <c r="A299" s="9" t="s">
        <v>12</v>
      </c>
      <c r="B299" s="10">
        <v>44621</v>
      </c>
      <c r="C299" s="11">
        <v>102175953</v>
      </c>
      <c r="D299" s="11">
        <v>101915402</v>
      </c>
      <c r="E299" s="11">
        <v>260551</v>
      </c>
      <c r="F299" t="str">
        <f>VLOOKUP(A299,[1]!Table1[#All],17,FALSE)</f>
        <v>SOUTH AFRICA</v>
      </c>
      <c r="G299" t="str">
        <f>VLOOKUP(A299,[1]!Table1[#All],22,FALSE)</f>
        <v>TRUST FOR HEALTH SYSTEMS PLANNING AND DEVELOPMENT</v>
      </c>
      <c r="H299" s="8">
        <f>VLOOKUP(A299,[1]!Table1[#All],32,FALSE)</f>
        <v>42643</v>
      </c>
      <c r="I299" s="8">
        <f>VLOOKUP(A299,[1]!Table1[#All],33,FALSE)</f>
        <v>44833</v>
      </c>
      <c r="J299" t="str">
        <f t="shared" ca="1" si="4"/>
        <v>UDO</v>
      </c>
    </row>
    <row r="300" spans="1:10" x14ac:dyDescent="0.35">
      <c r="A300" s="5" t="s">
        <v>12</v>
      </c>
      <c r="B300" s="6">
        <v>44652</v>
      </c>
      <c r="C300" s="7">
        <v>102175953</v>
      </c>
      <c r="D300" s="7">
        <v>101915402</v>
      </c>
      <c r="E300" s="7">
        <v>260551</v>
      </c>
      <c r="F300" t="str">
        <f>VLOOKUP(A300,[1]!Table1[#All],17,FALSE)</f>
        <v>SOUTH AFRICA</v>
      </c>
      <c r="G300" t="str">
        <f>VLOOKUP(A300,[1]!Table1[#All],22,FALSE)</f>
        <v>TRUST FOR HEALTH SYSTEMS PLANNING AND DEVELOPMENT</v>
      </c>
      <c r="H300" s="8">
        <f>VLOOKUP(A300,[1]!Table1[#All],32,FALSE)</f>
        <v>42643</v>
      </c>
      <c r="I300" s="8">
        <f>VLOOKUP(A300,[1]!Table1[#All],33,FALSE)</f>
        <v>44833</v>
      </c>
      <c r="J300" t="str">
        <f t="shared" ca="1" si="4"/>
        <v>UDO</v>
      </c>
    </row>
    <row r="301" spans="1:10" x14ac:dyDescent="0.35">
      <c r="A301" s="9" t="s">
        <v>12</v>
      </c>
      <c r="B301" s="10">
        <v>44682</v>
      </c>
      <c r="C301" s="11">
        <v>102175953</v>
      </c>
      <c r="D301" s="11">
        <v>101915402</v>
      </c>
      <c r="E301" s="11">
        <v>260551</v>
      </c>
      <c r="F301" t="str">
        <f>VLOOKUP(A301,[1]!Table1[#All],17,FALSE)</f>
        <v>SOUTH AFRICA</v>
      </c>
      <c r="G301" t="str">
        <f>VLOOKUP(A301,[1]!Table1[#All],22,FALSE)</f>
        <v>TRUST FOR HEALTH SYSTEMS PLANNING AND DEVELOPMENT</v>
      </c>
      <c r="H301" s="8">
        <f>VLOOKUP(A301,[1]!Table1[#All],32,FALSE)</f>
        <v>42643</v>
      </c>
      <c r="I301" s="8">
        <f>VLOOKUP(A301,[1]!Table1[#All],33,FALSE)</f>
        <v>44833</v>
      </c>
      <c r="J301" t="str">
        <f t="shared" ca="1" si="4"/>
        <v>UDO</v>
      </c>
    </row>
    <row r="302" spans="1:10" x14ac:dyDescent="0.35">
      <c r="A302" s="5" t="s">
        <v>12</v>
      </c>
      <c r="B302" s="6">
        <v>44713</v>
      </c>
      <c r="C302" s="7">
        <v>102175953</v>
      </c>
      <c r="D302" s="7">
        <v>101915402</v>
      </c>
      <c r="E302" s="7">
        <v>260551</v>
      </c>
      <c r="F302" t="str">
        <f>VLOOKUP(A302,[1]!Table1[#All],17,FALSE)</f>
        <v>SOUTH AFRICA</v>
      </c>
      <c r="G302" t="str">
        <f>VLOOKUP(A302,[1]!Table1[#All],22,FALSE)</f>
        <v>TRUST FOR HEALTH SYSTEMS PLANNING AND DEVELOPMENT</v>
      </c>
      <c r="H302" s="8">
        <f>VLOOKUP(A302,[1]!Table1[#All],32,FALSE)</f>
        <v>42643</v>
      </c>
      <c r="I302" s="8">
        <f>VLOOKUP(A302,[1]!Table1[#All],33,FALSE)</f>
        <v>44833</v>
      </c>
      <c r="J302" t="str">
        <f t="shared" ca="1" si="4"/>
        <v>UDO</v>
      </c>
    </row>
    <row r="303" spans="1:10" x14ac:dyDescent="0.35">
      <c r="A303" s="9" t="s">
        <v>12</v>
      </c>
      <c r="B303" s="10">
        <v>44743</v>
      </c>
      <c r="C303" s="11">
        <v>102175953</v>
      </c>
      <c r="D303" s="11">
        <v>102094539</v>
      </c>
      <c r="E303" s="11">
        <v>81414</v>
      </c>
      <c r="F303" t="str">
        <f>VLOOKUP(A303,[1]!Table1[#All],17,FALSE)</f>
        <v>SOUTH AFRICA</v>
      </c>
      <c r="G303" t="str">
        <f>VLOOKUP(A303,[1]!Table1[#All],22,FALSE)</f>
        <v>TRUST FOR HEALTH SYSTEMS PLANNING AND DEVELOPMENT</v>
      </c>
      <c r="H303" s="8">
        <f>VLOOKUP(A303,[1]!Table1[#All],32,FALSE)</f>
        <v>42643</v>
      </c>
      <c r="I303" s="8">
        <f>VLOOKUP(A303,[1]!Table1[#All],33,FALSE)</f>
        <v>44833</v>
      </c>
      <c r="J303" t="str">
        <f t="shared" ca="1" si="4"/>
        <v>UDO</v>
      </c>
    </row>
    <row r="304" spans="1:10" x14ac:dyDescent="0.35">
      <c r="A304" s="5" t="s">
        <v>12</v>
      </c>
      <c r="B304" s="6">
        <v>44774</v>
      </c>
      <c r="C304" s="7">
        <v>102175953</v>
      </c>
      <c r="D304" s="7">
        <v>102175953</v>
      </c>
      <c r="E304" s="7">
        <v>0</v>
      </c>
      <c r="F304" t="str">
        <f>VLOOKUP(A304,[1]!Table1[#All],17,FALSE)</f>
        <v>SOUTH AFRICA</v>
      </c>
      <c r="G304" t="str">
        <f>VLOOKUP(A304,[1]!Table1[#All],22,FALSE)</f>
        <v>TRUST FOR HEALTH SYSTEMS PLANNING AND DEVELOPMENT</v>
      </c>
      <c r="H304" s="8">
        <f>VLOOKUP(A304,[1]!Table1[#All],32,FALSE)</f>
        <v>42643</v>
      </c>
      <c r="I304" s="8">
        <f>VLOOKUP(A304,[1]!Table1[#All],33,FALSE)</f>
        <v>44833</v>
      </c>
      <c r="J304" t="str">
        <f t="shared" ca="1" si="4"/>
        <v>Non UDO</v>
      </c>
    </row>
    <row r="305" spans="1:10" x14ac:dyDescent="0.35">
      <c r="A305" s="9" t="s">
        <v>12</v>
      </c>
      <c r="B305" s="10">
        <v>44805</v>
      </c>
      <c r="C305" s="11">
        <v>102175953</v>
      </c>
      <c r="D305" s="11">
        <v>102175953</v>
      </c>
      <c r="E305" s="11">
        <v>0</v>
      </c>
      <c r="F305" t="str">
        <f>VLOOKUP(A305,[1]!Table1[#All],17,FALSE)</f>
        <v>SOUTH AFRICA</v>
      </c>
      <c r="G305" t="str">
        <f>VLOOKUP(A305,[1]!Table1[#All],22,FALSE)</f>
        <v>TRUST FOR HEALTH SYSTEMS PLANNING AND DEVELOPMENT</v>
      </c>
      <c r="H305" s="8">
        <f>VLOOKUP(A305,[1]!Table1[#All],32,FALSE)</f>
        <v>42643</v>
      </c>
      <c r="I305" s="8">
        <f>VLOOKUP(A305,[1]!Table1[#All],33,FALSE)</f>
        <v>44833</v>
      </c>
      <c r="J305" t="str">
        <f t="shared" ca="1" si="4"/>
        <v>Non UDO</v>
      </c>
    </row>
    <row r="306" spans="1:10" x14ac:dyDescent="0.35">
      <c r="A306" s="5" t="s">
        <v>12</v>
      </c>
      <c r="B306" s="6">
        <v>44835</v>
      </c>
      <c r="C306" s="7">
        <v>102175953</v>
      </c>
      <c r="D306" s="7">
        <v>102175953</v>
      </c>
      <c r="E306" s="7">
        <v>0</v>
      </c>
      <c r="F306" t="str">
        <f>VLOOKUP(A306,[1]!Table1[#All],17,FALSE)</f>
        <v>SOUTH AFRICA</v>
      </c>
      <c r="G306" t="str">
        <f>VLOOKUP(A306,[1]!Table1[#All],22,FALSE)</f>
        <v>TRUST FOR HEALTH SYSTEMS PLANNING AND DEVELOPMENT</v>
      </c>
      <c r="H306" s="8">
        <f>VLOOKUP(A306,[1]!Table1[#All],32,FALSE)</f>
        <v>42643</v>
      </c>
      <c r="I306" s="8">
        <f>VLOOKUP(A306,[1]!Table1[#All],33,FALSE)</f>
        <v>44833</v>
      </c>
      <c r="J306" t="str">
        <f t="shared" ca="1" si="4"/>
        <v>Non UDO</v>
      </c>
    </row>
    <row r="307" spans="1:10" x14ac:dyDescent="0.35">
      <c r="A307" s="9" t="s">
        <v>12</v>
      </c>
      <c r="B307" s="10">
        <v>44866</v>
      </c>
      <c r="C307" s="11">
        <v>102175953</v>
      </c>
      <c r="D307" s="11">
        <v>102175953</v>
      </c>
      <c r="E307" s="11">
        <v>0</v>
      </c>
      <c r="F307" t="str">
        <f>VLOOKUP(A307,[1]!Table1[#All],17,FALSE)</f>
        <v>SOUTH AFRICA</v>
      </c>
      <c r="G307" t="str">
        <f>VLOOKUP(A307,[1]!Table1[#All],22,FALSE)</f>
        <v>TRUST FOR HEALTH SYSTEMS PLANNING AND DEVELOPMENT</v>
      </c>
      <c r="H307" s="8">
        <f>VLOOKUP(A307,[1]!Table1[#All],32,FALSE)</f>
        <v>42643</v>
      </c>
      <c r="I307" s="8">
        <f>VLOOKUP(A307,[1]!Table1[#All],33,FALSE)</f>
        <v>44833</v>
      </c>
      <c r="J307" t="str">
        <f t="shared" ca="1" si="4"/>
        <v>Non UDO</v>
      </c>
    </row>
    <row r="308" spans="1:10" x14ac:dyDescent="0.35">
      <c r="A308" s="5" t="s">
        <v>12</v>
      </c>
      <c r="B308" s="6">
        <v>44896</v>
      </c>
      <c r="C308" s="7">
        <v>102175953</v>
      </c>
      <c r="D308" s="7">
        <v>102175953</v>
      </c>
      <c r="E308" s="7">
        <v>0</v>
      </c>
      <c r="F308" t="str">
        <f>VLOOKUP(A308,[1]!Table1[#All],17,FALSE)</f>
        <v>SOUTH AFRICA</v>
      </c>
      <c r="G308" t="str">
        <f>VLOOKUP(A308,[1]!Table1[#All],22,FALSE)</f>
        <v>TRUST FOR HEALTH SYSTEMS PLANNING AND DEVELOPMENT</v>
      </c>
      <c r="H308" s="8">
        <f>VLOOKUP(A308,[1]!Table1[#All],32,FALSE)</f>
        <v>42643</v>
      </c>
      <c r="I308" s="8">
        <f>VLOOKUP(A308,[1]!Table1[#All],33,FALSE)</f>
        <v>44833</v>
      </c>
      <c r="J308" t="str">
        <f t="shared" ca="1" si="4"/>
        <v>Non UDO</v>
      </c>
    </row>
    <row r="309" spans="1:10" x14ac:dyDescent="0.35">
      <c r="A309" s="9" t="s">
        <v>12</v>
      </c>
      <c r="B309" s="10">
        <v>44927</v>
      </c>
      <c r="C309" s="11">
        <v>102175953</v>
      </c>
      <c r="D309" s="11">
        <v>102175953</v>
      </c>
      <c r="E309" s="11">
        <v>0</v>
      </c>
      <c r="F309" t="str">
        <f>VLOOKUP(A309,[1]!Table1[#All],17,FALSE)</f>
        <v>SOUTH AFRICA</v>
      </c>
      <c r="G309" t="str">
        <f>VLOOKUP(A309,[1]!Table1[#All],22,FALSE)</f>
        <v>TRUST FOR HEALTH SYSTEMS PLANNING AND DEVELOPMENT</v>
      </c>
      <c r="H309" s="8">
        <f>VLOOKUP(A309,[1]!Table1[#All],32,FALSE)</f>
        <v>42643</v>
      </c>
      <c r="I309" s="8">
        <f>VLOOKUP(A309,[1]!Table1[#All],33,FALSE)</f>
        <v>44833</v>
      </c>
      <c r="J309" t="str">
        <f t="shared" ca="1" si="4"/>
        <v>Non UDO</v>
      </c>
    </row>
    <row r="310" spans="1:10" x14ac:dyDescent="0.35">
      <c r="A310" s="5" t="s">
        <v>12</v>
      </c>
      <c r="B310" s="6">
        <v>44958</v>
      </c>
      <c r="C310" s="7">
        <v>102175953</v>
      </c>
      <c r="D310" s="7">
        <v>102175953</v>
      </c>
      <c r="E310" s="7">
        <v>0</v>
      </c>
      <c r="F310" t="str">
        <f>VLOOKUP(A310,[1]!Table1[#All],17,FALSE)</f>
        <v>SOUTH AFRICA</v>
      </c>
      <c r="G310" t="str">
        <f>VLOOKUP(A310,[1]!Table1[#All],22,FALSE)</f>
        <v>TRUST FOR HEALTH SYSTEMS PLANNING AND DEVELOPMENT</v>
      </c>
      <c r="H310" s="8">
        <f>VLOOKUP(A310,[1]!Table1[#All],32,FALSE)</f>
        <v>42643</v>
      </c>
      <c r="I310" s="8">
        <f>VLOOKUP(A310,[1]!Table1[#All],33,FALSE)</f>
        <v>44833</v>
      </c>
      <c r="J310" t="str">
        <f t="shared" ca="1" si="4"/>
        <v>Non UDO</v>
      </c>
    </row>
    <row r="311" spans="1:10" x14ac:dyDescent="0.35">
      <c r="A311" s="9" t="s">
        <v>12</v>
      </c>
      <c r="B311" s="10">
        <v>44986</v>
      </c>
      <c r="C311" s="11">
        <v>102175953</v>
      </c>
      <c r="D311" s="11">
        <v>102175953</v>
      </c>
      <c r="E311" s="11">
        <v>0</v>
      </c>
      <c r="F311" t="str">
        <f>VLOOKUP(A311,[1]!Table1[#All],17,FALSE)</f>
        <v>SOUTH AFRICA</v>
      </c>
      <c r="G311" t="str">
        <f>VLOOKUP(A311,[1]!Table1[#All],22,FALSE)</f>
        <v>TRUST FOR HEALTH SYSTEMS PLANNING AND DEVELOPMENT</v>
      </c>
      <c r="H311" s="8">
        <f>VLOOKUP(A311,[1]!Table1[#All],32,FALSE)</f>
        <v>42643</v>
      </c>
      <c r="I311" s="8">
        <f>VLOOKUP(A311,[1]!Table1[#All],33,FALSE)</f>
        <v>44833</v>
      </c>
      <c r="J311" t="str">
        <f t="shared" ca="1" si="4"/>
        <v>Non UDO</v>
      </c>
    </row>
    <row r="312" spans="1:10" x14ac:dyDescent="0.35">
      <c r="A312" s="5" t="s">
        <v>12</v>
      </c>
      <c r="B312" s="6">
        <v>45017</v>
      </c>
      <c r="C312" s="7">
        <v>102175953</v>
      </c>
      <c r="D312" s="7">
        <v>102175953</v>
      </c>
      <c r="E312" s="7">
        <v>0</v>
      </c>
      <c r="F312" t="str">
        <f>VLOOKUP(A312,[1]!Table1[#All],17,FALSE)</f>
        <v>SOUTH AFRICA</v>
      </c>
      <c r="G312" t="str">
        <f>VLOOKUP(A312,[1]!Table1[#All],22,FALSE)</f>
        <v>TRUST FOR HEALTH SYSTEMS PLANNING AND DEVELOPMENT</v>
      </c>
      <c r="H312" s="8">
        <f>VLOOKUP(A312,[1]!Table1[#All],32,FALSE)</f>
        <v>42643</v>
      </c>
      <c r="I312" s="8">
        <f>VLOOKUP(A312,[1]!Table1[#All],33,FALSE)</f>
        <v>44833</v>
      </c>
      <c r="J312" t="str">
        <f t="shared" ca="1" si="4"/>
        <v>Non UDO</v>
      </c>
    </row>
    <row r="313" spans="1:10" x14ac:dyDescent="0.35">
      <c r="A313" s="9" t="s">
        <v>12</v>
      </c>
      <c r="B313" s="10">
        <v>45047</v>
      </c>
      <c r="C313" s="11">
        <v>102175953</v>
      </c>
      <c r="D313" s="11">
        <v>102175953</v>
      </c>
      <c r="E313" s="11">
        <v>0</v>
      </c>
      <c r="F313" t="str">
        <f>VLOOKUP(A313,[1]!Table1[#All],17,FALSE)</f>
        <v>SOUTH AFRICA</v>
      </c>
      <c r="G313" t="str">
        <f>VLOOKUP(A313,[1]!Table1[#All],22,FALSE)</f>
        <v>TRUST FOR HEALTH SYSTEMS PLANNING AND DEVELOPMENT</v>
      </c>
      <c r="H313" s="8">
        <f>VLOOKUP(A313,[1]!Table1[#All],32,FALSE)</f>
        <v>42643</v>
      </c>
      <c r="I313" s="8">
        <f>VLOOKUP(A313,[1]!Table1[#All],33,FALSE)</f>
        <v>44833</v>
      </c>
      <c r="J313" t="str">
        <f t="shared" ca="1" si="4"/>
        <v>Non UDO</v>
      </c>
    </row>
    <row r="314" spans="1:10" x14ac:dyDescent="0.35">
      <c r="A314" s="5" t="s">
        <v>12</v>
      </c>
      <c r="B314" s="6">
        <v>45078</v>
      </c>
      <c r="C314" s="7">
        <v>102175953</v>
      </c>
      <c r="D314" s="7">
        <v>102175953</v>
      </c>
      <c r="E314" s="7">
        <v>0</v>
      </c>
      <c r="F314" t="str">
        <f>VLOOKUP(A314,[1]!Table1[#All],17,FALSE)</f>
        <v>SOUTH AFRICA</v>
      </c>
      <c r="G314" t="str">
        <f>VLOOKUP(A314,[1]!Table1[#All],22,FALSE)</f>
        <v>TRUST FOR HEALTH SYSTEMS PLANNING AND DEVELOPMENT</v>
      </c>
      <c r="H314" s="8">
        <f>VLOOKUP(A314,[1]!Table1[#All],32,FALSE)</f>
        <v>42643</v>
      </c>
      <c r="I314" s="8">
        <f>VLOOKUP(A314,[1]!Table1[#All],33,FALSE)</f>
        <v>44833</v>
      </c>
      <c r="J314" t="str">
        <f t="shared" ca="1" si="4"/>
        <v>Non UDO</v>
      </c>
    </row>
    <row r="315" spans="1:10" x14ac:dyDescent="0.35">
      <c r="A315" s="9" t="s">
        <v>12</v>
      </c>
      <c r="B315" s="10">
        <v>45108</v>
      </c>
      <c r="C315" s="11">
        <v>102175953</v>
      </c>
      <c r="D315" s="11">
        <v>102175953</v>
      </c>
      <c r="E315" s="11">
        <v>0</v>
      </c>
      <c r="F315" t="str">
        <f>VLOOKUP(A315,[1]!Table1[#All],17,FALSE)</f>
        <v>SOUTH AFRICA</v>
      </c>
      <c r="G315" t="str">
        <f>VLOOKUP(A315,[1]!Table1[#All],22,FALSE)</f>
        <v>TRUST FOR HEALTH SYSTEMS PLANNING AND DEVELOPMENT</v>
      </c>
      <c r="H315" s="8">
        <f>VLOOKUP(A315,[1]!Table1[#All],32,FALSE)</f>
        <v>42643</v>
      </c>
      <c r="I315" s="8">
        <f>VLOOKUP(A315,[1]!Table1[#All],33,FALSE)</f>
        <v>44833</v>
      </c>
      <c r="J315" t="str">
        <f t="shared" ca="1" si="4"/>
        <v>Non UDO</v>
      </c>
    </row>
    <row r="316" spans="1:10" x14ac:dyDescent="0.35">
      <c r="A316" s="5" t="s">
        <v>12</v>
      </c>
      <c r="B316" s="6">
        <v>45139</v>
      </c>
      <c r="C316" s="7">
        <v>102175953</v>
      </c>
      <c r="D316" s="7">
        <v>102175953</v>
      </c>
      <c r="E316" s="7">
        <v>0</v>
      </c>
      <c r="F316" t="str">
        <f>VLOOKUP(A316,[1]!Table1[#All],17,FALSE)</f>
        <v>SOUTH AFRICA</v>
      </c>
      <c r="G316" t="str">
        <f>VLOOKUP(A316,[1]!Table1[#All],22,FALSE)</f>
        <v>TRUST FOR HEALTH SYSTEMS PLANNING AND DEVELOPMENT</v>
      </c>
      <c r="H316" s="8">
        <f>VLOOKUP(A316,[1]!Table1[#All],32,FALSE)</f>
        <v>42643</v>
      </c>
      <c r="I316" s="8">
        <f>VLOOKUP(A316,[1]!Table1[#All],33,FALSE)</f>
        <v>44833</v>
      </c>
      <c r="J316" t="str">
        <f t="shared" ca="1" si="4"/>
        <v>Non UDO</v>
      </c>
    </row>
    <row r="317" spans="1:10" x14ac:dyDescent="0.35">
      <c r="A317" s="9" t="s">
        <v>12</v>
      </c>
      <c r="B317" s="10">
        <v>45170</v>
      </c>
      <c r="C317" s="11">
        <v>102175953</v>
      </c>
      <c r="D317" s="11">
        <v>102175953</v>
      </c>
      <c r="E317" s="11">
        <v>0</v>
      </c>
      <c r="F317" t="str">
        <f>VLOOKUP(A317,[1]!Table1[#All],17,FALSE)</f>
        <v>SOUTH AFRICA</v>
      </c>
      <c r="G317" t="str">
        <f>VLOOKUP(A317,[1]!Table1[#All],22,FALSE)</f>
        <v>TRUST FOR HEALTH SYSTEMS PLANNING AND DEVELOPMENT</v>
      </c>
      <c r="H317" s="8">
        <f>VLOOKUP(A317,[1]!Table1[#All],32,FALSE)</f>
        <v>42643</v>
      </c>
      <c r="I317" s="8">
        <f>VLOOKUP(A317,[1]!Table1[#All],33,FALSE)</f>
        <v>44833</v>
      </c>
      <c r="J317" t="str">
        <f t="shared" ca="1" si="4"/>
        <v>Non UDO</v>
      </c>
    </row>
    <row r="318" spans="1:10" x14ac:dyDescent="0.35">
      <c r="A318" s="5" t="s">
        <v>13</v>
      </c>
      <c r="B318" s="6">
        <v>44105</v>
      </c>
      <c r="C318" s="7">
        <v>962000</v>
      </c>
      <c r="D318" s="7">
        <v>19897</v>
      </c>
      <c r="E318" s="7">
        <v>942103</v>
      </c>
      <c r="F318" t="str">
        <f>VLOOKUP(A318,[1]!Table1[#All],17,FALSE)</f>
        <v>UNITED STATES</v>
      </c>
      <c r="G318" t="str">
        <f>VLOOKUP(A318,[1]!Table1[#All],22,FALSE)</f>
        <v>INTERNATIONAL RESCUE COMMITTEE</v>
      </c>
      <c r="H318" s="8">
        <f>VLOOKUP(A318,[1]!Table1[#All],32,FALSE)</f>
        <v>42901</v>
      </c>
      <c r="I318" s="8">
        <f>VLOOKUP(A318,[1]!Table1[#All],33,FALSE)</f>
        <v>44726</v>
      </c>
      <c r="J318" t="str">
        <f t="shared" ca="1" si="4"/>
        <v>UDO</v>
      </c>
    </row>
    <row r="319" spans="1:10" x14ac:dyDescent="0.35">
      <c r="A319" s="9" t="s">
        <v>13</v>
      </c>
      <c r="B319" s="10">
        <v>44136</v>
      </c>
      <c r="C319" s="11">
        <v>962000</v>
      </c>
      <c r="D319" s="11">
        <v>30854</v>
      </c>
      <c r="E319" s="11">
        <v>931146</v>
      </c>
      <c r="F319" t="str">
        <f>VLOOKUP(A319,[1]!Table1[#All],17,FALSE)</f>
        <v>UNITED STATES</v>
      </c>
      <c r="G319" t="str">
        <f>VLOOKUP(A319,[1]!Table1[#All],22,FALSE)</f>
        <v>INTERNATIONAL RESCUE COMMITTEE</v>
      </c>
      <c r="H319" s="8">
        <f>VLOOKUP(A319,[1]!Table1[#All],32,FALSE)</f>
        <v>42901</v>
      </c>
      <c r="I319" s="8">
        <f>VLOOKUP(A319,[1]!Table1[#All],33,FALSE)</f>
        <v>44726</v>
      </c>
      <c r="J319" t="str">
        <f t="shared" ca="1" si="4"/>
        <v>UDO</v>
      </c>
    </row>
    <row r="320" spans="1:10" x14ac:dyDescent="0.35">
      <c r="A320" s="5" t="s">
        <v>13</v>
      </c>
      <c r="B320" s="6">
        <v>44166</v>
      </c>
      <c r="C320" s="7">
        <v>962000</v>
      </c>
      <c r="D320" s="7">
        <v>41811</v>
      </c>
      <c r="E320" s="7">
        <v>920189</v>
      </c>
      <c r="F320" t="str">
        <f>VLOOKUP(A320,[1]!Table1[#All],17,FALSE)</f>
        <v>UNITED STATES</v>
      </c>
      <c r="G320" t="str">
        <f>VLOOKUP(A320,[1]!Table1[#All],22,FALSE)</f>
        <v>INTERNATIONAL RESCUE COMMITTEE</v>
      </c>
      <c r="H320" s="8">
        <f>VLOOKUP(A320,[1]!Table1[#All],32,FALSE)</f>
        <v>42901</v>
      </c>
      <c r="I320" s="8">
        <f>VLOOKUP(A320,[1]!Table1[#All],33,FALSE)</f>
        <v>44726</v>
      </c>
      <c r="J320" t="str">
        <f t="shared" ca="1" si="4"/>
        <v>UDO</v>
      </c>
    </row>
    <row r="321" spans="1:10" x14ac:dyDescent="0.35">
      <c r="A321" s="9" t="s">
        <v>13</v>
      </c>
      <c r="B321" s="10">
        <v>44197</v>
      </c>
      <c r="C321" s="11">
        <v>962000</v>
      </c>
      <c r="D321" s="11">
        <v>256597</v>
      </c>
      <c r="E321" s="11">
        <v>705403</v>
      </c>
      <c r="F321" t="str">
        <f>VLOOKUP(A321,[1]!Table1[#All],17,FALSE)</f>
        <v>UNITED STATES</v>
      </c>
      <c r="G321" t="str">
        <f>VLOOKUP(A321,[1]!Table1[#All],22,FALSE)</f>
        <v>INTERNATIONAL RESCUE COMMITTEE</v>
      </c>
      <c r="H321" s="8">
        <f>VLOOKUP(A321,[1]!Table1[#All],32,FALSE)</f>
        <v>42901</v>
      </c>
      <c r="I321" s="8">
        <f>VLOOKUP(A321,[1]!Table1[#All],33,FALSE)</f>
        <v>44726</v>
      </c>
      <c r="J321" t="str">
        <f t="shared" ca="1" si="4"/>
        <v>UDO</v>
      </c>
    </row>
    <row r="322" spans="1:10" x14ac:dyDescent="0.35">
      <c r="A322" s="5" t="s">
        <v>13</v>
      </c>
      <c r="B322" s="6">
        <v>44228</v>
      </c>
      <c r="C322" s="7">
        <v>962000</v>
      </c>
      <c r="D322" s="7">
        <v>362334.85</v>
      </c>
      <c r="E322" s="7">
        <v>599665.15</v>
      </c>
      <c r="F322" t="str">
        <f>VLOOKUP(A322,[1]!Table1[#All],17,FALSE)</f>
        <v>UNITED STATES</v>
      </c>
      <c r="G322" t="str">
        <f>VLOOKUP(A322,[1]!Table1[#All],22,FALSE)</f>
        <v>INTERNATIONAL RESCUE COMMITTEE</v>
      </c>
      <c r="H322" s="8">
        <f>VLOOKUP(A322,[1]!Table1[#All],32,FALSE)</f>
        <v>42901</v>
      </c>
      <c r="I322" s="8">
        <f>VLOOKUP(A322,[1]!Table1[#All],33,FALSE)</f>
        <v>44726</v>
      </c>
      <c r="J322" t="str">
        <f t="shared" ca="1" si="4"/>
        <v>UDO</v>
      </c>
    </row>
    <row r="323" spans="1:10" x14ac:dyDescent="0.35">
      <c r="A323" s="9" t="s">
        <v>13</v>
      </c>
      <c r="B323" s="10">
        <v>44256</v>
      </c>
      <c r="C323" s="11">
        <v>962000</v>
      </c>
      <c r="D323" s="11">
        <v>462476.92</v>
      </c>
      <c r="E323" s="11">
        <v>499523.08</v>
      </c>
      <c r="F323" t="str">
        <f>VLOOKUP(A323,[1]!Table1[#All],17,FALSE)</f>
        <v>UNITED STATES</v>
      </c>
      <c r="G323" t="str">
        <f>VLOOKUP(A323,[1]!Table1[#All],22,FALSE)</f>
        <v>INTERNATIONAL RESCUE COMMITTEE</v>
      </c>
      <c r="H323" s="8">
        <f>VLOOKUP(A323,[1]!Table1[#All],32,FALSE)</f>
        <v>42901</v>
      </c>
      <c r="I323" s="8">
        <f>VLOOKUP(A323,[1]!Table1[#All],33,FALSE)</f>
        <v>44726</v>
      </c>
      <c r="J323" t="str">
        <f t="shared" ref="J323:J386" ca="1" si="5">IF(AND( E323&gt;0,TODAY()&gt;I323),"UDO","Non UDO")</f>
        <v>UDO</v>
      </c>
    </row>
    <row r="324" spans="1:10" x14ac:dyDescent="0.35">
      <c r="A324" s="5" t="s">
        <v>13</v>
      </c>
      <c r="B324" s="6">
        <v>44287</v>
      </c>
      <c r="C324" s="7">
        <v>962000</v>
      </c>
      <c r="D324" s="7">
        <v>532651.85</v>
      </c>
      <c r="E324" s="7">
        <v>429348.15</v>
      </c>
      <c r="F324" t="str">
        <f>VLOOKUP(A324,[1]!Table1[#All],17,FALSE)</f>
        <v>UNITED STATES</v>
      </c>
      <c r="G324" t="str">
        <f>VLOOKUP(A324,[1]!Table1[#All],22,FALSE)</f>
        <v>INTERNATIONAL RESCUE COMMITTEE</v>
      </c>
      <c r="H324" s="8">
        <f>VLOOKUP(A324,[1]!Table1[#All],32,FALSE)</f>
        <v>42901</v>
      </c>
      <c r="I324" s="8">
        <f>VLOOKUP(A324,[1]!Table1[#All],33,FALSE)</f>
        <v>44726</v>
      </c>
      <c r="J324" t="str">
        <f t="shared" ca="1" si="5"/>
        <v>UDO</v>
      </c>
    </row>
    <row r="325" spans="1:10" x14ac:dyDescent="0.35">
      <c r="A325" s="9" t="s">
        <v>13</v>
      </c>
      <c r="B325" s="10">
        <v>44317</v>
      </c>
      <c r="C325" s="11">
        <v>962000</v>
      </c>
      <c r="D325" s="11">
        <v>750000</v>
      </c>
      <c r="E325" s="11">
        <v>212000</v>
      </c>
      <c r="F325" t="str">
        <f>VLOOKUP(A325,[1]!Table1[#All],17,FALSE)</f>
        <v>UNITED STATES</v>
      </c>
      <c r="G325" t="str">
        <f>VLOOKUP(A325,[1]!Table1[#All],22,FALSE)</f>
        <v>INTERNATIONAL RESCUE COMMITTEE</v>
      </c>
      <c r="H325" s="8">
        <f>VLOOKUP(A325,[1]!Table1[#All],32,FALSE)</f>
        <v>42901</v>
      </c>
      <c r="I325" s="8">
        <f>VLOOKUP(A325,[1]!Table1[#All],33,FALSE)</f>
        <v>44726</v>
      </c>
      <c r="J325" t="str">
        <f t="shared" ca="1" si="5"/>
        <v>UDO</v>
      </c>
    </row>
    <row r="326" spans="1:10" x14ac:dyDescent="0.35">
      <c r="A326" s="5" t="s">
        <v>13</v>
      </c>
      <c r="B326" s="6">
        <v>44348</v>
      </c>
      <c r="C326" s="7">
        <v>962000</v>
      </c>
      <c r="D326" s="7">
        <v>750000</v>
      </c>
      <c r="E326" s="7">
        <v>212000</v>
      </c>
      <c r="F326" t="str">
        <f>VLOOKUP(A326,[1]!Table1[#All],17,FALSE)</f>
        <v>UNITED STATES</v>
      </c>
      <c r="G326" t="str">
        <f>VLOOKUP(A326,[1]!Table1[#All],22,FALSE)</f>
        <v>INTERNATIONAL RESCUE COMMITTEE</v>
      </c>
      <c r="H326" s="8">
        <f>VLOOKUP(A326,[1]!Table1[#All],32,FALSE)</f>
        <v>42901</v>
      </c>
      <c r="I326" s="8">
        <f>VLOOKUP(A326,[1]!Table1[#All],33,FALSE)</f>
        <v>44726</v>
      </c>
      <c r="J326" t="str">
        <f t="shared" ca="1" si="5"/>
        <v>UDO</v>
      </c>
    </row>
    <row r="327" spans="1:10" x14ac:dyDescent="0.35">
      <c r="A327" s="9" t="s">
        <v>13</v>
      </c>
      <c r="B327" s="10">
        <v>44378</v>
      </c>
      <c r="C327" s="11">
        <v>962000</v>
      </c>
      <c r="D327" s="11">
        <v>738433</v>
      </c>
      <c r="E327" s="11">
        <v>223567</v>
      </c>
      <c r="F327" t="str">
        <f>VLOOKUP(A327,[1]!Table1[#All],17,FALSE)</f>
        <v>UNITED STATES</v>
      </c>
      <c r="G327" t="str">
        <f>VLOOKUP(A327,[1]!Table1[#All],22,FALSE)</f>
        <v>INTERNATIONAL RESCUE COMMITTEE</v>
      </c>
      <c r="H327" s="8">
        <f>VLOOKUP(A327,[1]!Table1[#All],32,FALSE)</f>
        <v>42901</v>
      </c>
      <c r="I327" s="8">
        <f>VLOOKUP(A327,[1]!Table1[#All],33,FALSE)</f>
        <v>44726</v>
      </c>
      <c r="J327" t="str">
        <f t="shared" ca="1" si="5"/>
        <v>UDO</v>
      </c>
    </row>
    <row r="328" spans="1:10" x14ac:dyDescent="0.35">
      <c r="A328" s="5" t="s">
        <v>13</v>
      </c>
      <c r="B328" s="6">
        <v>44409</v>
      </c>
      <c r="C328" s="7">
        <v>962000</v>
      </c>
      <c r="D328" s="7">
        <v>738433</v>
      </c>
      <c r="E328" s="7">
        <v>223567</v>
      </c>
      <c r="F328" t="str">
        <f>VLOOKUP(A328,[1]!Table1[#All],17,FALSE)</f>
        <v>UNITED STATES</v>
      </c>
      <c r="G328" t="str">
        <f>VLOOKUP(A328,[1]!Table1[#All],22,FALSE)</f>
        <v>INTERNATIONAL RESCUE COMMITTEE</v>
      </c>
      <c r="H328" s="8">
        <f>VLOOKUP(A328,[1]!Table1[#All],32,FALSE)</f>
        <v>42901</v>
      </c>
      <c r="I328" s="8">
        <f>VLOOKUP(A328,[1]!Table1[#All],33,FALSE)</f>
        <v>44726</v>
      </c>
      <c r="J328" t="str">
        <f t="shared" ca="1" si="5"/>
        <v>UDO</v>
      </c>
    </row>
    <row r="329" spans="1:10" x14ac:dyDescent="0.35">
      <c r="A329" s="9" t="s">
        <v>13</v>
      </c>
      <c r="B329" s="10">
        <v>44440</v>
      </c>
      <c r="C329" s="11">
        <v>962000</v>
      </c>
      <c r="D329" s="11">
        <v>738433</v>
      </c>
      <c r="E329" s="11">
        <v>223567</v>
      </c>
      <c r="F329" t="str">
        <f>VLOOKUP(A329,[1]!Table1[#All],17,FALSE)</f>
        <v>UNITED STATES</v>
      </c>
      <c r="G329" t="str">
        <f>VLOOKUP(A329,[1]!Table1[#All],22,FALSE)</f>
        <v>INTERNATIONAL RESCUE COMMITTEE</v>
      </c>
      <c r="H329" s="8">
        <f>VLOOKUP(A329,[1]!Table1[#All],32,FALSE)</f>
        <v>42901</v>
      </c>
      <c r="I329" s="8">
        <f>VLOOKUP(A329,[1]!Table1[#All],33,FALSE)</f>
        <v>44726</v>
      </c>
      <c r="J329" t="str">
        <f t="shared" ca="1" si="5"/>
        <v>UDO</v>
      </c>
    </row>
    <row r="330" spans="1:10" x14ac:dyDescent="0.35">
      <c r="A330" s="5" t="s">
        <v>13</v>
      </c>
      <c r="B330" s="6">
        <v>44470</v>
      </c>
      <c r="C330" s="7">
        <v>962000</v>
      </c>
      <c r="D330" s="7">
        <v>793126.3</v>
      </c>
      <c r="E330" s="7">
        <v>168873.7</v>
      </c>
      <c r="F330" t="str">
        <f>VLOOKUP(A330,[1]!Table1[#All],17,FALSE)</f>
        <v>UNITED STATES</v>
      </c>
      <c r="G330" t="str">
        <f>VLOOKUP(A330,[1]!Table1[#All],22,FALSE)</f>
        <v>INTERNATIONAL RESCUE COMMITTEE</v>
      </c>
      <c r="H330" s="8">
        <f>VLOOKUP(A330,[1]!Table1[#All],32,FALSE)</f>
        <v>42901</v>
      </c>
      <c r="I330" s="8">
        <f>VLOOKUP(A330,[1]!Table1[#All],33,FALSE)</f>
        <v>44726</v>
      </c>
      <c r="J330" t="str">
        <f t="shared" ca="1" si="5"/>
        <v>UDO</v>
      </c>
    </row>
    <row r="331" spans="1:10" x14ac:dyDescent="0.35">
      <c r="A331" s="9" t="s">
        <v>13</v>
      </c>
      <c r="B331" s="10">
        <v>44501</v>
      </c>
      <c r="C331" s="11">
        <v>962000</v>
      </c>
      <c r="D331" s="11">
        <v>932215.32</v>
      </c>
      <c r="E331" s="11">
        <v>29784.68</v>
      </c>
      <c r="F331" t="str">
        <f>VLOOKUP(A331,[1]!Table1[#All],17,FALSE)</f>
        <v>UNITED STATES</v>
      </c>
      <c r="G331" t="str">
        <f>VLOOKUP(A331,[1]!Table1[#All],22,FALSE)</f>
        <v>INTERNATIONAL RESCUE COMMITTEE</v>
      </c>
      <c r="H331" s="8">
        <f>VLOOKUP(A331,[1]!Table1[#All],32,FALSE)</f>
        <v>42901</v>
      </c>
      <c r="I331" s="8">
        <f>VLOOKUP(A331,[1]!Table1[#All],33,FALSE)</f>
        <v>44726</v>
      </c>
      <c r="J331" t="str">
        <f t="shared" ca="1" si="5"/>
        <v>UDO</v>
      </c>
    </row>
    <row r="332" spans="1:10" x14ac:dyDescent="0.35">
      <c r="A332" s="5" t="s">
        <v>13</v>
      </c>
      <c r="B332" s="6">
        <v>44531</v>
      </c>
      <c r="C332" s="7">
        <v>962000</v>
      </c>
      <c r="D332" s="7">
        <v>932215.32</v>
      </c>
      <c r="E332" s="7">
        <v>29784.68</v>
      </c>
      <c r="F332" t="str">
        <f>VLOOKUP(A332,[1]!Table1[#All],17,FALSE)</f>
        <v>UNITED STATES</v>
      </c>
      <c r="G332" t="str">
        <f>VLOOKUP(A332,[1]!Table1[#All],22,FALSE)</f>
        <v>INTERNATIONAL RESCUE COMMITTEE</v>
      </c>
      <c r="H332" s="8">
        <f>VLOOKUP(A332,[1]!Table1[#All],32,FALSE)</f>
        <v>42901</v>
      </c>
      <c r="I332" s="8">
        <f>VLOOKUP(A332,[1]!Table1[#All],33,FALSE)</f>
        <v>44726</v>
      </c>
      <c r="J332" t="str">
        <f t="shared" ca="1" si="5"/>
        <v>UDO</v>
      </c>
    </row>
    <row r="333" spans="1:10" x14ac:dyDescent="0.35">
      <c r="A333" s="9" t="s">
        <v>13</v>
      </c>
      <c r="B333" s="10">
        <v>44562</v>
      </c>
      <c r="C333" s="11">
        <v>962000</v>
      </c>
      <c r="D333" s="11">
        <v>932215.32</v>
      </c>
      <c r="E333" s="11">
        <v>29784.68</v>
      </c>
      <c r="F333" t="str">
        <f>VLOOKUP(A333,[1]!Table1[#All],17,FALSE)</f>
        <v>UNITED STATES</v>
      </c>
      <c r="G333" t="str">
        <f>VLOOKUP(A333,[1]!Table1[#All],22,FALSE)</f>
        <v>INTERNATIONAL RESCUE COMMITTEE</v>
      </c>
      <c r="H333" s="8">
        <f>VLOOKUP(A333,[1]!Table1[#All],32,FALSE)</f>
        <v>42901</v>
      </c>
      <c r="I333" s="8">
        <f>VLOOKUP(A333,[1]!Table1[#All],33,FALSE)</f>
        <v>44726</v>
      </c>
      <c r="J333" t="str">
        <f t="shared" ca="1" si="5"/>
        <v>UDO</v>
      </c>
    </row>
    <row r="334" spans="1:10" x14ac:dyDescent="0.35">
      <c r="A334" s="5" t="s">
        <v>13</v>
      </c>
      <c r="B334" s="6">
        <v>44593</v>
      </c>
      <c r="C334" s="7">
        <v>962000</v>
      </c>
      <c r="D334" s="7">
        <v>932215.32</v>
      </c>
      <c r="E334" s="7">
        <v>29784.68</v>
      </c>
      <c r="F334" t="str">
        <f>VLOOKUP(A334,[1]!Table1[#All],17,FALSE)</f>
        <v>UNITED STATES</v>
      </c>
      <c r="G334" t="str">
        <f>VLOOKUP(A334,[1]!Table1[#All],22,FALSE)</f>
        <v>INTERNATIONAL RESCUE COMMITTEE</v>
      </c>
      <c r="H334" s="8">
        <f>VLOOKUP(A334,[1]!Table1[#All],32,FALSE)</f>
        <v>42901</v>
      </c>
      <c r="I334" s="8">
        <f>VLOOKUP(A334,[1]!Table1[#All],33,FALSE)</f>
        <v>44726</v>
      </c>
      <c r="J334" t="str">
        <f t="shared" ca="1" si="5"/>
        <v>UDO</v>
      </c>
    </row>
    <row r="335" spans="1:10" x14ac:dyDescent="0.35">
      <c r="A335" s="9" t="s">
        <v>13</v>
      </c>
      <c r="B335" s="10">
        <v>44621</v>
      </c>
      <c r="C335" s="11">
        <v>962000</v>
      </c>
      <c r="D335" s="11">
        <v>932215.32</v>
      </c>
      <c r="E335" s="11">
        <v>29784.68</v>
      </c>
      <c r="F335" t="str">
        <f>VLOOKUP(A335,[1]!Table1[#All],17,FALSE)</f>
        <v>UNITED STATES</v>
      </c>
      <c r="G335" t="str">
        <f>VLOOKUP(A335,[1]!Table1[#All],22,FALSE)</f>
        <v>INTERNATIONAL RESCUE COMMITTEE</v>
      </c>
      <c r="H335" s="8">
        <f>VLOOKUP(A335,[1]!Table1[#All],32,FALSE)</f>
        <v>42901</v>
      </c>
      <c r="I335" s="8">
        <f>VLOOKUP(A335,[1]!Table1[#All],33,FALSE)</f>
        <v>44726</v>
      </c>
      <c r="J335" t="str">
        <f t="shared" ca="1" si="5"/>
        <v>UDO</v>
      </c>
    </row>
    <row r="336" spans="1:10" x14ac:dyDescent="0.35">
      <c r="A336" s="5" t="s">
        <v>13</v>
      </c>
      <c r="B336" s="6">
        <v>44652</v>
      </c>
      <c r="C336" s="7">
        <v>962000</v>
      </c>
      <c r="D336" s="7">
        <v>962000</v>
      </c>
      <c r="E336" s="7">
        <v>0</v>
      </c>
      <c r="F336" t="str">
        <f>VLOOKUP(A336,[1]!Table1[#All],17,FALSE)</f>
        <v>UNITED STATES</v>
      </c>
      <c r="G336" t="str">
        <f>VLOOKUP(A336,[1]!Table1[#All],22,FALSE)</f>
        <v>INTERNATIONAL RESCUE COMMITTEE</v>
      </c>
      <c r="H336" s="8">
        <f>VLOOKUP(A336,[1]!Table1[#All],32,FALSE)</f>
        <v>42901</v>
      </c>
      <c r="I336" s="8">
        <f>VLOOKUP(A336,[1]!Table1[#All],33,FALSE)</f>
        <v>44726</v>
      </c>
      <c r="J336" t="str">
        <f t="shared" ca="1" si="5"/>
        <v>Non UDO</v>
      </c>
    </row>
    <row r="337" spans="1:10" x14ac:dyDescent="0.35">
      <c r="A337" s="9" t="s">
        <v>13</v>
      </c>
      <c r="B337" s="10">
        <v>44682</v>
      </c>
      <c r="C337" s="11">
        <v>962000</v>
      </c>
      <c r="D337" s="11">
        <v>962000</v>
      </c>
      <c r="E337" s="11">
        <v>0</v>
      </c>
      <c r="F337" t="str">
        <f>VLOOKUP(A337,[1]!Table1[#All],17,FALSE)</f>
        <v>UNITED STATES</v>
      </c>
      <c r="G337" t="str">
        <f>VLOOKUP(A337,[1]!Table1[#All],22,FALSE)</f>
        <v>INTERNATIONAL RESCUE COMMITTEE</v>
      </c>
      <c r="H337" s="8">
        <f>VLOOKUP(A337,[1]!Table1[#All],32,FALSE)</f>
        <v>42901</v>
      </c>
      <c r="I337" s="8">
        <f>VLOOKUP(A337,[1]!Table1[#All],33,FALSE)</f>
        <v>44726</v>
      </c>
      <c r="J337" t="str">
        <f t="shared" ca="1" si="5"/>
        <v>Non UDO</v>
      </c>
    </row>
    <row r="338" spans="1:10" x14ac:dyDescent="0.35">
      <c r="A338" s="5" t="s">
        <v>13</v>
      </c>
      <c r="B338" s="6">
        <v>44713</v>
      </c>
      <c r="C338" s="7">
        <v>962000</v>
      </c>
      <c r="D338" s="7">
        <v>962000</v>
      </c>
      <c r="E338" s="7">
        <v>0</v>
      </c>
      <c r="F338" t="str">
        <f>VLOOKUP(A338,[1]!Table1[#All],17,FALSE)</f>
        <v>UNITED STATES</v>
      </c>
      <c r="G338" t="str">
        <f>VLOOKUP(A338,[1]!Table1[#All],22,FALSE)</f>
        <v>INTERNATIONAL RESCUE COMMITTEE</v>
      </c>
      <c r="H338" s="8">
        <f>VLOOKUP(A338,[1]!Table1[#All],32,FALSE)</f>
        <v>42901</v>
      </c>
      <c r="I338" s="8">
        <f>VLOOKUP(A338,[1]!Table1[#All],33,FALSE)</f>
        <v>44726</v>
      </c>
      <c r="J338" t="str">
        <f t="shared" ca="1" si="5"/>
        <v>Non UDO</v>
      </c>
    </row>
    <row r="339" spans="1:10" x14ac:dyDescent="0.35">
      <c r="A339" s="9" t="s">
        <v>13</v>
      </c>
      <c r="B339" s="10">
        <v>44743</v>
      </c>
      <c r="C339" s="11">
        <v>962000</v>
      </c>
      <c r="D339" s="11">
        <v>962000</v>
      </c>
      <c r="E339" s="11">
        <v>0</v>
      </c>
      <c r="F339" t="str">
        <f>VLOOKUP(A339,[1]!Table1[#All],17,FALSE)</f>
        <v>UNITED STATES</v>
      </c>
      <c r="G339" t="str">
        <f>VLOOKUP(A339,[1]!Table1[#All],22,FALSE)</f>
        <v>INTERNATIONAL RESCUE COMMITTEE</v>
      </c>
      <c r="H339" s="8">
        <f>VLOOKUP(A339,[1]!Table1[#All],32,FALSE)</f>
        <v>42901</v>
      </c>
      <c r="I339" s="8">
        <f>VLOOKUP(A339,[1]!Table1[#All],33,FALSE)</f>
        <v>44726</v>
      </c>
      <c r="J339" t="str">
        <f t="shared" ca="1" si="5"/>
        <v>Non UDO</v>
      </c>
    </row>
    <row r="340" spans="1:10" x14ac:dyDescent="0.35">
      <c r="A340" s="5" t="s">
        <v>13</v>
      </c>
      <c r="B340" s="6">
        <v>44774</v>
      </c>
      <c r="C340" s="7">
        <v>962000</v>
      </c>
      <c r="D340" s="7">
        <v>962000</v>
      </c>
      <c r="E340" s="7">
        <v>0</v>
      </c>
      <c r="F340" t="str">
        <f>VLOOKUP(A340,[1]!Table1[#All],17,FALSE)</f>
        <v>UNITED STATES</v>
      </c>
      <c r="G340" t="str">
        <f>VLOOKUP(A340,[1]!Table1[#All],22,FALSE)</f>
        <v>INTERNATIONAL RESCUE COMMITTEE</v>
      </c>
      <c r="H340" s="8">
        <f>VLOOKUP(A340,[1]!Table1[#All],32,FALSE)</f>
        <v>42901</v>
      </c>
      <c r="I340" s="8">
        <f>VLOOKUP(A340,[1]!Table1[#All],33,FALSE)</f>
        <v>44726</v>
      </c>
      <c r="J340" t="str">
        <f t="shared" ca="1" si="5"/>
        <v>Non UDO</v>
      </c>
    </row>
    <row r="341" spans="1:10" x14ac:dyDescent="0.35">
      <c r="A341" s="9" t="s">
        <v>13</v>
      </c>
      <c r="B341" s="10">
        <v>44805</v>
      </c>
      <c r="C341" s="11">
        <v>962000</v>
      </c>
      <c r="D341" s="11">
        <v>962000</v>
      </c>
      <c r="E341" s="11">
        <v>0</v>
      </c>
      <c r="F341" t="str">
        <f>VLOOKUP(A341,[1]!Table1[#All],17,FALSE)</f>
        <v>UNITED STATES</v>
      </c>
      <c r="G341" t="str">
        <f>VLOOKUP(A341,[1]!Table1[#All],22,FALSE)</f>
        <v>INTERNATIONAL RESCUE COMMITTEE</v>
      </c>
      <c r="H341" s="8">
        <f>VLOOKUP(A341,[1]!Table1[#All],32,FALSE)</f>
        <v>42901</v>
      </c>
      <c r="I341" s="8">
        <f>VLOOKUP(A341,[1]!Table1[#All],33,FALSE)</f>
        <v>44726</v>
      </c>
      <c r="J341" t="str">
        <f t="shared" ca="1" si="5"/>
        <v>Non UDO</v>
      </c>
    </row>
    <row r="342" spans="1:10" x14ac:dyDescent="0.35">
      <c r="A342" s="5" t="s">
        <v>13</v>
      </c>
      <c r="B342" s="6">
        <v>44835</v>
      </c>
      <c r="C342" s="7">
        <v>962000</v>
      </c>
      <c r="D342" s="7">
        <v>962000</v>
      </c>
      <c r="E342" s="7">
        <v>0</v>
      </c>
      <c r="F342" t="str">
        <f>VLOOKUP(A342,[1]!Table1[#All],17,FALSE)</f>
        <v>UNITED STATES</v>
      </c>
      <c r="G342" t="str">
        <f>VLOOKUP(A342,[1]!Table1[#All],22,FALSE)</f>
        <v>INTERNATIONAL RESCUE COMMITTEE</v>
      </c>
      <c r="H342" s="8">
        <f>VLOOKUP(A342,[1]!Table1[#All],32,FALSE)</f>
        <v>42901</v>
      </c>
      <c r="I342" s="8">
        <f>VLOOKUP(A342,[1]!Table1[#All],33,FALSE)</f>
        <v>44726</v>
      </c>
      <c r="J342" t="str">
        <f t="shared" ca="1" si="5"/>
        <v>Non UDO</v>
      </c>
    </row>
    <row r="343" spans="1:10" x14ac:dyDescent="0.35">
      <c r="A343" s="9" t="s">
        <v>13</v>
      </c>
      <c r="B343" s="10">
        <v>44866</v>
      </c>
      <c r="C343" s="11">
        <v>962000</v>
      </c>
      <c r="D343" s="11">
        <v>962000</v>
      </c>
      <c r="E343" s="11">
        <v>0</v>
      </c>
      <c r="F343" t="str">
        <f>VLOOKUP(A343,[1]!Table1[#All],17,FALSE)</f>
        <v>UNITED STATES</v>
      </c>
      <c r="G343" t="str">
        <f>VLOOKUP(A343,[1]!Table1[#All],22,FALSE)</f>
        <v>INTERNATIONAL RESCUE COMMITTEE</v>
      </c>
      <c r="H343" s="8">
        <f>VLOOKUP(A343,[1]!Table1[#All],32,FALSE)</f>
        <v>42901</v>
      </c>
      <c r="I343" s="8">
        <f>VLOOKUP(A343,[1]!Table1[#All],33,FALSE)</f>
        <v>44726</v>
      </c>
      <c r="J343" t="str">
        <f t="shared" ca="1" si="5"/>
        <v>Non UDO</v>
      </c>
    </row>
    <row r="344" spans="1:10" x14ac:dyDescent="0.35">
      <c r="A344" s="5" t="s">
        <v>13</v>
      </c>
      <c r="B344" s="6">
        <v>44896</v>
      </c>
      <c r="C344" s="7">
        <v>962000</v>
      </c>
      <c r="D344" s="7">
        <v>962000</v>
      </c>
      <c r="E344" s="7">
        <v>0</v>
      </c>
      <c r="F344" t="str">
        <f>VLOOKUP(A344,[1]!Table1[#All],17,FALSE)</f>
        <v>UNITED STATES</v>
      </c>
      <c r="G344" t="str">
        <f>VLOOKUP(A344,[1]!Table1[#All],22,FALSE)</f>
        <v>INTERNATIONAL RESCUE COMMITTEE</v>
      </c>
      <c r="H344" s="8">
        <f>VLOOKUP(A344,[1]!Table1[#All],32,FALSE)</f>
        <v>42901</v>
      </c>
      <c r="I344" s="8">
        <f>VLOOKUP(A344,[1]!Table1[#All],33,FALSE)</f>
        <v>44726</v>
      </c>
      <c r="J344" t="str">
        <f t="shared" ca="1" si="5"/>
        <v>Non UDO</v>
      </c>
    </row>
    <row r="345" spans="1:10" x14ac:dyDescent="0.35">
      <c r="A345" s="9" t="s">
        <v>13</v>
      </c>
      <c r="B345" s="10">
        <v>44927</v>
      </c>
      <c r="C345" s="11">
        <v>962000</v>
      </c>
      <c r="D345" s="11">
        <v>962000</v>
      </c>
      <c r="E345" s="11">
        <v>0</v>
      </c>
      <c r="F345" t="str">
        <f>VLOOKUP(A345,[1]!Table1[#All],17,FALSE)</f>
        <v>UNITED STATES</v>
      </c>
      <c r="G345" t="str">
        <f>VLOOKUP(A345,[1]!Table1[#All],22,FALSE)</f>
        <v>INTERNATIONAL RESCUE COMMITTEE</v>
      </c>
      <c r="H345" s="8">
        <f>VLOOKUP(A345,[1]!Table1[#All],32,FALSE)</f>
        <v>42901</v>
      </c>
      <c r="I345" s="8">
        <f>VLOOKUP(A345,[1]!Table1[#All],33,FALSE)</f>
        <v>44726</v>
      </c>
      <c r="J345" t="str">
        <f t="shared" ca="1" si="5"/>
        <v>Non UDO</v>
      </c>
    </row>
    <row r="346" spans="1:10" x14ac:dyDescent="0.35">
      <c r="A346" s="5" t="s">
        <v>13</v>
      </c>
      <c r="B346" s="6">
        <v>44958</v>
      </c>
      <c r="C346" s="7">
        <v>962000</v>
      </c>
      <c r="D346" s="7">
        <v>962000</v>
      </c>
      <c r="E346" s="7">
        <v>0</v>
      </c>
      <c r="F346" t="str">
        <f>VLOOKUP(A346,[1]!Table1[#All],17,FALSE)</f>
        <v>UNITED STATES</v>
      </c>
      <c r="G346" t="str">
        <f>VLOOKUP(A346,[1]!Table1[#All],22,FALSE)</f>
        <v>INTERNATIONAL RESCUE COMMITTEE</v>
      </c>
      <c r="H346" s="8">
        <f>VLOOKUP(A346,[1]!Table1[#All],32,FALSE)</f>
        <v>42901</v>
      </c>
      <c r="I346" s="8">
        <f>VLOOKUP(A346,[1]!Table1[#All],33,FALSE)</f>
        <v>44726</v>
      </c>
      <c r="J346" t="str">
        <f t="shared" ca="1" si="5"/>
        <v>Non UDO</v>
      </c>
    </row>
    <row r="347" spans="1:10" x14ac:dyDescent="0.35">
      <c r="A347" s="9" t="s">
        <v>13</v>
      </c>
      <c r="B347" s="10">
        <v>44986</v>
      </c>
      <c r="C347" s="11">
        <v>962000</v>
      </c>
      <c r="D347" s="11">
        <v>962000</v>
      </c>
      <c r="E347" s="11">
        <v>0</v>
      </c>
      <c r="F347" t="str">
        <f>VLOOKUP(A347,[1]!Table1[#All],17,FALSE)</f>
        <v>UNITED STATES</v>
      </c>
      <c r="G347" t="str">
        <f>VLOOKUP(A347,[1]!Table1[#All],22,FALSE)</f>
        <v>INTERNATIONAL RESCUE COMMITTEE</v>
      </c>
      <c r="H347" s="8">
        <f>VLOOKUP(A347,[1]!Table1[#All],32,FALSE)</f>
        <v>42901</v>
      </c>
      <c r="I347" s="8">
        <f>VLOOKUP(A347,[1]!Table1[#All],33,FALSE)</f>
        <v>44726</v>
      </c>
      <c r="J347" t="str">
        <f t="shared" ca="1" si="5"/>
        <v>Non UDO</v>
      </c>
    </row>
    <row r="348" spans="1:10" x14ac:dyDescent="0.35">
      <c r="A348" s="5" t="s">
        <v>13</v>
      </c>
      <c r="B348" s="6">
        <v>45017</v>
      </c>
      <c r="C348" s="7">
        <v>962000</v>
      </c>
      <c r="D348" s="7">
        <v>962000</v>
      </c>
      <c r="E348" s="7">
        <v>0</v>
      </c>
      <c r="F348" t="str">
        <f>VLOOKUP(A348,[1]!Table1[#All],17,FALSE)</f>
        <v>UNITED STATES</v>
      </c>
      <c r="G348" t="str">
        <f>VLOOKUP(A348,[1]!Table1[#All],22,FALSE)</f>
        <v>INTERNATIONAL RESCUE COMMITTEE</v>
      </c>
      <c r="H348" s="8">
        <f>VLOOKUP(A348,[1]!Table1[#All],32,FALSE)</f>
        <v>42901</v>
      </c>
      <c r="I348" s="8">
        <f>VLOOKUP(A348,[1]!Table1[#All],33,FALSE)</f>
        <v>44726</v>
      </c>
      <c r="J348" t="str">
        <f t="shared" ca="1" si="5"/>
        <v>Non UDO</v>
      </c>
    </row>
    <row r="349" spans="1:10" x14ac:dyDescent="0.35">
      <c r="A349" s="9" t="s">
        <v>13</v>
      </c>
      <c r="B349" s="10">
        <v>45047</v>
      </c>
      <c r="C349" s="11">
        <v>962000</v>
      </c>
      <c r="D349" s="11">
        <v>962000</v>
      </c>
      <c r="E349" s="11">
        <v>0</v>
      </c>
      <c r="F349" t="str">
        <f>VLOOKUP(A349,[1]!Table1[#All],17,FALSE)</f>
        <v>UNITED STATES</v>
      </c>
      <c r="G349" t="str">
        <f>VLOOKUP(A349,[1]!Table1[#All],22,FALSE)</f>
        <v>INTERNATIONAL RESCUE COMMITTEE</v>
      </c>
      <c r="H349" s="8">
        <f>VLOOKUP(A349,[1]!Table1[#All],32,FALSE)</f>
        <v>42901</v>
      </c>
      <c r="I349" s="8">
        <f>VLOOKUP(A349,[1]!Table1[#All],33,FALSE)</f>
        <v>44726</v>
      </c>
      <c r="J349" t="str">
        <f t="shared" ca="1" si="5"/>
        <v>Non UDO</v>
      </c>
    </row>
    <row r="350" spans="1:10" x14ac:dyDescent="0.35">
      <c r="A350" s="5" t="s">
        <v>13</v>
      </c>
      <c r="B350" s="6">
        <v>45078</v>
      </c>
      <c r="C350" s="7">
        <v>962000</v>
      </c>
      <c r="D350" s="7">
        <v>962000</v>
      </c>
      <c r="E350" s="7">
        <v>0</v>
      </c>
      <c r="F350" t="str">
        <f>VLOOKUP(A350,[1]!Table1[#All],17,FALSE)</f>
        <v>UNITED STATES</v>
      </c>
      <c r="G350" t="str">
        <f>VLOOKUP(A350,[1]!Table1[#All],22,FALSE)</f>
        <v>INTERNATIONAL RESCUE COMMITTEE</v>
      </c>
      <c r="H350" s="8">
        <f>VLOOKUP(A350,[1]!Table1[#All],32,FALSE)</f>
        <v>42901</v>
      </c>
      <c r="I350" s="8">
        <f>VLOOKUP(A350,[1]!Table1[#All],33,FALSE)</f>
        <v>44726</v>
      </c>
      <c r="J350" t="str">
        <f t="shared" ca="1" si="5"/>
        <v>Non UDO</v>
      </c>
    </row>
    <row r="351" spans="1:10" x14ac:dyDescent="0.35">
      <c r="A351" s="9" t="s">
        <v>13</v>
      </c>
      <c r="B351" s="10">
        <v>45108</v>
      </c>
      <c r="C351" s="11">
        <v>962000</v>
      </c>
      <c r="D351" s="11">
        <v>962000</v>
      </c>
      <c r="E351" s="11">
        <v>0</v>
      </c>
      <c r="F351" t="str">
        <f>VLOOKUP(A351,[1]!Table1[#All],17,FALSE)</f>
        <v>UNITED STATES</v>
      </c>
      <c r="G351" t="str">
        <f>VLOOKUP(A351,[1]!Table1[#All],22,FALSE)</f>
        <v>INTERNATIONAL RESCUE COMMITTEE</v>
      </c>
      <c r="H351" s="8">
        <f>VLOOKUP(A351,[1]!Table1[#All],32,FALSE)</f>
        <v>42901</v>
      </c>
      <c r="I351" s="8">
        <f>VLOOKUP(A351,[1]!Table1[#All],33,FALSE)</f>
        <v>44726</v>
      </c>
      <c r="J351" t="str">
        <f t="shared" ca="1" si="5"/>
        <v>Non UDO</v>
      </c>
    </row>
    <row r="352" spans="1:10" x14ac:dyDescent="0.35">
      <c r="A352" s="5" t="s">
        <v>13</v>
      </c>
      <c r="B352" s="6">
        <v>45139</v>
      </c>
      <c r="C352" s="7">
        <v>962000</v>
      </c>
      <c r="D352" s="7">
        <v>962000</v>
      </c>
      <c r="E352" s="7">
        <v>0</v>
      </c>
      <c r="F352" t="str">
        <f>VLOOKUP(A352,[1]!Table1[#All],17,FALSE)</f>
        <v>UNITED STATES</v>
      </c>
      <c r="G352" t="str">
        <f>VLOOKUP(A352,[1]!Table1[#All],22,FALSE)</f>
        <v>INTERNATIONAL RESCUE COMMITTEE</v>
      </c>
      <c r="H352" s="8">
        <f>VLOOKUP(A352,[1]!Table1[#All],32,FALSE)</f>
        <v>42901</v>
      </c>
      <c r="I352" s="8">
        <f>VLOOKUP(A352,[1]!Table1[#All],33,FALSE)</f>
        <v>44726</v>
      </c>
      <c r="J352" t="str">
        <f t="shared" ca="1" si="5"/>
        <v>Non UDO</v>
      </c>
    </row>
    <row r="353" spans="1:10" x14ac:dyDescent="0.35">
      <c r="A353" s="9" t="s">
        <v>13</v>
      </c>
      <c r="B353" s="10">
        <v>45170</v>
      </c>
      <c r="C353" s="11">
        <v>962000</v>
      </c>
      <c r="D353" s="11">
        <v>962000</v>
      </c>
      <c r="E353" s="11">
        <v>0</v>
      </c>
      <c r="F353" t="str">
        <f>VLOOKUP(A353,[1]!Table1[#All],17,FALSE)</f>
        <v>UNITED STATES</v>
      </c>
      <c r="G353" t="str">
        <f>VLOOKUP(A353,[1]!Table1[#All],22,FALSE)</f>
        <v>INTERNATIONAL RESCUE COMMITTEE</v>
      </c>
      <c r="H353" s="8">
        <f>VLOOKUP(A353,[1]!Table1[#All],32,FALSE)</f>
        <v>42901</v>
      </c>
      <c r="I353" s="8">
        <f>VLOOKUP(A353,[1]!Table1[#All],33,FALSE)</f>
        <v>44726</v>
      </c>
      <c r="J353" t="str">
        <f t="shared" ca="1" si="5"/>
        <v>Non UDO</v>
      </c>
    </row>
    <row r="354" spans="1:10" x14ac:dyDescent="0.35">
      <c r="A354" s="5" t="s">
        <v>14</v>
      </c>
      <c r="B354" s="6">
        <v>44531</v>
      </c>
      <c r="C354" s="7">
        <v>498097</v>
      </c>
      <c r="D354" s="7">
        <v>0</v>
      </c>
      <c r="E354" s="7">
        <v>498097</v>
      </c>
      <c r="F354" t="str">
        <f>VLOOKUP(A354,[1]!Table1[#All],17,FALSE)</f>
        <v>UNITED STATES</v>
      </c>
      <c r="G354" t="str">
        <f>VLOOKUP(A354,[1]!Table1[#All],22,FALSE)</f>
        <v>JOHNS HOPKINS UNIVERSITY, SCHOOL OF MEDICINE</v>
      </c>
      <c r="H354" s="8">
        <f>VLOOKUP(A354,[1]!Table1[#All],32,FALSE)</f>
        <v>42901</v>
      </c>
      <c r="I354" s="8">
        <f>VLOOKUP(A354,[1]!Table1[#All],33,FALSE)</f>
        <v>45091</v>
      </c>
      <c r="J354" t="str">
        <f t="shared" ca="1" si="5"/>
        <v>UDO</v>
      </c>
    </row>
    <row r="355" spans="1:10" x14ac:dyDescent="0.35">
      <c r="A355" s="9" t="s">
        <v>14</v>
      </c>
      <c r="B355" s="10">
        <v>44562</v>
      </c>
      <c r="C355" s="11">
        <v>498097</v>
      </c>
      <c r="D355" s="11">
        <v>0</v>
      </c>
      <c r="E355" s="11">
        <v>498097</v>
      </c>
      <c r="F355" t="str">
        <f>VLOOKUP(A355,[1]!Table1[#All],17,FALSE)</f>
        <v>UNITED STATES</v>
      </c>
      <c r="G355" t="str">
        <f>VLOOKUP(A355,[1]!Table1[#All],22,FALSE)</f>
        <v>JOHNS HOPKINS UNIVERSITY, SCHOOL OF MEDICINE</v>
      </c>
      <c r="H355" s="8">
        <f>VLOOKUP(A355,[1]!Table1[#All],32,FALSE)</f>
        <v>42901</v>
      </c>
      <c r="I355" s="8">
        <f>VLOOKUP(A355,[1]!Table1[#All],33,FALSE)</f>
        <v>45091</v>
      </c>
      <c r="J355" t="str">
        <f t="shared" ca="1" si="5"/>
        <v>UDO</v>
      </c>
    </row>
    <row r="356" spans="1:10" x14ac:dyDescent="0.35">
      <c r="A356" s="5" t="s">
        <v>14</v>
      </c>
      <c r="B356" s="6">
        <v>44593</v>
      </c>
      <c r="C356" s="7">
        <v>498097</v>
      </c>
      <c r="D356" s="7">
        <v>0</v>
      </c>
      <c r="E356" s="7">
        <v>498097</v>
      </c>
      <c r="F356" t="str">
        <f>VLOOKUP(A356,[1]!Table1[#All],17,FALSE)</f>
        <v>UNITED STATES</v>
      </c>
      <c r="G356" t="str">
        <f>VLOOKUP(A356,[1]!Table1[#All],22,FALSE)</f>
        <v>JOHNS HOPKINS UNIVERSITY, SCHOOL OF MEDICINE</v>
      </c>
      <c r="H356" s="8">
        <f>VLOOKUP(A356,[1]!Table1[#All],32,FALSE)</f>
        <v>42901</v>
      </c>
      <c r="I356" s="8">
        <f>VLOOKUP(A356,[1]!Table1[#All],33,FALSE)</f>
        <v>45091</v>
      </c>
      <c r="J356" t="str">
        <f t="shared" ca="1" si="5"/>
        <v>UDO</v>
      </c>
    </row>
    <row r="357" spans="1:10" x14ac:dyDescent="0.35">
      <c r="A357" s="9" t="s">
        <v>14</v>
      </c>
      <c r="B357" s="10">
        <v>44621</v>
      </c>
      <c r="C357" s="11">
        <v>498097</v>
      </c>
      <c r="D357" s="11">
        <v>13748.13</v>
      </c>
      <c r="E357" s="11">
        <v>484348.87</v>
      </c>
      <c r="F357" t="str">
        <f>VLOOKUP(A357,[1]!Table1[#All],17,FALSE)</f>
        <v>UNITED STATES</v>
      </c>
      <c r="G357" t="str">
        <f>VLOOKUP(A357,[1]!Table1[#All],22,FALSE)</f>
        <v>JOHNS HOPKINS UNIVERSITY, SCHOOL OF MEDICINE</v>
      </c>
      <c r="H357" s="8">
        <f>VLOOKUP(A357,[1]!Table1[#All],32,FALSE)</f>
        <v>42901</v>
      </c>
      <c r="I357" s="8">
        <f>VLOOKUP(A357,[1]!Table1[#All],33,FALSE)</f>
        <v>45091</v>
      </c>
      <c r="J357" t="str">
        <f t="shared" ca="1" si="5"/>
        <v>UDO</v>
      </c>
    </row>
    <row r="358" spans="1:10" x14ac:dyDescent="0.35">
      <c r="A358" s="5" t="s">
        <v>14</v>
      </c>
      <c r="B358" s="6">
        <v>44652</v>
      </c>
      <c r="C358" s="7">
        <v>498097</v>
      </c>
      <c r="D358" s="7">
        <v>14931.67</v>
      </c>
      <c r="E358" s="7">
        <v>483165.33</v>
      </c>
      <c r="F358" t="str">
        <f>VLOOKUP(A358,[1]!Table1[#All],17,FALSE)</f>
        <v>UNITED STATES</v>
      </c>
      <c r="G358" t="str">
        <f>VLOOKUP(A358,[1]!Table1[#All],22,FALSE)</f>
        <v>JOHNS HOPKINS UNIVERSITY, SCHOOL OF MEDICINE</v>
      </c>
      <c r="H358" s="8">
        <f>VLOOKUP(A358,[1]!Table1[#All],32,FALSE)</f>
        <v>42901</v>
      </c>
      <c r="I358" s="8">
        <f>VLOOKUP(A358,[1]!Table1[#All],33,FALSE)</f>
        <v>45091</v>
      </c>
      <c r="J358" t="str">
        <f t="shared" ca="1" si="5"/>
        <v>UDO</v>
      </c>
    </row>
    <row r="359" spans="1:10" x14ac:dyDescent="0.35">
      <c r="A359" s="9" t="s">
        <v>14</v>
      </c>
      <c r="B359" s="10">
        <v>44682</v>
      </c>
      <c r="C359" s="11">
        <v>498097</v>
      </c>
      <c r="D359" s="11">
        <v>95238.080000000002</v>
      </c>
      <c r="E359" s="11">
        <v>402858.92</v>
      </c>
      <c r="F359" t="str">
        <f>VLOOKUP(A359,[1]!Table1[#All],17,FALSE)</f>
        <v>UNITED STATES</v>
      </c>
      <c r="G359" t="str">
        <f>VLOOKUP(A359,[1]!Table1[#All],22,FALSE)</f>
        <v>JOHNS HOPKINS UNIVERSITY, SCHOOL OF MEDICINE</v>
      </c>
      <c r="H359" s="8">
        <f>VLOOKUP(A359,[1]!Table1[#All],32,FALSE)</f>
        <v>42901</v>
      </c>
      <c r="I359" s="8">
        <f>VLOOKUP(A359,[1]!Table1[#All],33,FALSE)</f>
        <v>45091</v>
      </c>
      <c r="J359" t="str">
        <f t="shared" ca="1" si="5"/>
        <v>UDO</v>
      </c>
    </row>
    <row r="360" spans="1:10" x14ac:dyDescent="0.35">
      <c r="A360" s="5" t="s">
        <v>14</v>
      </c>
      <c r="B360" s="6">
        <v>44713</v>
      </c>
      <c r="C360" s="7">
        <v>498097</v>
      </c>
      <c r="D360" s="7">
        <v>116643.15</v>
      </c>
      <c r="E360" s="7">
        <v>381453.85</v>
      </c>
      <c r="F360" t="str">
        <f>VLOOKUP(A360,[1]!Table1[#All],17,FALSE)</f>
        <v>UNITED STATES</v>
      </c>
      <c r="G360" t="str">
        <f>VLOOKUP(A360,[1]!Table1[#All],22,FALSE)</f>
        <v>JOHNS HOPKINS UNIVERSITY, SCHOOL OF MEDICINE</v>
      </c>
      <c r="H360" s="8">
        <f>VLOOKUP(A360,[1]!Table1[#All],32,FALSE)</f>
        <v>42901</v>
      </c>
      <c r="I360" s="8">
        <f>VLOOKUP(A360,[1]!Table1[#All],33,FALSE)</f>
        <v>45091</v>
      </c>
      <c r="J360" t="str">
        <f t="shared" ca="1" si="5"/>
        <v>UDO</v>
      </c>
    </row>
    <row r="361" spans="1:10" x14ac:dyDescent="0.35">
      <c r="A361" s="9" t="s">
        <v>14</v>
      </c>
      <c r="B361" s="10">
        <v>44743</v>
      </c>
      <c r="C361" s="11">
        <v>498097</v>
      </c>
      <c r="D361" s="11">
        <v>136893.01999999999</v>
      </c>
      <c r="E361" s="11">
        <v>361203.98</v>
      </c>
      <c r="F361" t="str">
        <f>VLOOKUP(A361,[1]!Table1[#All],17,FALSE)</f>
        <v>UNITED STATES</v>
      </c>
      <c r="G361" t="str">
        <f>VLOOKUP(A361,[1]!Table1[#All],22,FALSE)</f>
        <v>JOHNS HOPKINS UNIVERSITY, SCHOOL OF MEDICINE</v>
      </c>
      <c r="H361" s="8">
        <f>VLOOKUP(A361,[1]!Table1[#All],32,FALSE)</f>
        <v>42901</v>
      </c>
      <c r="I361" s="8">
        <f>VLOOKUP(A361,[1]!Table1[#All],33,FALSE)</f>
        <v>45091</v>
      </c>
      <c r="J361" t="str">
        <f t="shared" ca="1" si="5"/>
        <v>UDO</v>
      </c>
    </row>
    <row r="362" spans="1:10" x14ac:dyDescent="0.35">
      <c r="A362" s="5" t="s">
        <v>14</v>
      </c>
      <c r="B362" s="6">
        <v>44774</v>
      </c>
      <c r="C362" s="7">
        <v>498097</v>
      </c>
      <c r="D362" s="7">
        <v>283480.13</v>
      </c>
      <c r="E362" s="7">
        <v>214616.87</v>
      </c>
      <c r="F362" t="str">
        <f>VLOOKUP(A362,[1]!Table1[#All],17,FALSE)</f>
        <v>UNITED STATES</v>
      </c>
      <c r="G362" t="str">
        <f>VLOOKUP(A362,[1]!Table1[#All],22,FALSE)</f>
        <v>JOHNS HOPKINS UNIVERSITY, SCHOOL OF MEDICINE</v>
      </c>
      <c r="H362" s="8">
        <f>VLOOKUP(A362,[1]!Table1[#All],32,FALSE)</f>
        <v>42901</v>
      </c>
      <c r="I362" s="8">
        <f>VLOOKUP(A362,[1]!Table1[#All],33,FALSE)</f>
        <v>45091</v>
      </c>
      <c r="J362" t="str">
        <f t="shared" ca="1" si="5"/>
        <v>UDO</v>
      </c>
    </row>
    <row r="363" spans="1:10" x14ac:dyDescent="0.35">
      <c r="A363" s="9" t="s">
        <v>14</v>
      </c>
      <c r="B363" s="10">
        <v>44805</v>
      </c>
      <c r="C363" s="11">
        <v>498097</v>
      </c>
      <c r="D363" s="11">
        <v>322916.07999999996</v>
      </c>
      <c r="E363" s="11">
        <v>175180.92</v>
      </c>
      <c r="F363" t="str">
        <f>VLOOKUP(A363,[1]!Table1[#All],17,FALSE)</f>
        <v>UNITED STATES</v>
      </c>
      <c r="G363" t="str">
        <f>VLOOKUP(A363,[1]!Table1[#All],22,FALSE)</f>
        <v>JOHNS HOPKINS UNIVERSITY, SCHOOL OF MEDICINE</v>
      </c>
      <c r="H363" s="8">
        <f>VLOOKUP(A363,[1]!Table1[#All],32,FALSE)</f>
        <v>42901</v>
      </c>
      <c r="I363" s="8">
        <f>VLOOKUP(A363,[1]!Table1[#All],33,FALSE)</f>
        <v>45091</v>
      </c>
      <c r="J363" t="str">
        <f t="shared" ca="1" si="5"/>
        <v>UDO</v>
      </c>
    </row>
    <row r="364" spans="1:10" x14ac:dyDescent="0.35">
      <c r="A364" s="5" t="s">
        <v>14</v>
      </c>
      <c r="B364" s="6">
        <v>44835</v>
      </c>
      <c r="C364" s="7">
        <v>498097</v>
      </c>
      <c r="D364" s="7">
        <v>339668.28</v>
      </c>
      <c r="E364" s="7">
        <v>158428.72</v>
      </c>
      <c r="F364" t="str">
        <f>VLOOKUP(A364,[1]!Table1[#All],17,FALSE)</f>
        <v>UNITED STATES</v>
      </c>
      <c r="G364" t="str">
        <f>VLOOKUP(A364,[1]!Table1[#All],22,FALSE)</f>
        <v>JOHNS HOPKINS UNIVERSITY, SCHOOL OF MEDICINE</v>
      </c>
      <c r="H364" s="8">
        <f>VLOOKUP(A364,[1]!Table1[#All],32,FALSE)</f>
        <v>42901</v>
      </c>
      <c r="I364" s="8">
        <f>VLOOKUP(A364,[1]!Table1[#All],33,FALSE)</f>
        <v>45091</v>
      </c>
      <c r="J364" t="str">
        <f t="shared" ca="1" si="5"/>
        <v>UDO</v>
      </c>
    </row>
    <row r="365" spans="1:10" x14ac:dyDescent="0.35">
      <c r="A365" s="9" t="s">
        <v>14</v>
      </c>
      <c r="B365" s="10">
        <v>44866</v>
      </c>
      <c r="C365" s="11">
        <v>498097</v>
      </c>
      <c r="D365" s="11">
        <v>387867.99</v>
      </c>
      <c r="E365" s="11">
        <v>110229.01</v>
      </c>
      <c r="F365" t="str">
        <f>VLOOKUP(A365,[1]!Table1[#All],17,FALSE)</f>
        <v>UNITED STATES</v>
      </c>
      <c r="G365" t="str">
        <f>VLOOKUP(A365,[1]!Table1[#All],22,FALSE)</f>
        <v>JOHNS HOPKINS UNIVERSITY, SCHOOL OF MEDICINE</v>
      </c>
      <c r="H365" s="8">
        <f>VLOOKUP(A365,[1]!Table1[#All],32,FALSE)</f>
        <v>42901</v>
      </c>
      <c r="I365" s="8">
        <f>VLOOKUP(A365,[1]!Table1[#All],33,FALSE)</f>
        <v>45091</v>
      </c>
      <c r="J365" t="str">
        <f t="shared" ca="1" si="5"/>
        <v>UDO</v>
      </c>
    </row>
    <row r="366" spans="1:10" x14ac:dyDescent="0.35">
      <c r="A366" s="5" t="s">
        <v>14</v>
      </c>
      <c r="B366" s="6">
        <v>44896</v>
      </c>
      <c r="C366" s="7">
        <v>498097</v>
      </c>
      <c r="D366" s="7">
        <v>409879.19</v>
      </c>
      <c r="E366" s="7">
        <v>88217.81</v>
      </c>
      <c r="F366" t="str">
        <f>VLOOKUP(A366,[1]!Table1[#All],17,FALSE)</f>
        <v>UNITED STATES</v>
      </c>
      <c r="G366" t="str">
        <f>VLOOKUP(A366,[1]!Table1[#All],22,FALSE)</f>
        <v>JOHNS HOPKINS UNIVERSITY, SCHOOL OF MEDICINE</v>
      </c>
      <c r="H366" s="8">
        <f>VLOOKUP(A366,[1]!Table1[#All],32,FALSE)</f>
        <v>42901</v>
      </c>
      <c r="I366" s="8">
        <f>VLOOKUP(A366,[1]!Table1[#All],33,FALSE)</f>
        <v>45091</v>
      </c>
      <c r="J366" t="str">
        <f t="shared" ca="1" si="5"/>
        <v>UDO</v>
      </c>
    </row>
    <row r="367" spans="1:10" x14ac:dyDescent="0.35">
      <c r="A367" s="9" t="s">
        <v>14</v>
      </c>
      <c r="B367" s="10">
        <v>44927</v>
      </c>
      <c r="C367" s="11">
        <v>498097</v>
      </c>
      <c r="D367" s="11">
        <v>427992.27</v>
      </c>
      <c r="E367" s="11">
        <v>70104.73</v>
      </c>
      <c r="F367" t="str">
        <f>VLOOKUP(A367,[1]!Table1[#All],17,FALSE)</f>
        <v>UNITED STATES</v>
      </c>
      <c r="G367" t="str">
        <f>VLOOKUP(A367,[1]!Table1[#All],22,FALSE)</f>
        <v>JOHNS HOPKINS UNIVERSITY, SCHOOL OF MEDICINE</v>
      </c>
      <c r="H367" s="8">
        <f>VLOOKUP(A367,[1]!Table1[#All],32,FALSE)</f>
        <v>42901</v>
      </c>
      <c r="I367" s="8">
        <f>VLOOKUP(A367,[1]!Table1[#All],33,FALSE)</f>
        <v>45091</v>
      </c>
      <c r="J367" t="str">
        <f t="shared" ca="1" si="5"/>
        <v>UDO</v>
      </c>
    </row>
    <row r="368" spans="1:10" x14ac:dyDescent="0.35">
      <c r="A368" s="5" t="s">
        <v>14</v>
      </c>
      <c r="B368" s="6">
        <v>44958</v>
      </c>
      <c r="C368" s="7">
        <v>498097</v>
      </c>
      <c r="D368" s="7">
        <v>436580.25</v>
      </c>
      <c r="E368" s="7">
        <v>61516.75</v>
      </c>
      <c r="F368" t="str">
        <f>VLOOKUP(A368,[1]!Table1[#All],17,FALSE)</f>
        <v>UNITED STATES</v>
      </c>
      <c r="G368" t="str">
        <f>VLOOKUP(A368,[1]!Table1[#All],22,FALSE)</f>
        <v>JOHNS HOPKINS UNIVERSITY, SCHOOL OF MEDICINE</v>
      </c>
      <c r="H368" s="8">
        <f>VLOOKUP(A368,[1]!Table1[#All],32,FALSE)</f>
        <v>42901</v>
      </c>
      <c r="I368" s="8">
        <f>VLOOKUP(A368,[1]!Table1[#All],33,FALSE)</f>
        <v>45091</v>
      </c>
      <c r="J368" t="str">
        <f t="shared" ca="1" si="5"/>
        <v>UDO</v>
      </c>
    </row>
    <row r="369" spans="1:10" x14ac:dyDescent="0.35">
      <c r="A369" s="9" t="s">
        <v>14</v>
      </c>
      <c r="B369" s="10">
        <v>44986</v>
      </c>
      <c r="C369" s="11">
        <v>498097</v>
      </c>
      <c r="D369" s="11">
        <v>440650.26</v>
      </c>
      <c r="E369" s="11">
        <v>57446.740000000005</v>
      </c>
      <c r="F369" t="str">
        <f>VLOOKUP(A369,[1]!Table1[#All],17,FALSE)</f>
        <v>UNITED STATES</v>
      </c>
      <c r="G369" t="str">
        <f>VLOOKUP(A369,[1]!Table1[#All],22,FALSE)</f>
        <v>JOHNS HOPKINS UNIVERSITY, SCHOOL OF MEDICINE</v>
      </c>
      <c r="H369" s="8">
        <f>VLOOKUP(A369,[1]!Table1[#All],32,FALSE)</f>
        <v>42901</v>
      </c>
      <c r="I369" s="8">
        <f>VLOOKUP(A369,[1]!Table1[#All],33,FALSE)</f>
        <v>45091</v>
      </c>
      <c r="J369" t="str">
        <f t="shared" ca="1" si="5"/>
        <v>UDO</v>
      </c>
    </row>
    <row r="370" spans="1:10" x14ac:dyDescent="0.35">
      <c r="A370" s="5" t="s">
        <v>14</v>
      </c>
      <c r="B370" s="6">
        <v>45017</v>
      </c>
      <c r="C370" s="7">
        <v>498097</v>
      </c>
      <c r="D370" s="7">
        <v>462285.43000000005</v>
      </c>
      <c r="E370" s="7">
        <v>35811.57</v>
      </c>
      <c r="F370" t="str">
        <f>VLOOKUP(A370,[1]!Table1[#All],17,FALSE)</f>
        <v>UNITED STATES</v>
      </c>
      <c r="G370" t="str">
        <f>VLOOKUP(A370,[1]!Table1[#All],22,FALSE)</f>
        <v>JOHNS HOPKINS UNIVERSITY, SCHOOL OF MEDICINE</v>
      </c>
      <c r="H370" s="8">
        <f>VLOOKUP(A370,[1]!Table1[#All],32,FALSE)</f>
        <v>42901</v>
      </c>
      <c r="I370" s="8">
        <f>VLOOKUP(A370,[1]!Table1[#All],33,FALSE)</f>
        <v>45091</v>
      </c>
      <c r="J370" t="str">
        <f t="shared" ca="1" si="5"/>
        <v>UDO</v>
      </c>
    </row>
    <row r="371" spans="1:10" x14ac:dyDescent="0.35">
      <c r="A371" s="9" t="s">
        <v>14</v>
      </c>
      <c r="B371" s="10">
        <v>45047</v>
      </c>
      <c r="C371" s="11">
        <v>498097</v>
      </c>
      <c r="D371" s="11">
        <v>475767.14</v>
      </c>
      <c r="E371" s="11">
        <v>22329.86</v>
      </c>
      <c r="F371" t="str">
        <f>VLOOKUP(A371,[1]!Table1[#All],17,FALSE)</f>
        <v>UNITED STATES</v>
      </c>
      <c r="G371" t="str">
        <f>VLOOKUP(A371,[1]!Table1[#All],22,FALSE)</f>
        <v>JOHNS HOPKINS UNIVERSITY, SCHOOL OF MEDICINE</v>
      </c>
      <c r="H371" s="8">
        <f>VLOOKUP(A371,[1]!Table1[#All],32,FALSE)</f>
        <v>42901</v>
      </c>
      <c r="I371" s="8">
        <f>VLOOKUP(A371,[1]!Table1[#All],33,FALSE)</f>
        <v>45091</v>
      </c>
      <c r="J371" t="str">
        <f t="shared" ca="1" si="5"/>
        <v>UDO</v>
      </c>
    </row>
    <row r="372" spans="1:10" x14ac:dyDescent="0.35">
      <c r="A372" s="5" t="s">
        <v>14</v>
      </c>
      <c r="B372" s="6">
        <v>45078</v>
      </c>
      <c r="C372" s="7">
        <v>498097</v>
      </c>
      <c r="D372" s="7">
        <v>488722.62</v>
      </c>
      <c r="E372" s="7">
        <v>9374.3799999999992</v>
      </c>
      <c r="F372" t="str">
        <f>VLOOKUP(A372,[1]!Table1[#All],17,FALSE)</f>
        <v>UNITED STATES</v>
      </c>
      <c r="G372" t="str">
        <f>VLOOKUP(A372,[1]!Table1[#All],22,FALSE)</f>
        <v>JOHNS HOPKINS UNIVERSITY, SCHOOL OF MEDICINE</v>
      </c>
      <c r="H372" s="8">
        <f>VLOOKUP(A372,[1]!Table1[#All],32,FALSE)</f>
        <v>42901</v>
      </c>
      <c r="I372" s="8">
        <f>VLOOKUP(A372,[1]!Table1[#All],33,FALSE)</f>
        <v>45091</v>
      </c>
      <c r="J372" t="str">
        <f t="shared" ca="1" si="5"/>
        <v>UDO</v>
      </c>
    </row>
    <row r="373" spans="1:10" x14ac:dyDescent="0.35">
      <c r="A373" s="9" t="s">
        <v>14</v>
      </c>
      <c r="B373" s="10">
        <v>45108</v>
      </c>
      <c r="C373" s="11">
        <v>498097</v>
      </c>
      <c r="D373" s="11">
        <v>493422.45</v>
      </c>
      <c r="E373" s="11">
        <v>4674.55</v>
      </c>
      <c r="F373" t="str">
        <f>VLOOKUP(A373,[1]!Table1[#All],17,FALSE)</f>
        <v>UNITED STATES</v>
      </c>
      <c r="G373" t="str">
        <f>VLOOKUP(A373,[1]!Table1[#All],22,FALSE)</f>
        <v>JOHNS HOPKINS UNIVERSITY, SCHOOL OF MEDICINE</v>
      </c>
      <c r="H373" s="8">
        <f>VLOOKUP(A373,[1]!Table1[#All],32,FALSE)</f>
        <v>42901</v>
      </c>
      <c r="I373" s="8">
        <f>VLOOKUP(A373,[1]!Table1[#All],33,FALSE)</f>
        <v>45091</v>
      </c>
      <c r="J373" t="str">
        <f t="shared" ca="1" si="5"/>
        <v>UDO</v>
      </c>
    </row>
    <row r="374" spans="1:10" x14ac:dyDescent="0.35">
      <c r="A374" s="5" t="s">
        <v>14</v>
      </c>
      <c r="B374" s="6">
        <v>45139</v>
      </c>
      <c r="C374" s="7">
        <v>498097</v>
      </c>
      <c r="D374" s="7">
        <v>493422.45</v>
      </c>
      <c r="E374" s="7">
        <v>4674.55</v>
      </c>
      <c r="F374" t="str">
        <f>VLOOKUP(A374,[1]!Table1[#All],17,FALSE)</f>
        <v>UNITED STATES</v>
      </c>
      <c r="G374" t="str">
        <f>VLOOKUP(A374,[1]!Table1[#All],22,FALSE)</f>
        <v>JOHNS HOPKINS UNIVERSITY, SCHOOL OF MEDICINE</v>
      </c>
      <c r="H374" s="8">
        <f>VLOOKUP(A374,[1]!Table1[#All],32,FALSE)</f>
        <v>42901</v>
      </c>
      <c r="I374" s="8">
        <f>VLOOKUP(A374,[1]!Table1[#All],33,FALSE)</f>
        <v>45091</v>
      </c>
      <c r="J374" t="str">
        <f t="shared" ca="1" si="5"/>
        <v>UDO</v>
      </c>
    </row>
    <row r="375" spans="1:10" x14ac:dyDescent="0.35">
      <c r="A375" s="9" t="s">
        <v>14</v>
      </c>
      <c r="B375" s="10">
        <v>45170</v>
      </c>
      <c r="C375" s="11">
        <v>498097</v>
      </c>
      <c r="D375" s="11">
        <v>493422.45</v>
      </c>
      <c r="E375" s="11">
        <v>4674.55</v>
      </c>
      <c r="F375" t="str">
        <f>VLOOKUP(A375,[1]!Table1[#All],17,FALSE)</f>
        <v>UNITED STATES</v>
      </c>
      <c r="G375" t="str">
        <f>VLOOKUP(A375,[1]!Table1[#All],22,FALSE)</f>
        <v>JOHNS HOPKINS UNIVERSITY, SCHOOL OF MEDICINE</v>
      </c>
      <c r="H375" s="8">
        <f>VLOOKUP(A375,[1]!Table1[#All],32,FALSE)</f>
        <v>42901</v>
      </c>
      <c r="I375" s="8">
        <f>VLOOKUP(A375,[1]!Table1[#All],33,FALSE)</f>
        <v>45091</v>
      </c>
      <c r="J375" t="str">
        <f t="shared" ca="1" si="5"/>
        <v>UDO</v>
      </c>
    </row>
    <row r="376" spans="1:10" x14ac:dyDescent="0.35">
      <c r="A376" s="5" t="s">
        <v>15</v>
      </c>
      <c r="B376" s="6">
        <v>44531</v>
      </c>
      <c r="C376" s="7">
        <v>7992997</v>
      </c>
      <c r="D376" s="7">
        <v>0</v>
      </c>
      <c r="E376" s="7">
        <v>7992997</v>
      </c>
      <c r="F376" t="str">
        <f>VLOOKUP(A376,[1]!Table1[#All],17,FALSE)</f>
        <v>UGANDA</v>
      </c>
      <c r="G376" t="str">
        <f>VLOOKUP(A376,[1]!Table1[#All],22,FALSE)</f>
        <v>MEDICAL ACCESS UGANDA LIMITED</v>
      </c>
      <c r="H376" s="8">
        <f>VLOOKUP(A376,[1]!Table1[#All],32,FALSE)</f>
        <v>42826</v>
      </c>
      <c r="I376" s="8">
        <f>VLOOKUP(A376,[1]!Table1[#All],33,FALSE)</f>
        <v>45198</v>
      </c>
      <c r="J376" t="str">
        <f t="shared" ca="1" si="5"/>
        <v>UDO</v>
      </c>
    </row>
    <row r="377" spans="1:10" x14ac:dyDescent="0.35">
      <c r="A377" s="9" t="s">
        <v>15</v>
      </c>
      <c r="B377" s="10">
        <v>44562</v>
      </c>
      <c r="C377" s="11">
        <v>7992997</v>
      </c>
      <c r="D377" s="11">
        <v>0</v>
      </c>
      <c r="E377" s="11">
        <v>7992997</v>
      </c>
      <c r="F377" t="str">
        <f>VLOOKUP(A377,[1]!Table1[#All],17,FALSE)</f>
        <v>UGANDA</v>
      </c>
      <c r="G377" t="str">
        <f>VLOOKUP(A377,[1]!Table1[#All],22,FALSE)</f>
        <v>MEDICAL ACCESS UGANDA LIMITED</v>
      </c>
      <c r="H377" s="8">
        <f>VLOOKUP(A377,[1]!Table1[#All],32,FALSE)</f>
        <v>42826</v>
      </c>
      <c r="I377" s="8">
        <f>VLOOKUP(A377,[1]!Table1[#All],33,FALSE)</f>
        <v>45198</v>
      </c>
      <c r="J377" t="str">
        <f t="shared" ca="1" si="5"/>
        <v>UDO</v>
      </c>
    </row>
    <row r="378" spans="1:10" x14ac:dyDescent="0.35">
      <c r="A378" s="5" t="s">
        <v>15</v>
      </c>
      <c r="B378" s="6">
        <v>44593</v>
      </c>
      <c r="C378" s="7">
        <v>7992997</v>
      </c>
      <c r="D378" s="7">
        <v>378853</v>
      </c>
      <c r="E378" s="7">
        <v>7614144</v>
      </c>
      <c r="F378" t="str">
        <f>VLOOKUP(A378,[1]!Table1[#All],17,FALSE)</f>
        <v>UGANDA</v>
      </c>
      <c r="G378" t="str">
        <f>VLOOKUP(A378,[1]!Table1[#All],22,FALSE)</f>
        <v>MEDICAL ACCESS UGANDA LIMITED</v>
      </c>
      <c r="H378" s="8">
        <f>VLOOKUP(A378,[1]!Table1[#All],32,FALSE)</f>
        <v>42826</v>
      </c>
      <c r="I378" s="8">
        <f>VLOOKUP(A378,[1]!Table1[#All],33,FALSE)</f>
        <v>45198</v>
      </c>
      <c r="J378" t="str">
        <f t="shared" ca="1" si="5"/>
        <v>UDO</v>
      </c>
    </row>
    <row r="379" spans="1:10" x14ac:dyDescent="0.35">
      <c r="A379" s="9" t="s">
        <v>15</v>
      </c>
      <c r="B379" s="10">
        <v>44621</v>
      </c>
      <c r="C379" s="11">
        <v>7992997</v>
      </c>
      <c r="D379" s="11">
        <v>502588</v>
      </c>
      <c r="E379" s="11">
        <v>7490409</v>
      </c>
      <c r="F379" t="str">
        <f>VLOOKUP(A379,[1]!Table1[#All],17,FALSE)</f>
        <v>UGANDA</v>
      </c>
      <c r="G379" t="str">
        <f>VLOOKUP(A379,[1]!Table1[#All],22,FALSE)</f>
        <v>MEDICAL ACCESS UGANDA LIMITED</v>
      </c>
      <c r="H379" s="8">
        <f>VLOOKUP(A379,[1]!Table1[#All],32,FALSE)</f>
        <v>42826</v>
      </c>
      <c r="I379" s="8">
        <f>VLOOKUP(A379,[1]!Table1[#All],33,FALSE)</f>
        <v>45198</v>
      </c>
      <c r="J379" t="str">
        <f t="shared" ca="1" si="5"/>
        <v>UDO</v>
      </c>
    </row>
    <row r="380" spans="1:10" x14ac:dyDescent="0.35">
      <c r="A380" s="5" t="s">
        <v>15</v>
      </c>
      <c r="B380" s="6">
        <v>44652</v>
      </c>
      <c r="C380" s="7">
        <v>7992997</v>
      </c>
      <c r="D380" s="7">
        <v>575388</v>
      </c>
      <c r="E380" s="7">
        <v>7417609</v>
      </c>
      <c r="F380" t="str">
        <f>VLOOKUP(A380,[1]!Table1[#All],17,FALSE)</f>
        <v>UGANDA</v>
      </c>
      <c r="G380" t="str">
        <f>VLOOKUP(A380,[1]!Table1[#All],22,FALSE)</f>
        <v>MEDICAL ACCESS UGANDA LIMITED</v>
      </c>
      <c r="H380" s="8">
        <f>VLOOKUP(A380,[1]!Table1[#All],32,FALSE)</f>
        <v>42826</v>
      </c>
      <c r="I380" s="8">
        <f>VLOOKUP(A380,[1]!Table1[#All],33,FALSE)</f>
        <v>45198</v>
      </c>
      <c r="J380" t="str">
        <f t="shared" ca="1" si="5"/>
        <v>UDO</v>
      </c>
    </row>
    <row r="381" spans="1:10" x14ac:dyDescent="0.35">
      <c r="A381" s="9" t="s">
        <v>15</v>
      </c>
      <c r="B381" s="10">
        <v>44682</v>
      </c>
      <c r="C381" s="11">
        <v>7992997</v>
      </c>
      <c r="D381" s="11">
        <v>575388</v>
      </c>
      <c r="E381" s="11">
        <v>7417609</v>
      </c>
      <c r="F381" t="str">
        <f>VLOOKUP(A381,[1]!Table1[#All],17,FALSE)</f>
        <v>UGANDA</v>
      </c>
      <c r="G381" t="str">
        <f>VLOOKUP(A381,[1]!Table1[#All],22,FALSE)</f>
        <v>MEDICAL ACCESS UGANDA LIMITED</v>
      </c>
      <c r="H381" s="8">
        <f>VLOOKUP(A381,[1]!Table1[#All],32,FALSE)</f>
        <v>42826</v>
      </c>
      <c r="I381" s="8">
        <f>VLOOKUP(A381,[1]!Table1[#All],33,FALSE)</f>
        <v>45198</v>
      </c>
      <c r="J381" t="str">
        <f t="shared" ca="1" si="5"/>
        <v>UDO</v>
      </c>
    </row>
    <row r="382" spans="1:10" x14ac:dyDescent="0.35">
      <c r="A382" s="5" t="s">
        <v>15</v>
      </c>
      <c r="B382" s="6">
        <v>44713</v>
      </c>
      <c r="C382" s="7">
        <v>7992997</v>
      </c>
      <c r="D382" s="7">
        <v>745732</v>
      </c>
      <c r="E382" s="7">
        <v>7247265</v>
      </c>
      <c r="F382" t="str">
        <f>VLOOKUP(A382,[1]!Table1[#All],17,FALSE)</f>
        <v>UGANDA</v>
      </c>
      <c r="G382" t="str">
        <f>VLOOKUP(A382,[1]!Table1[#All],22,FALSE)</f>
        <v>MEDICAL ACCESS UGANDA LIMITED</v>
      </c>
      <c r="H382" s="8">
        <f>VLOOKUP(A382,[1]!Table1[#All],32,FALSE)</f>
        <v>42826</v>
      </c>
      <c r="I382" s="8">
        <f>VLOOKUP(A382,[1]!Table1[#All],33,FALSE)</f>
        <v>45198</v>
      </c>
      <c r="J382" t="str">
        <f t="shared" ca="1" si="5"/>
        <v>UDO</v>
      </c>
    </row>
    <row r="383" spans="1:10" x14ac:dyDescent="0.35">
      <c r="A383" s="9" t="s">
        <v>15</v>
      </c>
      <c r="B383" s="10">
        <v>44743</v>
      </c>
      <c r="C383" s="11">
        <v>7992997</v>
      </c>
      <c r="D383" s="11">
        <v>1554217</v>
      </c>
      <c r="E383" s="11">
        <v>6438780</v>
      </c>
      <c r="F383" t="str">
        <f>VLOOKUP(A383,[1]!Table1[#All],17,FALSE)</f>
        <v>UGANDA</v>
      </c>
      <c r="G383" t="str">
        <f>VLOOKUP(A383,[1]!Table1[#All],22,FALSE)</f>
        <v>MEDICAL ACCESS UGANDA LIMITED</v>
      </c>
      <c r="H383" s="8">
        <f>VLOOKUP(A383,[1]!Table1[#All],32,FALSE)</f>
        <v>42826</v>
      </c>
      <c r="I383" s="8">
        <f>VLOOKUP(A383,[1]!Table1[#All],33,FALSE)</f>
        <v>45198</v>
      </c>
      <c r="J383" t="str">
        <f t="shared" ca="1" si="5"/>
        <v>UDO</v>
      </c>
    </row>
    <row r="384" spans="1:10" x14ac:dyDescent="0.35">
      <c r="A384" s="5" t="s">
        <v>15</v>
      </c>
      <c r="B384" s="6">
        <v>44774</v>
      </c>
      <c r="C384" s="7">
        <v>7992997</v>
      </c>
      <c r="D384" s="7">
        <v>1611510</v>
      </c>
      <c r="E384" s="7">
        <v>6381487</v>
      </c>
      <c r="F384" t="str">
        <f>VLOOKUP(A384,[1]!Table1[#All],17,FALSE)</f>
        <v>UGANDA</v>
      </c>
      <c r="G384" t="str">
        <f>VLOOKUP(A384,[1]!Table1[#All],22,FALSE)</f>
        <v>MEDICAL ACCESS UGANDA LIMITED</v>
      </c>
      <c r="H384" s="8">
        <f>VLOOKUP(A384,[1]!Table1[#All],32,FALSE)</f>
        <v>42826</v>
      </c>
      <c r="I384" s="8">
        <f>VLOOKUP(A384,[1]!Table1[#All],33,FALSE)</f>
        <v>45198</v>
      </c>
      <c r="J384" t="str">
        <f t="shared" ca="1" si="5"/>
        <v>UDO</v>
      </c>
    </row>
    <row r="385" spans="1:10" x14ac:dyDescent="0.35">
      <c r="A385" s="9" t="s">
        <v>15</v>
      </c>
      <c r="B385" s="10">
        <v>44805</v>
      </c>
      <c r="C385" s="11">
        <v>7992997</v>
      </c>
      <c r="D385" s="11">
        <v>5693566</v>
      </c>
      <c r="E385" s="11">
        <v>2299431</v>
      </c>
      <c r="F385" t="str">
        <f>VLOOKUP(A385,[1]!Table1[#All],17,FALSE)</f>
        <v>UGANDA</v>
      </c>
      <c r="G385" t="str">
        <f>VLOOKUP(A385,[1]!Table1[#All],22,FALSE)</f>
        <v>MEDICAL ACCESS UGANDA LIMITED</v>
      </c>
      <c r="H385" s="8">
        <f>VLOOKUP(A385,[1]!Table1[#All],32,FALSE)</f>
        <v>42826</v>
      </c>
      <c r="I385" s="8">
        <f>VLOOKUP(A385,[1]!Table1[#All],33,FALSE)</f>
        <v>45198</v>
      </c>
      <c r="J385" t="str">
        <f t="shared" ca="1" si="5"/>
        <v>UDO</v>
      </c>
    </row>
    <row r="386" spans="1:10" x14ac:dyDescent="0.35">
      <c r="A386" s="5" t="s">
        <v>15</v>
      </c>
      <c r="B386" s="6">
        <v>44835</v>
      </c>
      <c r="C386" s="7">
        <v>7992997</v>
      </c>
      <c r="D386" s="7">
        <v>5693566</v>
      </c>
      <c r="E386" s="7">
        <v>2299431</v>
      </c>
      <c r="F386" t="str">
        <f>VLOOKUP(A386,[1]!Table1[#All],17,FALSE)</f>
        <v>UGANDA</v>
      </c>
      <c r="G386" t="str">
        <f>VLOOKUP(A386,[1]!Table1[#All],22,FALSE)</f>
        <v>MEDICAL ACCESS UGANDA LIMITED</v>
      </c>
      <c r="H386" s="8">
        <f>VLOOKUP(A386,[1]!Table1[#All],32,FALSE)</f>
        <v>42826</v>
      </c>
      <c r="I386" s="8">
        <f>VLOOKUP(A386,[1]!Table1[#All],33,FALSE)</f>
        <v>45198</v>
      </c>
      <c r="J386" t="str">
        <f t="shared" ca="1" si="5"/>
        <v>UDO</v>
      </c>
    </row>
    <row r="387" spans="1:10" x14ac:dyDescent="0.35">
      <c r="A387" s="9" t="s">
        <v>15</v>
      </c>
      <c r="B387" s="10">
        <v>44866</v>
      </c>
      <c r="C387" s="11">
        <v>7992997</v>
      </c>
      <c r="D387" s="11">
        <v>5699929</v>
      </c>
      <c r="E387" s="11">
        <v>2293068</v>
      </c>
      <c r="F387" t="str">
        <f>VLOOKUP(A387,[1]!Table1[#All],17,FALSE)</f>
        <v>UGANDA</v>
      </c>
      <c r="G387" t="str">
        <f>VLOOKUP(A387,[1]!Table1[#All],22,FALSE)</f>
        <v>MEDICAL ACCESS UGANDA LIMITED</v>
      </c>
      <c r="H387" s="8">
        <f>VLOOKUP(A387,[1]!Table1[#All],32,FALSE)</f>
        <v>42826</v>
      </c>
      <c r="I387" s="8">
        <f>VLOOKUP(A387,[1]!Table1[#All],33,FALSE)</f>
        <v>45198</v>
      </c>
      <c r="J387" t="str">
        <f t="shared" ref="J387:J450" ca="1" si="6">IF(AND( E387&gt;0,TODAY()&gt;I387),"UDO","Non UDO")</f>
        <v>UDO</v>
      </c>
    </row>
    <row r="388" spans="1:10" x14ac:dyDescent="0.35">
      <c r="A388" s="5" t="s">
        <v>15</v>
      </c>
      <c r="B388" s="6">
        <v>44896</v>
      </c>
      <c r="C388" s="7">
        <v>7992997</v>
      </c>
      <c r="D388" s="7">
        <v>5716927</v>
      </c>
      <c r="E388" s="7">
        <v>2276070</v>
      </c>
      <c r="F388" t="str">
        <f>VLOOKUP(A388,[1]!Table1[#All],17,FALSE)</f>
        <v>UGANDA</v>
      </c>
      <c r="G388" t="str">
        <f>VLOOKUP(A388,[1]!Table1[#All],22,FALSE)</f>
        <v>MEDICAL ACCESS UGANDA LIMITED</v>
      </c>
      <c r="H388" s="8">
        <f>VLOOKUP(A388,[1]!Table1[#All],32,FALSE)</f>
        <v>42826</v>
      </c>
      <c r="I388" s="8">
        <f>VLOOKUP(A388,[1]!Table1[#All],33,FALSE)</f>
        <v>45198</v>
      </c>
      <c r="J388" t="str">
        <f t="shared" ca="1" si="6"/>
        <v>UDO</v>
      </c>
    </row>
    <row r="389" spans="1:10" x14ac:dyDescent="0.35">
      <c r="A389" s="9" t="s">
        <v>15</v>
      </c>
      <c r="B389" s="10">
        <v>44927</v>
      </c>
      <c r="C389" s="11">
        <v>7992997</v>
      </c>
      <c r="D389" s="11">
        <v>5716927</v>
      </c>
      <c r="E389" s="11">
        <v>2276070</v>
      </c>
      <c r="F389" t="str">
        <f>VLOOKUP(A389,[1]!Table1[#All],17,FALSE)</f>
        <v>UGANDA</v>
      </c>
      <c r="G389" t="str">
        <f>VLOOKUP(A389,[1]!Table1[#All],22,FALSE)</f>
        <v>MEDICAL ACCESS UGANDA LIMITED</v>
      </c>
      <c r="H389" s="8">
        <f>VLOOKUP(A389,[1]!Table1[#All],32,FALSE)</f>
        <v>42826</v>
      </c>
      <c r="I389" s="8">
        <f>VLOOKUP(A389,[1]!Table1[#All],33,FALSE)</f>
        <v>45198</v>
      </c>
      <c r="J389" t="str">
        <f t="shared" ca="1" si="6"/>
        <v>UDO</v>
      </c>
    </row>
    <row r="390" spans="1:10" x14ac:dyDescent="0.35">
      <c r="A390" s="5" t="s">
        <v>15</v>
      </c>
      <c r="B390" s="6">
        <v>44958</v>
      </c>
      <c r="C390" s="7">
        <v>7992997</v>
      </c>
      <c r="D390" s="7">
        <v>5820972</v>
      </c>
      <c r="E390" s="7">
        <v>2172025</v>
      </c>
      <c r="F390" t="str">
        <f>VLOOKUP(A390,[1]!Table1[#All],17,FALSE)</f>
        <v>UGANDA</v>
      </c>
      <c r="G390" t="str">
        <f>VLOOKUP(A390,[1]!Table1[#All],22,FALSE)</f>
        <v>MEDICAL ACCESS UGANDA LIMITED</v>
      </c>
      <c r="H390" s="8">
        <f>VLOOKUP(A390,[1]!Table1[#All],32,FALSE)</f>
        <v>42826</v>
      </c>
      <c r="I390" s="8">
        <f>VLOOKUP(A390,[1]!Table1[#All],33,FALSE)</f>
        <v>45198</v>
      </c>
      <c r="J390" t="str">
        <f t="shared" ca="1" si="6"/>
        <v>UDO</v>
      </c>
    </row>
    <row r="391" spans="1:10" x14ac:dyDescent="0.35">
      <c r="A391" s="9" t="s">
        <v>15</v>
      </c>
      <c r="B391" s="10">
        <v>44986</v>
      </c>
      <c r="C391" s="11">
        <v>7992997</v>
      </c>
      <c r="D391" s="11">
        <v>5827553</v>
      </c>
      <c r="E391" s="11">
        <v>2165444</v>
      </c>
      <c r="F391" t="str">
        <f>VLOOKUP(A391,[1]!Table1[#All],17,FALSE)</f>
        <v>UGANDA</v>
      </c>
      <c r="G391" t="str">
        <f>VLOOKUP(A391,[1]!Table1[#All],22,FALSE)</f>
        <v>MEDICAL ACCESS UGANDA LIMITED</v>
      </c>
      <c r="H391" s="8">
        <f>VLOOKUP(A391,[1]!Table1[#All],32,FALSE)</f>
        <v>42826</v>
      </c>
      <c r="I391" s="8">
        <f>VLOOKUP(A391,[1]!Table1[#All],33,FALSE)</f>
        <v>45198</v>
      </c>
      <c r="J391" t="str">
        <f t="shared" ca="1" si="6"/>
        <v>UDO</v>
      </c>
    </row>
    <row r="392" spans="1:10" x14ac:dyDescent="0.35">
      <c r="A392" s="5" t="s">
        <v>15</v>
      </c>
      <c r="B392" s="6">
        <v>45017</v>
      </c>
      <c r="C392" s="7">
        <v>7992997</v>
      </c>
      <c r="D392" s="7">
        <v>5864683</v>
      </c>
      <c r="E392" s="7">
        <v>2128314</v>
      </c>
      <c r="F392" t="str">
        <f>VLOOKUP(A392,[1]!Table1[#All],17,FALSE)</f>
        <v>UGANDA</v>
      </c>
      <c r="G392" t="str">
        <f>VLOOKUP(A392,[1]!Table1[#All],22,FALSE)</f>
        <v>MEDICAL ACCESS UGANDA LIMITED</v>
      </c>
      <c r="H392" s="8">
        <f>VLOOKUP(A392,[1]!Table1[#All],32,FALSE)</f>
        <v>42826</v>
      </c>
      <c r="I392" s="8">
        <f>VLOOKUP(A392,[1]!Table1[#All],33,FALSE)</f>
        <v>45198</v>
      </c>
      <c r="J392" t="str">
        <f t="shared" ca="1" si="6"/>
        <v>UDO</v>
      </c>
    </row>
    <row r="393" spans="1:10" x14ac:dyDescent="0.35">
      <c r="A393" s="9" t="s">
        <v>15</v>
      </c>
      <c r="B393" s="10">
        <v>45047</v>
      </c>
      <c r="C393" s="11">
        <v>7992997</v>
      </c>
      <c r="D393" s="11">
        <v>5871149</v>
      </c>
      <c r="E393" s="11">
        <v>2121848</v>
      </c>
      <c r="F393" t="str">
        <f>VLOOKUP(A393,[1]!Table1[#All],17,FALSE)</f>
        <v>UGANDA</v>
      </c>
      <c r="G393" t="str">
        <f>VLOOKUP(A393,[1]!Table1[#All],22,FALSE)</f>
        <v>MEDICAL ACCESS UGANDA LIMITED</v>
      </c>
      <c r="H393" s="8">
        <f>VLOOKUP(A393,[1]!Table1[#All],32,FALSE)</f>
        <v>42826</v>
      </c>
      <c r="I393" s="8">
        <f>VLOOKUP(A393,[1]!Table1[#All],33,FALSE)</f>
        <v>45198</v>
      </c>
      <c r="J393" t="str">
        <f t="shared" ca="1" si="6"/>
        <v>UDO</v>
      </c>
    </row>
    <row r="394" spans="1:10" x14ac:dyDescent="0.35">
      <c r="A394" s="5" t="s">
        <v>15</v>
      </c>
      <c r="B394" s="6">
        <v>45078</v>
      </c>
      <c r="C394" s="7">
        <v>7992997</v>
      </c>
      <c r="D394" s="7">
        <v>6023283.1100000003</v>
      </c>
      <c r="E394" s="7">
        <v>1969713.89</v>
      </c>
      <c r="F394" t="str">
        <f>VLOOKUP(A394,[1]!Table1[#All],17,FALSE)</f>
        <v>UGANDA</v>
      </c>
      <c r="G394" t="str">
        <f>VLOOKUP(A394,[1]!Table1[#All],22,FALSE)</f>
        <v>MEDICAL ACCESS UGANDA LIMITED</v>
      </c>
      <c r="H394" s="8">
        <f>VLOOKUP(A394,[1]!Table1[#All],32,FALSE)</f>
        <v>42826</v>
      </c>
      <c r="I394" s="8">
        <f>VLOOKUP(A394,[1]!Table1[#All],33,FALSE)</f>
        <v>45198</v>
      </c>
      <c r="J394" t="str">
        <f t="shared" ca="1" si="6"/>
        <v>UDO</v>
      </c>
    </row>
    <row r="395" spans="1:10" x14ac:dyDescent="0.35">
      <c r="A395" s="9" t="s">
        <v>15</v>
      </c>
      <c r="B395" s="10">
        <v>45108</v>
      </c>
      <c r="C395" s="11">
        <v>7992997</v>
      </c>
      <c r="D395" s="11">
        <v>6042765.1100000003</v>
      </c>
      <c r="E395" s="11">
        <v>1950231.89</v>
      </c>
      <c r="F395" t="str">
        <f>VLOOKUP(A395,[1]!Table1[#All],17,FALSE)</f>
        <v>UGANDA</v>
      </c>
      <c r="G395" t="str">
        <f>VLOOKUP(A395,[1]!Table1[#All],22,FALSE)</f>
        <v>MEDICAL ACCESS UGANDA LIMITED</v>
      </c>
      <c r="H395" s="8">
        <f>VLOOKUP(A395,[1]!Table1[#All],32,FALSE)</f>
        <v>42826</v>
      </c>
      <c r="I395" s="8">
        <f>VLOOKUP(A395,[1]!Table1[#All],33,FALSE)</f>
        <v>45198</v>
      </c>
      <c r="J395" t="str">
        <f t="shared" ca="1" si="6"/>
        <v>UDO</v>
      </c>
    </row>
    <row r="396" spans="1:10" x14ac:dyDescent="0.35">
      <c r="A396" s="5" t="s">
        <v>15</v>
      </c>
      <c r="B396" s="6">
        <v>45139</v>
      </c>
      <c r="C396" s="7">
        <v>7992997</v>
      </c>
      <c r="D396" s="7">
        <v>6243333.7000000002</v>
      </c>
      <c r="E396" s="7">
        <v>1749663.3</v>
      </c>
      <c r="F396" t="str">
        <f>VLOOKUP(A396,[1]!Table1[#All],17,FALSE)</f>
        <v>UGANDA</v>
      </c>
      <c r="G396" t="str">
        <f>VLOOKUP(A396,[1]!Table1[#All],22,FALSE)</f>
        <v>MEDICAL ACCESS UGANDA LIMITED</v>
      </c>
      <c r="H396" s="8">
        <f>VLOOKUP(A396,[1]!Table1[#All],32,FALSE)</f>
        <v>42826</v>
      </c>
      <c r="I396" s="8">
        <f>VLOOKUP(A396,[1]!Table1[#All],33,FALSE)</f>
        <v>45198</v>
      </c>
      <c r="J396" t="str">
        <f t="shared" ca="1" si="6"/>
        <v>UDO</v>
      </c>
    </row>
    <row r="397" spans="1:10" x14ac:dyDescent="0.35">
      <c r="A397" s="9" t="s">
        <v>15</v>
      </c>
      <c r="B397" s="10">
        <v>45170</v>
      </c>
      <c r="C397" s="11">
        <v>7992997</v>
      </c>
      <c r="D397" s="11">
        <v>6618098</v>
      </c>
      <c r="E397" s="11">
        <v>1374899</v>
      </c>
      <c r="F397" t="str">
        <f>VLOOKUP(A397,[1]!Table1[#All],17,FALSE)</f>
        <v>UGANDA</v>
      </c>
      <c r="G397" t="str">
        <f>VLOOKUP(A397,[1]!Table1[#All],22,FALSE)</f>
        <v>MEDICAL ACCESS UGANDA LIMITED</v>
      </c>
      <c r="H397" s="8">
        <f>VLOOKUP(A397,[1]!Table1[#All],32,FALSE)</f>
        <v>42826</v>
      </c>
      <c r="I397" s="8">
        <f>VLOOKUP(A397,[1]!Table1[#All],33,FALSE)</f>
        <v>45198</v>
      </c>
      <c r="J397" t="str">
        <f t="shared" ca="1" si="6"/>
        <v>UDO</v>
      </c>
    </row>
    <row r="398" spans="1:10" x14ac:dyDescent="0.35">
      <c r="A398" s="5" t="s">
        <v>16</v>
      </c>
      <c r="B398" s="6">
        <v>44105</v>
      </c>
      <c r="C398" s="7">
        <v>8925368</v>
      </c>
      <c r="D398" s="7">
        <v>3613183.1999999997</v>
      </c>
      <c r="E398" s="7">
        <v>5312184.8</v>
      </c>
      <c r="F398" t="str">
        <f>VLOOKUP(A398,[1]!Table1[#All],17,FALSE)</f>
        <v>UNITED STATES</v>
      </c>
      <c r="G398" t="str">
        <f>VLOOKUP(A398,[1]!Table1[#All],22,FALSE)</f>
        <v>JOHNS HOPKINS UNIVERSITY</v>
      </c>
      <c r="H398" s="8">
        <f>VLOOKUP(A398,[1]!Table1[#All],32,FALSE)</f>
        <v>42826</v>
      </c>
      <c r="I398" s="8">
        <f>VLOOKUP(A398,[1]!Table1[#All],33,FALSE)</f>
        <v>44833</v>
      </c>
      <c r="J398" t="str">
        <f t="shared" ca="1" si="6"/>
        <v>UDO</v>
      </c>
    </row>
    <row r="399" spans="1:10" x14ac:dyDescent="0.35">
      <c r="A399" s="9" t="s">
        <v>16</v>
      </c>
      <c r="B399" s="10">
        <v>44136</v>
      </c>
      <c r="C399" s="11">
        <v>8925368</v>
      </c>
      <c r="D399" s="11">
        <v>3922928.06</v>
      </c>
      <c r="E399" s="11">
        <v>5002439.9399999995</v>
      </c>
      <c r="F399" t="str">
        <f>VLOOKUP(A399,[1]!Table1[#All],17,FALSE)</f>
        <v>UNITED STATES</v>
      </c>
      <c r="G399" t="str">
        <f>VLOOKUP(A399,[1]!Table1[#All],22,FALSE)</f>
        <v>JOHNS HOPKINS UNIVERSITY</v>
      </c>
      <c r="H399" s="8">
        <f>VLOOKUP(A399,[1]!Table1[#All],32,FALSE)</f>
        <v>42826</v>
      </c>
      <c r="I399" s="8">
        <f>VLOOKUP(A399,[1]!Table1[#All],33,FALSE)</f>
        <v>44833</v>
      </c>
      <c r="J399" t="str">
        <f t="shared" ca="1" si="6"/>
        <v>UDO</v>
      </c>
    </row>
    <row r="400" spans="1:10" x14ac:dyDescent="0.35">
      <c r="A400" s="5" t="s">
        <v>16</v>
      </c>
      <c r="B400" s="6">
        <v>44166</v>
      </c>
      <c r="C400" s="7">
        <v>8925368</v>
      </c>
      <c r="D400" s="7">
        <v>3930645.05</v>
      </c>
      <c r="E400" s="7">
        <v>4994722.95</v>
      </c>
      <c r="F400" t="str">
        <f>VLOOKUP(A400,[1]!Table1[#All],17,FALSE)</f>
        <v>UNITED STATES</v>
      </c>
      <c r="G400" t="str">
        <f>VLOOKUP(A400,[1]!Table1[#All],22,FALSE)</f>
        <v>JOHNS HOPKINS UNIVERSITY</v>
      </c>
      <c r="H400" s="8">
        <f>VLOOKUP(A400,[1]!Table1[#All],32,FALSE)</f>
        <v>42826</v>
      </c>
      <c r="I400" s="8">
        <f>VLOOKUP(A400,[1]!Table1[#All],33,FALSE)</f>
        <v>44833</v>
      </c>
      <c r="J400" t="str">
        <f t="shared" ca="1" si="6"/>
        <v>UDO</v>
      </c>
    </row>
    <row r="401" spans="1:10" x14ac:dyDescent="0.35">
      <c r="A401" s="9" t="s">
        <v>16</v>
      </c>
      <c r="B401" s="10">
        <v>44197</v>
      </c>
      <c r="C401" s="11">
        <v>8925368</v>
      </c>
      <c r="D401" s="11">
        <v>4832884.4700000007</v>
      </c>
      <c r="E401" s="11">
        <v>4092483.5300000003</v>
      </c>
      <c r="F401" t="str">
        <f>VLOOKUP(A401,[1]!Table1[#All],17,FALSE)</f>
        <v>UNITED STATES</v>
      </c>
      <c r="G401" t="str">
        <f>VLOOKUP(A401,[1]!Table1[#All],22,FALSE)</f>
        <v>JOHNS HOPKINS UNIVERSITY</v>
      </c>
      <c r="H401" s="8">
        <f>VLOOKUP(A401,[1]!Table1[#All],32,FALSE)</f>
        <v>42826</v>
      </c>
      <c r="I401" s="8">
        <f>VLOOKUP(A401,[1]!Table1[#All],33,FALSE)</f>
        <v>44833</v>
      </c>
      <c r="J401" t="str">
        <f t="shared" ca="1" si="6"/>
        <v>UDO</v>
      </c>
    </row>
    <row r="402" spans="1:10" x14ac:dyDescent="0.35">
      <c r="A402" s="5" t="s">
        <v>16</v>
      </c>
      <c r="B402" s="6">
        <v>44228</v>
      </c>
      <c r="C402" s="7">
        <v>8925368</v>
      </c>
      <c r="D402" s="7">
        <v>5761757.7800000003</v>
      </c>
      <c r="E402" s="7">
        <v>3163610.22</v>
      </c>
      <c r="F402" t="str">
        <f>VLOOKUP(A402,[1]!Table1[#All],17,FALSE)</f>
        <v>UNITED STATES</v>
      </c>
      <c r="G402" t="str">
        <f>VLOOKUP(A402,[1]!Table1[#All],22,FALSE)</f>
        <v>JOHNS HOPKINS UNIVERSITY</v>
      </c>
      <c r="H402" s="8">
        <f>VLOOKUP(A402,[1]!Table1[#All],32,FALSE)</f>
        <v>42826</v>
      </c>
      <c r="I402" s="8">
        <f>VLOOKUP(A402,[1]!Table1[#All],33,FALSE)</f>
        <v>44833</v>
      </c>
      <c r="J402" t="str">
        <f t="shared" ca="1" si="6"/>
        <v>UDO</v>
      </c>
    </row>
    <row r="403" spans="1:10" x14ac:dyDescent="0.35">
      <c r="A403" s="9" t="s">
        <v>16</v>
      </c>
      <c r="B403" s="10">
        <v>44256</v>
      </c>
      <c r="C403" s="11">
        <v>8925368</v>
      </c>
      <c r="D403" s="11">
        <v>5775531.71</v>
      </c>
      <c r="E403" s="11">
        <v>3149836.29</v>
      </c>
      <c r="F403" t="str">
        <f>VLOOKUP(A403,[1]!Table1[#All],17,FALSE)</f>
        <v>UNITED STATES</v>
      </c>
      <c r="G403" t="str">
        <f>VLOOKUP(A403,[1]!Table1[#All],22,FALSE)</f>
        <v>JOHNS HOPKINS UNIVERSITY</v>
      </c>
      <c r="H403" s="8">
        <f>VLOOKUP(A403,[1]!Table1[#All],32,FALSE)</f>
        <v>42826</v>
      </c>
      <c r="I403" s="8">
        <f>VLOOKUP(A403,[1]!Table1[#All],33,FALSE)</f>
        <v>44833</v>
      </c>
      <c r="J403" t="str">
        <f t="shared" ca="1" si="6"/>
        <v>UDO</v>
      </c>
    </row>
    <row r="404" spans="1:10" x14ac:dyDescent="0.35">
      <c r="A404" s="5" t="s">
        <v>16</v>
      </c>
      <c r="B404" s="6">
        <v>44287</v>
      </c>
      <c r="C404" s="7">
        <v>450000</v>
      </c>
      <c r="D404" s="7">
        <v>325217.44</v>
      </c>
      <c r="E404" s="7">
        <v>124782.56</v>
      </c>
      <c r="F404" t="str">
        <f>VLOOKUP(A404,[1]!Table1[#All],17,FALSE)</f>
        <v>UNITED STATES</v>
      </c>
      <c r="G404" t="str">
        <f>VLOOKUP(A404,[1]!Table1[#All],22,FALSE)</f>
        <v>JOHNS HOPKINS UNIVERSITY</v>
      </c>
      <c r="H404" s="8">
        <f>VLOOKUP(A404,[1]!Table1[#All],32,FALSE)</f>
        <v>42826</v>
      </c>
      <c r="I404" s="8">
        <f>VLOOKUP(A404,[1]!Table1[#All],33,FALSE)</f>
        <v>44833</v>
      </c>
      <c r="J404" t="str">
        <f t="shared" ca="1" si="6"/>
        <v>UDO</v>
      </c>
    </row>
    <row r="405" spans="1:10" x14ac:dyDescent="0.35">
      <c r="A405" s="9" t="s">
        <v>16</v>
      </c>
      <c r="B405" s="10">
        <v>44317</v>
      </c>
      <c r="C405" s="11">
        <v>8925368</v>
      </c>
      <c r="D405" s="11">
        <v>7182931.6900000004</v>
      </c>
      <c r="E405" s="11">
        <v>1742436.31</v>
      </c>
      <c r="F405" t="str">
        <f>VLOOKUP(A405,[1]!Table1[#All],17,FALSE)</f>
        <v>UNITED STATES</v>
      </c>
      <c r="G405" t="str">
        <f>VLOOKUP(A405,[1]!Table1[#All],22,FALSE)</f>
        <v>JOHNS HOPKINS UNIVERSITY</v>
      </c>
      <c r="H405" s="8">
        <f>VLOOKUP(A405,[1]!Table1[#All],32,FALSE)</f>
        <v>42826</v>
      </c>
      <c r="I405" s="8">
        <f>VLOOKUP(A405,[1]!Table1[#All],33,FALSE)</f>
        <v>44833</v>
      </c>
      <c r="J405" t="str">
        <f t="shared" ca="1" si="6"/>
        <v>UDO</v>
      </c>
    </row>
    <row r="406" spans="1:10" x14ac:dyDescent="0.35">
      <c r="A406" s="5" t="s">
        <v>16</v>
      </c>
      <c r="B406" s="6">
        <v>44348</v>
      </c>
      <c r="C406" s="7">
        <v>8925368</v>
      </c>
      <c r="D406" s="7">
        <v>7737090.6100000003</v>
      </c>
      <c r="E406" s="7">
        <v>1188277.3900000001</v>
      </c>
      <c r="F406" t="str">
        <f>VLOOKUP(A406,[1]!Table1[#All],17,FALSE)</f>
        <v>UNITED STATES</v>
      </c>
      <c r="G406" t="str">
        <f>VLOOKUP(A406,[1]!Table1[#All],22,FALSE)</f>
        <v>JOHNS HOPKINS UNIVERSITY</v>
      </c>
      <c r="H406" s="8">
        <f>VLOOKUP(A406,[1]!Table1[#All],32,FALSE)</f>
        <v>42826</v>
      </c>
      <c r="I406" s="8">
        <f>VLOOKUP(A406,[1]!Table1[#All],33,FALSE)</f>
        <v>44833</v>
      </c>
      <c r="J406" t="str">
        <f t="shared" ca="1" si="6"/>
        <v>UDO</v>
      </c>
    </row>
    <row r="407" spans="1:10" x14ac:dyDescent="0.35">
      <c r="A407" s="9" t="s">
        <v>16</v>
      </c>
      <c r="B407" s="10">
        <v>44378</v>
      </c>
      <c r="C407" s="11">
        <v>8925368</v>
      </c>
      <c r="D407" s="11">
        <v>8800585.4399999995</v>
      </c>
      <c r="E407" s="11">
        <v>124782.56</v>
      </c>
      <c r="F407" t="str">
        <f>VLOOKUP(A407,[1]!Table1[#All],17,FALSE)</f>
        <v>UNITED STATES</v>
      </c>
      <c r="G407" t="str">
        <f>VLOOKUP(A407,[1]!Table1[#All],22,FALSE)</f>
        <v>JOHNS HOPKINS UNIVERSITY</v>
      </c>
      <c r="H407" s="8">
        <f>VLOOKUP(A407,[1]!Table1[#All],32,FALSE)</f>
        <v>42826</v>
      </c>
      <c r="I407" s="8">
        <f>VLOOKUP(A407,[1]!Table1[#All],33,FALSE)</f>
        <v>44833</v>
      </c>
      <c r="J407" t="str">
        <f t="shared" ca="1" si="6"/>
        <v>UDO</v>
      </c>
    </row>
    <row r="408" spans="1:10" x14ac:dyDescent="0.35">
      <c r="A408" s="5" t="s">
        <v>16</v>
      </c>
      <c r="B408" s="6">
        <v>44409</v>
      </c>
      <c r="C408" s="7">
        <v>8925368</v>
      </c>
      <c r="D408" s="7">
        <v>8800585.4399999995</v>
      </c>
      <c r="E408" s="7">
        <v>124782.56</v>
      </c>
      <c r="F408" t="str">
        <f>VLOOKUP(A408,[1]!Table1[#All],17,FALSE)</f>
        <v>UNITED STATES</v>
      </c>
      <c r="G408" t="str">
        <f>VLOOKUP(A408,[1]!Table1[#All],22,FALSE)</f>
        <v>JOHNS HOPKINS UNIVERSITY</v>
      </c>
      <c r="H408" s="8">
        <f>VLOOKUP(A408,[1]!Table1[#All],32,FALSE)</f>
        <v>42826</v>
      </c>
      <c r="I408" s="8">
        <f>VLOOKUP(A408,[1]!Table1[#All],33,FALSE)</f>
        <v>44833</v>
      </c>
      <c r="J408" t="str">
        <f t="shared" ca="1" si="6"/>
        <v>UDO</v>
      </c>
    </row>
    <row r="409" spans="1:10" x14ac:dyDescent="0.35">
      <c r="A409" s="9" t="s">
        <v>16</v>
      </c>
      <c r="B409" s="10">
        <v>44440</v>
      </c>
      <c r="C409" s="11">
        <v>8925368</v>
      </c>
      <c r="D409" s="11">
        <v>8832616.6999999993</v>
      </c>
      <c r="E409" s="11">
        <v>92751.3</v>
      </c>
      <c r="F409" t="str">
        <f>VLOOKUP(A409,[1]!Table1[#All],17,FALSE)</f>
        <v>UNITED STATES</v>
      </c>
      <c r="G409" t="str">
        <f>VLOOKUP(A409,[1]!Table1[#All],22,FALSE)</f>
        <v>JOHNS HOPKINS UNIVERSITY</v>
      </c>
      <c r="H409" s="8">
        <f>VLOOKUP(A409,[1]!Table1[#All],32,FALSE)</f>
        <v>42826</v>
      </c>
      <c r="I409" s="8">
        <f>VLOOKUP(A409,[1]!Table1[#All],33,FALSE)</f>
        <v>44833</v>
      </c>
      <c r="J409" t="str">
        <f t="shared" ca="1" si="6"/>
        <v>UDO</v>
      </c>
    </row>
    <row r="410" spans="1:10" x14ac:dyDescent="0.35">
      <c r="A410" s="5" t="s">
        <v>16</v>
      </c>
      <c r="B410" s="6">
        <v>44470</v>
      </c>
      <c r="C410" s="7">
        <v>8925368</v>
      </c>
      <c r="D410" s="7">
        <v>8841912.0500000007</v>
      </c>
      <c r="E410" s="7">
        <v>83455.95</v>
      </c>
      <c r="F410" t="str">
        <f>VLOOKUP(A410,[1]!Table1[#All],17,FALSE)</f>
        <v>UNITED STATES</v>
      </c>
      <c r="G410" t="str">
        <f>VLOOKUP(A410,[1]!Table1[#All],22,FALSE)</f>
        <v>JOHNS HOPKINS UNIVERSITY</v>
      </c>
      <c r="H410" s="8">
        <f>VLOOKUP(A410,[1]!Table1[#All],32,FALSE)</f>
        <v>42826</v>
      </c>
      <c r="I410" s="8">
        <f>VLOOKUP(A410,[1]!Table1[#All],33,FALSE)</f>
        <v>44833</v>
      </c>
      <c r="J410" t="str">
        <f t="shared" ca="1" si="6"/>
        <v>UDO</v>
      </c>
    </row>
    <row r="411" spans="1:10" x14ac:dyDescent="0.35">
      <c r="A411" s="9" t="s">
        <v>16</v>
      </c>
      <c r="B411" s="10">
        <v>44501</v>
      </c>
      <c r="C411" s="11">
        <v>8925368</v>
      </c>
      <c r="D411" s="11">
        <v>8851083.8000000007</v>
      </c>
      <c r="E411" s="11">
        <v>74284.2</v>
      </c>
      <c r="F411" t="str">
        <f>VLOOKUP(A411,[1]!Table1[#All],17,FALSE)</f>
        <v>UNITED STATES</v>
      </c>
      <c r="G411" t="str">
        <f>VLOOKUP(A411,[1]!Table1[#All],22,FALSE)</f>
        <v>JOHNS HOPKINS UNIVERSITY</v>
      </c>
      <c r="H411" s="8">
        <f>VLOOKUP(A411,[1]!Table1[#All],32,FALSE)</f>
        <v>42826</v>
      </c>
      <c r="I411" s="8">
        <f>VLOOKUP(A411,[1]!Table1[#All],33,FALSE)</f>
        <v>44833</v>
      </c>
      <c r="J411" t="str">
        <f t="shared" ca="1" si="6"/>
        <v>UDO</v>
      </c>
    </row>
    <row r="412" spans="1:10" x14ac:dyDescent="0.35">
      <c r="A412" s="5" t="s">
        <v>16</v>
      </c>
      <c r="B412" s="6">
        <v>44531</v>
      </c>
      <c r="C412" s="7">
        <v>8925368</v>
      </c>
      <c r="D412" s="7">
        <v>8854255.8900000006</v>
      </c>
      <c r="E412" s="7">
        <v>71112.11</v>
      </c>
      <c r="F412" t="str">
        <f>VLOOKUP(A412,[1]!Table1[#All],17,FALSE)</f>
        <v>UNITED STATES</v>
      </c>
      <c r="G412" t="str">
        <f>VLOOKUP(A412,[1]!Table1[#All],22,FALSE)</f>
        <v>JOHNS HOPKINS UNIVERSITY</v>
      </c>
      <c r="H412" s="8">
        <f>VLOOKUP(A412,[1]!Table1[#All],32,FALSE)</f>
        <v>42826</v>
      </c>
      <c r="I412" s="8">
        <f>VLOOKUP(A412,[1]!Table1[#All],33,FALSE)</f>
        <v>44833</v>
      </c>
      <c r="J412" t="str">
        <f t="shared" ca="1" si="6"/>
        <v>UDO</v>
      </c>
    </row>
    <row r="413" spans="1:10" x14ac:dyDescent="0.35">
      <c r="A413" s="9" t="s">
        <v>16</v>
      </c>
      <c r="B413" s="10">
        <v>44562</v>
      </c>
      <c r="C413" s="11">
        <v>8925368</v>
      </c>
      <c r="D413" s="11">
        <v>8854255.8900000006</v>
      </c>
      <c r="E413" s="11">
        <v>71112.11</v>
      </c>
      <c r="F413" t="str">
        <f>VLOOKUP(A413,[1]!Table1[#All],17,FALSE)</f>
        <v>UNITED STATES</v>
      </c>
      <c r="G413" t="str">
        <f>VLOOKUP(A413,[1]!Table1[#All],22,FALSE)</f>
        <v>JOHNS HOPKINS UNIVERSITY</v>
      </c>
      <c r="H413" s="8">
        <f>VLOOKUP(A413,[1]!Table1[#All],32,FALSE)</f>
        <v>42826</v>
      </c>
      <c r="I413" s="8">
        <f>VLOOKUP(A413,[1]!Table1[#All],33,FALSE)</f>
        <v>44833</v>
      </c>
      <c r="J413" t="str">
        <f t="shared" ca="1" si="6"/>
        <v>UDO</v>
      </c>
    </row>
    <row r="414" spans="1:10" x14ac:dyDescent="0.35">
      <c r="A414" s="5" t="s">
        <v>16</v>
      </c>
      <c r="B414" s="6">
        <v>44593</v>
      </c>
      <c r="C414" s="7">
        <v>8925368</v>
      </c>
      <c r="D414" s="7">
        <v>8854255.8900000006</v>
      </c>
      <c r="E414" s="7">
        <v>71112.11</v>
      </c>
      <c r="F414" t="str">
        <f>VLOOKUP(A414,[1]!Table1[#All],17,FALSE)</f>
        <v>UNITED STATES</v>
      </c>
      <c r="G414" t="str">
        <f>VLOOKUP(A414,[1]!Table1[#All],22,FALSE)</f>
        <v>JOHNS HOPKINS UNIVERSITY</v>
      </c>
      <c r="H414" s="8">
        <f>VLOOKUP(A414,[1]!Table1[#All],32,FALSE)</f>
        <v>42826</v>
      </c>
      <c r="I414" s="8">
        <f>VLOOKUP(A414,[1]!Table1[#All],33,FALSE)</f>
        <v>44833</v>
      </c>
      <c r="J414" t="str">
        <f t="shared" ca="1" si="6"/>
        <v>UDO</v>
      </c>
    </row>
    <row r="415" spans="1:10" x14ac:dyDescent="0.35">
      <c r="A415" s="9" t="s">
        <v>16</v>
      </c>
      <c r="B415" s="10">
        <v>44621</v>
      </c>
      <c r="C415" s="11">
        <v>8925368</v>
      </c>
      <c r="D415" s="11">
        <v>8854255.8900000006</v>
      </c>
      <c r="E415" s="11">
        <v>71112.11</v>
      </c>
      <c r="F415" t="str">
        <f>VLOOKUP(A415,[1]!Table1[#All],17,FALSE)</f>
        <v>UNITED STATES</v>
      </c>
      <c r="G415" t="str">
        <f>VLOOKUP(A415,[1]!Table1[#All],22,FALSE)</f>
        <v>JOHNS HOPKINS UNIVERSITY</v>
      </c>
      <c r="H415" s="8">
        <f>VLOOKUP(A415,[1]!Table1[#All],32,FALSE)</f>
        <v>42826</v>
      </c>
      <c r="I415" s="8">
        <f>VLOOKUP(A415,[1]!Table1[#All],33,FALSE)</f>
        <v>44833</v>
      </c>
      <c r="J415" t="str">
        <f t="shared" ca="1" si="6"/>
        <v>UDO</v>
      </c>
    </row>
    <row r="416" spans="1:10" x14ac:dyDescent="0.35">
      <c r="A416" s="5" t="s">
        <v>16</v>
      </c>
      <c r="B416" s="6">
        <v>44652</v>
      </c>
      <c r="C416" s="7">
        <v>8925368</v>
      </c>
      <c r="D416" s="7">
        <v>8854255.8900000006</v>
      </c>
      <c r="E416" s="7">
        <v>71112.11</v>
      </c>
      <c r="F416" t="str">
        <f>VLOOKUP(A416,[1]!Table1[#All],17,FALSE)</f>
        <v>UNITED STATES</v>
      </c>
      <c r="G416" t="str">
        <f>VLOOKUP(A416,[1]!Table1[#All],22,FALSE)</f>
        <v>JOHNS HOPKINS UNIVERSITY</v>
      </c>
      <c r="H416" s="8">
        <f>VLOOKUP(A416,[1]!Table1[#All],32,FALSE)</f>
        <v>42826</v>
      </c>
      <c r="I416" s="8">
        <f>VLOOKUP(A416,[1]!Table1[#All],33,FALSE)</f>
        <v>44833</v>
      </c>
      <c r="J416" t="str">
        <f t="shared" ca="1" si="6"/>
        <v>UDO</v>
      </c>
    </row>
    <row r="417" spans="1:10" x14ac:dyDescent="0.35">
      <c r="A417" s="9" t="s">
        <v>16</v>
      </c>
      <c r="B417" s="10">
        <v>44682</v>
      </c>
      <c r="C417" s="11">
        <v>8925368</v>
      </c>
      <c r="D417" s="11">
        <v>8855405.6699999999</v>
      </c>
      <c r="E417" s="11">
        <v>69962.33</v>
      </c>
      <c r="F417" t="str">
        <f>VLOOKUP(A417,[1]!Table1[#All],17,FALSE)</f>
        <v>UNITED STATES</v>
      </c>
      <c r="G417" t="str">
        <f>VLOOKUP(A417,[1]!Table1[#All],22,FALSE)</f>
        <v>JOHNS HOPKINS UNIVERSITY</v>
      </c>
      <c r="H417" s="8">
        <f>VLOOKUP(A417,[1]!Table1[#All],32,FALSE)</f>
        <v>42826</v>
      </c>
      <c r="I417" s="8">
        <f>VLOOKUP(A417,[1]!Table1[#All],33,FALSE)</f>
        <v>44833</v>
      </c>
      <c r="J417" t="str">
        <f t="shared" ca="1" si="6"/>
        <v>UDO</v>
      </c>
    </row>
    <row r="418" spans="1:10" x14ac:dyDescent="0.35">
      <c r="A418" s="5" t="s">
        <v>16</v>
      </c>
      <c r="B418" s="6">
        <v>44713</v>
      </c>
      <c r="C418" s="7">
        <v>8925368</v>
      </c>
      <c r="D418" s="7">
        <v>8856555.4299999997</v>
      </c>
      <c r="E418" s="7">
        <v>68812.570000000007</v>
      </c>
      <c r="F418" t="str">
        <f>VLOOKUP(A418,[1]!Table1[#All],17,FALSE)</f>
        <v>UNITED STATES</v>
      </c>
      <c r="G418" t="str">
        <f>VLOOKUP(A418,[1]!Table1[#All],22,FALSE)</f>
        <v>JOHNS HOPKINS UNIVERSITY</v>
      </c>
      <c r="H418" s="8">
        <f>VLOOKUP(A418,[1]!Table1[#All],32,FALSE)</f>
        <v>42826</v>
      </c>
      <c r="I418" s="8">
        <f>VLOOKUP(A418,[1]!Table1[#All],33,FALSE)</f>
        <v>44833</v>
      </c>
      <c r="J418" t="str">
        <f t="shared" ca="1" si="6"/>
        <v>UDO</v>
      </c>
    </row>
    <row r="419" spans="1:10" x14ac:dyDescent="0.35">
      <c r="A419" s="9" t="s">
        <v>16</v>
      </c>
      <c r="B419" s="10">
        <v>44743</v>
      </c>
      <c r="C419" s="11">
        <v>8925368</v>
      </c>
      <c r="D419" s="11">
        <v>8856893.4800000004</v>
      </c>
      <c r="E419" s="11">
        <v>68474.52</v>
      </c>
      <c r="F419" t="str">
        <f>VLOOKUP(A419,[1]!Table1[#All],17,FALSE)</f>
        <v>UNITED STATES</v>
      </c>
      <c r="G419" t="str">
        <f>VLOOKUP(A419,[1]!Table1[#All],22,FALSE)</f>
        <v>JOHNS HOPKINS UNIVERSITY</v>
      </c>
      <c r="H419" s="8">
        <f>VLOOKUP(A419,[1]!Table1[#All],32,FALSE)</f>
        <v>42826</v>
      </c>
      <c r="I419" s="8">
        <f>VLOOKUP(A419,[1]!Table1[#All],33,FALSE)</f>
        <v>44833</v>
      </c>
      <c r="J419" t="str">
        <f t="shared" ca="1" si="6"/>
        <v>UDO</v>
      </c>
    </row>
    <row r="420" spans="1:10" x14ac:dyDescent="0.35">
      <c r="A420" s="5" t="s">
        <v>16</v>
      </c>
      <c r="B420" s="6">
        <v>44774</v>
      </c>
      <c r="C420" s="7">
        <v>8925368</v>
      </c>
      <c r="D420" s="7">
        <v>8856893.4800000004</v>
      </c>
      <c r="E420" s="7">
        <v>68474.52</v>
      </c>
      <c r="F420" t="str">
        <f>VLOOKUP(A420,[1]!Table1[#All],17,FALSE)</f>
        <v>UNITED STATES</v>
      </c>
      <c r="G420" t="str">
        <f>VLOOKUP(A420,[1]!Table1[#All],22,FALSE)</f>
        <v>JOHNS HOPKINS UNIVERSITY</v>
      </c>
      <c r="H420" s="8">
        <f>VLOOKUP(A420,[1]!Table1[#All],32,FALSE)</f>
        <v>42826</v>
      </c>
      <c r="I420" s="8">
        <f>VLOOKUP(A420,[1]!Table1[#All],33,FALSE)</f>
        <v>44833</v>
      </c>
      <c r="J420" t="str">
        <f t="shared" ca="1" si="6"/>
        <v>UDO</v>
      </c>
    </row>
    <row r="421" spans="1:10" x14ac:dyDescent="0.35">
      <c r="A421" s="9" t="s">
        <v>16</v>
      </c>
      <c r="B421" s="10">
        <v>44805</v>
      </c>
      <c r="C421" s="11">
        <v>8925368</v>
      </c>
      <c r="D421" s="11">
        <v>8888592.3699999992</v>
      </c>
      <c r="E421" s="11">
        <v>36775.629999999997</v>
      </c>
      <c r="F421" t="str">
        <f>VLOOKUP(A421,[1]!Table1[#All],17,FALSE)</f>
        <v>UNITED STATES</v>
      </c>
      <c r="G421" t="str">
        <f>VLOOKUP(A421,[1]!Table1[#All],22,FALSE)</f>
        <v>JOHNS HOPKINS UNIVERSITY</v>
      </c>
      <c r="H421" s="8">
        <f>VLOOKUP(A421,[1]!Table1[#All],32,FALSE)</f>
        <v>42826</v>
      </c>
      <c r="I421" s="8">
        <f>VLOOKUP(A421,[1]!Table1[#All],33,FALSE)</f>
        <v>44833</v>
      </c>
      <c r="J421" t="str">
        <f t="shared" ca="1" si="6"/>
        <v>UDO</v>
      </c>
    </row>
    <row r="422" spans="1:10" x14ac:dyDescent="0.35">
      <c r="A422" s="5" t="s">
        <v>16</v>
      </c>
      <c r="B422" s="6">
        <v>44835</v>
      </c>
      <c r="C422" s="7">
        <v>8925368</v>
      </c>
      <c r="D422" s="7">
        <v>8908791.0999999996</v>
      </c>
      <c r="E422" s="7">
        <v>16576.900000000001</v>
      </c>
      <c r="F422" t="str">
        <f>VLOOKUP(A422,[1]!Table1[#All],17,FALSE)</f>
        <v>UNITED STATES</v>
      </c>
      <c r="G422" t="str">
        <f>VLOOKUP(A422,[1]!Table1[#All],22,FALSE)</f>
        <v>JOHNS HOPKINS UNIVERSITY</v>
      </c>
      <c r="H422" s="8">
        <f>VLOOKUP(A422,[1]!Table1[#All],32,FALSE)</f>
        <v>42826</v>
      </c>
      <c r="I422" s="8">
        <f>VLOOKUP(A422,[1]!Table1[#All],33,FALSE)</f>
        <v>44833</v>
      </c>
      <c r="J422" t="str">
        <f t="shared" ca="1" si="6"/>
        <v>UDO</v>
      </c>
    </row>
    <row r="423" spans="1:10" x14ac:dyDescent="0.35">
      <c r="A423" s="9" t="s">
        <v>16</v>
      </c>
      <c r="B423" s="10">
        <v>44866</v>
      </c>
      <c r="C423" s="11">
        <v>8925368</v>
      </c>
      <c r="D423" s="11">
        <v>8911052.3200000003</v>
      </c>
      <c r="E423" s="11">
        <v>14315.68</v>
      </c>
      <c r="F423" t="str">
        <f>VLOOKUP(A423,[1]!Table1[#All],17,FALSE)</f>
        <v>UNITED STATES</v>
      </c>
      <c r="G423" t="str">
        <f>VLOOKUP(A423,[1]!Table1[#All],22,FALSE)</f>
        <v>JOHNS HOPKINS UNIVERSITY</v>
      </c>
      <c r="H423" s="8">
        <f>VLOOKUP(A423,[1]!Table1[#All],32,FALSE)</f>
        <v>42826</v>
      </c>
      <c r="I423" s="8">
        <f>VLOOKUP(A423,[1]!Table1[#All],33,FALSE)</f>
        <v>44833</v>
      </c>
      <c r="J423" t="str">
        <f t="shared" ca="1" si="6"/>
        <v>UDO</v>
      </c>
    </row>
    <row r="424" spans="1:10" x14ac:dyDescent="0.35">
      <c r="A424" s="5" t="s">
        <v>16</v>
      </c>
      <c r="B424" s="6">
        <v>44896</v>
      </c>
      <c r="C424" s="7">
        <v>8925368</v>
      </c>
      <c r="D424" s="7">
        <v>8911403.5899999999</v>
      </c>
      <c r="E424" s="7">
        <v>13964.41</v>
      </c>
      <c r="F424" t="str">
        <f>VLOOKUP(A424,[1]!Table1[#All],17,FALSE)</f>
        <v>UNITED STATES</v>
      </c>
      <c r="G424" t="str">
        <f>VLOOKUP(A424,[1]!Table1[#All],22,FALSE)</f>
        <v>JOHNS HOPKINS UNIVERSITY</v>
      </c>
      <c r="H424" s="8">
        <f>VLOOKUP(A424,[1]!Table1[#All],32,FALSE)</f>
        <v>42826</v>
      </c>
      <c r="I424" s="8">
        <f>VLOOKUP(A424,[1]!Table1[#All],33,FALSE)</f>
        <v>44833</v>
      </c>
      <c r="J424" t="str">
        <f t="shared" ca="1" si="6"/>
        <v>UDO</v>
      </c>
    </row>
    <row r="425" spans="1:10" x14ac:dyDescent="0.35">
      <c r="A425" s="9" t="s">
        <v>16</v>
      </c>
      <c r="B425" s="10">
        <v>44927</v>
      </c>
      <c r="C425" s="11">
        <v>8925368</v>
      </c>
      <c r="D425" s="11">
        <v>8905315.4000000004</v>
      </c>
      <c r="E425" s="11">
        <v>20052.599999999999</v>
      </c>
      <c r="F425" t="str">
        <f>VLOOKUP(A425,[1]!Table1[#All],17,FALSE)</f>
        <v>UNITED STATES</v>
      </c>
      <c r="G425" t="str">
        <f>VLOOKUP(A425,[1]!Table1[#All],22,FALSE)</f>
        <v>JOHNS HOPKINS UNIVERSITY</v>
      </c>
      <c r="H425" s="8">
        <f>VLOOKUP(A425,[1]!Table1[#All],32,FALSE)</f>
        <v>42826</v>
      </c>
      <c r="I425" s="8">
        <f>VLOOKUP(A425,[1]!Table1[#All],33,FALSE)</f>
        <v>44833</v>
      </c>
      <c r="J425" t="str">
        <f t="shared" ca="1" si="6"/>
        <v>UDO</v>
      </c>
    </row>
    <row r="426" spans="1:10" x14ac:dyDescent="0.35">
      <c r="A426" s="5" t="s">
        <v>16</v>
      </c>
      <c r="B426" s="6">
        <v>44958</v>
      </c>
      <c r="C426" s="7">
        <v>8925368</v>
      </c>
      <c r="D426" s="7">
        <v>8905833.2799999993</v>
      </c>
      <c r="E426" s="7">
        <v>19534.72</v>
      </c>
      <c r="F426" t="str">
        <f>VLOOKUP(A426,[1]!Table1[#All],17,FALSE)</f>
        <v>UNITED STATES</v>
      </c>
      <c r="G426" t="str">
        <f>VLOOKUP(A426,[1]!Table1[#All],22,FALSE)</f>
        <v>JOHNS HOPKINS UNIVERSITY</v>
      </c>
      <c r="H426" s="8">
        <f>VLOOKUP(A426,[1]!Table1[#All],32,FALSE)</f>
        <v>42826</v>
      </c>
      <c r="I426" s="8">
        <f>VLOOKUP(A426,[1]!Table1[#All],33,FALSE)</f>
        <v>44833</v>
      </c>
      <c r="J426" t="str">
        <f t="shared" ca="1" si="6"/>
        <v>UDO</v>
      </c>
    </row>
    <row r="427" spans="1:10" x14ac:dyDescent="0.35">
      <c r="A427" s="9" t="s">
        <v>16</v>
      </c>
      <c r="B427" s="10">
        <v>44986</v>
      </c>
      <c r="C427" s="11">
        <v>8925368</v>
      </c>
      <c r="D427" s="11">
        <v>8910022.5</v>
      </c>
      <c r="E427" s="11">
        <v>15345.5</v>
      </c>
      <c r="F427" t="str">
        <f>VLOOKUP(A427,[1]!Table1[#All],17,FALSE)</f>
        <v>UNITED STATES</v>
      </c>
      <c r="G427" t="str">
        <f>VLOOKUP(A427,[1]!Table1[#All],22,FALSE)</f>
        <v>JOHNS HOPKINS UNIVERSITY</v>
      </c>
      <c r="H427" s="8">
        <f>VLOOKUP(A427,[1]!Table1[#All],32,FALSE)</f>
        <v>42826</v>
      </c>
      <c r="I427" s="8">
        <f>VLOOKUP(A427,[1]!Table1[#All],33,FALSE)</f>
        <v>44833</v>
      </c>
      <c r="J427" t="str">
        <f t="shared" ca="1" si="6"/>
        <v>UDO</v>
      </c>
    </row>
    <row r="428" spans="1:10" x14ac:dyDescent="0.35">
      <c r="A428" s="5" t="s">
        <v>16</v>
      </c>
      <c r="B428" s="6">
        <v>45017</v>
      </c>
      <c r="C428" s="7">
        <v>8925368</v>
      </c>
      <c r="D428" s="7">
        <v>8910022.5</v>
      </c>
      <c r="E428" s="7">
        <v>15345.5</v>
      </c>
      <c r="F428" t="str">
        <f>VLOOKUP(A428,[1]!Table1[#All],17,FALSE)</f>
        <v>UNITED STATES</v>
      </c>
      <c r="G428" t="str">
        <f>VLOOKUP(A428,[1]!Table1[#All],22,FALSE)</f>
        <v>JOHNS HOPKINS UNIVERSITY</v>
      </c>
      <c r="H428" s="8">
        <f>VLOOKUP(A428,[1]!Table1[#All],32,FALSE)</f>
        <v>42826</v>
      </c>
      <c r="I428" s="8">
        <f>VLOOKUP(A428,[1]!Table1[#All],33,FALSE)</f>
        <v>44833</v>
      </c>
      <c r="J428" t="str">
        <f t="shared" ca="1" si="6"/>
        <v>UDO</v>
      </c>
    </row>
    <row r="429" spans="1:10" x14ac:dyDescent="0.35">
      <c r="A429" s="9" t="s">
        <v>16</v>
      </c>
      <c r="B429" s="10">
        <v>45047</v>
      </c>
      <c r="C429" s="11">
        <v>8925368</v>
      </c>
      <c r="D429" s="11">
        <v>8913687</v>
      </c>
      <c r="E429" s="11">
        <v>11681</v>
      </c>
      <c r="F429" t="str">
        <f>VLOOKUP(A429,[1]!Table1[#All],17,FALSE)</f>
        <v>UNITED STATES</v>
      </c>
      <c r="G429" t="str">
        <f>VLOOKUP(A429,[1]!Table1[#All],22,FALSE)</f>
        <v>JOHNS HOPKINS UNIVERSITY</v>
      </c>
      <c r="H429" s="8">
        <f>VLOOKUP(A429,[1]!Table1[#All],32,FALSE)</f>
        <v>42826</v>
      </c>
      <c r="I429" s="8">
        <f>VLOOKUP(A429,[1]!Table1[#All],33,FALSE)</f>
        <v>44833</v>
      </c>
      <c r="J429" t="str">
        <f t="shared" ca="1" si="6"/>
        <v>UDO</v>
      </c>
    </row>
    <row r="430" spans="1:10" x14ac:dyDescent="0.35">
      <c r="A430" s="5" t="s">
        <v>16</v>
      </c>
      <c r="B430" s="6">
        <v>45078</v>
      </c>
      <c r="C430" s="7">
        <v>8925368</v>
      </c>
      <c r="D430" s="7">
        <v>8914813.7200000007</v>
      </c>
      <c r="E430" s="7">
        <v>10554.28</v>
      </c>
      <c r="F430" t="str">
        <f>VLOOKUP(A430,[1]!Table1[#All],17,FALSE)</f>
        <v>UNITED STATES</v>
      </c>
      <c r="G430" t="str">
        <f>VLOOKUP(A430,[1]!Table1[#All],22,FALSE)</f>
        <v>JOHNS HOPKINS UNIVERSITY</v>
      </c>
      <c r="H430" s="8">
        <f>VLOOKUP(A430,[1]!Table1[#All],32,FALSE)</f>
        <v>42826</v>
      </c>
      <c r="I430" s="8">
        <f>VLOOKUP(A430,[1]!Table1[#All],33,FALSE)</f>
        <v>44833</v>
      </c>
      <c r="J430" t="str">
        <f t="shared" ca="1" si="6"/>
        <v>UDO</v>
      </c>
    </row>
    <row r="431" spans="1:10" x14ac:dyDescent="0.35">
      <c r="A431" s="9" t="s">
        <v>16</v>
      </c>
      <c r="B431" s="10">
        <v>45108</v>
      </c>
      <c r="C431" s="11">
        <v>8925368</v>
      </c>
      <c r="D431" s="11">
        <v>8914813.7200000007</v>
      </c>
      <c r="E431" s="11">
        <v>10554.28</v>
      </c>
      <c r="F431" t="str">
        <f>VLOOKUP(A431,[1]!Table1[#All],17,FALSE)</f>
        <v>UNITED STATES</v>
      </c>
      <c r="G431" t="str">
        <f>VLOOKUP(A431,[1]!Table1[#All],22,FALSE)</f>
        <v>JOHNS HOPKINS UNIVERSITY</v>
      </c>
      <c r="H431" s="8">
        <f>VLOOKUP(A431,[1]!Table1[#All],32,FALSE)</f>
        <v>42826</v>
      </c>
      <c r="I431" s="8">
        <f>VLOOKUP(A431,[1]!Table1[#All],33,FALSE)</f>
        <v>44833</v>
      </c>
      <c r="J431" t="str">
        <f t="shared" ca="1" si="6"/>
        <v>UDO</v>
      </c>
    </row>
    <row r="432" spans="1:10" x14ac:dyDescent="0.35">
      <c r="A432" s="5" t="s">
        <v>16</v>
      </c>
      <c r="B432" s="6">
        <v>45139</v>
      </c>
      <c r="C432" s="7">
        <v>8925368</v>
      </c>
      <c r="D432" s="7">
        <v>8914813.7200000007</v>
      </c>
      <c r="E432" s="7">
        <v>10554.28</v>
      </c>
      <c r="F432" t="str">
        <f>VLOOKUP(A432,[1]!Table1[#All],17,FALSE)</f>
        <v>UNITED STATES</v>
      </c>
      <c r="G432" t="str">
        <f>VLOOKUP(A432,[1]!Table1[#All],22,FALSE)</f>
        <v>JOHNS HOPKINS UNIVERSITY</v>
      </c>
      <c r="H432" s="8">
        <f>VLOOKUP(A432,[1]!Table1[#All],32,FALSE)</f>
        <v>42826</v>
      </c>
      <c r="I432" s="8">
        <f>VLOOKUP(A432,[1]!Table1[#All],33,FALSE)</f>
        <v>44833</v>
      </c>
      <c r="J432" t="str">
        <f t="shared" ca="1" si="6"/>
        <v>UDO</v>
      </c>
    </row>
    <row r="433" spans="1:10" x14ac:dyDescent="0.35">
      <c r="A433" s="9" t="s">
        <v>16</v>
      </c>
      <c r="B433" s="10">
        <v>45170</v>
      </c>
      <c r="C433" s="11">
        <v>8925368</v>
      </c>
      <c r="D433" s="11">
        <v>8917428.7300000004</v>
      </c>
      <c r="E433" s="11">
        <v>7939.27</v>
      </c>
      <c r="F433" t="str">
        <f>VLOOKUP(A433,[1]!Table1[#All],17,FALSE)</f>
        <v>UNITED STATES</v>
      </c>
      <c r="G433" t="str">
        <f>VLOOKUP(A433,[1]!Table1[#All],22,FALSE)</f>
        <v>JOHNS HOPKINS UNIVERSITY</v>
      </c>
      <c r="H433" s="8">
        <f>VLOOKUP(A433,[1]!Table1[#All],32,FALSE)</f>
        <v>42826</v>
      </c>
      <c r="I433" s="8">
        <f>VLOOKUP(A433,[1]!Table1[#All],33,FALSE)</f>
        <v>44833</v>
      </c>
      <c r="J433" t="str">
        <f t="shared" ca="1" si="6"/>
        <v>UDO</v>
      </c>
    </row>
    <row r="434" spans="1:10" x14ac:dyDescent="0.35">
      <c r="A434" s="5" t="s">
        <v>17</v>
      </c>
      <c r="B434" s="6">
        <v>44105</v>
      </c>
      <c r="C434" s="7">
        <v>31033023</v>
      </c>
      <c r="D434" s="7">
        <v>13771448</v>
      </c>
      <c r="E434" s="7">
        <v>17261575</v>
      </c>
      <c r="F434" t="str">
        <f>VLOOKUP(A434,[1]!Table1[#All],17,FALSE)</f>
        <v>UNITED STATES</v>
      </c>
      <c r="G434" t="str">
        <f>VLOOKUP(A434,[1]!Table1[#All],22,FALSE)</f>
        <v>ELIZABETH GLASER PEDIATRIC AIDS FOUNDATION</v>
      </c>
      <c r="H434" s="8">
        <f>VLOOKUP(A434,[1]!Table1[#All],32,FALSE)</f>
        <v>42826</v>
      </c>
      <c r="I434" s="8">
        <f>VLOOKUP(A434,[1]!Table1[#All],33,FALSE)</f>
        <v>44833</v>
      </c>
      <c r="J434" t="str">
        <f t="shared" ca="1" si="6"/>
        <v>UDO</v>
      </c>
    </row>
    <row r="435" spans="1:10" x14ac:dyDescent="0.35">
      <c r="A435" s="9" t="s">
        <v>17</v>
      </c>
      <c r="B435" s="10">
        <v>44136</v>
      </c>
      <c r="C435" s="11">
        <v>31033023</v>
      </c>
      <c r="D435" s="11">
        <v>13771448</v>
      </c>
      <c r="E435" s="11">
        <v>17261575</v>
      </c>
      <c r="F435" t="str">
        <f>VLOOKUP(A435,[1]!Table1[#All],17,FALSE)</f>
        <v>UNITED STATES</v>
      </c>
      <c r="G435" t="str">
        <f>VLOOKUP(A435,[1]!Table1[#All],22,FALSE)</f>
        <v>ELIZABETH GLASER PEDIATRIC AIDS FOUNDATION</v>
      </c>
      <c r="H435" s="8">
        <f>VLOOKUP(A435,[1]!Table1[#All],32,FALSE)</f>
        <v>42826</v>
      </c>
      <c r="I435" s="8">
        <f>VLOOKUP(A435,[1]!Table1[#All],33,FALSE)</f>
        <v>44833</v>
      </c>
      <c r="J435" t="str">
        <f t="shared" ca="1" si="6"/>
        <v>UDO</v>
      </c>
    </row>
    <row r="436" spans="1:10" x14ac:dyDescent="0.35">
      <c r="A436" s="5" t="s">
        <v>17</v>
      </c>
      <c r="B436" s="6">
        <v>44166</v>
      </c>
      <c r="C436" s="7">
        <v>31033023</v>
      </c>
      <c r="D436" s="7">
        <v>13771448</v>
      </c>
      <c r="E436" s="7">
        <v>17261575</v>
      </c>
      <c r="F436" t="str">
        <f>VLOOKUP(A436,[1]!Table1[#All],17,FALSE)</f>
        <v>UNITED STATES</v>
      </c>
      <c r="G436" t="str">
        <f>VLOOKUP(A436,[1]!Table1[#All],22,FALSE)</f>
        <v>ELIZABETH GLASER PEDIATRIC AIDS FOUNDATION</v>
      </c>
      <c r="H436" s="8">
        <f>VLOOKUP(A436,[1]!Table1[#All],32,FALSE)</f>
        <v>42826</v>
      </c>
      <c r="I436" s="8">
        <f>VLOOKUP(A436,[1]!Table1[#All],33,FALSE)</f>
        <v>44833</v>
      </c>
      <c r="J436" t="str">
        <f t="shared" ca="1" si="6"/>
        <v>UDO</v>
      </c>
    </row>
    <row r="437" spans="1:10" x14ac:dyDescent="0.35">
      <c r="A437" s="9" t="s">
        <v>17</v>
      </c>
      <c r="B437" s="10">
        <v>44197</v>
      </c>
      <c r="C437" s="11">
        <v>31033023</v>
      </c>
      <c r="D437" s="11">
        <v>17573348</v>
      </c>
      <c r="E437" s="11">
        <v>13459675</v>
      </c>
      <c r="F437" t="str">
        <f>VLOOKUP(A437,[1]!Table1[#All],17,FALSE)</f>
        <v>UNITED STATES</v>
      </c>
      <c r="G437" t="str">
        <f>VLOOKUP(A437,[1]!Table1[#All],22,FALSE)</f>
        <v>ELIZABETH GLASER PEDIATRIC AIDS FOUNDATION</v>
      </c>
      <c r="H437" s="8">
        <f>VLOOKUP(A437,[1]!Table1[#All],32,FALSE)</f>
        <v>42826</v>
      </c>
      <c r="I437" s="8">
        <f>VLOOKUP(A437,[1]!Table1[#All],33,FALSE)</f>
        <v>44833</v>
      </c>
      <c r="J437" t="str">
        <f t="shared" ca="1" si="6"/>
        <v>UDO</v>
      </c>
    </row>
    <row r="438" spans="1:10" x14ac:dyDescent="0.35">
      <c r="A438" s="5" t="s">
        <v>17</v>
      </c>
      <c r="B438" s="6">
        <v>44228</v>
      </c>
      <c r="C438" s="7">
        <v>31033023</v>
      </c>
      <c r="D438" s="7">
        <v>22029048</v>
      </c>
      <c r="E438" s="7">
        <v>9003975</v>
      </c>
      <c r="F438" t="str">
        <f>VLOOKUP(A438,[1]!Table1[#All],17,FALSE)</f>
        <v>UNITED STATES</v>
      </c>
      <c r="G438" t="str">
        <f>VLOOKUP(A438,[1]!Table1[#All],22,FALSE)</f>
        <v>ELIZABETH GLASER PEDIATRIC AIDS FOUNDATION</v>
      </c>
      <c r="H438" s="8">
        <f>VLOOKUP(A438,[1]!Table1[#All],32,FALSE)</f>
        <v>42826</v>
      </c>
      <c r="I438" s="8">
        <f>VLOOKUP(A438,[1]!Table1[#All],33,FALSE)</f>
        <v>44833</v>
      </c>
      <c r="J438" t="str">
        <f t="shared" ca="1" si="6"/>
        <v>UDO</v>
      </c>
    </row>
    <row r="439" spans="1:10" x14ac:dyDescent="0.35">
      <c r="A439" s="9" t="s">
        <v>17</v>
      </c>
      <c r="B439" s="10">
        <v>44256</v>
      </c>
      <c r="C439" s="11">
        <v>31033023</v>
      </c>
      <c r="D439" s="11">
        <v>23636448</v>
      </c>
      <c r="E439" s="11">
        <v>7396575</v>
      </c>
      <c r="F439" t="str">
        <f>VLOOKUP(A439,[1]!Table1[#All],17,FALSE)</f>
        <v>UNITED STATES</v>
      </c>
      <c r="G439" t="str">
        <f>VLOOKUP(A439,[1]!Table1[#All],22,FALSE)</f>
        <v>ELIZABETH GLASER PEDIATRIC AIDS FOUNDATION</v>
      </c>
      <c r="H439" s="8">
        <f>VLOOKUP(A439,[1]!Table1[#All],32,FALSE)</f>
        <v>42826</v>
      </c>
      <c r="I439" s="8">
        <f>VLOOKUP(A439,[1]!Table1[#All],33,FALSE)</f>
        <v>44833</v>
      </c>
      <c r="J439" t="str">
        <f t="shared" ca="1" si="6"/>
        <v>UDO</v>
      </c>
    </row>
    <row r="440" spans="1:10" x14ac:dyDescent="0.35">
      <c r="A440" s="5" t="s">
        <v>17</v>
      </c>
      <c r="B440" s="6">
        <v>44287</v>
      </c>
      <c r="C440" s="7">
        <v>31033023</v>
      </c>
      <c r="D440" s="7">
        <v>23636448</v>
      </c>
      <c r="E440" s="7">
        <v>7396575</v>
      </c>
      <c r="F440" t="str">
        <f>VLOOKUP(A440,[1]!Table1[#All],17,FALSE)</f>
        <v>UNITED STATES</v>
      </c>
      <c r="G440" t="str">
        <f>VLOOKUP(A440,[1]!Table1[#All],22,FALSE)</f>
        <v>ELIZABETH GLASER PEDIATRIC AIDS FOUNDATION</v>
      </c>
      <c r="H440" s="8">
        <f>VLOOKUP(A440,[1]!Table1[#All],32,FALSE)</f>
        <v>42826</v>
      </c>
      <c r="I440" s="8">
        <f>VLOOKUP(A440,[1]!Table1[#All],33,FALSE)</f>
        <v>44833</v>
      </c>
      <c r="J440" t="str">
        <f t="shared" ca="1" si="6"/>
        <v>UDO</v>
      </c>
    </row>
    <row r="441" spans="1:10" x14ac:dyDescent="0.35">
      <c r="A441" s="9" t="s">
        <v>17</v>
      </c>
      <c r="B441" s="10">
        <v>44317</v>
      </c>
      <c r="C441" s="11">
        <v>31033023</v>
      </c>
      <c r="D441" s="11">
        <v>26914048</v>
      </c>
      <c r="E441" s="11">
        <v>4118975</v>
      </c>
      <c r="F441" t="str">
        <f>VLOOKUP(A441,[1]!Table1[#All],17,FALSE)</f>
        <v>UNITED STATES</v>
      </c>
      <c r="G441" t="str">
        <f>VLOOKUP(A441,[1]!Table1[#All],22,FALSE)</f>
        <v>ELIZABETH GLASER PEDIATRIC AIDS FOUNDATION</v>
      </c>
      <c r="H441" s="8">
        <f>VLOOKUP(A441,[1]!Table1[#All],32,FALSE)</f>
        <v>42826</v>
      </c>
      <c r="I441" s="8">
        <f>VLOOKUP(A441,[1]!Table1[#All],33,FALSE)</f>
        <v>44833</v>
      </c>
      <c r="J441" t="str">
        <f t="shared" ca="1" si="6"/>
        <v>UDO</v>
      </c>
    </row>
    <row r="442" spans="1:10" x14ac:dyDescent="0.35">
      <c r="A442" s="5" t="s">
        <v>17</v>
      </c>
      <c r="B442" s="6">
        <v>44348</v>
      </c>
      <c r="C442" s="7">
        <v>31033023</v>
      </c>
      <c r="D442" s="7">
        <v>29258248</v>
      </c>
      <c r="E442" s="7">
        <v>1774775</v>
      </c>
      <c r="F442" t="str">
        <f>VLOOKUP(A442,[1]!Table1[#All],17,FALSE)</f>
        <v>UNITED STATES</v>
      </c>
      <c r="G442" t="str">
        <f>VLOOKUP(A442,[1]!Table1[#All],22,FALSE)</f>
        <v>ELIZABETH GLASER PEDIATRIC AIDS FOUNDATION</v>
      </c>
      <c r="H442" s="8">
        <f>VLOOKUP(A442,[1]!Table1[#All],32,FALSE)</f>
        <v>42826</v>
      </c>
      <c r="I442" s="8">
        <f>VLOOKUP(A442,[1]!Table1[#All],33,FALSE)</f>
        <v>44833</v>
      </c>
      <c r="J442" t="str">
        <f t="shared" ca="1" si="6"/>
        <v>UDO</v>
      </c>
    </row>
    <row r="443" spans="1:10" x14ac:dyDescent="0.35">
      <c r="A443" s="9" t="s">
        <v>17</v>
      </c>
      <c r="B443" s="10">
        <v>44378</v>
      </c>
      <c r="C443" s="11">
        <v>31033023</v>
      </c>
      <c r="D443" s="11">
        <v>29334548</v>
      </c>
      <c r="E443" s="11">
        <v>1698475</v>
      </c>
      <c r="F443" t="str">
        <f>VLOOKUP(A443,[1]!Table1[#All],17,FALSE)</f>
        <v>UNITED STATES</v>
      </c>
      <c r="G443" t="str">
        <f>VLOOKUP(A443,[1]!Table1[#All],22,FALSE)</f>
        <v>ELIZABETH GLASER PEDIATRIC AIDS FOUNDATION</v>
      </c>
      <c r="H443" s="8">
        <f>VLOOKUP(A443,[1]!Table1[#All],32,FALSE)</f>
        <v>42826</v>
      </c>
      <c r="I443" s="8">
        <f>VLOOKUP(A443,[1]!Table1[#All],33,FALSE)</f>
        <v>44833</v>
      </c>
      <c r="J443" t="str">
        <f t="shared" ca="1" si="6"/>
        <v>UDO</v>
      </c>
    </row>
    <row r="444" spans="1:10" x14ac:dyDescent="0.35">
      <c r="A444" s="5" t="s">
        <v>17</v>
      </c>
      <c r="B444" s="6">
        <v>44409</v>
      </c>
      <c r="C444" s="7">
        <v>31033023</v>
      </c>
      <c r="D444" s="7">
        <v>30791523</v>
      </c>
      <c r="E444" s="7">
        <v>241500</v>
      </c>
      <c r="F444" t="str">
        <f>VLOOKUP(A444,[1]!Table1[#All],17,FALSE)</f>
        <v>UNITED STATES</v>
      </c>
      <c r="G444" t="str">
        <f>VLOOKUP(A444,[1]!Table1[#All],22,FALSE)</f>
        <v>ELIZABETH GLASER PEDIATRIC AIDS FOUNDATION</v>
      </c>
      <c r="H444" s="8">
        <f>VLOOKUP(A444,[1]!Table1[#All],32,FALSE)</f>
        <v>42826</v>
      </c>
      <c r="I444" s="8">
        <f>VLOOKUP(A444,[1]!Table1[#All],33,FALSE)</f>
        <v>44833</v>
      </c>
      <c r="J444" t="str">
        <f t="shared" ca="1" si="6"/>
        <v>UDO</v>
      </c>
    </row>
    <row r="445" spans="1:10" x14ac:dyDescent="0.35">
      <c r="A445" s="9" t="s">
        <v>17</v>
      </c>
      <c r="B445" s="10">
        <v>44440</v>
      </c>
      <c r="C445" s="11">
        <v>31033023</v>
      </c>
      <c r="D445" s="11">
        <v>30802423</v>
      </c>
      <c r="E445" s="11">
        <v>230600</v>
      </c>
      <c r="F445" t="str">
        <f>VLOOKUP(A445,[1]!Table1[#All],17,FALSE)</f>
        <v>UNITED STATES</v>
      </c>
      <c r="G445" t="str">
        <f>VLOOKUP(A445,[1]!Table1[#All],22,FALSE)</f>
        <v>ELIZABETH GLASER PEDIATRIC AIDS FOUNDATION</v>
      </c>
      <c r="H445" s="8">
        <f>VLOOKUP(A445,[1]!Table1[#All],32,FALSE)</f>
        <v>42826</v>
      </c>
      <c r="I445" s="8">
        <f>VLOOKUP(A445,[1]!Table1[#All],33,FALSE)</f>
        <v>44833</v>
      </c>
      <c r="J445" t="str">
        <f t="shared" ca="1" si="6"/>
        <v>UDO</v>
      </c>
    </row>
    <row r="446" spans="1:10" x14ac:dyDescent="0.35">
      <c r="A446" s="5" t="s">
        <v>17</v>
      </c>
      <c r="B446" s="6">
        <v>44470</v>
      </c>
      <c r="C446" s="7">
        <v>31033023</v>
      </c>
      <c r="D446" s="7">
        <v>30802423</v>
      </c>
      <c r="E446" s="7">
        <v>230600</v>
      </c>
      <c r="F446" t="str">
        <f>VLOOKUP(A446,[1]!Table1[#All],17,FALSE)</f>
        <v>UNITED STATES</v>
      </c>
      <c r="G446" t="str">
        <f>VLOOKUP(A446,[1]!Table1[#All],22,FALSE)</f>
        <v>ELIZABETH GLASER PEDIATRIC AIDS FOUNDATION</v>
      </c>
      <c r="H446" s="8">
        <f>VLOOKUP(A446,[1]!Table1[#All],32,FALSE)</f>
        <v>42826</v>
      </c>
      <c r="I446" s="8">
        <f>VLOOKUP(A446,[1]!Table1[#All],33,FALSE)</f>
        <v>44833</v>
      </c>
      <c r="J446" t="str">
        <f t="shared" ca="1" si="6"/>
        <v>UDO</v>
      </c>
    </row>
    <row r="447" spans="1:10" x14ac:dyDescent="0.35">
      <c r="A447" s="9" t="s">
        <v>17</v>
      </c>
      <c r="B447" s="10">
        <v>44501</v>
      </c>
      <c r="C447" s="11">
        <v>31033023</v>
      </c>
      <c r="D447" s="11">
        <v>30881623</v>
      </c>
      <c r="E447" s="11">
        <v>151400</v>
      </c>
      <c r="F447" t="str">
        <f>VLOOKUP(A447,[1]!Table1[#All],17,FALSE)</f>
        <v>UNITED STATES</v>
      </c>
      <c r="G447" t="str">
        <f>VLOOKUP(A447,[1]!Table1[#All],22,FALSE)</f>
        <v>ELIZABETH GLASER PEDIATRIC AIDS FOUNDATION</v>
      </c>
      <c r="H447" s="8">
        <f>VLOOKUP(A447,[1]!Table1[#All],32,FALSE)</f>
        <v>42826</v>
      </c>
      <c r="I447" s="8">
        <f>VLOOKUP(A447,[1]!Table1[#All],33,FALSE)</f>
        <v>44833</v>
      </c>
      <c r="J447" t="str">
        <f t="shared" ca="1" si="6"/>
        <v>UDO</v>
      </c>
    </row>
    <row r="448" spans="1:10" x14ac:dyDescent="0.35">
      <c r="A448" s="5" t="s">
        <v>17</v>
      </c>
      <c r="B448" s="6">
        <v>44531</v>
      </c>
      <c r="C448" s="7">
        <v>31033023</v>
      </c>
      <c r="D448" s="7">
        <v>30881623</v>
      </c>
      <c r="E448" s="7">
        <v>151400</v>
      </c>
      <c r="F448" t="str">
        <f>VLOOKUP(A448,[1]!Table1[#All],17,FALSE)</f>
        <v>UNITED STATES</v>
      </c>
      <c r="G448" t="str">
        <f>VLOOKUP(A448,[1]!Table1[#All],22,FALSE)</f>
        <v>ELIZABETH GLASER PEDIATRIC AIDS FOUNDATION</v>
      </c>
      <c r="H448" s="8">
        <f>VLOOKUP(A448,[1]!Table1[#All],32,FALSE)</f>
        <v>42826</v>
      </c>
      <c r="I448" s="8">
        <f>VLOOKUP(A448,[1]!Table1[#All],33,FALSE)</f>
        <v>44833</v>
      </c>
      <c r="J448" t="str">
        <f t="shared" ca="1" si="6"/>
        <v>UDO</v>
      </c>
    </row>
    <row r="449" spans="1:10" x14ac:dyDescent="0.35">
      <c r="A449" s="9" t="s">
        <v>17</v>
      </c>
      <c r="B449" s="10">
        <v>44562</v>
      </c>
      <c r="C449" s="11">
        <v>31033023</v>
      </c>
      <c r="D449" s="11">
        <v>30881623</v>
      </c>
      <c r="E449" s="11">
        <v>151400</v>
      </c>
      <c r="F449" t="str">
        <f>VLOOKUP(A449,[1]!Table1[#All],17,FALSE)</f>
        <v>UNITED STATES</v>
      </c>
      <c r="G449" t="str">
        <f>VLOOKUP(A449,[1]!Table1[#All],22,FALSE)</f>
        <v>ELIZABETH GLASER PEDIATRIC AIDS FOUNDATION</v>
      </c>
      <c r="H449" s="8">
        <f>VLOOKUP(A449,[1]!Table1[#All],32,FALSE)</f>
        <v>42826</v>
      </c>
      <c r="I449" s="8">
        <f>VLOOKUP(A449,[1]!Table1[#All],33,FALSE)</f>
        <v>44833</v>
      </c>
      <c r="J449" t="str">
        <f t="shared" ca="1" si="6"/>
        <v>UDO</v>
      </c>
    </row>
    <row r="450" spans="1:10" x14ac:dyDescent="0.35">
      <c r="A450" s="5" t="s">
        <v>17</v>
      </c>
      <c r="B450" s="6">
        <v>44593</v>
      </c>
      <c r="C450" s="7">
        <v>31033023</v>
      </c>
      <c r="D450" s="7">
        <v>30908323</v>
      </c>
      <c r="E450" s="7">
        <v>124700</v>
      </c>
      <c r="F450" t="str">
        <f>VLOOKUP(A450,[1]!Table1[#All],17,FALSE)</f>
        <v>UNITED STATES</v>
      </c>
      <c r="G450" t="str">
        <f>VLOOKUP(A450,[1]!Table1[#All],22,FALSE)</f>
        <v>ELIZABETH GLASER PEDIATRIC AIDS FOUNDATION</v>
      </c>
      <c r="H450" s="8">
        <f>VLOOKUP(A450,[1]!Table1[#All],32,FALSE)</f>
        <v>42826</v>
      </c>
      <c r="I450" s="8">
        <f>VLOOKUP(A450,[1]!Table1[#All],33,FALSE)</f>
        <v>44833</v>
      </c>
      <c r="J450" t="str">
        <f t="shared" ca="1" si="6"/>
        <v>UDO</v>
      </c>
    </row>
    <row r="451" spans="1:10" x14ac:dyDescent="0.35">
      <c r="A451" s="9" t="s">
        <v>17</v>
      </c>
      <c r="B451" s="10">
        <v>44621</v>
      </c>
      <c r="C451" s="11">
        <v>31033023</v>
      </c>
      <c r="D451" s="11">
        <v>30908323</v>
      </c>
      <c r="E451" s="11">
        <v>124700</v>
      </c>
      <c r="F451" t="str">
        <f>VLOOKUP(A451,[1]!Table1[#All],17,FALSE)</f>
        <v>UNITED STATES</v>
      </c>
      <c r="G451" t="str">
        <f>VLOOKUP(A451,[1]!Table1[#All],22,FALSE)</f>
        <v>ELIZABETH GLASER PEDIATRIC AIDS FOUNDATION</v>
      </c>
      <c r="H451" s="8">
        <f>VLOOKUP(A451,[1]!Table1[#All],32,FALSE)</f>
        <v>42826</v>
      </c>
      <c r="I451" s="8">
        <f>VLOOKUP(A451,[1]!Table1[#All],33,FALSE)</f>
        <v>44833</v>
      </c>
      <c r="J451" t="str">
        <f t="shared" ref="J451:J514" ca="1" si="7">IF(AND( E451&gt;0,TODAY()&gt;I451),"UDO","Non UDO")</f>
        <v>UDO</v>
      </c>
    </row>
    <row r="452" spans="1:10" x14ac:dyDescent="0.35">
      <c r="A452" s="5" t="s">
        <v>17</v>
      </c>
      <c r="B452" s="6">
        <v>44652</v>
      </c>
      <c r="C452" s="7">
        <v>31033023</v>
      </c>
      <c r="D452" s="7">
        <v>30908323</v>
      </c>
      <c r="E452" s="7">
        <v>124700</v>
      </c>
      <c r="F452" t="str">
        <f>VLOOKUP(A452,[1]!Table1[#All],17,FALSE)</f>
        <v>UNITED STATES</v>
      </c>
      <c r="G452" t="str">
        <f>VLOOKUP(A452,[1]!Table1[#All],22,FALSE)</f>
        <v>ELIZABETH GLASER PEDIATRIC AIDS FOUNDATION</v>
      </c>
      <c r="H452" s="8">
        <f>VLOOKUP(A452,[1]!Table1[#All],32,FALSE)</f>
        <v>42826</v>
      </c>
      <c r="I452" s="8">
        <f>VLOOKUP(A452,[1]!Table1[#All],33,FALSE)</f>
        <v>44833</v>
      </c>
      <c r="J452" t="str">
        <f t="shared" ca="1" si="7"/>
        <v>UDO</v>
      </c>
    </row>
    <row r="453" spans="1:10" x14ac:dyDescent="0.35">
      <c r="A453" s="9" t="s">
        <v>17</v>
      </c>
      <c r="B453" s="10">
        <v>44682</v>
      </c>
      <c r="C453" s="11">
        <v>31033023</v>
      </c>
      <c r="D453" s="11">
        <v>30908323</v>
      </c>
      <c r="E453" s="11">
        <v>124700</v>
      </c>
      <c r="F453" t="str">
        <f>VLOOKUP(A453,[1]!Table1[#All],17,FALSE)</f>
        <v>UNITED STATES</v>
      </c>
      <c r="G453" t="str">
        <f>VLOOKUP(A453,[1]!Table1[#All],22,FALSE)</f>
        <v>ELIZABETH GLASER PEDIATRIC AIDS FOUNDATION</v>
      </c>
      <c r="H453" s="8">
        <f>VLOOKUP(A453,[1]!Table1[#All],32,FALSE)</f>
        <v>42826</v>
      </c>
      <c r="I453" s="8">
        <f>VLOOKUP(A453,[1]!Table1[#All],33,FALSE)</f>
        <v>44833</v>
      </c>
      <c r="J453" t="str">
        <f t="shared" ca="1" si="7"/>
        <v>UDO</v>
      </c>
    </row>
    <row r="454" spans="1:10" x14ac:dyDescent="0.35">
      <c r="A454" s="5" t="s">
        <v>17</v>
      </c>
      <c r="B454" s="6">
        <v>44713</v>
      </c>
      <c r="C454" s="7">
        <v>31033023</v>
      </c>
      <c r="D454" s="7">
        <v>30908323</v>
      </c>
      <c r="E454" s="7">
        <v>124700</v>
      </c>
      <c r="F454" t="str">
        <f>VLOOKUP(A454,[1]!Table1[#All],17,FALSE)</f>
        <v>UNITED STATES</v>
      </c>
      <c r="G454" t="str">
        <f>VLOOKUP(A454,[1]!Table1[#All],22,FALSE)</f>
        <v>ELIZABETH GLASER PEDIATRIC AIDS FOUNDATION</v>
      </c>
      <c r="H454" s="8">
        <f>VLOOKUP(A454,[1]!Table1[#All],32,FALSE)</f>
        <v>42826</v>
      </c>
      <c r="I454" s="8">
        <f>VLOOKUP(A454,[1]!Table1[#All],33,FALSE)</f>
        <v>44833</v>
      </c>
      <c r="J454" t="str">
        <f t="shared" ca="1" si="7"/>
        <v>UDO</v>
      </c>
    </row>
    <row r="455" spans="1:10" x14ac:dyDescent="0.35">
      <c r="A455" s="9" t="s">
        <v>17</v>
      </c>
      <c r="B455" s="10">
        <v>44743</v>
      </c>
      <c r="C455" s="11">
        <v>31033023</v>
      </c>
      <c r="D455" s="11">
        <v>30908323</v>
      </c>
      <c r="E455" s="11">
        <v>124700</v>
      </c>
      <c r="F455" t="str">
        <f>VLOOKUP(A455,[1]!Table1[#All],17,FALSE)</f>
        <v>UNITED STATES</v>
      </c>
      <c r="G455" t="str">
        <f>VLOOKUP(A455,[1]!Table1[#All],22,FALSE)</f>
        <v>ELIZABETH GLASER PEDIATRIC AIDS FOUNDATION</v>
      </c>
      <c r="H455" s="8">
        <f>VLOOKUP(A455,[1]!Table1[#All],32,FALSE)</f>
        <v>42826</v>
      </c>
      <c r="I455" s="8">
        <f>VLOOKUP(A455,[1]!Table1[#All],33,FALSE)</f>
        <v>44833</v>
      </c>
      <c r="J455" t="str">
        <f t="shared" ca="1" si="7"/>
        <v>UDO</v>
      </c>
    </row>
    <row r="456" spans="1:10" x14ac:dyDescent="0.35">
      <c r="A456" s="5" t="s">
        <v>17</v>
      </c>
      <c r="B456" s="6">
        <v>44774</v>
      </c>
      <c r="C456" s="7">
        <v>31033023</v>
      </c>
      <c r="D456" s="7">
        <v>30908323</v>
      </c>
      <c r="E456" s="7">
        <v>124700</v>
      </c>
      <c r="F456" t="str">
        <f>VLOOKUP(A456,[1]!Table1[#All],17,FALSE)</f>
        <v>UNITED STATES</v>
      </c>
      <c r="G456" t="str">
        <f>VLOOKUP(A456,[1]!Table1[#All],22,FALSE)</f>
        <v>ELIZABETH GLASER PEDIATRIC AIDS FOUNDATION</v>
      </c>
      <c r="H456" s="8">
        <f>VLOOKUP(A456,[1]!Table1[#All],32,FALSE)</f>
        <v>42826</v>
      </c>
      <c r="I456" s="8">
        <f>VLOOKUP(A456,[1]!Table1[#All],33,FALSE)</f>
        <v>44833</v>
      </c>
      <c r="J456" t="str">
        <f t="shared" ca="1" si="7"/>
        <v>UDO</v>
      </c>
    </row>
    <row r="457" spans="1:10" x14ac:dyDescent="0.35">
      <c r="A457" s="9" t="s">
        <v>17</v>
      </c>
      <c r="B457" s="10">
        <v>44805</v>
      </c>
      <c r="C457" s="11">
        <v>31033023</v>
      </c>
      <c r="D457" s="11">
        <v>30908323</v>
      </c>
      <c r="E457" s="11">
        <v>124700</v>
      </c>
      <c r="F457" t="str">
        <f>VLOOKUP(A457,[1]!Table1[#All],17,FALSE)</f>
        <v>UNITED STATES</v>
      </c>
      <c r="G457" t="str">
        <f>VLOOKUP(A457,[1]!Table1[#All],22,FALSE)</f>
        <v>ELIZABETH GLASER PEDIATRIC AIDS FOUNDATION</v>
      </c>
      <c r="H457" s="8">
        <f>VLOOKUP(A457,[1]!Table1[#All],32,FALSE)</f>
        <v>42826</v>
      </c>
      <c r="I457" s="8">
        <f>VLOOKUP(A457,[1]!Table1[#All],33,FALSE)</f>
        <v>44833</v>
      </c>
      <c r="J457" t="str">
        <f t="shared" ca="1" si="7"/>
        <v>UDO</v>
      </c>
    </row>
    <row r="458" spans="1:10" x14ac:dyDescent="0.35">
      <c r="A458" s="5" t="s">
        <v>17</v>
      </c>
      <c r="B458" s="6">
        <v>44835</v>
      </c>
      <c r="C458" s="7">
        <v>31033023</v>
      </c>
      <c r="D458" s="7">
        <v>30908323</v>
      </c>
      <c r="E458" s="7">
        <v>124700</v>
      </c>
      <c r="F458" t="str">
        <f>VLOOKUP(A458,[1]!Table1[#All],17,FALSE)</f>
        <v>UNITED STATES</v>
      </c>
      <c r="G458" t="str">
        <f>VLOOKUP(A458,[1]!Table1[#All],22,FALSE)</f>
        <v>ELIZABETH GLASER PEDIATRIC AIDS FOUNDATION</v>
      </c>
      <c r="H458" s="8">
        <f>VLOOKUP(A458,[1]!Table1[#All],32,FALSE)</f>
        <v>42826</v>
      </c>
      <c r="I458" s="8">
        <f>VLOOKUP(A458,[1]!Table1[#All],33,FALSE)</f>
        <v>44833</v>
      </c>
      <c r="J458" t="str">
        <f t="shared" ca="1" si="7"/>
        <v>UDO</v>
      </c>
    </row>
    <row r="459" spans="1:10" x14ac:dyDescent="0.35">
      <c r="A459" s="9" t="s">
        <v>17</v>
      </c>
      <c r="B459" s="10">
        <v>44866</v>
      </c>
      <c r="C459" s="11">
        <v>31033023</v>
      </c>
      <c r="D459" s="11">
        <v>30908323</v>
      </c>
      <c r="E459" s="11">
        <v>124700</v>
      </c>
      <c r="F459" t="str">
        <f>VLOOKUP(A459,[1]!Table1[#All],17,FALSE)</f>
        <v>UNITED STATES</v>
      </c>
      <c r="G459" t="str">
        <f>VLOOKUP(A459,[1]!Table1[#All],22,FALSE)</f>
        <v>ELIZABETH GLASER PEDIATRIC AIDS FOUNDATION</v>
      </c>
      <c r="H459" s="8">
        <f>VLOOKUP(A459,[1]!Table1[#All],32,FALSE)</f>
        <v>42826</v>
      </c>
      <c r="I459" s="8">
        <f>VLOOKUP(A459,[1]!Table1[#All],33,FALSE)</f>
        <v>44833</v>
      </c>
      <c r="J459" t="str">
        <f t="shared" ca="1" si="7"/>
        <v>UDO</v>
      </c>
    </row>
    <row r="460" spans="1:10" x14ac:dyDescent="0.35">
      <c r="A460" s="5" t="s">
        <v>17</v>
      </c>
      <c r="B460" s="6">
        <v>44896</v>
      </c>
      <c r="C460" s="7">
        <v>31033023</v>
      </c>
      <c r="D460" s="7">
        <v>30908323</v>
      </c>
      <c r="E460" s="7">
        <v>124700</v>
      </c>
      <c r="F460" t="str">
        <f>VLOOKUP(A460,[1]!Table1[#All],17,FALSE)</f>
        <v>UNITED STATES</v>
      </c>
      <c r="G460" t="str">
        <f>VLOOKUP(A460,[1]!Table1[#All],22,FALSE)</f>
        <v>ELIZABETH GLASER PEDIATRIC AIDS FOUNDATION</v>
      </c>
      <c r="H460" s="8">
        <f>VLOOKUP(A460,[1]!Table1[#All],32,FALSE)</f>
        <v>42826</v>
      </c>
      <c r="I460" s="8">
        <f>VLOOKUP(A460,[1]!Table1[#All],33,FALSE)</f>
        <v>44833</v>
      </c>
      <c r="J460" t="str">
        <f t="shared" ca="1" si="7"/>
        <v>UDO</v>
      </c>
    </row>
    <row r="461" spans="1:10" x14ac:dyDescent="0.35">
      <c r="A461" s="9" t="s">
        <v>17</v>
      </c>
      <c r="B461" s="10">
        <v>44927</v>
      </c>
      <c r="C461" s="11">
        <v>31033023</v>
      </c>
      <c r="D461" s="11">
        <v>31011213</v>
      </c>
      <c r="E461" s="11">
        <v>21810</v>
      </c>
      <c r="F461" t="str">
        <f>VLOOKUP(A461,[1]!Table1[#All],17,FALSE)</f>
        <v>UNITED STATES</v>
      </c>
      <c r="G461" t="str">
        <f>VLOOKUP(A461,[1]!Table1[#All],22,FALSE)</f>
        <v>ELIZABETH GLASER PEDIATRIC AIDS FOUNDATION</v>
      </c>
      <c r="H461" s="8">
        <f>VLOOKUP(A461,[1]!Table1[#All],32,FALSE)</f>
        <v>42826</v>
      </c>
      <c r="I461" s="8">
        <f>VLOOKUP(A461,[1]!Table1[#All],33,FALSE)</f>
        <v>44833</v>
      </c>
      <c r="J461" t="str">
        <f t="shared" ca="1" si="7"/>
        <v>UDO</v>
      </c>
    </row>
    <row r="462" spans="1:10" x14ac:dyDescent="0.35">
      <c r="A462" s="5" t="s">
        <v>17</v>
      </c>
      <c r="B462" s="6">
        <v>44958</v>
      </c>
      <c r="C462" s="7">
        <v>31033023</v>
      </c>
      <c r="D462" s="7">
        <v>31011213</v>
      </c>
      <c r="E462" s="7">
        <v>21810</v>
      </c>
      <c r="F462" t="str">
        <f>VLOOKUP(A462,[1]!Table1[#All],17,FALSE)</f>
        <v>UNITED STATES</v>
      </c>
      <c r="G462" t="str">
        <f>VLOOKUP(A462,[1]!Table1[#All],22,FALSE)</f>
        <v>ELIZABETH GLASER PEDIATRIC AIDS FOUNDATION</v>
      </c>
      <c r="H462" s="8">
        <f>VLOOKUP(A462,[1]!Table1[#All],32,FALSE)</f>
        <v>42826</v>
      </c>
      <c r="I462" s="8">
        <f>VLOOKUP(A462,[1]!Table1[#All],33,FALSE)</f>
        <v>44833</v>
      </c>
      <c r="J462" t="str">
        <f t="shared" ca="1" si="7"/>
        <v>UDO</v>
      </c>
    </row>
    <row r="463" spans="1:10" x14ac:dyDescent="0.35">
      <c r="A463" s="9" t="s">
        <v>17</v>
      </c>
      <c r="B463" s="10">
        <v>44986</v>
      </c>
      <c r="C463" s="11">
        <v>31033023</v>
      </c>
      <c r="D463" s="11">
        <v>31011213</v>
      </c>
      <c r="E463" s="11">
        <v>21810</v>
      </c>
      <c r="F463" t="str">
        <f>VLOOKUP(A463,[1]!Table1[#All],17,FALSE)</f>
        <v>UNITED STATES</v>
      </c>
      <c r="G463" t="str">
        <f>VLOOKUP(A463,[1]!Table1[#All],22,FALSE)</f>
        <v>ELIZABETH GLASER PEDIATRIC AIDS FOUNDATION</v>
      </c>
      <c r="H463" s="8">
        <f>VLOOKUP(A463,[1]!Table1[#All],32,FALSE)</f>
        <v>42826</v>
      </c>
      <c r="I463" s="8">
        <f>VLOOKUP(A463,[1]!Table1[#All],33,FALSE)</f>
        <v>44833</v>
      </c>
      <c r="J463" t="str">
        <f t="shared" ca="1" si="7"/>
        <v>UDO</v>
      </c>
    </row>
    <row r="464" spans="1:10" x14ac:dyDescent="0.35">
      <c r="A464" s="5" t="s">
        <v>17</v>
      </c>
      <c r="B464" s="6">
        <v>45017</v>
      </c>
      <c r="C464" s="7">
        <v>31033023</v>
      </c>
      <c r="D464" s="7">
        <v>31011213</v>
      </c>
      <c r="E464" s="7">
        <v>21810</v>
      </c>
      <c r="F464" t="str">
        <f>VLOOKUP(A464,[1]!Table1[#All],17,FALSE)</f>
        <v>UNITED STATES</v>
      </c>
      <c r="G464" t="str">
        <f>VLOOKUP(A464,[1]!Table1[#All],22,FALSE)</f>
        <v>ELIZABETH GLASER PEDIATRIC AIDS FOUNDATION</v>
      </c>
      <c r="H464" s="8">
        <f>VLOOKUP(A464,[1]!Table1[#All],32,FALSE)</f>
        <v>42826</v>
      </c>
      <c r="I464" s="8">
        <f>VLOOKUP(A464,[1]!Table1[#All],33,FALSE)</f>
        <v>44833</v>
      </c>
      <c r="J464" t="str">
        <f t="shared" ca="1" si="7"/>
        <v>UDO</v>
      </c>
    </row>
    <row r="465" spans="1:10" x14ac:dyDescent="0.35">
      <c r="A465" s="9" t="s">
        <v>17</v>
      </c>
      <c r="B465" s="10">
        <v>45047</v>
      </c>
      <c r="C465" s="11">
        <v>31033023</v>
      </c>
      <c r="D465" s="11">
        <v>31011213</v>
      </c>
      <c r="E465" s="11">
        <v>21810</v>
      </c>
      <c r="F465" t="str">
        <f>VLOOKUP(A465,[1]!Table1[#All],17,FALSE)</f>
        <v>UNITED STATES</v>
      </c>
      <c r="G465" t="str">
        <f>VLOOKUP(A465,[1]!Table1[#All],22,FALSE)</f>
        <v>ELIZABETH GLASER PEDIATRIC AIDS FOUNDATION</v>
      </c>
      <c r="H465" s="8">
        <f>VLOOKUP(A465,[1]!Table1[#All],32,FALSE)</f>
        <v>42826</v>
      </c>
      <c r="I465" s="8">
        <f>VLOOKUP(A465,[1]!Table1[#All],33,FALSE)</f>
        <v>44833</v>
      </c>
      <c r="J465" t="str">
        <f t="shared" ca="1" si="7"/>
        <v>UDO</v>
      </c>
    </row>
    <row r="466" spans="1:10" x14ac:dyDescent="0.35">
      <c r="A466" s="5" t="s">
        <v>17</v>
      </c>
      <c r="B466" s="6">
        <v>45078</v>
      </c>
      <c r="C466" s="7">
        <v>31033023</v>
      </c>
      <c r="D466" s="7">
        <v>31011213</v>
      </c>
      <c r="E466" s="7">
        <v>21810</v>
      </c>
      <c r="F466" t="str">
        <f>VLOOKUP(A466,[1]!Table1[#All],17,FALSE)</f>
        <v>UNITED STATES</v>
      </c>
      <c r="G466" t="str">
        <f>VLOOKUP(A466,[1]!Table1[#All],22,FALSE)</f>
        <v>ELIZABETH GLASER PEDIATRIC AIDS FOUNDATION</v>
      </c>
      <c r="H466" s="8">
        <f>VLOOKUP(A466,[1]!Table1[#All],32,FALSE)</f>
        <v>42826</v>
      </c>
      <c r="I466" s="8">
        <f>VLOOKUP(A466,[1]!Table1[#All],33,FALSE)</f>
        <v>44833</v>
      </c>
      <c r="J466" t="str">
        <f t="shared" ca="1" si="7"/>
        <v>UDO</v>
      </c>
    </row>
    <row r="467" spans="1:10" x14ac:dyDescent="0.35">
      <c r="A467" s="9" t="s">
        <v>17</v>
      </c>
      <c r="B467" s="10">
        <v>45108</v>
      </c>
      <c r="C467" s="11">
        <v>31033023</v>
      </c>
      <c r="D467" s="11">
        <v>31011213</v>
      </c>
      <c r="E467" s="11">
        <v>21810</v>
      </c>
      <c r="F467" t="str">
        <f>VLOOKUP(A467,[1]!Table1[#All],17,FALSE)</f>
        <v>UNITED STATES</v>
      </c>
      <c r="G467" t="str">
        <f>VLOOKUP(A467,[1]!Table1[#All],22,FALSE)</f>
        <v>ELIZABETH GLASER PEDIATRIC AIDS FOUNDATION</v>
      </c>
      <c r="H467" s="8">
        <f>VLOOKUP(A467,[1]!Table1[#All],32,FALSE)</f>
        <v>42826</v>
      </c>
      <c r="I467" s="8">
        <f>VLOOKUP(A467,[1]!Table1[#All],33,FALSE)</f>
        <v>44833</v>
      </c>
      <c r="J467" t="str">
        <f t="shared" ca="1" si="7"/>
        <v>UDO</v>
      </c>
    </row>
    <row r="468" spans="1:10" x14ac:dyDescent="0.35">
      <c r="A468" s="5" t="s">
        <v>17</v>
      </c>
      <c r="B468" s="6">
        <v>45139</v>
      </c>
      <c r="C468" s="7">
        <v>31033023</v>
      </c>
      <c r="D468" s="7">
        <v>31011213</v>
      </c>
      <c r="E468" s="7">
        <v>21810</v>
      </c>
      <c r="F468" t="str">
        <f>VLOOKUP(A468,[1]!Table1[#All],17,FALSE)</f>
        <v>UNITED STATES</v>
      </c>
      <c r="G468" t="str">
        <f>VLOOKUP(A468,[1]!Table1[#All],22,FALSE)</f>
        <v>ELIZABETH GLASER PEDIATRIC AIDS FOUNDATION</v>
      </c>
      <c r="H468" s="8">
        <f>VLOOKUP(A468,[1]!Table1[#All],32,FALSE)</f>
        <v>42826</v>
      </c>
      <c r="I468" s="8">
        <f>VLOOKUP(A468,[1]!Table1[#All],33,FALSE)</f>
        <v>44833</v>
      </c>
      <c r="J468" t="str">
        <f t="shared" ca="1" si="7"/>
        <v>UDO</v>
      </c>
    </row>
    <row r="469" spans="1:10" x14ac:dyDescent="0.35">
      <c r="A469" s="9" t="s">
        <v>17</v>
      </c>
      <c r="B469" s="10">
        <v>45170</v>
      </c>
      <c r="C469" s="11">
        <v>31033023</v>
      </c>
      <c r="D469" s="11">
        <v>31011213</v>
      </c>
      <c r="E469" s="11">
        <v>21810</v>
      </c>
      <c r="F469" t="str">
        <f>VLOOKUP(A469,[1]!Table1[#All],17,FALSE)</f>
        <v>UNITED STATES</v>
      </c>
      <c r="G469" t="str">
        <f>VLOOKUP(A469,[1]!Table1[#All],22,FALSE)</f>
        <v>ELIZABETH GLASER PEDIATRIC AIDS FOUNDATION</v>
      </c>
      <c r="H469" s="8">
        <f>VLOOKUP(A469,[1]!Table1[#All],32,FALSE)</f>
        <v>42826</v>
      </c>
      <c r="I469" s="8">
        <f>VLOOKUP(A469,[1]!Table1[#All],33,FALSE)</f>
        <v>44833</v>
      </c>
      <c r="J469" t="str">
        <f t="shared" ca="1" si="7"/>
        <v>UDO</v>
      </c>
    </row>
    <row r="470" spans="1:10" x14ac:dyDescent="0.35">
      <c r="A470" s="5" t="s">
        <v>18</v>
      </c>
      <c r="B470" s="6">
        <v>44105</v>
      </c>
      <c r="C470" s="7">
        <v>4148883</v>
      </c>
      <c r="D470" s="7">
        <v>1597747.49</v>
      </c>
      <c r="E470" s="7">
        <v>2551135.5099999998</v>
      </c>
      <c r="F470" t="str">
        <f>VLOOKUP(A470,[1]!Table1[#All],17,FALSE)</f>
        <v>MOZAMBIQUE</v>
      </c>
      <c r="G470" t="str">
        <f>VLOOKUP(A470,[1]!Table1[#All],22,FALSE)</f>
        <v>National Institute of Health, Mozambique</v>
      </c>
      <c r="H470" s="8">
        <f>VLOOKUP(A470,[1]!Table1[#All],32,FALSE)</f>
        <v>43373</v>
      </c>
      <c r="I470" s="8">
        <f>VLOOKUP(A470,[1]!Table1[#All],33,FALSE)</f>
        <v>45198</v>
      </c>
      <c r="J470" t="str">
        <f t="shared" ca="1" si="7"/>
        <v>UDO</v>
      </c>
    </row>
    <row r="471" spans="1:10" x14ac:dyDescent="0.35">
      <c r="A471" s="9" t="s">
        <v>18</v>
      </c>
      <c r="B471" s="10">
        <v>44136</v>
      </c>
      <c r="C471" s="11">
        <v>4148883</v>
      </c>
      <c r="D471" s="11">
        <v>1597747.49</v>
      </c>
      <c r="E471" s="11">
        <v>2551135.5099999998</v>
      </c>
      <c r="F471" t="str">
        <f>VLOOKUP(A471,[1]!Table1[#All],17,FALSE)</f>
        <v>MOZAMBIQUE</v>
      </c>
      <c r="G471" t="str">
        <f>VLOOKUP(A471,[1]!Table1[#All],22,FALSE)</f>
        <v>National Institute of Health, Mozambique</v>
      </c>
      <c r="H471" s="8">
        <f>VLOOKUP(A471,[1]!Table1[#All],32,FALSE)</f>
        <v>43373</v>
      </c>
      <c r="I471" s="8">
        <f>VLOOKUP(A471,[1]!Table1[#All],33,FALSE)</f>
        <v>45198</v>
      </c>
      <c r="J471" t="str">
        <f t="shared" ca="1" si="7"/>
        <v>UDO</v>
      </c>
    </row>
    <row r="472" spans="1:10" x14ac:dyDescent="0.35">
      <c r="A472" s="5" t="s">
        <v>18</v>
      </c>
      <c r="B472" s="6">
        <v>44166</v>
      </c>
      <c r="C472" s="7">
        <v>4148883</v>
      </c>
      <c r="D472" s="7">
        <v>1597747.49</v>
      </c>
      <c r="E472" s="7">
        <v>2551135.5099999998</v>
      </c>
      <c r="F472" t="str">
        <f>VLOOKUP(A472,[1]!Table1[#All],17,FALSE)</f>
        <v>MOZAMBIQUE</v>
      </c>
      <c r="G472" t="str">
        <f>VLOOKUP(A472,[1]!Table1[#All],22,FALSE)</f>
        <v>National Institute of Health, Mozambique</v>
      </c>
      <c r="H472" s="8">
        <f>VLOOKUP(A472,[1]!Table1[#All],32,FALSE)</f>
        <v>43373</v>
      </c>
      <c r="I472" s="8">
        <f>VLOOKUP(A472,[1]!Table1[#All],33,FALSE)</f>
        <v>45198</v>
      </c>
      <c r="J472" t="str">
        <f t="shared" ca="1" si="7"/>
        <v>UDO</v>
      </c>
    </row>
    <row r="473" spans="1:10" x14ac:dyDescent="0.35">
      <c r="A473" s="9" t="s">
        <v>18</v>
      </c>
      <c r="B473" s="10">
        <v>44197</v>
      </c>
      <c r="C473" s="11">
        <v>4148883</v>
      </c>
      <c r="D473" s="11">
        <v>1723747.49</v>
      </c>
      <c r="E473" s="11">
        <v>2425135.5099999998</v>
      </c>
      <c r="F473" t="str">
        <f>VLOOKUP(A473,[1]!Table1[#All],17,FALSE)</f>
        <v>MOZAMBIQUE</v>
      </c>
      <c r="G473" t="str">
        <f>VLOOKUP(A473,[1]!Table1[#All],22,FALSE)</f>
        <v>National Institute of Health, Mozambique</v>
      </c>
      <c r="H473" s="8">
        <f>VLOOKUP(A473,[1]!Table1[#All],32,FALSE)</f>
        <v>43373</v>
      </c>
      <c r="I473" s="8">
        <f>VLOOKUP(A473,[1]!Table1[#All],33,FALSE)</f>
        <v>45198</v>
      </c>
      <c r="J473" t="str">
        <f t="shared" ca="1" si="7"/>
        <v>UDO</v>
      </c>
    </row>
    <row r="474" spans="1:10" x14ac:dyDescent="0.35">
      <c r="A474" s="5" t="s">
        <v>18</v>
      </c>
      <c r="B474" s="6">
        <v>44228</v>
      </c>
      <c r="C474" s="7">
        <v>4148883</v>
      </c>
      <c r="D474" s="7">
        <v>1723747.49</v>
      </c>
      <c r="E474" s="7">
        <v>2425135.5099999998</v>
      </c>
      <c r="F474" t="str">
        <f>VLOOKUP(A474,[1]!Table1[#All],17,FALSE)</f>
        <v>MOZAMBIQUE</v>
      </c>
      <c r="G474" t="str">
        <f>VLOOKUP(A474,[1]!Table1[#All],22,FALSE)</f>
        <v>National Institute of Health, Mozambique</v>
      </c>
      <c r="H474" s="8">
        <f>VLOOKUP(A474,[1]!Table1[#All],32,FALSE)</f>
        <v>43373</v>
      </c>
      <c r="I474" s="8">
        <f>VLOOKUP(A474,[1]!Table1[#All],33,FALSE)</f>
        <v>45198</v>
      </c>
      <c r="J474" t="str">
        <f t="shared" ca="1" si="7"/>
        <v>UDO</v>
      </c>
    </row>
    <row r="475" spans="1:10" x14ac:dyDescent="0.35">
      <c r="A475" s="9" t="s">
        <v>18</v>
      </c>
      <c r="B475" s="10">
        <v>44256</v>
      </c>
      <c r="C475" s="11">
        <v>4148883</v>
      </c>
      <c r="D475" s="11">
        <v>1874266.49</v>
      </c>
      <c r="E475" s="11">
        <v>2274616.5099999998</v>
      </c>
      <c r="F475" t="str">
        <f>VLOOKUP(A475,[1]!Table1[#All],17,FALSE)</f>
        <v>MOZAMBIQUE</v>
      </c>
      <c r="G475" t="str">
        <f>VLOOKUP(A475,[1]!Table1[#All],22,FALSE)</f>
        <v>National Institute of Health, Mozambique</v>
      </c>
      <c r="H475" s="8">
        <f>VLOOKUP(A475,[1]!Table1[#All],32,FALSE)</f>
        <v>43373</v>
      </c>
      <c r="I475" s="8">
        <f>VLOOKUP(A475,[1]!Table1[#All],33,FALSE)</f>
        <v>45198</v>
      </c>
      <c r="J475" t="str">
        <f t="shared" ca="1" si="7"/>
        <v>UDO</v>
      </c>
    </row>
    <row r="476" spans="1:10" x14ac:dyDescent="0.35">
      <c r="A476" s="5" t="s">
        <v>18</v>
      </c>
      <c r="B476" s="6">
        <v>44287</v>
      </c>
      <c r="C476" s="7">
        <v>4148883</v>
      </c>
      <c r="D476" s="7">
        <v>1874266.49</v>
      </c>
      <c r="E476" s="7">
        <v>2274616.5099999998</v>
      </c>
      <c r="F476" t="str">
        <f>VLOOKUP(A476,[1]!Table1[#All],17,FALSE)</f>
        <v>MOZAMBIQUE</v>
      </c>
      <c r="G476" t="str">
        <f>VLOOKUP(A476,[1]!Table1[#All],22,FALSE)</f>
        <v>National Institute of Health, Mozambique</v>
      </c>
      <c r="H476" s="8">
        <f>VLOOKUP(A476,[1]!Table1[#All],32,FALSE)</f>
        <v>43373</v>
      </c>
      <c r="I476" s="8">
        <f>VLOOKUP(A476,[1]!Table1[#All],33,FALSE)</f>
        <v>45198</v>
      </c>
      <c r="J476" t="str">
        <f t="shared" ca="1" si="7"/>
        <v>UDO</v>
      </c>
    </row>
    <row r="477" spans="1:10" x14ac:dyDescent="0.35">
      <c r="A477" s="9" t="s">
        <v>18</v>
      </c>
      <c r="B477" s="10">
        <v>44317</v>
      </c>
      <c r="C477" s="11">
        <v>4148883</v>
      </c>
      <c r="D477" s="11">
        <v>1971046.49</v>
      </c>
      <c r="E477" s="11">
        <v>2177836.5099999998</v>
      </c>
      <c r="F477" t="str">
        <f>VLOOKUP(A477,[1]!Table1[#All],17,FALSE)</f>
        <v>MOZAMBIQUE</v>
      </c>
      <c r="G477" t="str">
        <f>VLOOKUP(A477,[1]!Table1[#All],22,FALSE)</f>
        <v>National Institute of Health, Mozambique</v>
      </c>
      <c r="H477" s="8">
        <f>VLOOKUP(A477,[1]!Table1[#All],32,FALSE)</f>
        <v>43373</v>
      </c>
      <c r="I477" s="8">
        <f>VLOOKUP(A477,[1]!Table1[#All],33,FALSE)</f>
        <v>45198</v>
      </c>
      <c r="J477" t="str">
        <f t="shared" ca="1" si="7"/>
        <v>UDO</v>
      </c>
    </row>
    <row r="478" spans="1:10" x14ac:dyDescent="0.35">
      <c r="A478" s="5" t="s">
        <v>18</v>
      </c>
      <c r="B478" s="6">
        <v>44348</v>
      </c>
      <c r="C478" s="7">
        <v>4148883</v>
      </c>
      <c r="D478" s="7">
        <v>2160906.4900000002</v>
      </c>
      <c r="E478" s="7">
        <v>1987976.5099999998</v>
      </c>
      <c r="F478" t="str">
        <f>VLOOKUP(A478,[1]!Table1[#All],17,FALSE)</f>
        <v>MOZAMBIQUE</v>
      </c>
      <c r="G478" t="str">
        <f>VLOOKUP(A478,[1]!Table1[#All],22,FALSE)</f>
        <v>National Institute of Health, Mozambique</v>
      </c>
      <c r="H478" s="8">
        <f>VLOOKUP(A478,[1]!Table1[#All],32,FALSE)</f>
        <v>43373</v>
      </c>
      <c r="I478" s="8">
        <f>VLOOKUP(A478,[1]!Table1[#All],33,FALSE)</f>
        <v>45198</v>
      </c>
      <c r="J478" t="str">
        <f t="shared" ca="1" si="7"/>
        <v>UDO</v>
      </c>
    </row>
    <row r="479" spans="1:10" x14ac:dyDescent="0.35">
      <c r="A479" s="9" t="s">
        <v>18</v>
      </c>
      <c r="B479" s="10">
        <v>44378</v>
      </c>
      <c r="C479" s="11">
        <v>4148883</v>
      </c>
      <c r="D479" s="11">
        <v>3192236.82</v>
      </c>
      <c r="E479" s="11">
        <v>956646.18</v>
      </c>
      <c r="F479" t="str">
        <f>VLOOKUP(A479,[1]!Table1[#All],17,FALSE)</f>
        <v>MOZAMBIQUE</v>
      </c>
      <c r="G479" t="str">
        <f>VLOOKUP(A479,[1]!Table1[#All],22,FALSE)</f>
        <v>National Institute of Health, Mozambique</v>
      </c>
      <c r="H479" s="8">
        <f>VLOOKUP(A479,[1]!Table1[#All],32,FALSE)</f>
        <v>43373</v>
      </c>
      <c r="I479" s="8">
        <f>VLOOKUP(A479,[1]!Table1[#All],33,FALSE)</f>
        <v>45198</v>
      </c>
      <c r="J479" t="str">
        <f t="shared" ca="1" si="7"/>
        <v>UDO</v>
      </c>
    </row>
    <row r="480" spans="1:10" x14ac:dyDescent="0.35">
      <c r="A480" s="5" t="s">
        <v>18</v>
      </c>
      <c r="B480" s="6">
        <v>44409</v>
      </c>
      <c r="C480" s="7">
        <v>4148883</v>
      </c>
      <c r="D480" s="7">
        <v>3192236.82</v>
      </c>
      <c r="E480" s="7">
        <v>956646.18</v>
      </c>
      <c r="F480" t="str">
        <f>VLOOKUP(A480,[1]!Table1[#All],17,FALSE)</f>
        <v>MOZAMBIQUE</v>
      </c>
      <c r="G480" t="str">
        <f>VLOOKUP(A480,[1]!Table1[#All],22,FALSE)</f>
        <v>National Institute of Health, Mozambique</v>
      </c>
      <c r="H480" s="8">
        <f>VLOOKUP(A480,[1]!Table1[#All],32,FALSE)</f>
        <v>43373</v>
      </c>
      <c r="I480" s="8">
        <f>VLOOKUP(A480,[1]!Table1[#All],33,FALSE)</f>
        <v>45198</v>
      </c>
      <c r="J480" t="str">
        <f t="shared" ca="1" si="7"/>
        <v>UDO</v>
      </c>
    </row>
    <row r="481" spans="1:10" x14ac:dyDescent="0.35">
      <c r="A481" s="9" t="s">
        <v>18</v>
      </c>
      <c r="B481" s="10">
        <v>44440</v>
      </c>
      <c r="C481" s="11">
        <v>4148883</v>
      </c>
      <c r="D481" s="11">
        <v>3470663.8200000003</v>
      </c>
      <c r="E481" s="11">
        <v>678219.18</v>
      </c>
      <c r="F481" t="str">
        <f>VLOOKUP(A481,[1]!Table1[#All],17,FALSE)</f>
        <v>MOZAMBIQUE</v>
      </c>
      <c r="G481" t="str">
        <f>VLOOKUP(A481,[1]!Table1[#All],22,FALSE)</f>
        <v>National Institute of Health, Mozambique</v>
      </c>
      <c r="H481" s="8">
        <f>VLOOKUP(A481,[1]!Table1[#All],32,FALSE)</f>
        <v>43373</v>
      </c>
      <c r="I481" s="8">
        <f>VLOOKUP(A481,[1]!Table1[#All],33,FALSE)</f>
        <v>45198</v>
      </c>
      <c r="J481" t="str">
        <f t="shared" ca="1" si="7"/>
        <v>UDO</v>
      </c>
    </row>
    <row r="482" spans="1:10" x14ac:dyDescent="0.35">
      <c r="A482" s="5" t="s">
        <v>18</v>
      </c>
      <c r="B482" s="6">
        <v>44470</v>
      </c>
      <c r="C482" s="7">
        <v>4148883</v>
      </c>
      <c r="D482" s="7">
        <v>3470663.8200000003</v>
      </c>
      <c r="E482" s="7">
        <v>678219.18</v>
      </c>
      <c r="F482" t="str">
        <f>VLOOKUP(A482,[1]!Table1[#All],17,FALSE)</f>
        <v>MOZAMBIQUE</v>
      </c>
      <c r="G482" t="str">
        <f>VLOOKUP(A482,[1]!Table1[#All],22,FALSE)</f>
        <v>National Institute of Health, Mozambique</v>
      </c>
      <c r="H482" s="8">
        <f>VLOOKUP(A482,[1]!Table1[#All],32,FALSE)</f>
        <v>43373</v>
      </c>
      <c r="I482" s="8">
        <f>VLOOKUP(A482,[1]!Table1[#All],33,FALSE)</f>
        <v>45198</v>
      </c>
      <c r="J482" t="str">
        <f t="shared" ca="1" si="7"/>
        <v>UDO</v>
      </c>
    </row>
    <row r="483" spans="1:10" x14ac:dyDescent="0.35">
      <c r="A483" s="9" t="s">
        <v>18</v>
      </c>
      <c r="B483" s="10">
        <v>44501</v>
      </c>
      <c r="C483" s="11">
        <v>4148883</v>
      </c>
      <c r="D483" s="11">
        <v>3579273.82</v>
      </c>
      <c r="E483" s="11">
        <v>569609.18000000005</v>
      </c>
      <c r="F483" t="str">
        <f>VLOOKUP(A483,[1]!Table1[#All],17,FALSE)</f>
        <v>MOZAMBIQUE</v>
      </c>
      <c r="G483" t="str">
        <f>VLOOKUP(A483,[1]!Table1[#All],22,FALSE)</f>
        <v>National Institute of Health, Mozambique</v>
      </c>
      <c r="H483" s="8">
        <f>VLOOKUP(A483,[1]!Table1[#All],32,FALSE)</f>
        <v>43373</v>
      </c>
      <c r="I483" s="8">
        <f>VLOOKUP(A483,[1]!Table1[#All],33,FALSE)</f>
        <v>45198</v>
      </c>
      <c r="J483" t="str">
        <f t="shared" ca="1" si="7"/>
        <v>UDO</v>
      </c>
    </row>
    <row r="484" spans="1:10" x14ac:dyDescent="0.35">
      <c r="A484" s="5" t="s">
        <v>18</v>
      </c>
      <c r="B484" s="6">
        <v>44531</v>
      </c>
      <c r="C484" s="7">
        <v>4148883</v>
      </c>
      <c r="D484" s="7">
        <v>3844978.8200000003</v>
      </c>
      <c r="E484" s="7">
        <v>303904.18</v>
      </c>
      <c r="F484" t="str">
        <f>VLOOKUP(A484,[1]!Table1[#All],17,FALSE)</f>
        <v>MOZAMBIQUE</v>
      </c>
      <c r="G484" t="str">
        <f>VLOOKUP(A484,[1]!Table1[#All],22,FALSE)</f>
        <v>National Institute of Health, Mozambique</v>
      </c>
      <c r="H484" s="8">
        <f>VLOOKUP(A484,[1]!Table1[#All],32,FALSE)</f>
        <v>43373</v>
      </c>
      <c r="I484" s="8">
        <f>VLOOKUP(A484,[1]!Table1[#All],33,FALSE)</f>
        <v>45198</v>
      </c>
      <c r="J484" t="str">
        <f t="shared" ca="1" si="7"/>
        <v>UDO</v>
      </c>
    </row>
    <row r="485" spans="1:10" x14ac:dyDescent="0.35">
      <c r="A485" s="9" t="s">
        <v>18</v>
      </c>
      <c r="B485" s="10">
        <v>44562</v>
      </c>
      <c r="C485" s="11">
        <v>4148883</v>
      </c>
      <c r="D485" s="11">
        <v>4075318.8200000003</v>
      </c>
      <c r="E485" s="11">
        <v>73564.180000000008</v>
      </c>
      <c r="F485" t="str">
        <f>VLOOKUP(A485,[1]!Table1[#All],17,FALSE)</f>
        <v>MOZAMBIQUE</v>
      </c>
      <c r="G485" t="str">
        <f>VLOOKUP(A485,[1]!Table1[#All],22,FALSE)</f>
        <v>National Institute of Health, Mozambique</v>
      </c>
      <c r="H485" s="8">
        <f>VLOOKUP(A485,[1]!Table1[#All],32,FALSE)</f>
        <v>43373</v>
      </c>
      <c r="I485" s="8">
        <f>VLOOKUP(A485,[1]!Table1[#All],33,FALSE)</f>
        <v>45198</v>
      </c>
      <c r="J485" t="str">
        <f t="shared" ca="1" si="7"/>
        <v>UDO</v>
      </c>
    </row>
    <row r="486" spans="1:10" x14ac:dyDescent="0.35">
      <c r="A486" s="5" t="s">
        <v>18</v>
      </c>
      <c r="B486" s="6">
        <v>44593</v>
      </c>
      <c r="C486" s="7">
        <v>4148883</v>
      </c>
      <c r="D486" s="7">
        <v>4075318.8200000003</v>
      </c>
      <c r="E486" s="7">
        <v>73564.180000000008</v>
      </c>
      <c r="F486" t="str">
        <f>VLOOKUP(A486,[1]!Table1[#All],17,FALSE)</f>
        <v>MOZAMBIQUE</v>
      </c>
      <c r="G486" t="str">
        <f>VLOOKUP(A486,[1]!Table1[#All],22,FALSE)</f>
        <v>National Institute of Health, Mozambique</v>
      </c>
      <c r="H486" s="8">
        <f>VLOOKUP(A486,[1]!Table1[#All],32,FALSE)</f>
        <v>43373</v>
      </c>
      <c r="I486" s="8">
        <f>VLOOKUP(A486,[1]!Table1[#All],33,FALSE)</f>
        <v>45198</v>
      </c>
      <c r="J486" t="str">
        <f t="shared" ca="1" si="7"/>
        <v>UDO</v>
      </c>
    </row>
    <row r="487" spans="1:10" x14ac:dyDescent="0.35">
      <c r="A487" s="9" t="s">
        <v>18</v>
      </c>
      <c r="B487" s="10">
        <v>44621</v>
      </c>
      <c r="C487" s="11">
        <v>4148883</v>
      </c>
      <c r="D487" s="11">
        <v>4148883</v>
      </c>
      <c r="E487" s="11">
        <v>0</v>
      </c>
      <c r="F487" t="str">
        <f>VLOOKUP(A487,[1]!Table1[#All],17,FALSE)</f>
        <v>MOZAMBIQUE</v>
      </c>
      <c r="G487" t="str">
        <f>VLOOKUP(A487,[1]!Table1[#All],22,FALSE)</f>
        <v>National Institute of Health, Mozambique</v>
      </c>
      <c r="H487" s="8">
        <f>VLOOKUP(A487,[1]!Table1[#All],32,FALSE)</f>
        <v>43373</v>
      </c>
      <c r="I487" s="8">
        <f>VLOOKUP(A487,[1]!Table1[#All],33,FALSE)</f>
        <v>45198</v>
      </c>
      <c r="J487" t="str">
        <f t="shared" ca="1" si="7"/>
        <v>Non UDO</v>
      </c>
    </row>
    <row r="488" spans="1:10" x14ac:dyDescent="0.35">
      <c r="A488" s="5" t="s">
        <v>18</v>
      </c>
      <c r="B488" s="6">
        <v>44652</v>
      </c>
      <c r="C488" s="7">
        <v>4148883</v>
      </c>
      <c r="D488" s="7">
        <v>4148883</v>
      </c>
      <c r="E488" s="7">
        <v>0</v>
      </c>
      <c r="F488" t="str">
        <f>VLOOKUP(A488,[1]!Table1[#All],17,FALSE)</f>
        <v>MOZAMBIQUE</v>
      </c>
      <c r="G488" t="str">
        <f>VLOOKUP(A488,[1]!Table1[#All],22,FALSE)</f>
        <v>National Institute of Health, Mozambique</v>
      </c>
      <c r="H488" s="8">
        <f>VLOOKUP(A488,[1]!Table1[#All],32,FALSE)</f>
        <v>43373</v>
      </c>
      <c r="I488" s="8">
        <f>VLOOKUP(A488,[1]!Table1[#All],33,FALSE)</f>
        <v>45198</v>
      </c>
      <c r="J488" t="str">
        <f t="shared" ca="1" si="7"/>
        <v>Non UDO</v>
      </c>
    </row>
    <row r="489" spans="1:10" x14ac:dyDescent="0.35">
      <c r="A489" s="9" t="s">
        <v>18</v>
      </c>
      <c r="B489" s="10">
        <v>44682</v>
      </c>
      <c r="C489" s="11">
        <v>4148883</v>
      </c>
      <c r="D489" s="11">
        <v>4148883</v>
      </c>
      <c r="E489" s="11">
        <v>0</v>
      </c>
      <c r="F489" t="str">
        <f>VLOOKUP(A489,[1]!Table1[#All],17,FALSE)</f>
        <v>MOZAMBIQUE</v>
      </c>
      <c r="G489" t="str">
        <f>VLOOKUP(A489,[1]!Table1[#All],22,FALSE)</f>
        <v>National Institute of Health, Mozambique</v>
      </c>
      <c r="H489" s="8">
        <f>VLOOKUP(A489,[1]!Table1[#All],32,FALSE)</f>
        <v>43373</v>
      </c>
      <c r="I489" s="8">
        <f>VLOOKUP(A489,[1]!Table1[#All],33,FALSE)</f>
        <v>45198</v>
      </c>
      <c r="J489" t="str">
        <f t="shared" ca="1" si="7"/>
        <v>Non UDO</v>
      </c>
    </row>
    <row r="490" spans="1:10" x14ac:dyDescent="0.35">
      <c r="A490" s="5" t="s">
        <v>18</v>
      </c>
      <c r="B490" s="6">
        <v>44713</v>
      </c>
      <c r="C490" s="7">
        <v>4148883</v>
      </c>
      <c r="D490" s="7">
        <v>4148883</v>
      </c>
      <c r="E490" s="7">
        <v>0</v>
      </c>
      <c r="F490" t="str">
        <f>VLOOKUP(A490,[1]!Table1[#All],17,FALSE)</f>
        <v>MOZAMBIQUE</v>
      </c>
      <c r="G490" t="str">
        <f>VLOOKUP(A490,[1]!Table1[#All],22,FALSE)</f>
        <v>National Institute of Health, Mozambique</v>
      </c>
      <c r="H490" s="8">
        <f>VLOOKUP(A490,[1]!Table1[#All],32,FALSE)</f>
        <v>43373</v>
      </c>
      <c r="I490" s="8">
        <f>VLOOKUP(A490,[1]!Table1[#All],33,FALSE)</f>
        <v>45198</v>
      </c>
      <c r="J490" t="str">
        <f t="shared" ca="1" si="7"/>
        <v>Non UDO</v>
      </c>
    </row>
    <row r="491" spans="1:10" x14ac:dyDescent="0.35">
      <c r="A491" s="9" t="s">
        <v>18</v>
      </c>
      <c r="B491" s="10">
        <v>44743</v>
      </c>
      <c r="C491" s="11">
        <v>4148883</v>
      </c>
      <c r="D491" s="11">
        <v>4148883</v>
      </c>
      <c r="E491" s="11">
        <v>0</v>
      </c>
      <c r="F491" t="str">
        <f>VLOOKUP(A491,[1]!Table1[#All],17,FALSE)</f>
        <v>MOZAMBIQUE</v>
      </c>
      <c r="G491" t="str">
        <f>VLOOKUP(A491,[1]!Table1[#All],22,FALSE)</f>
        <v>National Institute of Health, Mozambique</v>
      </c>
      <c r="H491" s="8">
        <f>VLOOKUP(A491,[1]!Table1[#All],32,FALSE)</f>
        <v>43373</v>
      </c>
      <c r="I491" s="8">
        <f>VLOOKUP(A491,[1]!Table1[#All],33,FALSE)</f>
        <v>45198</v>
      </c>
      <c r="J491" t="str">
        <f t="shared" ca="1" si="7"/>
        <v>Non UDO</v>
      </c>
    </row>
    <row r="492" spans="1:10" x14ac:dyDescent="0.35">
      <c r="A492" s="5" t="s">
        <v>18</v>
      </c>
      <c r="B492" s="6">
        <v>44774</v>
      </c>
      <c r="C492" s="7">
        <v>4148883</v>
      </c>
      <c r="D492" s="7">
        <v>4148883</v>
      </c>
      <c r="E492" s="7">
        <v>0</v>
      </c>
      <c r="F492" t="str">
        <f>VLOOKUP(A492,[1]!Table1[#All],17,FALSE)</f>
        <v>MOZAMBIQUE</v>
      </c>
      <c r="G492" t="str">
        <f>VLOOKUP(A492,[1]!Table1[#All],22,FALSE)</f>
        <v>National Institute of Health, Mozambique</v>
      </c>
      <c r="H492" s="8">
        <f>VLOOKUP(A492,[1]!Table1[#All],32,FALSE)</f>
        <v>43373</v>
      </c>
      <c r="I492" s="8">
        <f>VLOOKUP(A492,[1]!Table1[#All],33,FALSE)</f>
        <v>45198</v>
      </c>
      <c r="J492" t="str">
        <f t="shared" ca="1" si="7"/>
        <v>Non UDO</v>
      </c>
    </row>
    <row r="493" spans="1:10" x14ac:dyDescent="0.35">
      <c r="A493" s="9" t="s">
        <v>18</v>
      </c>
      <c r="B493" s="10">
        <v>44805</v>
      </c>
      <c r="C493" s="11">
        <v>4148883</v>
      </c>
      <c r="D493" s="11">
        <v>4148883</v>
      </c>
      <c r="E493" s="11">
        <v>0</v>
      </c>
      <c r="F493" t="str">
        <f>VLOOKUP(A493,[1]!Table1[#All],17,FALSE)</f>
        <v>MOZAMBIQUE</v>
      </c>
      <c r="G493" t="str">
        <f>VLOOKUP(A493,[1]!Table1[#All],22,FALSE)</f>
        <v>National Institute of Health, Mozambique</v>
      </c>
      <c r="H493" s="8">
        <f>VLOOKUP(A493,[1]!Table1[#All],32,FALSE)</f>
        <v>43373</v>
      </c>
      <c r="I493" s="8">
        <f>VLOOKUP(A493,[1]!Table1[#All],33,FALSE)</f>
        <v>45198</v>
      </c>
      <c r="J493" t="str">
        <f t="shared" ca="1" si="7"/>
        <v>Non UDO</v>
      </c>
    </row>
    <row r="494" spans="1:10" x14ac:dyDescent="0.35">
      <c r="A494" s="5" t="s">
        <v>18</v>
      </c>
      <c r="B494" s="6">
        <v>44835</v>
      </c>
      <c r="C494" s="7">
        <v>4148883</v>
      </c>
      <c r="D494" s="7">
        <v>4148883</v>
      </c>
      <c r="E494" s="7">
        <v>0</v>
      </c>
      <c r="F494" t="str">
        <f>VLOOKUP(A494,[1]!Table1[#All],17,FALSE)</f>
        <v>MOZAMBIQUE</v>
      </c>
      <c r="G494" t="str">
        <f>VLOOKUP(A494,[1]!Table1[#All],22,FALSE)</f>
        <v>National Institute of Health, Mozambique</v>
      </c>
      <c r="H494" s="8">
        <f>VLOOKUP(A494,[1]!Table1[#All],32,FALSE)</f>
        <v>43373</v>
      </c>
      <c r="I494" s="8">
        <f>VLOOKUP(A494,[1]!Table1[#All],33,FALSE)</f>
        <v>45198</v>
      </c>
      <c r="J494" t="str">
        <f t="shared" ca="1" si="7"/>
        <v>Non UDO</v>
      </c>
    </row>
    <row r="495" spans="1:10" x14ac:dyDescent="0.35">
      <c r="A495" s="9" t="s">
        <v>18</v>
      </c>
      <c r="B495" s="10">
        <v>44866</v>
      </c>
      <c r="C495" s="11">
        <v>4148883</v>
      </c>
      <c r="D495" s="11">
        <v>4148883</v>
      </c>
      <c r="E495" s="11">
        <v>0</v>
      </c>
      <c r="F495" t="str">
        <f>VLOOKUP(A495,[1]!Table1[#All],17,FALSE)</f>
        <v>MOZAMBIQUE</v>
      </c>
      <c r="G495" t="str">
        <f>VLOOKUP(A495,[1]!Table1[#All],22,FALSE)</f>
        <v>National Institute of Health, Mozambique</v>
      </c>
      <c r="H495" s="8">
        <f>VLOOKUP(A495,[1]!Table1[#All],32,FALSE)</f>
        <v>43373</v>
      </c>
      <c r="I495" s="8">
        <f>VLOOKUP(A495,[1]!Table1[#All],33,FALSE)</f>
        <v>45198</v>
      </c>
      <c r="J495" t="str">
        <f t="shared" ca="1" si="7"/>
        <v>Non UDO</v>
      </c>
    </row>
    <row r="496" spans="1:10" x14ac:dyDescent="0.35">
      <c r="A496" s="5" t="s">
        <v>18</v>
      </c>
      <c r="B496" s="6">
        <v>44896</v>
      </c>
      <c r="C496" s="7">
        <v>4148883</v>
      </c>
      <c r="D496" s="7">
        <v>4148883</v>
      </c>
      <c r="E496" s="7">
        <v>0</v>
      </c>
      <c r="F496" t="str">
        <f>VLOOKUP(A496,[1]!Table1[#All],17,FALSE)</f>
        <v>MOZAMBIQUE</v>
      </c>
      <c r="G496" t="str">
        <f>VLOOKUP(A496,[1]!Table1[#All],22,FALSE)</f>
        <v>National Institute of Health, Mozambique</v>
      </c>
      <c r="H496" s="8">
        <f>VLOOKUP(A496,[1]!Table1[#All],32,FALSE)</f>
        <v>43373</v>
      </c>
      <c r="I496" s="8">
        <f>VLOOKUP(A496,[1]!Table1[#All],33,FALSE)</f>
        <v>45198</v>
      </c>
      <c r="J496" t="str">
        <f t="shared" ca="1" si="7"/>
        <v>Non UDO</v>
      </c>
    </row>
    <row r="497" spans="1:10" x14ac:dyDescent="0.35">
      <c r="A497" s="9" t="s">
        <v>18</v>
      </c>
      <c r="B497" s="10">
        <v>44927</v>
      </c>
      <c r="C497" s="11">
        <v>4148883</v>
      </c>
      <c r="D497" s="11">
        <v>4148883</v>
      </c>
      <c r="E497" s="11">
        <v>0</v>
      </c>
      <c r="F497" t="str">
        <f>VLOOKUP(A497,[1]!Table1[#All],17,FALSE)</f>
        <v>MOZAMBIQUE</v>
      </c>
      <c r="G497" t="str">
        <f>VLOOKUP(A497,[1]!Table1[#All],22,FALSE)</f>
        <v>National Institute of Health, Mozambique</v>
      </c>
      <c r="H497" s="8">
        <f>VLOOKUP(A497,[1]!Table1[#All],32,FALSE)</f>
        <v>43373</v>
      </c>
      <c r="I497" s="8">
        <f>VLOOKUP(A497,[1]!Table1[#All],33,FALSE)</f>
        <v>45198</v>
      </c>
      <c r="J497" t="str">
        <f t="shared" ca="1" si="7"/>
        <v>Non UDO</v>
      </c>
    </row>
    <row r="498" spans="1:10" x14ac:dyDescent="0.35">
      <c r="A498" s="5" t="s">
        <v>18</v>
      </c>
      <c r="B498" s="6">
        <v>44958</v>
      </c>
      <c r="C498" s="7">
        <v>4148883</v>
      </c>
      <c r="D498" s="7">
        <v>4148883</v>
      </c>
      <c r="E498" s="7">
        <v>0</v>
      </c>
      <c r="F498" t="str">
        <f>VLOOKUP(A498,[1]!Table1[#All],17,FALSE)</f>
        <v>MOZAMBIQUE</v>
      </c>
      <c r="G498" t="str">
        <f>VLOOKUP(A498,[1]!Table1[#All],22,FALSE)</f>
        <v>National Institute of Health, Mozambique</v>
      </c>
      <c r="H498" s="8">
        <f>VLOOKUP(A498,[1]!Table1[#All],32,FALSE)</f>
        <v>43373</v>
      </c>
      <c r="I498" s="8">
        <f>VLOOKUP(A498,[1]!Table1[#All],33,FALSE)</f>
        <v>45198</v>
      </c>
      <c r="J498" t="str">
        <f t="shared" ca="1" si="7"/>
        <v>Non UDO</v>
      </c>
    </row>
    <row r="499" spans="1:10" x14ac:dyDescent="0.35">
      <c r="A499" s="9" t="s">
        <v>18</v>
      </c>
      <c r="B499" s="10">
        <v>44986</v>
      </c>
      <c r="C499" s="11">
        <v>4148883</v>
      </c>
      <c r="D499" s="11">
        <v>4148883</v>
      </c>
      <c r="E499" s="11">
        <v>0</v>
      </c>
      <c r="F499" t="str">
        <f>VLOOKUP(A499,[1]!Table1[#All],17,FALSE)</f>
        <v>MOZAMBIQUE</v>
      </c>
      <c r="G499" t="str">
        <f>VLOOKUP(A499,[1]!Table1[#All],22,FALSE)</f>
        <v>National Institute of Health, Mozambique</v>
      </c>
      <c r="H499" s="8">
        <f>VLOOKUP(A499,[1]!Table1[#All],32,FALSE)</f>
        <v>43373</v>
      </c>
      <c r="I499" s="8">
        <f>VLOOKUP(A499,[1]!Table1[#All],33,FALSE)</f>
        <v>45198</v>
      </c>
      <c r="J499" t="str">
        <f t="shared" ca="1" si="7"/>
        <v>Non UDO</v>
      </c>
    </row>
    <row r="500" spans="1:10" x14ac:dyDescent="0.35">
      <c r="A500" s="5" t="s">
        <v>18</v>
      </c>
      <c r="B500" s="6">
        <v>45017</v>
      </c>
      <c r="C500" s="7">
        <v>4148883</v>
      </c>
      <c r="D500" s="7">
        <v>4148883</v>
      </c>
      <c r="E500" s="7">
        <v>0</v>
      </c>
      <c r="F500" t="str">
        <f>VLOOKUP(A500,[1]!Table1[#All],17,FALSE)</f>
        <v>MOZAMBIQUE</v>
      </c>
      <c r="G500" t="str">
        <f>VLOOKUP(A500,[1]!Table1[#All],22,FALSE)</f>
        <v>National Institute of Health, Mozambique</v>
      </c>
      <c r="H500" s="8">
        <f>VLOOKUP(A500,[1]!Table1[#All],32,FALSE)</f>
        <v>43373</v>
      </c>
      <c r="I500" s="8">
        <f>VLOOKUP(A500,[1]!Table1[#All],33,FALSE)</f>
        <v>45198</v>
      </c>
      <c r="J500" t="str">
        <f t="shared" ca="1" si="7"/>
        <v>Non UDO</v>
      </c>
    </row>
    <row r="501" spans="1:10" x14ac:dyDescent="0.35">
      <c r="A501" s="9" t="s">
        <v>18</v>
      </c>
      <c r="B501" s="10">
        <v>45047</v>
      </c>
      <c r="C501" s="11">
        <v>4148883</v>
      </c>
      <c r="D501" s="11">
        <v>4148883</v>
      </c>
      <c r="E501" s="11">
        <v>0</v>
      </c>
      <c r="F501" t="str">
        <f>VLOOKUP(A501,[1]!Table1[#All],17,FALSE)</f>
        <v>MOZAMBIQUE</v>
      </c>
      <c r="G501" t="str">
        <f>VLOOKUP(A501,[1]!Table1[#All],22,FALSE)</f>
        <v>National Institute of Health, Mozambique</v>
      </c>
      <c r="H501" s="8">
        <f>VLOOKUP(A501,[1]!Table1[#All],32,FALSE)</f>
        <v>43373</v>
      </c>
      <c r="I501" s="8">
        <f>VLOOKUP(A501,[1]!Table1[#All],33,FALSE)</f>
        <v>45198</v>
      </c>
      <c r="J501" t="str">
        <f t="shared" ca="1" si="7"/>
        <v>Non UDO</v>
      </c>
    </row>
    <row r="502" spans="1:10" x14ac:dyDescent="0.35">
      <c r="A502" s="5" t="s">
        <v>18</v>
      </c>
      <c r="B502" s="6">
        <v>45078</v>
      </c>
      <c r="C502" s="7">
        <v>4148883</v>
      </c>
      <c r="D502" s="7">
        <v>4148883</v>
      </c>
      <c r="E502" s="7">
        <v>0</v>
      </c>
      <c r="F502" t="str">
        <f>VLOOKUP(A502,[1]!Table1[#All],17,FALSE)</f>
        <v>MOZAMBIQUE</v>
      </c>
      <c r="G502" t="str">
        <f>VLOOKUP(A502,[1]!Table1[#All],22,FALSE)</f>
        <v>National Institute of Health, Mozambique</v>
      </c>
      <c r="H502" s="8">
        <f>VLOOKUP(A502,[1]!Table1[#All],32,FALSE)</f>
        <v>43373</v>
      </c>
      <c r="I502" s="8">
        <f>VLOOKUP(A502,[1]!Table1[#All],33,FALSE)</f>
        <v>45198</v>
      </c>
      <c r="J502" t="str">
        <f t="shared" ca="1" si="7"/>
        <v>Non UDO</v>
      </c>
    </row>
    <row r="503" spans="1:10" x14ac:dyDescent="0.35">
      <c r="A503" s="9" t="s">
        <v>18</v>
      </c>
      <c r="B503" s="10">
        <v>45108</v>
      </c>
      <c r="C503" s="11">
        <v>4148883</v>
      </c>
      <c r="D503" s="11">
        <v>4148883</v>
      </c>
      <c r="E503" s="11">
        <v>0</v>
      </c>
      <c r="F503" t="str">
        <f>VLOOKUP(A503,[1]!Table1[#All],17,FALSE)</f>
        <v>MOZAMBIQUE</v>
      </c>
      <c r="G503" t="str">
        <f>VLOOKUP(A503,[1]!Table1[#All],22,FALSE)</f>
        <v>National Institute of Health, Mozambique</v>
      </c>
      <c r="H503" s="8">
        <f>VLOOKUP(A503,[1]!Table1[#All],32,FALSE)</f>
        <v>43373</v>
      </c>
      <c r="I503" s="8">
        <f>VLOOKUP(A503,[1]!Table1[#All],33,FALSE)</f>
        <v>45198</v>
      </c>
      <c r="J503" t="str">
        <f t="shared" ca="1" si="7"/>
        <v>Non UDO</v>
      </c>
    </row>
    <row r="504" spans="1:10" x14ac:dyDescent="0.35">
      <c r="A504" s="5" t="s">
        <v>18</v>
      </c>
      <c r="B504" s="6">
        <v>45139</v>
      </c>
      <c r="C504" s="7">
        <v>4148883</v>
      </c>
      <c r="D504" s="7">
        <v>4148883</v>
      </c>
      <c r="E504" s="7">
        <v>0</v>
      </c>
      <c r="F504" t="str">
        <f>VLOOKUP(A504,[1]!Table1[#All],17,FALSE)</f>
        <v>MOZAMBIQUE</v>
      </c>
      <c r="G504" t="str">
        <f>VLOOKUP(A504,[1]!Table1[#All],22,FALSE)</f>
        <v>National Institute of Health, Mozambique</v>
      </c>
      <c r="H504" s="8">
        <f>VLOOKUP(A504,[1]!Table1[#All],32,FALSE)</f>
        <v>43373</v>
      </c>
      <c r="I504" s="8">
        <f>VLOOKUP(A504,[1]!Table1[#All],33,FALSE)</f>
        <v>45198</v>
      </c>
      <c r="J504" t="str">
        <f t="shared" ca="1" si="7"/>
        <v>Non UDO</v>
      </c>
    </row>
    <row r="505" spans="1:10" x14ac:dyDescent="0.35">
      <c r="A505" s="9" t="s">
        <v>18</v>
      </c>
      <c r="B505" s="10">
        <v>45170</v>
      </c>
      <c r="C505" s="11">
        <v>4148883</v>
      </c>
      <c r="D505" s="11">
        <v>4148883</v>
      </c>
      <c r="E505" s="11">
        <v>0</v>
      </c>
      <c r="F505" t="str">
        <f>VLOOKUP(A505,[1]!Table1[#All],17,FALSE)</f>
        <v>MOZAMBIQUE</v>
      </c>
      <c r="G505" t="str">
        <f>VLOOKUP(A505,[1]!Table1[#All],22,FALSE)</f>
        <v>National Institute of Health, Mozambique</v>
      </c>
      <c r="H505" s="8">
        <f>VLOOKUP(A505,[1]!Table1[#All],32,FALSE)</f>
        <v>43373</v>
      </c>
      <c r="I505" s="8">
        <f>VLOOKUP(A505,[1]!Table1[#All],33,FALSE)</f>
        <v>45198</v>
      </c>
      <c r="J505" t="str">
        <f t="shared" ca="1" si="7"/>
        <v>Non UDO</v>
      </c>
    </row>
    <row r="506" spans="1:10" x14ac:dyDescent="0.35">
      <c r="A506" s="5" t="s">
        <v>19</v>
      </c>
      <c r="B506" s="6">
        <v>44105</v>
      </c>
      <c r="C506" s="7">
        <v>24201411</v>
      </c>
      <c r="D506" s="7">
        <v>8698050.7300000004</v>
      </c>
      <c r="E506" s="7">
        <v>15503360.27</v>
      </c>
      <c r="F506" t="str">
        <f>VLOOKUP(A506,[1]!Table1[#All],17,FALSE)</f>
        <v>UGANDA</v>
      </c>
      <c r="G506" t="str">
        <f>VLOOKUP(A506,[1]!Table1[#All],22,FALSE)</f>
        <v>INFECTIOUS DISEASES INSTITUTE AT MAKERERE UNIVERSI</v>
      </c>
      <c r="H506" s="8">
        <f>VLOOKUP(A506,[1]!Table1[#All],32,FALSE)</f>
        <v>42826</v>
      </c>
      <c r="I506" s="8">
        <f>VLOOKUP(A506,[1]!Table1[#All],33,FALSE)</f>
        <v>44833</v>
      </c>
      <c r="J506" t="str">
        <f t="shared" ca="1" si="7"/>
        <v>UDO</v>
      </c>
    </row>
    <row r="507" spans="1:10" x14ac:dyDescent="0.35">
      <c r="A507" s="9" t="s">
        <v>19</v>
      </c>
      <c r="B507" s="10">
        <v>44136</v>
      </c>
      <c r="C507" s="11">
        <v>24201411</v>
      </c>
      <c r="D507" s="11">
        <v>12604659.73</v>
      </c>
      <c r="E507" s="11">
        <v>11596751.27</v>
      </c>
      <c r="F507" t="str">
        <f>VLOOKUP(A507,[1]!Table1[#All],17,FALSE)</f>
        <v>UGANDA</v>
      </c>
      <c r="G507" t="str">
        <f>VLOOKUP(A507,[1]!Table1[#All],22,FALSE)</f>
        <v>INFECTIOUS DISEASES INSTITUTE AT MAKERERE UNIVERSI</v>
      </c>
      <c r="H507" s="8">
        <f>VLOOKUP(A507,[1]!Table1[#All],32,FALSE)</f>
        <v>42826</v>
      </c>
      <c r="I507" s="8">
        <f>VLOOKUP(A507,[1]!Table1[#All],33,FALSE)</f>
        <v>44833</v>
      </c>
      <c r="J507" t="str">
        <f t="shared" ca="1" si="7"/>
        <v>UDO</v>
      </c>
    </row>
    <row r="508" spans="1:10" x14ac:dyDescent="0.35">
      <c r="A508" s="5" t="s">
        <v>19</v>
      </c>
      <c r="B508" s="6">
        <v>44166</v>
      </c>
      <c r="C508" s="7">
        <v>24201411</v>
      </c>
      <c r="D508" s="7">
        <v>13805851.270000001</v>
      </c>
      <c r="E508" s="7">
        <v>10395559.73</v>
      </c>
      <c r="F508" t="str">
        <f>VLOOKUP(A508,[1]!Table1[#All],17,FALSE)</f>
        <v>UGANDA</v>
      </c>
      <c r="G508" t="str">
        <f>VLOOKUP(A508,[1]!Table1[#All],22,FALSE)</f>
        <v>INFECTIOUS DISEASES INSTITUTE AT MAKERERE UNIVERSI</v>
      </c>
      <c r="H508" s="8">
        <f>VLOOKUP(A508,[1]!Table1[#All],32,FALSE)</f>
        <v>42826</v>
      </c>
      <c r="I508" s="8">
        <f>VLOOKUP(A508,[1]!Table1[#All],33,FALSE)</f>
        <v>44833</v>
      </c>
      <c r="J508" t="str">
        <f t="shared" ca="1" si="7"/>
        <v>UDO</v>
      </c>
    </row>
    <row r="509" spans="1:10" x14ac:dyDescent="0.35">
      <c r="A509" s="9" t="s">
        <v>19</v>
      </c>
      <c r="B509" s="10">
        <v>44197</v>
      </c>
      <c r="C509" s="11">
        <v>24201411</v>
      </c>
      <c r="D509" s="11">
        <v>15937766.84</v>
      </c>
      <c r="E509" s="11">
        <v>8263644.1600000001</v>
      </c>
      <c r="F509" t="str">
        <f>VLOOKUP(A509,[1]!Table1[#All],17,FALSE)</f>
        <v>UGANDA</v>
      </c>
      <c r="G509" t="str">
        <f>VLOOKUP(A509,[1]!Table1[#All],22,FALSE)</f>
        <v>INFECTIOUS DISEASES INSTITUTE AT MAKERERE UNIVERSI</v>
      </c>
      <c r="H509" s="8">
        <f>VLOOKUP(A509,[1]!Table1[#All],32,FALSE)</f>
        <v>42826</v>
      </c>
      <c r="I509" s="8">
        <f>VLOOKUP(A509,[1]!Table1[#All],33,FALSE)</f>
        <v>44833</v>
      </c>
      <c r="J509" t="str">
        <f t="shared" ca="1" si="7"/>
        <v>UDO</v>
      </c>
    </row>
    <row r="510" spans="1:10" x14ac:dyDescent="0.35">
      <c r="A510" s="5" t="s">
        <v>19</v>
      </c>
      <c r="B510" s="6">
        <v>44228</v>
      </c>
      <c r="C510" s="7">
        <v>24201411</v>
      </c>
      <c r="D510" s="7">
        <v>18986982.699999999</v>
      </c>
      <c r="E510" s="7">
        <v>5214428.3</v>
      </c>
      <c r="F510" t="str">
        <f>VLOOKUP(A510,[1]!Table1[#All],17,FALSE)</f>
        <v>UGANDA</v>
      </c>
      <c r="G510" t="str">
        <f>VLOOKUP(A510,[1]!Table1[#All],22,FALSE)</f>
        <v>INFECTIOUS DISEASES INSTITUTE AT MAKERERE UNIVERSI</v>
      </c>
      <c r="H510" s="8">
        <f>VLOOKUP(A510,[1]!Table1[#All],32,FALSE)</f>
        <v>42826</v>
      </c>
      <c r="I510" s="8">
        <f>VLOOKUP(A510,[1]!Table1[#All],33,FALSE)</f>
        <v>44833</v>
      </c>
      <c r="J510" t="str">
        <f t="shared" ca="1" si="7"/>
        <v>UDO</v>
      </c>
    </row>
    <row r="511" spans="1:10" x14ac:dyDescent="0.35">
      <c r="A511" s="9" t="s">
        <v>19</v>
      </c>
      <c r="B511" s="10">
        <v>44256</v>
      </c>
      <c r="C511" s="11">
        <v>24201411</v>
      </c>
      <c r="D511" s="11">
        <v>21326923.289999999</v>
      </c>
      <c r="E511" s="11">
        <v>2874487.71</v>
      </c>
      <c r="F511" t="str">
        <f>VLOOKUP(A511,[1]!Table1[#All],17,FALSE)</f>
        <v>UGANDA</v>
      </c>
      <c r="G511" t="str">
        <f>VLOOKUP(A511,[1]!Table1[#All],22,FALSE)</f>
        <v>INFECTIOUS DISEASES INSTITUTE AT MAKERERE UNIVERSI</v>
      </c>
      <c r="H511" s="8">
        <f>VLOOKUP(A511,[1]!Table1[#All],32,FALSE)</f>
        <v>42826</v>
      </c>
      <c r="I511" s="8">
        <f>VLOOKUP(A511,[1]!Table1[#All],33,FALSE)</f>
        <v>44833</v>
      </c>
      <c r="J511" t="str">
        <f t="shared" ca="1" si="7"/>
        <v>UDO</v>
      </c>
    </row>
    <row r="512" spans="1:10" x14ac:dyDescent="0.35">
      <c r="A512" s="5" t="s">
        <v>19</v>
      </c>
      <c r="B512" s="6">
        <v>44287</v>
      </c>
      <c r="C512" s="7">
        <v>275000</v>
      </c>
      <c r="D512" s="7">
        <v>926.83</v>
      </c>
      <c r="E512" s="7">
        <v>274073.17</v>
      </c>
      <c r="F512" t="str">
        <f>VLOOKUP(A512,[1]!Table1[#All],17,FALSE)</f>
        <v>UGANDA</v>
      </c>
      <c r="G512" t="str">
        <f>VLOOKUP(A512,[1]!Table1[#All],22,FALSE)</f>
        <v>INFECTIOUS DISEASES INSTITUTE AT MAKERERE UNIVERSI</v>
      </c>
      <c r="H512" s="8">
        <f>VLOOKUP(A512,[1]!Table1[#All],32,FALSE)</f>
        <v>42826</v>
      </c>
      <c r="I512" s="8">
        <f>VLOOKUP(A512,[1]!Table1[#All],33,FALSE)</f>
        <v>44833</v>
      </c>
      <c r="J512" t="str">
        <f t="shared" ca="1" si="7"/>
        <v>UDO</v>
      </c>
    </row>
    <row r="513" spans="1:10" x14ac:dyDescent="0.35">
      <c r="A513" s="9" t="s">
        <v>19</v>
      </c>
      <c r="B513" s="10">
        <v>44317</v>
      </c>
      <c r="C513" s="11">
        <v>24201411</v>
      </c>
      <c r="D513" s="11">
        <v>23946009.100000001</v>
      </c>
      <c r="E513" s="11">
        <v>255401.9</v>
      </c>
      <c r="F513" t="str">
        <f>VLOOKUP(A513,[1]!Table1[#All],17,FALSE)</f>
        <v>UGANDA</v>
      </c>
      <c r="G513" t="str">
        <f>VLOOKUP(A513,[1]!Table1[#All],22,FALSE)</f>
        <v>INFECTIOUS DISEASES INSTITUTE AT MAKERERE UNIVERSI</v>
      </c>
      <c r="H513" s="8">
        <f>VLOOKUP(A513,[1]!Table1[#All],32,FALSE)</f>
        <v>42826</v>
      </c>
      <c r="I513" s="8">
        <f>VLOOKUP(A513,[1]!Table1[#All],33,FALSE)</f>
        <v>44833</v>
      </c>
      <c r="J513" t="str">
        <f t="shared" ca="1" si="7"/>
        <v>UDO</v>
      </c>
    </row>
    <row r="514" spans="1:10" x14ac:dyDescent="0.35">
      <c r="A514" s="5" t="s">
        <v>19</v>
      </c>
      <c r="B514" s="6">
        <v>44348</v>
      </c>
      <c r="C514" s="7">
        <v>24201411</v>
      </c>
      <c r="D514" s="7">
        <v>24044741.050000001</v>
      </c>
      <c r="E514" s="7">
        <v>156669.95000000001</v>
      </c>
      <c r="F514" t="str">
        <f>VLOOKUP(A514,[1]!Table1[#All],17,FALSE)</f>
        <v>UGANDA</v>
      </c>
      <c r="G514" t="str">
        <f>VLOOKUP(A514,[1]!Table1[#All],22,FALSE)</f>
        <v>INFECTIOUS DISEASES INSTITUTE AT MAKERERE UNIVERSI</v>
      </c>
      <c r="H514" s="8">
        <f>VLOOKUP(A514,[1]!Table1[#All],32,FALSE)</f>
        <v>42826</v>
      </c>
      <c r="I514" s="8">
        <f>VLOOKUP(A514,[1]!Table1[#All],33,FALSE)</f>
        <v>44833</v>
      </c>
      <c r="J514" t="str">
        <f t="shared" ca="1" si="7"/>
        <v>UDO</v>
      </c>
    </row>
    <row r="515" spans="1:10" x14ac:dyDescent="0.35">
      <c r="A515" s="9" t="s">
        <v>19</v>
      </c>
      <c r="B515" s="10">
        <v>44378</v>
      </c>
      <c r="C515" s="11">
        <v>24201411</v>
      </c>
      <c r="D515" s="11">
        <v>24044741.050000001</v>
      </c>
      <c r="E515" s="11">
        <v>156669.95000000001</v>
      </c>
      <c r="F515" t="str">
        <f>VLOOKUP(A515,[1]!Table1[#All],17,FALSE)</f>
        <v>UGANDA</v>
      </c>
      <c r="G515" t="str">
        <f>VLOOKUP(A515,[1]!Table1[#All],22,FALSE)</f>
        <v>INFECTIOUS DISEASES INSTITUTE AT MAKERERE UNIVERSI</v>
      </c>
      <c r="H515" s="8">
        <f>VLOOKUP(A515,[1]!Table1[#All],32,FALSE)</f>
        <v>42826</v>
      </c>
      <c r="I515" s="8">
        <f>VLOOKUP(A515,[1]!Table1[#All],33,FALSE)</f>
        <v>44833</v>
      </c>
      <c r="J515" t="str">
        <f t="shared" ref="J515:J578" ca="1" si="8">IF(AND( E515&gt;0,TODAY()&gt;I515),"UDO","Non UDO")</f>
        <v>UDO</v>
      </c>
    </row>
    <row r="516" spans="1:10" x14ac:dyDescent="0.35">
      <c r="A516" s="5" t="s">
        <v>19</v>
      </c>
      <c r="B516" s="6">
        <v>44409</v>
      </c>
      <c r="C516" s="7">
        <v>24201411</v>
      </c>
      <c r="D516" s="7">
        <v>24044741.050000001</v>
      </c>
      <c r="E516" s="7">
        <v>156669.95000000001</v>
      </c>
      <c r="F516" t="str">
        <f>VLOOKUP(A516,[1]!Table1[#All],17,FALSE)</f>
        <v>UGANDA</v>
      </c>
      <c r="G516" t="str">
        <f>VLOOKUP(A516,[1]!Table1[#All],22,FALSE)</f>
        <v>INFECTIOUS DISEASES INSTITUTE AT MAKERERE UNIVERSI</v>
      </c>
      <c r="H516" s="8">
        <f>VLOOKUP(A516,[1]!Table1[#All],32,FALSE)</f>
        <v>42826</v>
      </c>
      <c r="I516" s="8">
        <f>VLOOKUP(A516,[1]!Table1[#All],33,FALSE)</f>
        <v>44833</v>
      </c>
      <c r="J516" t="str">
        <f t="shared" ca="1" si="8"/>
        <v>UDO</v>
      </c>
    </row>
    <row r="517" spans="1:10" x14ac:dyDescent="0.35">
      <c r="A517" s="9" t="s">
        <v>19</v>
      </c>
      <c r="B517" s="10">
        <v>44440</v>
      </c>
      <c r="C517" s="11">
        <v>24201411</v>
      </c>
      <c r="D517" s="11">
        <v>24123529.050000001</v>
      </c>
      <c r="E517" s="11">
        <v>77881.95</v>
      </c>
      <c r="F517" t="str">
        <f>VLOOKUP(A517,[1]!Table1[#All],17,FALSE)</f>
        <v>UGANDA</v>
      </c>
      <c r="G517" t="str">
        <f>VLOOKUP(A517,[1]!Table1[#All],22,FALSE)</f>
        <v>INFECTIOUS DISEASES INSTITUTE AT MAKERERE UNIVERSI</v>
      </c>
      <c r="H517" s="8">
        <f>VLOOKUP(A517,[1]!Table1[#All],32,FALSE)</f>
        <v>42826</v>
      </c>
      <c r="I517" s="8">
        <f>VLOOKUP(A517,[1]!Table1[#All],33,FALSE)</f>
        <v>44833</v>
      </c>
      <c r="J517" t="str">
        <f t="shared" ca="1" si="8"/>
        <v>UDO</v>
      </c>
    </row>
    <row r="518" spans="1:10" x14ac:dyDescent="0.35">
      <c r="A518" s="5" t="s">
        <v>19</v>
      </c>
      <c r="B518" s="6">
        <v>44470</v>
      </c>
      <c r="C518" s="7">
        <v>24201411</v>
      </c>
      <c r="D518" s="7">
        <v>24123529.050000001</v>
      </c>
      <c r="E518" s="7">
        <v>77881.95</v>
      </c>
      <c r="F518" t="str">
        <f>VLOOKUP(A518,[1]!Table1[#All],17,FALSE)</f>
        <v>UGANDA</v>
      </c>
      <c r="G518" t="str">
        <f>VLOOKUP(A518,[1]!Table1[#All],22,FALSE)</f>
        <v>INFECTIOUS DISEASES INSTITUTE AT MAKERERE UNIVERSI</v>
      </c>
      <c r="H518" s="8">
        <f>VLOOKUP(A518,[1]!Table1[#All],32,FALSE)</f>
        <v>42826</v>
      </c>
      <c r="I518" s="8">
        <f>VLOOKUP(A518,[1]!Table1[#All],33,FALSE)</f>
        <v>44833</v>
      </c>
      <c r="J518" t="str">
        <f t="shared" ca="1" si="8"/>
        <v>UDO</v>
      </c>
    </row>
    <row r="519" spans="1:10" x14ac:dyDescent="0.35">
      <c r="A519" s="9" t="s">
        <v>19</v>
      </c>
      <c r="B519" s="10">
        <v>44501</v>
      </c>
      <c r="C519" s="11">
        <v>24201411</v>
      </c>
      <c r="D519" s="11">
        <v>24130106.859999999</v>
      </c>
      <c r="E519" s="11">
        <v>71304.14</v>
      </c>
      <c r="F519" t="str">
        <f>VLOOKUP(A519,[1]!Table1[#All],17,FALSE)</f>
        <v>UGANDA</v>
      </c>
      <c r="G519" t="str">
        <f>VLOOKUP(A519,[1]!Table1[#All],22,FALSE)</f>
        <v>INFECTIOUS DISEASES INSTITUTE AT MAKERERE UNIVERSI</v>
      </c>
      <c r="H519" s="8">
        <f>VLOOKUP(A519,[1]!Table1[#All],32,FALSE)</f>
        <v>42826</v>
      </c>
      <c r="I519" s="8">
        <f>VLOOKUP(A519,[1]!Table1[#All],33,FALSE)</f>
        <v>44833</v>
      </c>
      <c r="J519" t="str">
        <f t="shared" ca="1" si="8"/>
        <v>UDO</v>
      </c>
    </row>
    <row r="520" spans="1:10" x14ac:dyDescent="0.35">
      <c r="A520" s="5" t="s">
        <v>19</v>
      </c>
      <c r="B520" s="6">
        <v>44531</v>
      </c>
      <c r="C520" s="7">
        <v>24201411</v>
      </c>
      <c r="D520" s="7">
        <v>24139918.23</v>
      </c>
      <c r="E520" s="7">
        <v>61492.77</v>
      </c>
      <c r="F520" t="str">
        <f>VLOOKUP(A520,[1]!Table1[#All],17,FALSE)</f>
        <v>UGANDA</v>
      </c>
      <c r="G520" t="str">
        <f>VLOOKUP(A520,[1]!Table1[#All],22,FALSE)</f>
        <v>INFECTIOUS DISEASES INSTITUTE AT MAKERERE UNIVERSI</v>
      </c>
      <c r="H520" s="8">
        <f>VLOOKUP(A520,[1]!Table1[#All],32,FALSE)</f>
        <v>42826</v>
      </c>
      <c r="I520" s="8">
        <f>VLOOKUP(A520,[1]!Table1[#All],33,FALSE)</f>
        <v>44833</v>
      </c>
      <c r="J520" t="str">
        <f t="shared" ca="1" si="8"/>
        <v>UDO</v>
      </c>
    </row>
    <row r="521" spans="1:10" x14ac:dyDescent="0.35">
      <c r="A521" s="9" t="s">
        <v>19</v>
      </c>
      <c r="B521" s="10">
        <v>44562</v>
      </c>
      <c r="C521" s="11">
        <v>24201411</v>
      </c>
      <c r="D521" s="11">
        <v>24147025.050000001</v>
      </c>
      <c r="E521" s="11">
        <v>54385.95</v>
      </c>
      <c r="F521" t="str">
        <f>VLOOKUP(A521,[1]!Table1[#All],17,FALSE)</f>
        <v>UGANDA</v>
      </c>
      <c r="G521" t="str">
        <f>VLOOKUP(A521,[1]!Table1[#All],22,FALSE)</f>
        <v>INFECTIOUS DISEASES INSTITUTE AT MAKERERE UNIVERSI</v>
      </c>
      <c r="H521" s="8">
        <f>VLOOKUP(A521,[1]!Table1[#All],32,FALSE)</f>
        <v>42826</v>
      </c>
      <c r="I521" s="8">
        <f>VLOOKUP(A521,[1]!Table1[#All],33,FALSE)</f>
        <v>44833</v>
      </c>
      <c r="J521" t="str">
        <f t="shared" ca="1" si="8"/>
        <v>UDO</v>
      </c>
    </row>
    <row r="522" spans="1:10" x14ac:dyDescent="0.35">
      <c r="A522" s="5" t="s">
        <v>19</v>
      </c>
      <c r="B522" s="6">
        <v>44593</v>
      </c>
      <c r="C522" s="7">
        <v>24201411</v>
      </c>
      <c r="D522" s="7">
        <v>24147025.050000001</v>
      </c>
      <c r="E522" s="7">
        <v>54385.95</v>
      </c>
      <c r="F522" t="str">
        <f>VLOOKUP(A522,[1]!Table1[#All],17,FALSE)</f>
        <v>UGANDA</v>
      </c>
      <c r="G522" t="str">
        <f>VLOOKUP(A522,[1]!Table1[#All],22,FALSE)</f>
        <v>INFECTIOUS DISEASES INSTITUTE AT MAKERERE UNIVERSI</v>
      </c>
      <c r="H522" s="8">
        <f>VLOOKUP(A522,[1]!Table1[#All],32,FALSE)</f>
        <v>42826</v>
      </c>
      <c r="I522" s="8">
        <f>VLOOKUP(A522,[1]!Table1[#All],33,FALSE)</f>
        <v>44833</v>
      </c>
      <c r="J522" t="str">
        <f t="shared" ca="1" si="8"/>
        <v>UDO</v>
      </c>
    </row>
    <row r="523" spans="1:10" x14ac:dyDescent="0.35">
      <c r="A523" s="9" t="s">
        <v>19</v>
      </c>
      <c r="B523" s="10">
        <v>44621</v>
      </c>
      <c r="C523" s="11">
        <v>24201411</v>
      </c>
      <c r="D523" s="11">
        <v>24183428.829999998</v>
      </c>
      <c r="E523" s="11">
        <v>17982.169999999998</v>
      </c>
      <c r="F523" t="str">
        <f>VLOOKUP(A523,[1]!Table1[#All],17,FALSE)</f>
        <v>UGANDA</v>
      </c>
      <c r="G523" t="str">
        <f>VLOOKUP(A523,[1]!Table1[#All],22,FALSE)</f>
        <v>INFECTIOUS DISEASES INSTITUTE AT MAKERERE UNIVERSI</v>
      </c>
      <c r="H523" s="8">
        <f>VLOOKUP(A523,[1]!Table1[#All],32,FALSE)</f>
        <v>42826</v>
      </c>
      <c r="I523" s="8">
        <f>VLOOKUP(A523,[1]!Table1[#All],33,FALSE)</f>
        <v>44833</v>
      </c>
      <c r="J523" t="str">
        <f t="shared" ca="1" si="8"/>
        <v>UDO</v>
      </c>
    </row>
    <row r="524" spans="1:10" x14ac:dyDescent="0.35">
      <c r="A524" s="5" t="s">
        <v>19</v>
      </c>
      <c r="B524" s="6">
        <v>44652</v>
      </c>
      <c r="C524" s="7">
        <v>24201411</v>
      </c>
      <c r="D524" s="7">
        <v>24190959.940000001</v>
      </c>
      <c r="E524" s="7">
        <v>10451.06</v>
      </c>
      <c r="F524" t="str">
        <f>VLOOKUP(A524,[1]!Table1[#All],17,FALSE)</f>
        <v>UGANDA</v>
      </c>
      <c r="G524" t="str">
        <f>VLOOKUP(A524,[1]!Table1[#All],22,FALSE)</f>
        <v>INFECTIOUS DISEASES INSTITUTE AT MAKERERE UNIVERSI</v>
      </c>
      <c r="H524" s="8">
        <f>VLOOKUP(A524,[1]!Table1[#All],32,FALSE)</f>
        <v>42826</v>
      </c>
      <c r="I524" s="8">
        <f>VLOOKUP(A524,[1]!Table1[#All],33,FALSE)</f>
        <v>44833</v>
      </c>
      <c r="J524" t="str">
        <f t="shared" ca="1" si="8"/>
        <v>UDO</v>
      </c>
    </row>
    <row r="525" spans="1:10" x14ac:dyDescent="0.35">
      <c r="A525" s="9" t="s">
        <v>19</v>
      </c>
      <c r="B525" s="10">
        <v>44682</v>
      </c>
      <c r="C525" s="11">
        <v>24201411</v>
      </c>
      <c r="D525" s="11">
        <v>24198488.68</v>
      </c>
      <c r="E525" s="11">
        <v>2922.32</v>
      </c>
      <c r="F525" t="str">
        <f>VLOOKUP(A525,[1]!Table1[#All],17,FALSE)</f>
        <v>UGANDA</v>
      </c>
      <c r="G525" t="str">
        <f>VLOOKUP(A525,[1]!Table1[#All],22,FALSE)</f>
        <v>INFECTIOUS DISEASES INSTITUTE AT MAKERERE UNIVERSI</v>
      </c>
      <c r="H525" s="8">
        <f>VLOOKUP(A525,[1]!Table1[#All],32,FALSE)</f>
        <v>42826</v>
      </c>
      <c r="I525" s="8">
        <f>VLOOKUP(A525,[1]!Table1[#All],33,FALSE)</f>
        <v>44833</v>
      </c>
      <c r="J525" t="str">
        <f t="shared" ca="1" si="8"/>
        <v>UDO</v>
      </c>
    </row>
    <row r="526" spans="1:10" x14ac:dyDescent="0.35">
      <c r="A526" s="5" t="s">
        <v>19</v>
      </c>
      <c r="B526" s="6">
        <v>44713</v>
      </c>
      <c r="C526" s="7">
        <v>24201411</v>
      </c>
      <c r="D526" s="7">
        <v>24198488.68</v>
      </c>
      <c r="E526" s="7">
        <v>2922.32</v>
      </c>
      <c r="F526" t="str">
        <f>VLOOKUP(A526,[1]!Table1[#All],17,FALSE)</f>
        <v>UGANDA</v>
      </c>
      <c r="G526" t="str">
        <f>VLOOKUP(A526,[1]!Table1[#All],22,FALSE)</f>
        <v>INFECTIOUS DISEASES INSTITUTE AT MAKERERE UNIVERSI</v>
      </c>
      <c r="H526" s="8">
        <f>VLOOKUP(A526,[1]!Table1[#All],32,FALSE)</f>
        <v>42826</v>
      </c>
      <c r="I526" s="8">
        <f>VLOOKUP(A526,[1]!Table1[#All],33,FALSE)</f>
        <v>44833</v>
      </c>
      <c r="J526" t="str">
        <f t="shared" ca="1" si="8"/>
        <v>UDO</v>
      </c>
    </row>
    <row r="527" spans="1:10" x14ac:dyDescent="0.35">
      <c r="A527" s="9" t="s">
        <v>19</v>
      </c>
      <c r="B527" s="10">
        <v>44743</v>
      </c>
      <c r="C527" s="11">
        <v>24201411</v>
      </c>
      <c r="D527" s="11">
        <v>24198488.68</v>
      </c>
      <c r="E527" s="11">
        <v>2922.32</v>
      </c>
      <c r="F527" t="str">
        <f>VLOOKUP(A527,[1]!Table1[#All],17,FALSE)</f>
        <v>UGANDA</v>
      </c>
      <c r="G527" t="str">
        <f>VLOOKUP(A527,[1]!Table1[#All],22,FALSE)</f>
        <v>INFECTIOUS DISEASES INSTITUTE AT MAKERERE UNIVERSI</v>
      </c>
      <c r="H527" s="8">
        <f>VLOOKUP(A527,[1]!Table1[#All],32,FALSE)</f>
        <v>42826</v>
      </c>
      <c r="I527" s="8">
        <f>VLOOKUP(A527,[1]!Table1[#All],33,FALSE)</f>
        <v>44833</v>
      </c>
      <c r="J527" t="str">
        <f t="shared" ca="1" si="8"/>
        <v>UDO</v>
      </c>
    </row>
    <row r="528" spans="1:10" x14ac:dyDescent="0.35">
      <c r="A528" s="5" t="s">
        <v>19</v>
      </c>
      <c r="B528" s="6">
        <v>44774</v>
      </c>
      <c r="C528" s="7">
        <v>24201411</v>
      </c>
      <c r="D528" s="7">
        <v>24198488.68</v>
      </c>
      <c r="E528" s="7">
        <v>2922.32</v>
      </c>
      <c r="F528" t="str">
        <f>VLOOKUP(A528,[1]!Table1[#All],17,FALSE)</f>
        <v>UGANDA</v>
      </c>
      <c r="G528" t="str">
        <f>VLOOKUP(A528,[1]!Table1[#All],22,FALSE)</f>
        <v>INFECTIOUS DISEASES INSTITUTE AT MAKERERE UNIVERSI</v>
      </c>
      <c r="H528" s="8">
        <f>VLOOKUP(A528,[1]!Table1[#All],32,FALSE)</f>
        <v>42826</v>
      </c>
      <c r="I528" s="8">
        <f>VLOOKUP(A528,[1]!Table1[#All],33,FALSE)</f>
        <v>44833</v>
      </c>
      <c r="J528" t="str">
        <f t="shared" ca="1" si="8"/>
        <v>UDO</v>
      </c>
    </row>
    <row r="529" spans="1:10" x14ac:dyDescent="0.35">
      <c r="A529" s="9" t="s">
        <v>19</v>
      </c>
      <c r="B529" s="10">
        <v>44805</v>
      </c>
      <c r="C529" s="11">
        <v>24201411</v>
      </c>
      <c r="D529" s="11">
        <v>24201411</v>
      </c>
      <c r="E529" s="11">
        <v>0</v>
      </c>
      <c r="F529" t="str">
        <f>VLOOKUP(A529,[1]!Table1[#All],17,FALSE)</f>
        <v>UGANDA</v>
      </c>
      <c r="G529" t="str">
        <f>VLOOKUP(A529,[1]!Table1[#All],22,FALSE)</f>
        <v>INFECTIOUS DISEASES INSTITUTE AT MAKERERE UNIVERSI</v>
      </c>
      <c r="H529" s="8">
        <f>VLOOKUP(A529,[1]!Table1[#All],32,FALSE)</f>
        <v>42826</v>
      </c>
      <c r="I529" s="8">
        <f>VLOOKUP(A529,[1]!Table1[#All],33,FALSE)</f>
        <v>44833</v>
      </c>
      <c r="J529" t="str">
        <f t="shared" ca="1" si="8"/>
        <v>Non UDO</v>
      </c>
    </row>
    <row r="530" spans="1:10" x14ac:dyDescent="0.35">
      <c r="A530" s="5" t="s">
        <v>19</v>
      </c>
      <c r="B530" s="6">
        <v>44835</v>
      </c>
      <c r="C530" s="7">
        <v>24201411</v>
      </c>
      <c r="D530" s="7">
        <v>24201411</v>
      </c>
      <c r="E530" s="7">
        <v>0</v>
      </c>
      <c r="F530" t="str">
        <f>VLOOKUP(A530,[1]!Table1[#All],17,FALSE)</f>
        <v>UGANDA</v>
      </c>
      <c r="G530" t="str">
        <f>VLOOKUP(A530,[1]!Table1[#All],22,FALSE)</f>
        <v>INFECTIOUS DISEASES INSTITUTE AT MAKERERE UNIVERSI</v>
      </c>
      <c r="H530" s="8">
        <f>VLOOKUP(A530,[1]!Table1[#All],32,FALSE)</f>
        <v>42826</v>
      </c>
      <c r="I530" s="8">
        <f>VLOOKUP(A530,[1]!Table1[#All],33,FALSE)</f>
        <v>44833</v>
      </c>
      <c r="J530" t="str">
        <f t="shared" ca="1" si="8"/>
        <v>Non UDO</v>
      </c>
    </row>
    <row r="531" spans="1:10" x14ac:dyDescent="0.35">
      <c r="A531" s="9" t="s">
        <v>19</v>
      </c>
      <c r="B531" s="10">
        <v>44866</v>
      </c>
      <c r="C531" s="11">
        <v>24201411</v>
      </c>
      <c r="D531" s="11">
        <v>24201411</v>
      </c>
      <c r="E531" s="11">
        <v>0</v>
      </c>
      <c r="F531" t="str">
        <f>VLOOKUP(A531,[1]!Table1[#All],17,FALSE)</f>
        <v>UGANDA</v>
      </c>
      <c r="G531" t="str">
        <f>VLOOKUP(A531,[1]!Table1[#All],22,FALSE)</f>
        <v>INFECTIOUS DISEASES INSTITUTE AT MAKERERE UNIVERSI</v>
      </c>
      <c r="H531" s="8">
        <f>VLOOKUP(A531,[1]!Table1[#All],32,FALSE)</f>
        <v>42826</v>
      </c>
      <c r="I531" s="8">
        <f>VLOOKUP(A531,[1]!Table1[#All],33,FALSE)</f>
        <v>44833</v>
      </c>
      <c r="J531" t="str">
        <f t="shared" ca="1" si="8"/>
        <v>Non UDO</v>
      </c>
    </row>
    <row r="532" spans="1:10" x14ac:dyDescent="0.35">
      <c r="A532" s="5" t="s">
        <v>19</v>
      </c>
      <c r="B532" s="6">
        <v>44896</v>
      </c>
      <c r="C532" s="7">
        <v>24201411</v>
      </c>
      <c r="D532" s="7">
        <v>24201411</v>
      </c>
      <c r="E532" s="7">
        <v>0</v>
      </c>
      <c r="F532" t="str">
        <f>VLOOKUP(A532,[1]!Table1[#All],17,FALSE)</f>
        <v>UGANDA</v>
      </c>
      <c r="G532" t="str">
        <f>VLOOKUP(A532,[1]!Table1[#All],22,FALSE)</f>
        <v>INFECTIOUS DISEASES INSTITUTE AT MAKERERE UNIVERSI</v>
      </c>
      <c r="H532" s="8">
        <f>VLOOKUP(A532,[1]!Table1[#All],32,FALSE)</f>
        <v>42826</v>
      </c>
      <c r="I532" s="8">
        <f>VLOOKUP(A532,[1]!Table1[#All],33,FALSE)</f>
        <v>44833</v>
      </c>
      <c r="J532" t="str">
        <f t="shared" ca="1" si="8"/>
        <v>Non UDO</v>
      </c>
    </row>
    <row r="533" spans="1:10" x14ac:dyDescent="0.35">
      <c r="A533" s="9" t="s">
        <v>19</v>
      </c>
      <c r="B533" s="10">
        <v>44927</v>
      </c>
      <c r="C533" s="11">
        <v>24201411</v>
      </c>
      <c r="D533" s="11">
        <v>24201411</v>
      </c>
      <c r="E533" s="11">
        <v>0</v>
      </c>
      <c r="F533" t="str">
        <f>VLOOKUP(A533,[1]!Table1[#All],17,FALSE)</f>
        <v>UGANDA</v>
      </c>
      <c r="G533" t="str">
        <f>VLOOKUP(A533,[1]!Table1[#All],22,FALSE)</f>
        <v>INFECTIOUS DISEASES INSTITUTE AT MAKERERE UNIVERSI</v>
      </c>
      <c r="H533" s="8">
        <f>VLOOKUP(A533,[1]!Table1[#All],32,FALSE)</f>
        <v>42826</v>
      </c>
      <c r="I533" s="8">
        <f>VLOOKUP(A533,[1]!Table1[#All],33,FALSE)</f>
        <v>44833</v>
      </c>
      <c r="J533" t="str">
        <f t="shared" ca="1" si="8"/>
        <v>Non UDO</v>
      </c>
    </row>
    <row r="534" spans="1:10" x14ac:dyDescent="0.35">
      <c r="A534" s="5" t="s">
        <v>19</v>
      </c>
      <c r="B534" s="6">
        <v>44958</v>
      </c>
      <c r="C534" s="7">
        <v>24201411</v>
      </c>
      <c r="D534" s="7">
        <v>24201411</v>
      </c>
      <c r="E534" s="7">
        <v>0</v>
      </c>
      <c r="F534" t="str">
        <f>VLOOKUP(A534,[1]!Table1[#All],17,FALSE)</f>
        <v>UGANDA</v>
      </c>
      <c r="G534" t="str">
        <f>VLOOKUP(A534,[1]!Table1[#All],22,FALSE)</f>
        <v>INFECTIOUS DISEASES INSTITUTE AT MAKERERE UNIVERSI</v>
      </c>
      <c r="H534" s="8">
        <f>VLOOKUP(A534,[1]!Table1[#All],32,FALSE)</f>
        <v>42826</v>
      </c>
      <c r="I534" s="8">
        <f>VLOOKUP(A534,[1]!Table1[#All],33,FALSE)</f>
        <v>44833</v>
      </c>
      <c r="J534" t="str">
        <f t="shared" ca="1" si="8"/>
        <v>Non UDO</v>
      </c>
    </row>
    <row r="535" spans="1:10" x14ac:dyDescent="0.35">
      <c r="A535" s="9" t="s">
        <v>19</v>
      </c>
      <c r="B535" s="10">
        <v>44986</v>
      </c>
      <c r="C535" s="11">
        <v>24201411</v>
      </c>
      <c r="D535" s="11">
        <v>24201411</v>
      </c>
      <c r="E535" s="11">
        <v>0</v>
      </c>
      <c r="F535" t="str">
        <f>VLOOKUP(A535,[1]!Table1[#All],17,FALSE)</f>
        <v>UGANDA</v>
      </c>
      <c r="G535" t="str">
        <f>VLOOKUP(A535,[1]!Table1[#All],22,FALSE)</f>
        <v>INFECTIOUS DISEASES INSTITUTE AT MAKERERE UNIVERSI</v>
      </c>
      <c r="H535" s="8">
        <f>VLOOKUP(A535,[1]!Table1[#All],32,FALSE)</f>
        <v>42826</v>
      </c>
      <c r="I535" s="8">
        <f>VLOOKUP(A535,[1]!Table1[#All],33,FALSE)</f>
        <v>44833</v>
      </c>
      <c r="J535" t="str">
        <f t="shared" ca="1" si="8"/>
        <v>Non UDO</v>
      </c>
    </row>
    <row r="536" spans="1:10" x14ac:dyDescent="0.35">
      <c r="A536" s="5" t="s">
        <v>19</v>
      </c>
      <c r="B536" s="6">
        <v>45017</v>
      </c>
      <c r="C536" s="7">
        <v>24201411</v>
      </c>
      <c r="D536" s="7">
        <v>24201411</v>
      </c>
      <c r="E536" s="7">
        <v>0</v>
      </c>
      <c r="F536" t="str">
        <f>VLOOKUP(A536,[1]!Table1[#All],17,FALSE)</f>
        <v>UGANDA</v>
      </c>
      <c r="G536" t="str">
        <f>VLOOKUP(A536,[1]!Table1[#All],22,FALSE)</f>
        <v>INFECTIOUS DISEASES INSTITUTE AT MAKERERE UNIVERSI</v>
      </c>
      <c r="H536" s="8">
        <f>VLOOKUP(A536,[1]!Table1[#All],32,FALSE)</f>
        <v>42826</v>
      </c>
      <c r="I536" s="8">
        <f>VLOOKUP(A536,[1]!Table1[#All],33,FALSE)</f>
        <v>44833</v>
      </c>
      <c r="J536" t="str">
        <f t="shared" ca="1" si="8"/>
        <v>Non UDO</v>
      </c>
    </row>
    <row r="537" spans="1:10" x14ac:dyDescent="0.35">
      <c r="A537" s="9" t="s">
        <v>19</v>
      </c>
      <c r="B537" s="10">
        <v>45047</v>
      </c>
      <c r="C537" s="11">
        <v>24201411</v>
      </c>
      <c r="D537" s="11">
        <v>24201411</v>
      </c>
      <c r="E537" s="11">
        <v>0</v>
      </c>
      <c r="F537" t="str">
        <f>VLOOKUP(A537,[1]!Table1[#All],17,FALSE)</f>
        <v>UGANDA</v>
      </c>
      <c r="G537" t="str">
        <f>VLOOKUP(A537,[1]!Table1[#All],22,FALSE)</f>
        <v>INFECTIOUS DISEASES INSTITUTE AT MAKERERE UNIVERSI</v>
      </c>
      <c r="H537" s="8">
        <f>VLOOKUP(A537,[1]!Table1[#All],32,FALSE)</f>
        <v>42826</v>
      </c>
      <c r="I537" s="8">
        <f>VLOOKUP(A537,[1]!Table1[#All],33,FALSE)</f>
        <v>44833</v>
      </c>
      <c r="J537" t="str">
        <f t="shared" ca="1" si="8"/>
        <v>Non UDO</v>
      </c>
    </row>
    <row r="538" spans="1:10" x14ac:dyDescent="0.35">
      <c r="A538" s="5" t="s">
        <v>19</v>
      </c>
      <c r="B538" s="6">
        <v>45078</v>
      </c>
      <c r="C538" s="7">
        <v>24201411</v>
      </c>
      <c r="D538" s="7">
        <v>24201411</v>
      </c>
      <c r="E538" s="7">
        <v>0</v>
      </c>
      <c r="F538" t="str">
        <f>VLOOKUP(A538,[1]!Table1[#All],17,FALSE)</f>
        <v>UGANDA</v>
      </c>
      <c r="G538" t="str">
        <f>VLOOKUP(A538,[1]!Table1[#All],22,FALSE)</f>
        <v>INFECTIOUS DISEASES INSTITUTE AT MAKERERE UNIVERSI</v>
      </c>
      <c r="H538" s="8">
        <f>VLOOKUP(A538,[1]!Table1[#All],32,FALSE)</f>
        <v>42826</v>
      </c>
      <c r="I538" s="8">
        <f>VLOOKUP(A538,[1]!Table1[#All],33,FALSE)</f>
        <v>44833</v>
      </c>
      <c r="J538" t="str">
        <f t="shared" ca="1" si="8"/>
        <v>Non UDO</v>
      </c>
    </row>
    <row r="539" spans="1:10" x14ac:dyDescent="0.35">
      <c r="A539" s="9" t="s">
        <v>19</v>
      </c>
      <c r="B539" s="10">
        <v>45108</v>
      </c>
      <c r="C539" s="11">
        <v>24201411</v>
      </c>
      <c r="D539" s="11">
        <v>24201411</v>
      </c>
      <c r="E539" s="11">
        <v>0</v>
      </c>
      <c r="F539" t="str">
        <f>VLOOKUP(A539,[1]!Table1[#All],17,FALSE)</f>
        <v>UGANDA</v>
      </c>
      <c r="G539" t="str">
        <f>VLOOKUP(A539,[1]!Table1[#All],22,FALSE)</f>
        <v>INFECTIOUS DISEASES INSTITUTE AT MAKERERE UNIVERSI</v>
      </c>
      <c r="H539" s="8">
        <f>VLOOKUP(A539,[1]!Table1[#All],32,FALSE)</f>
        <v>42826</v>
      </c>
      <c r="I539" s="8">
        <f>VLOOKUP(A539,[1]!Table1[#All],33,FALSE)</f>
        <v>44833</v>
      </c>
      <c r="J539" t="str">
        <f t="shared" ca="1" si="8"/>
        <v>Non UDO</v>
      </c>
    </row>
    <row r="540" spans="1:10" x14ac:dyDescent="0.35">
      <c r="A540" s="5" t="s">
        <v>19</v>
      </c>
      <c r="B540" s="6">
        <v>45139</v>
      </c>
      <c r="C540" s="7">
        <v>24201411</v>
      </c>
      <c r="D540" s="7">
        <v>24201411</v>
      </c>
      <c r="E540" s="7">
        <v>0</v>
      </c>
      <c r="F540" t="str">
        <f>VLOOKUP(A540,[1]!Table1[#All],17,FALSE)</f>
        <v>UGANDA</v>
      </c>
      <c r="G540" t="str">
        <f>VLOOKUP(A540,[1]!Table1[#All],22,FALSE)</f>
        <v>INFECTIOUS DISEASES INSTITUTE AT MAKERERE UNIVERSI</v>
      </c>
      <c r="H540" s="8">
        <f>VLOOKUP(A540,[1]!Table1[#All],32,FALSE)</f>
        <v>42826</v>
      </c>
      <c r="I540" s="8">
        <f>VLOOKUP(A540,[1]!Table1[#All],33,FALSE)</f>
        <v>44833</v>
      </c>
      <c r="J540" t="str">
        <f t="shared" ca="1" si="8"/>
        <v>Non UDO</v>
      </c>
    </row>
    <row r="541" spans="1:10" x14ac:dyDescent="0.35">
      <c r="A541" s="9" t="s">
        <v>19</v>
      </c>
      <c r="B541" s="10">
        <v>45170</v>
      </c>
      <c r="C541" s="11">
        <v>24201411</v>
      </c>
      <c r="D541" s="11">
        <v>24201411</v>
      </c>
      <c r="E541" s="11">
        <v>0</v>
      </c>
      <c r="F541" t="str">
        <f>VLOOKUP(A541,[1]!Table1[#All],17,FALSE)</f>
        <v>UGANDA</v>
      </c>
      <c r="G541" t="str">
        <f>VLOOKUP(A541,[1]!Table1[#All],22,FALSE)</f>
        <v>INFECTIOUS DISEASES INSTITUTE AT MAKERERE UNIVERSI</v>
      </c>
      <c r="H541" s="8">
        <f>VLOOKUP(A541,[1]!Table1[#All],32,FALSE)</f>
        <v>42826</v>
      </c>
      <c r="I541" s="8">
        <f>VLOOKUP(A541,[1]!Table1[#All],33,FALSE)</f>
        <v>44833</v>
      </c>
      <c r="J541" t="str">
        <f t="shared" ca="1" si="8"/>
        <v>Non UDO</v>
      </c>
    </row>
    <row r="542" spans="1:10" x14ac:dyDescent="0.35">
      <c r="A542" s="5" t="s">
        <v>20</v>
      </c>
      <c r="B542" s="6">
        <v>44105</v>
      </c>
      <c r="C542" s="7">
        <v>15572898</v>
      </c>
      <c r="D542" s="7">
        <v>881065</v>
      </c>
      <c r="E542" s="7">
        <v>14691833</v>
      </c>
      <c r="F542" t="str">
        <f>VLOOKUP(A542,[1]!Table1[#All],17,FALSE)</f>
        <v>BOTSWANA</v>
      </c>
      <c r="G542" t="str">
        <f>VLOOKUP(A542,[1]!Table1[#All],22,FALSE)</f>
        <v>Government of Botswana Ministry of Finance</v>
      </c>
      <c r="H542" s="8">
        <f>VLOOKUP(A542,[1]!Table1[#All],32,FALSE)</f>
        <v>42826</v>
      </c>
      <c r="I542" s="8">
        <f>VLOOKUP(A542,[1]!Table1[#All],33,FALSE)</f>
        <v>44833</v>
      </c>
      <c r="J542" t="str">
        <f t="shared" ca="1" si="8"/>
        <v>UDO</v>
      </c>
    </row>
    <row r="543" spans="1:10" x14ac:dyDescent="0.35">
      <c r="A543" s="9" t="s">
        <v>20</v>
      </c>
      <c r="B543" s="10">
        <v>44136</v>
      </c>
      <c r="C543" s="11">
        <v>15572898</v>
      </c>
      <c r="D543" s="11">
        <v>3453117</v>
      </c>
      <c r="E543" s="11">
        <v>12119781</v>
      </c>
      <c r="F543" t="str">
        <f>VLOOKUP(A543,[1]!Table1[#All],17,FALSE)</f>
        <v>BOTSWANA</v>
      </c>
      <c r="G543" t="str">
        <f>VLOOKUP(A543,[1]!Table1[#All],22,FALSE)</f>
        <v>Government of Botswana Ministry of Finance</v>
      </c>
      <c r="H543" s="8">
        <f>VLOOKUP(A543,[1]!Table1[#All],32,FALSE)</f>
        <v>42826</v>
      </c>
      <c r="I543" s="8">
        <f>VLOOKUP(A543,[1]!Table1[#All],33,FALSE)</f>
        <v>44833</v>
      </c>
      <c r="J543" t="str">
        <f t="shared" ca="1" si="8"/>
        <v>UDO</v>
      </c>
    </row>
    <row r="544" spans="1:10" x14ac:dyDescent="0.35">
      <c r="A544" s="5" t="s">
        <v>20</v>
      </c>
      <c r="B544" s="6">
        <v>44166</v>
      </c>
      <c r="C544" s="7">
        <v>15572898</v>
      </c>
      <c r="D544" s="7">
        <v>3453117</v>
      </c>
      <c r="E544" s="7">
        <v>12119781</v>
      </c>
      <c r="F544" t="str">
        <f>VLOOKUP(A544,[1]!Table1[#All],17,FALSE)</f>
        <v>BOTSWANA</v>
      </c>
      <c r="G544" t="str">
        <f>VLOOKUP(A544,[1]!Table1[#All],22,FALSE)</f>
        <v>Government of Botswana Ministry of Finance</v>
      </c>
      <c r="H544" s="8">
        <f>VLOOKUP(A544,[1]!Table1[#All],32,FALSE)</f>
        <v>42826</v>
      </c>
      <c r="I544" s="8">
        <f>VLOOKUP(A544,[1]!Table1[#All],33,FALSE)</f>
        <v>44833</v>
      </c>
      <c r="J544" t="str">
        <f t="shared" ca="1" si="8"/>
        <v>UDO</v>
      </c>
    </row>
    <row r="545" spans="1:10" x14ac:dyDescent="0.35">
      <c r="A545" s="9" t="s">
        <v>20</v>
      </c>
      <c r="B545" s="10">
        <v>44197</v>
      </c>
      <c r="C545" s="11">
        <v>15572898</v>
      </c>
      <c r="D545" s="11">
        <v>3453117</v>
      </c>
      <c r="E545" s="11">
        <v>12119781</v>
      </c>
      <c r="F545" t="str">
        <f>VLOOKUP(A545,[1]!Table1[#All],17,FALSE)</f>
        <v>BOTSWANA</v>
      </c>
      <c r="G545" t="str">
        <f>VLOOKUP(A545,[1]!Table1[#All],22,FALSE)</f>
        <v>Government of Botswana Ministry of Finance</v>
      </c>
      <c r="H545" s="8">
        <f>VLOOKUP(A545,[1]!Table1[#All],32,FALSE)</f>
        <v>42826</v>
      </c>
      <c r="I545" s="8">
        <f>VLOOKUP(A545,[1]!Table1[#All],33,FALSE)</f>
        <v>44833</v>
      </c>
      <c r="J545" t="str">
        <f t="shared" ca="1" si="8"/>
        <v>UDO</v>
      </c>
    </row>
    <row r="546" spans="1:10" x14ac:dyDescent="0.35">
      <c r="A546" s="5" t="s">
        <v>20</v>
      </c>
      <c r="B546" s="6">
        <v>44228</v>
      </c>
      <c r="C546" s="7">
        <v>15572898</v>
      </c>
      <c r="D546" s="7">
        <v>3453117</v>
      </c>
      <c r="E546" s="7">
        <v>12119781</v>
      </c>
      <c r="F546" t="str">
        <f>VLOOKUP(A546,[1]!Table1[#All],17,FALSE)</f>
        <v>BOTSWANA</v>
      </c>
      <c r="G546" t="str">
        <f>VLOOKUP(A546,[1]!Table1[#All],22,FALSE)</f>
        <v>Government of Botswana Ministry of Finance</v>
      </c>
      <c r="H546" s="8">
        <f>VLOOKUP(A546,[1]!Table1[#All],32,FALSE)</f>
        <v>42826</v>
      </c>
      <c r="I546" s="8">
        <f>VLOOKUP(A546,[1]!Table1[#All],33,FALSE)</f>
        <v>44833</v>
      </c>
      <c r="J546" t="str">
        <f t="shared" ca="1" si="8"/>
        <v>UDO</v>
      </c>
    </row>
    <row r="547" spans="1:10" x14ac:dyDescent="0.35">
      <c r="A547" s="9" t="s">
        <v>20</v>
      </c>
      <c r="B547" s="10">
        <v>44256</v>
      </c>
      <c r="C547" s="11">
        <v>15572898</v>
      </c>
      <c r="D547" s="11">
        <v>4662448</v>
      </c>
      <c r="E547" s="11">
        <v>10910450</v>
      </c>
      <c r="F547" t="str">
        <f>VLOOKUP(A547,[1]!Table1[#All],17,FALSE)</f>
        <v>BOTSWANA</v>
      </c>
      <c r="G547" t="str">
        <f>VLOOKUP(A547,[1]!Table1[#All],22,FALSE)</f>
        <v>Government of Botswana Ministry of Finance</v>
      </c>
      <c r="H547" s="8">
        <f>VLOOKUP(A547,[1]!Table1[#All],32,FALSE)</f>
        <v>42826</v>
      </c>
      <c r="I547" s="8">
        <f>VLOOKUP(A547,[1]!Table1[#All],33,FALSE)</f>
        <v>44833</v>
      </c>
      <c r="J547" t="str">
        <f t="shared" ca="1" si="8"/>
        <v>UDO</v>
      </c>
    </row>
    <row r="548" spans="1:10" x14ac:dyDescent="0.35">
      <c r="A548" s="5" t="s">
        <v>20</v>
      </c>
      <c r="B548" s="6">
        <v>44287</v>
      </c>
      <c r="C548" s="7">
        <v>15572898</v>
      </c>
      <c r="D548" s="7">
        <v>4662448</v>
      </c>
      <c r="E548" s="7">
        <v>10910450</v>
      </c>
      <c r="F548" t="str">
        <f>VLOOKUP(A548,[1]!Table1[#All],17,FALSE)</f>
        <v>BOTSWANA</v>
      </c>
      <c r="G548" t="str">
        <f>VLOOKUP(A548,[1]!Table1[#All],22,FALSE)</f>
        <v>Government of Botswana Ministry of Finance</v>
      </c>
      <c r="H548" s="8">
        <f>VLOOKUP(A548,[1]!Table1[#All],32,FALSE)</f>
        <v>42826</v>
      </c>
      <c r="I548" s="8">
        <f>VLOOKUP(A548,[1]!Table1[#All],33,FALSE)</f>
        <v>44833</v>
      </c>
      <c r="J548" t="str">
        <f t="shared" ca="1" si="8"/>
        <v>UDO</v>
      </c>
    </row>
    <row r="549" spans="1:10" x14ac:dyDescent="0.35">
      <c r="A549" s="9" t="s">
        <v>20</v>
      </c>
      <c r="B549" s="10">
        <v>44317</v>
      </c>
      <c r="C549" s="11">
        <v>15572898</v>
      </c>
      <c r="D549" s="11">
        <v>6300720</v>
      </c>
      <c r="E549" s="11">
        <v>9272178</v>
      </c>
      <c r="F549" t="str">
        <f>VLOOKUP(A549,[1]!Table1[#All],17,FALSE)</f>
        <v>BOTSWANA</v>
      </c>
      <c r="G549" t="str">
        <f>VLOOKUP(A549,[1]!Table1[#All],22,FALSE)</f>
        <v>Government of Botswana Ministry of Finance</v>
      </c>
      <c r="H549" s="8">
        <f>VLOOKUP(A549,[1]!Table1[#All],32,FALSE)</f>
        <v>42826</v>
      </c>
      <c r="I549" s="8">
        <f>VLOOKUP(A549,[1]!Table1[#All],33,FALSE)</f>
        <v>44833</v>
      </c>
      <c r="J549" t="str">
        <f t="shared" ca="1" si="8"/>
        <v>UDO</v>
      </c>
    </row>
    <row r="550" spans="1:10" x14ac:dyDescent="0.35">
      <c r="A550" s="5" t="s">
        <v>20</v>
      </c>
      <c r="B550" s="6">
        <v>44348</v>
      </c>
      <c r="C550" s="7">
        <v>15572898</v>
      </c>
      <c r="D550" s="7">
        <v>6300720</v>
      </c>
      <c r="E550" s="7">
        <v>9272178</v>
      </c>
      <c r="F550" t="str">
        <f>VLOOKUP(A550,[1]!Table1[#All],17,FALSE)</f>
        <v>BOTSWANA</v>
      </c>
      <c r="G550" t="str">
        <f>VLOOKUP(A550,[1]!Table1[#All],22,FALSE)</f>
        <v>Government of Botswana Ministry of Finance</v>
      </c>
      <c r="H550" s="8">
        <f>VLOOKUP(A550,[1]!Table1[#All],32,FALSE)</f>
        <v>42826</v>
      </c>
      <c r="I550" s="8">
        <f>VLOOKUP(A550,[1]!Table1[#All],33,FALSE)</f>
        <v>44833</v>
      </c>
      <c r="J550" t="str">
        <f t="shared" ca="1" si="8"/>
        <v>UDO</v>
      </c>
    </row>
    <row r="551" spans="1:10" x14ac:dyDescent="0.35">
      <c r="A551" s="9" t="s">
        <v>20</v>
      </c>
      <c r="B551" s="10">
        <v>44378</v>
      </c>
      <c r="C551" s="11">
        <v>15572898</v>
      </c>
      <c r="D551" s="11">
        <v>7506440</v>
      </c>
      <c r="E551" s="11">
        <v>8066458</v>
      </c>
      <c r="F551" t="str">
        <f>VLOOKUP(A551,[1]!Table1[#All],17,FALSE)</f>
        <v>BOTSWANA</v>
      </c>
      <c r="G551" t="str">
        <f>VLOOKUP(A551,[1]!Table1[#All],22,FALSE)</f>
        <v>Government of Botswana Ministry of Finance</v>
      </c>
      <c r="H551" s="8">
        <f>VLOOKUP(A551,[1]!Table1[#All],32,FALSE)</f>
        <v>42826</v>
      </c>
      <c r="I551" s="8">
        <f>VLOOKUP(A551,[1]!Table1[#All],33,FALSE)</f>
        <v>44833</v>
      </c>
      <c r="J551" t="str">
        <f t="shared" ca="1" si="8"/>
        <v>UDO</v>
      </c>
    </row>
    <row r="552" spans="1:10" x14ac:dyDescent="0.35">
      <c r="A552" s="5" t="s">
        <v>20</v>
      </c>
      <c r="B552" s="6">
        <v>44409</v>
      </c>
      <c r="C552" s="7">
        <v>15572898</v>
      </c>
      <c r="D552" s="7">
        <v>7506440</v>
      </c>
      <c r="E552" s="7">
        <v>8066458</v>
      </c>
      <c r="F552" t="str">
        <f>VLOOKUP(A552,[1]!Table1[#All],17,FALSE)</f>
        <v>BOTSWANA</v>
      </c>
      <c r="G552" t="str">
        <f>VLOOKUP(A552,[1]!Table1[#All],22,FALSE)</f>
        <v>Government of Botswana Ministry of Finance</v>
      </c>
      <c r="H552" s="8">
        <f>VLOOKUP(A552,[1]!Table1[#All],32,FALSE)</f>
        <v>42826</v>
      </c>
      <c r="I552" s="8">
        <f>VLOOKUP(A552,[1]!Table1[#All],33,FALSE)</f>
        <v>44833</v>
      </c>
      <c r="J552" t="str">
        <f t="shared" ca="1" si="8"/>
        <v>UDO</v>
      </c>
    </row>
    <row r="553" spans="1:10" x14ac:dyDescent="0.35">
      <c r="A553" s="9" t="s">
        <v>20</v>
      </c>
      <c r="B553" s="10">
        <v>44440</v>
      </c>
      <c r="C553" s="11">
        <v>15572898</v>
      </c>
      <c r="D553" s="11">
        <v>10033404</v>
      </c>
      <c r="E553" s="11">
        <v>5539494</v>
      </c>
      <c r="F553" t="str">
        <f>VLOOKUP(A553,[1]!Table1[#All],17,FALSE)</f>
        <v>BOTSWANA</v>
      </c>
      <c r="G553" t="str">
        <f>VLOOKUP(A553,[1]!Table1[#All],22,FALSE)</f>
        <v>Government of Botswana Ministry of Finance</v>
      </c>
      <c r="H553" s="8">
        <f>VLOOKUP(A553,[1]!Table1[#All],32,FALSE)</f>
        <v>42826</v>
      </c>
      <c r="I553" s="8">
        <f>VLOOKUP(A553,[1]!Table1[#All],33,FALSE)</f>
        <v>44833</v>
      </c>
      <c r="J553" t="str">
        <f t="shared" ca="1" si="8"/>
        <v>UDO</v>
      </c>
    </row>
    <row r="554" spans="1:10" x14ac:dyDescent="0.35">
      <c r="A554" s="5" t="s">
        <v>20</v>
      </c>
      <c r="B554" s="6">
        <v>44470</v>
      </c>
      <c r="C554" s="7">
        <v>15572898</v>
      </c>
      <c r="D554" s="7">
        <v>10033404</v>
      </c>
      <c r="E554" s="7">
        <v>5539494</v>
      </c>
      <c r="F554" t="str">
        <f>VLOOKUP(A554,[1]!Table1[#All],17,FALSE)</f>
        <v>BOTSWANA</v>
      </c>
      <c r="G554" t="str">
        <f>VLOOKUP(A554,[1]!Table1[#All],22,FALSE)</f>
        <v>Government of Botswana Ministry of Finance</v>
      </c>
      <c r="H554" s="8">
        <f>VLOOKUP(A554,[1]!Table1[#All],32,FALSE)</f>
        <v>42826</v>
      </c>
      <c r="I554" s="8">
        <f>VLOOKUP(A554,[1]!Table1[#All],33,FALSE)</f>
        <v>44833</v>
      </c>
      <c r="J554" t="str">
        <f t="shared" ca="1" si="8"/>
        <v>UDO</v>
      </c>
    </row>
    <row r="555" spans="1:10" x14ac:dyDescent="0.35">
      <c r="A555" s="9" t="s">
        <v>20</v>
      </c>
      <c r="B555" s="10">
        <v>44501</v>
      </c>
      <c r="C555" s="11">
        <v>15572898</v>
      </c>
      <c r="D555" s="11">
        <v>10033404</v>
      </c>
      <c r="E555" s="11">
        <v>5539494</v>
      </c>
      <c r="F555" t="str">
        <f>VLOOKUP(A555,[1]!Table1[#All],17,FALSE)</f>
        <v>BOTSWANA</v>
      </c>
      <c r="G555" t="str">
        <f>VLOOKUP(A555,[1]!Table1[#All],22,FALSE)</f>
        <v>Government of Botswana Ministry of Finance</v>
      </c>
      <c r="H555" s="8">
        <f>VLOOKUP(A555,[1]!Table1[#All],32,FALSE)</f>
        <v>42826</v>
      </c>
      <c r="I555" s="8">
        <f>VLOOKUP(A555,[1]!Table1[#All],33,FALSE)</f>
        <v>44833</v>
      </c>
      <c r="J555" t="str">
        <f t="shared" ca="1" si="8"/>
        <v>UDO</v>
      </c>
    </row>
    <row r="556" spans="1:10" x14ac:dyDescent="0.35">
      <c r="A556" s="5" t="s">
        <v>20</v>
      </c>
      <c r="B556" s="6">
        <v>44531</v>
      </c>
      <c r="C556" s="7">
        <v>15572898</v>
      </c>
      <c r="D556" s="7">
        <v>10033404</v>
      </c>
      <c r="E556" s="7">
        <v>5539494</v>
      </c>
      <c r="F556" t="str">
        <f>VLOOKUP(A556,[1]!Table1[#All],17,FALSE)</f>
        <v>BOTSWANA</v>
      </c>
      <c r="G556" t="str">
        <f>VLOOKUP(A556,[1]!Table1[#All],22,FALSE)</f>
        <v>Government of Botswana Ministry of Finance</v>
      </c>
      <c r="H556" s="8">
        <f>VLOOKUP(A556,[1]!Table1[#All],32,FALSE)</f>
        <v>42826</v>
      </c>
      <c r="I556" s="8">
        <f>VLOOKUP(A556,[1]!Table1[#All],33,FALSE)</f>
        <v>44833</v>
      </c>
      <c r="J556" t="str">
        <f t="shared" ca="1" si="8"/>
        <v>UDO</v>
      </c>
    </row>
    <row r="557" spans="1:10" x14ac:dyDescent="0.35">
      <c r="A557" s="9" t="s">
        <v>20</v>
      </c>
      <c r="B557" s="10">
        <v>44562</v>
      </c>
      <c r="C557" s="11">
        <v>15572898</v>
      </c>
      <c r="D557" s="11">
        <v>10485324</v>
      </c>
      <c r="E557" s="11">
        <v>5087574</v>
      </c>
      <c r="F557" t="str">
        <f>VLOOKUP(A557,[1]!Table1[#All],17,FALSE)</f>
        <v>BOTSWANA</v>
      </c>
      <c r="G557" t="str">
        <f>VLOOKUP(A557,[1]!Table1[#All],22,FALSE)</f>
        <v>Government of Botswana Ministry of Finance</v>
      </c>
      <c r="H557" s="8">
        <f>VLOOKUP(A557,[1]!Table1[#All],32,FALSE)</f>
        <v>42826</v>
      </c>
      <c r="I557" s="8">
        <f>VLOOKUP(A557,[1]!Table1[#All],33,FALSE)</f>
        <v>44833</v>
      </c>
      <c r="J557" t="str">
        <f t="shared" ca="1" si="8"/>
        <v>UDO</v>
      </c>
    </row>
    <row r="558" spans="1:10" x14ac:dyDescent="0.35">
      <c r="A558" s="5" t="s">
        <v>20</v>
      </c>
      <c r="B558" s="6">
        <v>44593</v>
      </c>
      <c r="C558" s="7">
        <v>15572898</v>
      </c>
      <c r="D558" s="7">
        <v>10485324</v>
      </c>
      <c r="E558" s="7">
        <v>5087574</v>
      </c>
      <c r="F558" t="str">
        <f>VLOOKUP(A558,[1]!Table1[#All],17,FALSE)</f>
        <v>BOTSWANA</v>
      </c>
      <c r="G558" t="str">
        <f>VLOOKUP(A558,[1]!Table1[#All],22,FALSE)</f>
        <v>Government of Botswana Ministry of Finance</v>
      </c>
      <c r="H558" s="8">
        <f>VLOOKUP(A558,[1]!Table1[#All],32,FALSE)</f>
        <v>42826</v>
      </c>
      <c r="I558" s="8">
        <f>VLOOKUP(A558,[1]!Table1[#All],33,FALSE)</f>
        <v>44833</v>
      </c>
      <c r="J558" t="str">
        <f t="shared" ca="1" si="8"/>
        <v>UDO</v>
      </c>
    </row>
    <row r="559" spans="1:10" x14ac:dyDescent="0.35">
      <c r="A559" s="9" t="s">
        <v>20</v>
      </c>
      <c r="B559" s="10">
        <v>44621</v>
      </c>
      <c r="C559" s="11">
        <v>15572898</v>
      </c>
      <c r="D559" s="11">
        <v>10485324</v>
      </c>
      <c r="E559" s="11">
        <v>5087574</v>
      </c>
      <c r="F559" t="str">
        <f>VLOOKUP(A559,[1]!Table1[#All],17,FALSE)</f>
        <v>BOTSWANA</v>
      </c>
      <c r="G559" t="str">
        <f>VLOOKUP(A559,[1]!Table1[#All],22,FALSE)</f>
        <v>Government of Botswana Ministry of Finance</v>
      </c>
      <c r="H559" s="8">
        <f>VLOOKUP(A559,[1]!Table1[#All],32,FALSE)</f>
        <v>42826</v>
      </c>
      <c r="I559" s="8">
        <f>VLOOKUP(A559,[1]!Table1[#All],33,FALSE)</f>
        <v>44833</v>
      </c>
      <c r="J559" t="str">
        <f t="shared" ca="1" si="8"/>
        <v>UDO</v>
      </c>
    </row>
    <row r="560" spans="1:10" x14ac:dyDescent="0.35">
      <c r="A560" s="5" t="s">
        <v>20</v>
      </c>
      <c r="B560" s="6">
        <v>44652</v>
      </c>
      <c r="C560" s="7">
        <v>15572898</v>
      </c>
      <c r="D560" s="7">
        <v>11039825.5</v>
      </c>
      <c r="E560" s="7">
        <v>4533072.5</v>
      </c>
      <c r="F560" t="str">
        <f>VLOOKUP(A560,[1]!Table1[#All],17,FALSE)</f>
        <v>BOTSWANA</v>
      </c>
      <c r="G560" t="str">
        <f>VLOOKUP(A560,[1]!Table1[#All],22,FALSE)</f>
        <v>Government of Botswana Ministry of Finance</v>
      </c>
      <c r="H560" s="8">
        <f>VLOOKUP(A560,[1]!Table1[#All],32,FALSE)</f>
        <v>42826</v>
      </c>
      <c r="I560" s="8">
        <f>VLOOKUP(A560,[1]!Table1[#All],33,FALSE)</f>
        <v>44833</v>
      </c>
      <c r="J560" t="str">
        <f t="shared" ca="1" si="8"/>
        <v>UDO</v>
      </c>
    </row>
    <row r="561" spans="1:10" x14ac:dyDescent="0.35">
      <c r="A561" s="9" t="s">
        <v>20</v>
      </c>
      <c r="B561" s="10">
        <v>44682</v>
      </c>
      <c r="C561" s="11">
        <v>15572898</v>
      </c>
      <c r="D561" s="11">
        <v>11962030.970000001</v>
      </c>
      <c r="E561" s="11">
        <v>3610867.0300000003</v>
      </c>
      <c r="F561" t="str">
        <f>VLOOKUP(A561,[1]!Table1[#All],17,FALSE)</f>
        <v>BOTSWANA</v>
      </c>
      <c r="G561" t="str">
        <f>VLOOKUP(A561,[1]!Table1[#All],22,FALSE)</f>
        <v>Government of Botswana Ministry of Finance</v>
      </c>
      <c r="H561" s="8">
        <f>VLOOKUP(A561,[1]!Table1[#All],32,FALSE)</f>
        <v>42826</v>
      </c>
      <c r="I561" s="8">
        <f>VLOOKUP(A561,[1]!Table1[#All],33,FALSE)</f>
        <v>44833</v>
      </c>
      <c r="J561" t="str">
        <f t="shared" ca="1" si="8"/>
        <v>UDO</v>
      </c>
    </row>
    <row r="562" spans="1:10" x14ac:dyDescent="0.35">
      <c r="A562" s="5" t="s">
        <v>20</v>
      </c>
      <c r="B562" s="6">
        <v>44713</v>
      </c>
      <c r="C562" s="7">
        <v>15572898</v>
      </c>
      <c r="D562" s="7">
        <v>12091054.359999999</v>
      </c>
      <c r="E562" s="7">
        <v>3481843.64</v>
      </c>
      <c r="F562" t="str">
        <f>VLOOKUP(A562,[1]!Table1[#All],17,FALSE)</f>
        <v>BOTSWANA</v>
      </c>
      <c r="G562" t="str">
        <f>VLOOKUP(A562,[1]!Table1[#All],22,FALSE)</f>
        <v>Government of Botswana Ministry of Finance</v>
      </c>
      <c r="H562" s="8">
        <f>VLOOKUP(A562,[1]!Table1[#All],32,FALSE)</f>
        <v>42826</v>
      </c>
      <c r="I562" s="8">
        <f>VLOOKUP(A562,[1]!Table1[#All],33,FALSE)</f>
        <v>44833</v>
      </c>
      <c r="J562" t="str">
        <f t="shared" ca="1" si="8"/>
        <v>UDO</v>
      </c>
    </row>
    <row r="563" spans="1:10" x14ac:dyDescent="0.35">
      <c r="A563" s="9" t="s">
        <v>20</v>
      </c>
      <c r="B563" s="10">
        <v>44743</v>
      </c>
      <c r="C563" s="11">
        <v>15572898</v>
      </c>
      <c r="D563" s="11">
        <v>12091054.359999999</v>
      </c>
      <c r="E563" s="11">
        <v>3481843.64</v>
      </c>
      <c r="F563" t="str">
        <f>VLOOKUP(A563,[1]!Table1[#All],17,FALSE)</f>
        <v>BOTSWANA</v>
      </c>
      <c r="G563" t="str">
        <f>VLOOKUP(A563,[1]!Table1[#All],22,FALSE)</f>
        <v>Government of Botswana Ministry of Finance</v>
      </c>
      <c r="H563" s="8">
        <f>VLOOKUP(A563,[1]!Table1[#All],32,FALSE)</f>
        <v>42826</v>
      </c>
      <c r="I563" s="8">
        <f>VLOOKUP(A563,[1]!Table1[#All],33,FALSE)</f>
        <v>44833</v>
      </c>
      <c r="J563" t="str">
        <f t="shared" ca="1" si="8"/>
        <v>UDO</v>
      </c>
    </row>
    <row r="564" spans="1:10" x14ac:dyDescent="0.35">
      <c r="A564" s="5" t="s">
        <v>20</v>
      </c>
      <c r="B564" s="6">
        <v>44774</v>
      </c>
      <c r="C564" s="7">
        <v>15572898</v>
      </c>
      <c r="D564" s="7">
        <v>12618190.359999999</v>
      </c>
      <c r="E564" s="7">
        <v>2954707.6399999997</v>
      </c>
      <c r="F564" t="str">
        <f>VLOOKUP(A564,[1]!Table1[#All],17,FALSE)</f>
        <v>BOTSWANA</v>
      </c>
      <c r="G564" t="str">
        <f>VLOOKUP(A564,[1]!Table1[#All],22,FALSE)</f>
        <v>Government of Botswana Ministry of Finance</v>
      </c>
      <c r="H564" s="8">
        <f>VLOOKUP(A564,[1]!Table1[#All],32,FALSE)</f>
        <v>42826</v>
      </c>
      <c r="I564" s="8">
        <f>VLOOKUP(A564,[1]!Table1[#All],33,FALSE)</f>
        <v>44833</v>
      </c>
      <c r="J564" t="str">
        <f t="shared" ca="1" si="8"/>
        <v>UDO</v>
      </c>
    </row>
    <row r="565" spans="1:10" x14ac:dyDescent="0.35">
      <c r="A565" s="9" t="s">
        <v>20</v>
      </c>
      <c r="B565" s="10">
        <v>44805</v>
      </c>
      <c r="C565" s="11">
        <v>15572898</v>
      </c>
      <c r="D565" s="11">
        <v>14525392.359999999</v>
      </c>
      <c r="E565" s="11">
        <v>1047505.64</v>
      </c>
      <c r="F565" t="str">
        <f>VLOOKUP(A565,[1]!Table1[#All],17,FALSE)</f>
        <v>BOTSWANA</v>
      </c>
      <c r="G565" t="str">
        <f>VLOOKUP(A565,[1]!Table1[#All],22,FALSE)</f>
        <v>Government of Botswana Ministry of Finance</v>
      </c>
      <c r="H565" s="8">
        <f>VLOOKUP(A565,[1]!Table1[#All],32,FALSE)</f>
        <v>42826</v>
      </c>
      <c r="I565" s="8">
        <f>VLOOKUP(A565,[1]!Table1[#All],33,FALSE)</f>
        <v>44833</v>
      </c>
      <c r="J565" t="str">
        <f t="shared" ca="1" si="8"/>
        <v>UDO</v>
      </c>
    </row>
    <row r="566" spans="1:10" x14ac:dyDescent="0.35">
      <c r="A566" s="5" t="s">
        <v>20</v>
      </c>
      <c r="B566" s="6">
        <v>44835</v>
      </c>
      <c r="C566" s="7">
        <v>15572898</v>
      </c>
      <c r="D566" s="7">
        <v>14525392.359999999</v>
      </c>
      <c r="E566" s="7">
        <v>1047505.64</v>
      </c>
      <c r="F566" t="str">
        <f>VLOOKUP(A566,[1]!Table1[#All],17,FALSE)</f>
        <v>BOTSWANA</v>
      </c>
      <c r="G566" t="str">
        <f>VLOOKUP(A566,[1]!Table1[#All],22,FALSE)</f>
        <v>Government of Botswana Ministry of Finance</v>
      </c>
      <c r="H566" s="8">
        <f>VLOOKUP(A566,[1]!Table1[#All],32,FALSE)</f>
        <v>42826</v>
      </c>
      <c r="I566" s="8">
        <f>VLOOKUP(A566,[1]!Table1[#All],33,FALSE)</f>
        <v>44833</v>
      </c>
      <c r="J566" t="str">
        <f t="shared" ca="1" si="8"/>
        <v>UDO</v>
      </c>
    </row>
    <row r="567" spans="1:10" x14ac:dyDescent="0.35">
      <c r="A567" s="9" t="s">
        <v>20</v>
      </c>
      <c r="B567" s="10">
        <v>44866</v>
      </c>
      <c r="C567" s="11">
        <v>15572898</v>
      </c>
      <c r="D567" s="11">
        <v>14525392.359999999</v>
      </c>
      <c r="E567" s="11">
        <v>1047505.64</v>
      </c>
      <c r="F567" t="str">
        <f>VLOOKUP(A567,[1]!Table1[#All],17,FALSE)</f>
        <v>BOTSWANA</v>
      </c>
      <c r="G567" t="str">
        <f>VLOOKUP(A567,[1]!Table1[#All],22,FALSE)</f>
        <v>Government of Botswana Ministry of Finance</v>
      </c>
      <c r="H567" s="8">
        <f>VLOOKUP(A567,[1]!Table1[#All],32,FALSE)</f>
        <v>42826</v>
      </c>
      <c r="I567" s="8">
        <f>VLOOKUP(A567,[1]!Table1[#All],33,FALSE)</f>
        <v>44833</v>
      </c>
      <c r="J567" t="str">
        <f t="shared" ca="1" si="8"/>
        <v>UDO</v>
      </c>
    </row>
    <row r="568" spans="1:10" x14ac:dyDescent="0.35">
      <c r="A568" s="5" t="s">
        <v>20</v>
      </c>
      <c r="B568" s="6">
        <v>44896</v>
      </c>
      <c r="C568" s="7">
        <v>15572898</v>
      </c>
      <c r="D568" s="7">
        <v>14525392.359999999</v>
      </c>
      <c r="E568" s="7">
        <v>1047505.64</v>
      </c>
      <c r="F568" t="str">
        <f>VLOOKUP(A568,[1]!Table1[#All],17,FALSE)</f>
        <v>BOTSWANA</v>
      </c>
      <c r="G568" t="str">
        <f>VLOOKUP(A568,[1]!Table1[#All],22,FALSE)</f>
        <v>Government of Botswana Ministry of Finance</v>
      </c>
      <c r="H568" s="8">
        <f>VLOOKUP(A568,[1]!Table1[#All],32,FALSE)</f>
        <v>42826</v>
      </c>
      <c r="I568" s="8">
        <f>VLOOKUP(A568,[1]!Table1[#All],33,FALSE)</f>
        <v>44833</v>
      </c>
      <c r="J568" t="str">
        <f t="shared" ca="1" si="8"/>
        <v>UDO</v>
      </c>
    </row>
    <row r="569" spans="1:10" x14ac:dyDescent="0.35">
      <c r="A569" s="9" t="s">
        <v>20</v>
      </c>
      <c r="B569" s="10">
        <v>44927</v>
      </c>
      <c r="C569" s="11">
        <v>15572898</v>
      </c>
      <c r="D569" s="11">
        <v>14525392.359999999</v>
      </c>
      <c r="E569" s="11">
        <v>1047505.64</v>
      </c>
      <c r="F569" t="str">
        <f>VLOOKUP(A569,[1]!Table1[#All],17,FALSE)</f>
        <v>BOTSWANA</v>
      </c>
      <c r="G569" t="str">
        <f>VLOOKUP(A569,[1]!Table1[#All],22,FALSE)</f>
        <v>Government of Botswana Ministry of Finance</v>
      </c>
      <c r="H569" s="8">
        <f>VLOOKUP(A569,[1]!Table1[#All],32,FALSE)</f>
        <v>42826</v>
      </c>
      <c r="I569" s="8">
        <f>VLOOKUP(A569,[1]!Table1[#All],33,FALSE)</f>
        <v>44833</v>
      </c>
      <c r="J569" t="str">
        <f t="shared" ca="1" si="8"/>
        <v>UDO</v>
      </c>
    </row>
    <row r="570" spans="1:10" x14ac:dyDescent="0.35">
      <c r="A570" s="5" t="s">
        <v>20</v>
      </c>
      <c r="B570" s="6">
        <v>44958</v>
      </c>
      <c r="C570" s="7">
        <v>15572898</v>
      </c>
      <c r="D570" s="7">
        <v>15021865.359999999</v>
      </c>
      <c r="E570" s="7">
        <v>551032.64</v>
      </c>
      <c r="F570" t="str">
        <f>VLOOKUP(A570,[1]!Table1[#All],17,FALSE)</f>
        <v>BOTSWANA</v>
      </c>
      <c r="G570" t="str">
        <f>VLOOKUP(A570,[1]!Table1[#All],22,FALSE)</f>
        <v>Government of Botswana Ministry of Finance</v>
      </c>
      <c r="H570" s="8">
        <f>VLOOKUP(A570,[1]!Table1[#All],32,FALSE)</f>
        <v>42826</v>
      </c>
      <c r="I570" s="8">
        <f>VLOOKUP(A570,[1]!Table1[#All],33,FALSE)</f>
        <v>44833</v>
      </c>
      <c r="J570" t="str">
        <f t="shared" ca="1" si="8"/>
        <v>UDO</v>
      </c>
    </row>
    <row r="571" spans="1:10" x14ac:dyDescent="0.35">
      <c r="A571" s="9" t="s">
        <v>20</v>
      </c>
      <c r="B571" s="10">
        <v>44986</v>
      </c>
      <c r="C571" s="11">
        <v>15572898</v>
      </c>
      <c r="D571" s="11">
        <v>15321170</v>
      </c>
      <c r="E571" s="11">
        <v>251728</v>
      </c>
      <c r="F571" t="str">
        <f>VLOOKUP(A571,[1]!Table1[#All],17,FALSE)</f>
        <v>BOTSWANA</v>
      </c>
      <c r="G571" t="str">
        <f>VLOOKUP(A571,[1]!Table1[#All],22,FALSE)</f>
        <v>Government of Botswana Ministry of Finance</v>
      </c>
      <c r="H571" s="8">
        <f>VLOOKUP(A571,[1]!Table1[#All],32,FALSE)</f>
        <v>42826</v>
      </c>
      <c r="I571" s="8">
        <f>VLOOKUP(A571,[1]!Table1[#All],33,FALSE)</f>
        <v>44833</v>
      </c>
      <c r="J571" t="str">
        <f t="shared" ca="1" si="8"/>
        <v>UDO</v>
      </c>
    </row>
    <row r="572" spans="1:10" x14ac:dyDescent="0.35">
      <c r="A572" s="5" t="s">
        <v>20</v>
      </c>
      <c r="B572" s="6">
        <v>45017</v>
      </c>
      <c r="C572" s="7">
        <v>15572898</v>
      </c>
      <c r="D572" s="7">
        <v>15321170</v>
      </c>
      <c r="E572" s="7">
        <v>251728</v>
      </c>
      <c r="F572" t="str">
        <f>VLOOKUP(A572,[1]!Table1[#All],17,FALSE)</f>
        <v>BOTSWANA</v>
      </c>
      <c r="G572" t="str">
        <f>VLOOKUP(A572,[1]!Table1[#All],22,FALSE)</f>
        <v>Government of Botswana Ministry of Finance</v>
      </c>
      <c r="H572" s="8">
        <f>VLOOKUP(A572,[1]!Table1[#All],32,FALSE)</f>
        <v>42826</v>
      </c>
      <c r="I572" s="8">
        <f>VLOOKUP(A572,[1]!Table1[#All],33,FALSE)</f>
        <v>44833</v>
      </c>
      <c r="J572" t="str">
        <f t="shared" ca="1" si="8"/>
        <v>UDO</v>
      </c>
    </row>
    <row r="573" spans="1:10" x14ac:dyDescent="0.35">
      <c r="A573" s="9" t="s">
        <v>20</v>
      </c>
      <c r="B573" s="10">
        <v>45047</v>
      </c>
      <c r="C573" s="11">
        <v>15572898</v>
      </c>
      <c r="D573" s="11">
        <v>15321170</v>
      </c>
      <c r="E573" s="11">
        <v>251728</v>
      </c>
      <c r="F573" t="str">
        <f>VLOOKUP(A573,[1]!Table1[#All],17,FALSE)</f>
        <v>BOTSWANA</v>
      </c>
      <c r="G573" t="str">
        <f>VLOOKUP(A573,[1]!Table1[#All],22,FALSE)</f>
        <v>Government of Botswana Ministry of Finance</v>
      </c>
      <c r="H573" s="8">
        <f>VLOOKUP(A573,[1]!Table1[#All],32,FALSE)</f>
        <v>42826</v>
      </c>
      <c r="I573" s="8">
        <f>VLOOKUP(A573,[1]!Table1[#All],33,FALSE)</f>
        <v>44833</v>
      </c>
      <c r="J573" t="str">
        <f t="shared" ca="1" si="8"/>
        <v>UDO</v>
      </c>
    </row>
    <row r="574" spans="1:10" x14ac:dyDescent="0.35">
      <c r="A574" s="5" t="s">
        <v>20</v>
      </c>
      <c r="B574" s="6">
        <v>45078</v>
      </c>
      <c r="C574" s="7">
        <v>15572898</v>
      </c>
      <c r="D574" s="7">
        <v>15321170</v>
      </c>
      <c r="E574" s="7">
        <v>251728</v>
      </c>
      <c r="F574" t="str">
        <f>VLOOKUP(A574,[1]!Table1[#All],17,FALSE)</f>
        <v>BOTSWANA</v>
      </c>
      <c r="G574" t="str">
        <f>VLOOKUP(A574,[1]!Table1[#All],22,FALSE)</f>
        <v>Government of Botswana Ministry of Finance</v>
      </c>
      <c r="H574" s="8">
        <f>VLOOKUP(A574,[1]!Table1[#All],32,FALSE)</f>
        <v>42826</v>
      </c>
      <c r="I574" s="8">
        <f>VLOOKUP(A574,[1]!Table1[#All],33,FALSE)</f>
        <v>44833</v>
      </c>
      <c r="J574" t="str">
        <f t="shared" ca="1" si="8"/>
        <v>UDO</v>
      </c>
    </row>
    <row r="575" spans="1:10" x14ac:dyDescent="0.35">
      <c r="A575" s="9" t="s">
        <v>20</v>
      </c>
      <c r="B575" s="10">
        <v>45108</v>
      </c>
      <c r="C575" s="11">
        <v>15572898</v>
      </c>
      <c r="D575" s="11">
        <v>15321170</v>
      </c>
      <c r="E575" s="11">
        <v>251728</v>
      </c>
      <c r="F575" t="str">
        <f>VLOOKUP(A575,[1]!Table1[#All],17,FALSE)</f>
        <v>BOTSWANA</v>
      </c>
      <c r="G575" t="str">
        <f>VLOOKUP(A575,[1]!Table1[#All],22,FALSE)</f>
        <v>Government of Botswana Ministry of Finance</v>
      </c>
      <c r="H575" s="8">
        <f>VLOOKUP(A575,[1]!Table1[#All],32,FALSE)</f>
        <v>42826</v>
      </c>
      <c r="I575" s="8">
        <f>VLOOKUP(A575,[1]!Table1[#All],33,FALSE)</f>
        <v>44833</v>
      </c>
      <c r="J575" t="str">
        <f t="shared" ca="1" si="8"/>
        <v>UDO</v>
      </c>
    </row>
    <row r="576" spans="1:10" x14ac:dyDescent="0.35">
      <c r="A576" s="5" t="s">
        <v>20</v>
      </c>
      <c r="B576" s="6">
        <v>45139</v>
      </c>
      <c r="C576" s="7">
        <v>15572898</v>
      </c>
      <c r="D576" s="7">
        <v>15321170</v>
      </c>
      <c r="E576" s="7">
        <v>251728</v>
      </c>
      <c r="F576" t="str">
        <f>VLOOKUP(A576,[1]!Table1[#All],17,FALSE)</f>
        <v>BOTSWANA</v>
      </c>
      <c r="G576" t="str">
        <f>VLOOKUP(A576,[1]!Table1[#All],22,FALSE)</f>
        <v>Government of Botswana Ministry of Finance</v>
      </c>
      <c r="H576" s="8">
        <f>VLOOKUP(A576,[1]!Table1[#All],32,FALSE)</f>
        <v>42826</v>
      </c>
      <c r="I576" s="8">
        <f>VLOOKUP(A576,[1]!Table1[#All],33,FALSE)</f>
        <v>44833</v>
      </c>
      <c r="J576" t="str">
        <f t="shared" ca="1" si="8"/>
        <v>UDO</v>
      </c>
    </row>
    <row r="577" spans="1:10" x14ac:dyDescent="0.35">
      <c r="A577" s="9" t="s">
        <v>20</v>
      </c>
      <c r="B577" s="10">
        <v>45170</v>
      </c>
      <c r="C577" s="11">
        <v>15572898</v>
      </c>
      <c r="D577" s="11">
        <v>15321170</v>
      </c>
      <c r="E577" s="11">
        <v>251728</v>
      </c>
      <c r="F577" t="str">
        <f>VLOOKUP(A577,[1]!Table1[#All],17,FALSE)</f>
        <v>BOTSWANA</v>
      </c>
      <c r="G577" t="str">
        <f>VLOOKUP(A577,[1]!Table1[#All],22,FALSE)</f>
        <v>Government of Botswana Ministry of Finance</v>
      </c>
      <c r="H577" s="8">
        <f>VLOOKUP(A577,[1]!Table1[#All],32,FALSE)</f>
        <v>42826</v>
      </c>
      <c r="I577" s="8">
        <f>VLOOKUP(A577,[1]!Table1[#All],33,FALSE)</f>
        <v>44833</v>
      </c>
      <c r="J577" t="str">
        <f t="shared" ca="1" si="8"/>
        <v>UDO</v>
      </c>
    </row>
    <row r="578" spans="1:10" x14ac:dyDescent="0.35">
      <c r="A578" s="5" t="s">
        <v>21</v>
      </c>
      <c r="B578" s="6">
        <v>44105</v>
      </c>
      <c r="C578" s="7">
        <v>13329330</v>
      </c>
      <c r="D578" s="7">
        <v>6109286.6200000001</v>
      </c>
      <c r="E578" s="7">
        <v>7220043.3799999999</v>
      </c>
      <c r="F578" t="str">
        <f>VLOOKUP(A578,[1]!Table1[#All],17,FALSE)</f>
        <v>UGANDA</v>
      </c>
      <c r="G578" t="str">
        <f>VLOOKUP(A578,[1]!Table1[#All],22,FALSE)</f>
        <v>MILDMAY UGANDA</v>
      </c>
      <c r="H578" s="8">
        <f>VLOOKUP(A578,[1]!Table1[#All],32,FALSE)</f>
        <v>42826</v>
      </c>
      <c r="I578" s="8">
        <f>VLOOKUP(A578,[1]!Table1[#All],33,FALSE)</f>
        <v>44833</v>
      </c>
      <c r="J578" t="str">
        <f t="shared" ca="1" si="8"/>
        <v>UDO</v>
      </c>
    </row>
    <row r="579" spans="1:10" x14ac:dyDescent="0.35">
      <c r="A579" s="9" t="s">
        <v>21</v>
      </c>
      <c r="B579" s="10">
        <v>44136</v>
      </c>
      <c r="C579" s="11">
        <v>13329330</v>
      </c>
      <c r="D579" s="11">
        <v>6409286.6200000001</v>
      </c>
      <c r="E579" s="11">
        <v>6920043.3799999999</v>
      </c>
      <c r="F579" t="str">
        <f>VLOOKUP(A579,[1]!Table1[#All],17,FALSE)</f>
        <v>UGANDA</v>
      </c>
      <c r="G579" t="str">
        <f>VLOOKUP(A579,[1]!Table1[#All],22,FALSE)</f>
        <v>MILDMAY UGANDA</v>
      </c>
      <c r="H579" s="8">
        <f>VLOOKUP(A579,[1]!Table1[#All],32,FALSE)</f>
        <v>42826</v>
      </c>
      <c r="I579" s="8">
        <f>VLOOKUP(A579,[1]!Table1[#All],33,FALSE)</f>
        <v>44833</v>
      </c>
      <c r="J579" t="str">
        <f t="shared" ref="J579:J642" ca="1" si="9">IF(AND( E579&gt;0,TODAY()&gt;I579),"UDO","Non UDO")</f>
        <v>UDO</v>
      </c>
    </row>
    <row r="580" spans="1:10" x14ac:dyDescent="0.35">
      <c r="A580" s="5" t="s">
        <v>21</v>
      </c>
      <c r="B580" s="6">
        <v>44166</v>
      </c>
      <c r="C580" s="7">
        <v>13329330</v>
      </c>
      <c r="D580" s="7">
        <v>7555286.6199999992</v>
      </c>
      <c r="E580" s="7">
        <v>5774043.3799999999</v>
      </c>
      <c r="F580" t="str">
        <f>VLOOKUP(A580,[1]!Table1[#All],17,FALSE)</f>
        <v>UGANDA</v>
      </c>
      <c r="G580" t="str">
        <f>VLOOKUP(A580,[1]!Table1[#All],22,FALSE)</f>
        <v>MILDMAY UGANDA</v>
      </c>
      <c r="H580" s="8">
        <f>VLOOKUP(A580,[1]!Table1[#All],32,FALSE)</f>
        <v>42826</v>
      </c>
      <c r="I580" s="8">
        <f>VLOOKUP(A580,[1]!Table1[#All],33,FALSE)</f>
        <v>44833</v>
      </c>
      <c r="J580" t="str">
        <f t="shared" ca="1" si="9"/>
        <v>UDO</v>
      </c>
    </row>
    <row r="581" spans="1:10" x14ac:dyDescent="0.35">
      <c r="A581" s="9" t="s">
        <v>21</v>
      </c>
      <c r="B581" s="10">
        <v>44197</v>
      </c>
      <c r="C581" s="11">
        <v>13329330</v>
      </c>
      <c r="D581" s="11">
        <v>9549486.620000001</v>
      </c>
      <c r="E581" s="11">
        <v>3779843.38</v>
      </c>
      <c r="F581" t="str">
        <f>VLOOKUP(A581,[1]!Table1[#All],17,FALSE)</f>
        <v>UGANDA</v>
      </c>
      <c r="G581" t="str">
        <f>VLOOKUP(A581,[1]!Table1[#All],22,FALSE)</f>
        <v>MILDMAY UGANDA</v>
      </c>
      <c r="H581" s="8">
        <f>VLOOKUP(A581,[1]!Table1[#All],32,FALSE)</f>
        <v>42826</v>
      </c>
      <c r="I581" s="8">
        <f>VLOOKUP(A581,[1]!Table1[#All],33,FALSE)</f>
        <v>44833</v>
      </c>
      <c r="J581" t="str">
        <f t="shared" ca="1" si="9"/>
        <v>UDO</v>
      </c>
    </row>
    <row r="582" spans="1:10" x14ac:dyDescent="0.35">
      <c r="A582" s="5" t="s">
        <v>21</v>
      </c>
      <c r="B582" s="6">
        <v>44228</v>
      </c>
      <c r="C582" s="7">
        <v>13329330</v>
      </c>
      <c r="D582" s="7">
        <v>10318486.620000001</v>
      </c>
      <c r="E582" s="7">
        <v>3010843.38</v>
      </c>
      <c r="F582" t="str">
        <f>VLOOKUP(A582,[1]!Table1[#All],17,FALSE)</f>
        <v>UGANDA</v>
      </c>
      <c r="G582" t="str">
        <f>VLOOKUP(A582,[1]!Table1[#All],22,FALSE)</f>
        <v>MILDMAY UGANDA</v>
      </c>
      <c r="H582" s="8">
        <f>VLOOKUP(A582,[1]!Table1[#All],32,FALSE)</f>
        <v>42826</v>
      </c>
      <c r="I582" s="8">
        <f>VLOOKUP(A582,[1]!Table1[#All],33,FALSE)</f>
        <v>44833</v>
      </c>
      <c r="J582" t="str">
        <f t="shared" ca="1" si="9"/>
        <v>UDO</v>
      </c>
    </row>
    <row r="583" spans="1:10" x14ac:dyDescent="0.35">
      <c r="A583" s="9" t="s">
        <v>21</v>
      </c>
      <c r="B583" s="10">
        <v>44256</v>
      </c>
      <c r="C583" s="11">
        <v>13329330</v>
      </c>
      <c r="D583" s="11">
        <v>11377886.620000001</v>
      </c>
      <c r="E583" s="11">
        <v>1951443.38</v>
      </c>
      <c r="F583" t="str">
        <f>VLOOKUP(A583,[1]!Table1[#All],17,FALSE)</f>
        <v>UGANDA</v>
      </c>
      <c r="G583" t="str">
        <f>VLOOKUP(A583,[1]!Table1[#All],22,FALSE)</f>
        <v>MILDMAY UGANDA</v>
      </c>
      <c r="H583" s="8">
        <f>VLOOKUP(A583,[1]!Table1[#All],32,FALSE)</f>
        <v>42826</v>
      </c>
      <c r="I583" s="8">
        <f>VLOOKUP(A583,[1]!Table1[#All],33,FALSE)</f>
        <v>44833</v>
      </c>
      <c r="J583" t="str">
        <f t="shared" ca="1" si="9"/>
        <v>UDO</v>
      </c>
    </row>
    <row r="584" spans="1:10" x14ac:dyDescent="0.35">
      <c r="A584" s="5" t="s">
        <v>21</v>
      </c>
      <c r="B584" s="6">
        <v>44287</v>
      </c>
      <c r="C584" s="7">
        <v>13329330</v>
      </c>
      <c r="D584" s="7">
        <v>11390886.620000001</v>
      </c>
      <c r="E584" s="7">
        <v>1938443.38</v>
      </c>
      <c r="F584" t="str">
        <f>VLOOKUP(A584,[1]!Table1[#All],17,FALSE)</f>
        <v>UGANDA</v>
      </c>
      <c r="G584" t="str">
        <f>VLOOKUP(A584,[1]!Table1[#All],22,FALSE)</f>
        <v>MILDMAY UGANDA</v>
      </c>
      <c r="H584" s="8">
        <f>VLOOKUP(A584,[1]!Table1[#All],32,FALSE)</f>
        <v>42826</v>
      </c>
      <c r="I584" s="8">
        <f>VLOOKUP(A584,[1]!Table1[#All],33,FALSE)</f>
        <v>44833</v>
      </c>
      <c r="J584" t="str">
        <f t="shared" ca="1" si="9"/>
        <v>UDO</v>
      </c>
    </row>
    <row r="585" spans="1:10" x14ac:dyDescent="0.35">
      <c r="A585" s="9" t="s">
        <v>21</v>
      </c>
      <c r="B585" s="10">
        <v>44317</v>
      </c>
      <c r="C585" s="11">
        <v>13329330</v>
      </c>
      <c r="D585" s="11">
        <v>13127330</v>
      </c>
      <c r="E585" s="11">
        <v>202000</v>
      </c>
      <c r="F585" t="str">
        <f>VLOOKUP(A585,[1]!Table1[#All],17,FALSE)</f>
        <v>UGANDA</v>
      </c>
      <c r="G585" t="str">
        <f>VLOOKUP(A585,[1]!Table1[#All],22,FALSE)</f>
        <v>MILDMAY UGANDA</v>
      </c>
      <c r="H585" s="8">
        <f>VLOOKUP(A585,[1]!Table1[#All],32,FALSE)</f>
        <v>42826</v>
      </c>
      <c r="I585" s="8">
        <f>VLOOKUP(A585,[1]!Table1[#All],33,FALSE)</f>
        <v>44833</v>
      </c>
      <c r="J585" t="str">
        <f t="shared" ca="1" si="9"/>
        <v>UDO</v>
      </c>
    </row>
    <row r="586" spans="1:10" x14ac:dyDescent="0.35">
      <c r="A586" s="5" t="s">
        <v>21</v>
      </c>
      <c r="B586" s="6">
        <v>44348</v>
      </c>
      <c r="C586" s="7">
        <v>13329330</v>
      </c>
      <c r="D586" s="7">
        <v>13127330</v>
      </c>
      <c r="E586" s="7">
        <v>202000</v>
      </c>
      <c r="F586" t="str">
        <f>VLOOKUP(A586,[1]!Table1[#All],17,FALSE)</f>
        <v>UGANDA</v>
      </c>
      <c r="G586" t="str">
        <f>VLOOKUP(A586,[1]!Table1[#All],22,FALSE)</f>
        <v>MILDMAY UGANDA</v>
      </c>
      <c r="H586" s="8">
        <f>VLOOKUP(A586,[1]!Table1[#All],32,FALSE)</f>
        <v>42826</v>
      </c>
      <c r="I586" s="8">
        <f>VLOOKUP(A586,[1]!Table1[#All],33,FALSE)</f>
        <v>44833</v>
      </c>
      <c r="J586" t="str">
        <f t="shared" ca="1" si="9"/>
        <v>UDO</v>
      </c>
    </row>
    <row r="587" spans="1:10" x14ac:dyDescent="0.35">
      <c r="A587" s="9" t="s">
        <v>21</v>
      </c>
      <c r="B587" s="10">
        <v>44378</v>
      </c>
      <c r="C587" s="11">
        <v>13329330</v>
      </c>
      <c r="D587" s="11">
        <v>13127330</v>
      </c>
      <c r="E587" s="11">
        <v>202000</v>
      </c>
      <c r="F587" t="str">
        <f>VLOOKUP(A587,[1]!Table1[#All],17,FALSE)</f>
        <v>UGANDA</v>
      </c>
      <c r="G587" t="str">
        <f>VLOOKUP(A587,[1]!Table1[#All],22,FALSE)</f>
        <v>MILDMAY UGANDA</v>
      </c>
      <c r="H587" s="8">
        <f>VLOOKUP(A587,[1]!Table1[#All],32,FALSE)</f>
        <v>42826</v>
      </c>
      <c r="I587" s="8">
        <f>VLOOKUP(A587,[1]!Table1[#All],33,FALSE)</f>
        <v>44833</v>
      </c>
      <c r="J587" t="str">
        <f t="shared" ca="1" si="9"/>
        <v>UDO</v>
      </c>
    </row>
    <row r="588" spans="1:10" x14ac:dyDescent="0.35">
      <c r="A588" s="5" t="s">
        <v>21</v>
      </c>
      <c r="B588" s="6">
        <v>44409</v>
      </c>
      <c r="C588" s="7">
        <v>13329330</v>
      </c>
      <c r="D588" s="7">
        <v>13200330</v>
      </c>
      <c r="E588" s="7">
        <v>129000</v>
      </c>
      <c r="F588" t="str">
        <f>VLOOKUP(A588,[1]!Table1[#All],17,FALSE)</f>
        <v>UGANDA</v>
      </c>
      <c r="G588" t="str">
        <f>VLOOKUP(A588,[1]!Table1[#All],22,FALSE)</f>
        <v>MILDMAY UGANDA</v>
      </c>
      <c r="H588" s="8">
        <f>VLOOKUP(A588,[1]!Table1[#All],32,FALSE)</f>
        <v>42826</v>
      </c>
      <c r="I588" s="8">
        <f>VLOOKUP(A588,[1]!Table1[#All],33,FALSE)</f>
        <v>44833</v>
      </c>
      <c r="J588" t="str">
        <f t="shared" ca="1" si="9"/>
        <v>UDO</v>
      </c>
    </row>
    <row r="589" spans="1:10" x14ac:dyDescent="0.35">
      <c r="A589" s="9" t="s">
        <v>21</v>
      </c>
      <c r="B589" s="10">
        <v>44440</v>
      </c>
      <c r="C589" s="11">
        <v>13329330</v>
      </c>
      <c r="D589" s="11">
        <v>13200330</v>
      </c>
      <c r="E589" s="11">
        <v>129000</v>
      </c>
      <c r="F589" t="str">
        <f>VLOOKUP(A589,[1]!Table1[#All],17,FALSE)</f>
        <v>UGANDA</v>
      </c>
      <c r="G589" t="str">
        <f>VLOOKUP(A589,[1]!Table1[#All],22,FALSE)</f>
        <v>MILDMAY UGANDA</v>
      </c>
      <c r="H589" s="8">
        <f>VLOOKUP(A589,[1]!Table1[#All],32,FALSE)</f>
        <v>42826</v>
      </c>
      <c r="I589" s="8">
        <f>VLOOKUP(A589,[1]!Table1[#All],33,FALSE)</f>
        <v>44833</v>
      </c>
      <c r="J589" t="str">
        <f t="shared" ca="1" si="9"/>
        <v>UDO</v>
      </c>
    </row>
    <row r="590" spans="1:10" x14ac:dyDescent="0.35">
      <c r="A590" s="5" t="s">
        <v>21</v>
      </c>
      <c r="B590" s="6">
        <v>44470</v>
      </c>
      <c r="C590" s="7">
        <v>13329330</v>
      </c>
      <c r="D590" s="7">
        <v>13200330</v>
      </c>
      <c r="E590" s="7">
        <v>129000</v>
      </c>
      <c r="F590" t="str">
        <f>VLOOKUP(A590,[1]!Table1[#All],17,FALSE)</f>
        <v>UGANDA</v>
      </c>
      <c r="G590" t="str">
        <f>VLOOKUP(A590,[1]!Table1[#All],22,FALSE)</f>
        <v>MILDMAY UGANDA</v>
      </c>
      <c r="H590" s="8">
        <f>VLOOKUP(A590,[1]!Table1[#All],32,FALSE)</f>
        <v>42826</v>
      </c>
      <c r="I590" s="8">
        <f>VLOOKUP(A590,[1]!Table1[#All],33,FALSE)</f>
        <v>44833</v>
      </c>
      <c r="J590" t="str">
        <f t="shared" ca="1" si="9"/>
        <v>UDO</v>
      </c>
    </row>
    <row r="591" spans="1:10" x14ac:dyDescent="0.35">
      <c r="A591" s="9" t="s">
        <v>21</v>
      </c>
      <c r="B591" s="10">
        <v>44501</v>
      </c>
      <c r="C591" s="11">
        <v>13329330</v>
      </c>
      <c r="D591" s="11">
        <v>13200330</v>
      </c>
      <c r="E591" s="11">
        <v>129000</v>
      </c>
      <c r="F591" t="str">
        <f>VLOOKUP(A591,[1]!Table1[#All],17,FALSE)</f>
        <v>UGANDA</v>
      </c>
      <c r="G591" t="str">
        <f>VLOOKUP(A591,[1]!Table1[#All],22,FALSE)</f>
        <v>MILDMAY UGANDA</v>
      </c>
      <c r="H591" s="8">
        <f>VLOOKUP(A591,[1]!Table1[#All],32,FALSE)</f>
        <v>42826</v>
      </c>
      <c r="I591" s="8">
        <f>VLOOKUP(A591,[1]!Table1[#All],33,FALSE)</f>
        <v>44833</v>
      </c>
      <c r="J591" t="str">
        <f t="shared" ca="1" si="9"/>
        <v>UDO</v>
      </c>
    </row>
    <row r="592" spans="1:10" x14ac:dyDescent="0.35">
      <c r="A592" s="5" t="s">
        <v>21</v>
      </c>
      <c r="B592" s="6">
        <v>44531</v>
      </c>
      <c r="C592" s="7">
        <v>13329330</v>
      </c>
      <c r="D592" s="7">
        <v>13200330</v>
      </c>
      <c r="E592" s="7">
        <v>129000</v>
      </c>
      <c r="F592" t="str">
        <f>VLOOKUP(A592,[1]!Table1[#All],17,FALSE)</f>
        <v>UGANDA</v>
      </c>
      <c r="G592" t="str">
        <f>VLOOKUP(A592,[1]!Table1[#All],22,FALSE)</f>
        <v>MILDMAY UGANDA</v>
      </c>
      <c r="H592" s="8">
        <f>VLOOKUP(A592,[1]!Table1[#All],32,FALSE)</f>
        <v>42826</v>
      </c>
      <c r="I592" s="8">
        <f>VLOOKUP(A592,[1]!Table1[#All],33,FALSE)</f>
        <v>44833</v>
      </c>
      <c r="J592" t="str">
        <f t="shared" ca="1" si="9"/>
        <v>UDO</v>
      </c>
    </row>
    <row r="593" spans="1:10" x14ac:dyDescent="0.35">
      <c r="A593" s="9" t="s">
        <v>21</v>
      </c>
      <c r="B593" s="10">
        <v>44562</v>
      </c>
      <c r="C593" s="11">
        <v>13329330</v>
      </c>
      <c r="D593" s="11">
        <v>13200330</v>
      </c>
      <c r="E593" s="11">
        <v>129000</v>
      </c>
      <c r="F593" t="str">
        <f>VLOOKUP(A593,[1]!Table1[#All],17,FALSE)</f>
        <v>UGANDA</v>
      </c>
      <c r="G593" t="str">
        <f>VLOOKUP(A593,[1]!Table1[#All],22,FALSE)</f>
        <v>MILDMAY UGANDA</v>
      </c>
      <c r="H593" s="8">
        <f>VLOOKUP(A593,[1]!Table1[#All],32,FALSE)</f>
        <v>42826</v>
      </c>
      <c r="I593" s="8">
        <f>VLOOKUP(A593,[1]!Table1[#All],33,FALSE)</f>
        <v>44833</v>
      </c>
      <c r="J593" t="str">
        <f t="shared" ca="1" si="9"/>
        <v>UDO</v>
      </c>
    </row>
    <row r="594" spans="1:10" x14ac:dyDescent="0.35">
      <c r="A594" s="5" t="s">
        <v>21</v>
      </c>
      <c r="B594" s="6">
        <v>44593</v>
      </c>
      <c r="C594" s="7">
        <v>13329330</v>
      </c>
      <c r="D594" s="7">
        <v>13226030</v>
      </c>
      <c r="E594" s="7">
        <v>103300</v>
      </c>
      <c r="F594" t="str">
        <f>VLOOKUP(A594,[1]!Table1[#All],17,FALSE)</f>
        <v>UGANDA</v>
      </c>
      <c r="G594" t="str">
        <f>VLOOKUP(A594,[1]!Table1[#All],22,FALSE)</f>
        <v>MILDMAY UGANDA</v>
      </c>
      <c r="H594" s="8">
        <f>VLOOKUP(A594,[1]!Table1[#All],32,FALSE)</f>
        <v>42826</v>
      </c>
      <c r="I594" s="8">
        <f>VLOOKUP(A594,[1]!Table1[#All],33,FALSE)</f>
        <v>44833</v>
      </c>
      <c r="J594" t="str">
        <f t="shared" ca="1" si="9"/>
        <v>UDO</v>
      </c>
    </row>
    <row r="595" spans="1:10" x14ac:dyDescent="0.35">
      <c r="A595" s="9" t="s">
        <v>21</v>
      </c>
      <c r="B595" s="10">
        <v>44621</v>
      </c>
      <c r="C595" s="11">
        <v>13329330</v>
      </c>
      <c r="D595" s="11">
        <v>13226030</v>
      </c>
      <c r="E595" s="11">
        <v>103300</v>
      </c>
      <c r="F595" t="str">
        <f>VLOOKUP(A595,[1]!Table1[#All],17,FALSE)</f>
        <v>UGANDA</v>
      </c>
      <c r="G595" t="str">
        <f>VLOOKUP(A595,[1]!Table1[#All],22,FALSE)</f>
        <v>MILDMAY UGANDA</v>
      </c>
      <c r="H595" s="8">
        <f>VLOOKUP(A595,[1]!Table1[#All],32,FALSE)</f>
        <v>42826</v>
      </c>
      <c r="I595" s="8">
        <f>VLOOKUP(A595,[1]!Table1[#All],33,FALSE)</f>
        <v>44833</v>
      </c>
      <c r="J595" t="str">
        <f t="shared" ca="1" si="9"/>
        <v>UDO</v>
      </c>
    </row>
    <row r="596" spans="1:10" x14ac:dyDescent="0.35">
      <c r="A596" s="5" t="s">
        <v>21</v>
      </c>
      <c r="B596" s="6">
        <v>44652</v>
      </c>
      <c r="C596" s="7">
        <v>13329330</v>
      </c>
      <c r="D596" s="7">
        <v>13252130</v>
      </c>
      <c r="E596" s="7">
        <v>77200</v>
      </c>
      <c r="F596" t="str">
        <f>VLOOKUP(A596,[1]!Table1[#All],17,FALSE)</f>
        <v>UGANDA</v>
      </c>
      <c r="G596" t="str">
        <f>VLOOKUP(A596,[1]!Table1[#All],22,FALSE)</f>
        <v>MILDMAY UGANDA</v>
      </c>
      <c r="H596" s="8">
        <f>VLOOKUP(A596,[1]!Table1[#All],32,FALSE)</f>
        <v>42826</v>
      </c>
      <c r="I596" s="8">
        <f>VLOOKUP(A596,[1]!Table1[#All],33,FALSE)</f>
        <v>44833</v>
      </c>
      <c r="J596" t="str">
        <f t="shared" ca="1" si="9"/>
        <v>UDO</v>
      </c>
    </row>
    <row r="597" spans="1:10" x14ac:dyDescent="0.35">
      <c r="A597" s="9" t="s">
        <v>21</v>
      </c>
      <c r="B597" s="10">
        <v>44682</v>
      </c>
      <c r="C597" s="11">
        <v>13329330</v>
      </c>
      <c r="D597" s="11">
        <v>13252130</v>
      </c>
      <c r="E597" s="11">
        <v>77200</v>
      </c>
      <c r="F597" t="str">
        <f>VLOOKUP(A597,[1]!Table1[#All],17,FALSE)</f>
        <v>UGANDA</v>
      </c>
      <c r="G597" t="str">
        <f>VLOOKUP(A597,[1]!Table1[#All],22,FALSE)</f>
        <v>MILDMAY UGANDA</v>
      </c>
      <c r="H597" s="8">
        <f>VLOOKUP(A597,[1]!Table1[#All],32,FALSE)</f>
        <v>42826</v>
      </c>
      <c r="I597" s="8">
        <f>VLOOKUP(A597,[1]!Table1[#All],33,FALSE)</f>
        <v>44833</v>
      </c>
      <c r="J597" t="str">
        <f t="shared" ca="1" si="9"/>
        <v>UDO</v>
      </c>
    </row>
    <row r="598" spans="1:10" x14ac:dyDescent="0.35">
      <c r="A598" s="5" t="s">
        <v>21</v>
      </c>
      <c r="B598" s="6">
        <v>44713</v>
      </c>
      <c r="C598" s="7">
        <v>13329330</v>
      </c>
      <c r="D598" s="7">
        <v>13252130</v>
      </c>
      <c r="E598" s="7">
        <v>77200</v>
      </c>
      <c r="F598" t="str">
        <f>VLOOKUP(A598,[1]!Table1[#All],17,FALSE)</f>
        <v>UGANDA</v>
      </c>
      <c r="G598" t="str">
        <f>VLOOKUP(A598,[1]!Table1[#All],22,FALSE)</f>
        <v>MILDMAY UGANDA</v>
      </c>
      <c r="H598" s="8">
        <f>VLOOKUP(A598,[1]!Table1[#All],32,FALSE)</f>
        <v>42826</v>
      </c>
      <c r="I598" s="8">
        <f>VLOOKUP(A598,[1]!Table1[#All],33,FALSE)</f>
        <v>44833</v>
      </c>
      <c r="J598" t="str">
        <f t="shared" ca="1" si="9"/>
        <v>UDO</v>
      </c>
    </row>
    <row r="599" spans="1:10" x14ac:dyDescent="0.35">
      <c r="A599" s="9" t="s">
        <v>21</v>
      </c>
      <c r="B599" s="10">
        <v>44743</v>
      </c>
      <c r="C599" s="11">
        <v>13329330</v>
      </c>
      <c r="D599" s="11">
        <v>13252130</v>
      </c>
      <c r="E599" s="11">
        <v>77200</v>
      </c>
      <c r="F599" t="str">
        <f>VLOOKUP(A599,[1]!Table1[#All],17,FALSE)</f>
        <v>UGANDA</v>
      </c>
      <c r="G599" t="str">
        <f>VLOOKUP(A599,[1]!Table1[#All],22,FALSE)</f>
        <v>MILDMAY UGANDA</v>
      </c>
      <c r="H599" s="8">
        <f>VLOOKUP(A599,[1]!Table1[#All],32,FALSE)</f>
        <v>42826</v>
      </c>
      <c r="I599" s="8">
        <f>VLOOKUP(A599,[1]!Table1[#All],33,FALSE)</f>
        <v>44833</v>
      </c>
      <c r="J599" t="str">
        <f t="shared" ca="1" si="9"/>
        <v>UDO</v>
      </c>
    </row>
    <row r="600" spans="1:10" x14ac:dyDescent="0.35">
      <c r="A600" s="5" t="s">
        <v>21</v>
      </c>
      <c r="B600" s="6">
        <v>44774</v>
      </c>
      <c r="C600" s="7">
        <v>13329330</v>
      </c>
      <c r="D600" s="7">
        <v>13252130</v>
      </c>
      <c r="E600" s="7">
        <v>77200</v>
      </c>
      <c r="F600" t="str">
        <f>VLOOKUP(A600,[1]!Table1[#All],17,FALSE)</f>
        <v>UGANDA</v>
      </c>
      <c r="G600" t="str">
        <f>VLOOKUP(A600,[1]!Table1[#All],22,FALSE)</f>
        <v>MILDMAY UGANDA</v>
      </c>
      <c r="H600" s="8">
        <f>VLOOKUP(A600,[1]!Table1[#All],32,FALSE)</f>
        <v>42826</v>
      </c>
      <c r="I600" s="8">
        <f>VLOOKUP(A600,[1]!Table1[#All],33,FALSE)</f>
        <v>44833</v>
      </c>
      <c r="J600" t="str">
        <f t="shared" ca="1" si="9"/>
        <v>UDO</v>
      </c>
    </row>
    <row r="601" spans="1:10" x14ac:dyDescent="0.35">
      <c r="A601" s="9" t="s">
        <v>21</v>
      </c>
      <c r="B601" s="10">
        <v>44805</v>
      </c>
      <c r="C601" s="11">
        <v>13329330</v>
      </c>
      <c r="D601" s="11">
        <v>13329330</v>
      </c>
      <c r="E601" s="11">
        <v>0</v>
      </c>
      <c r="F601" t="str">
        <f>VLOOKUP(A601,[1]!Table1[#All],17,FALSE)</f>
        <v>UGANDA</v>
      </c>
      <c r="G601" t="str">
        <f>VLOOKUP(A601,[1]!Table1[#All],22,FALSE)</f>
        <v>MILDMAY UGANDA</v>
      </c>
      <c r="H601" s="8">
        <f>VLOOKUP(A601,[1]!Table1[#All],32,FALSE)</f>
        <v>42826</v>
      </c>
      <c r="I601" s="8">
        <f>VLOOKUP(A601,[1]!Table1[#All],33,FALSE)</f>
        <v>44833</v>
      </c>
      <c r="J601" t="str">
        <f t="shared" ca="1" si="9"/>
        <v>Non UDO</v>
      </c>
    </row>
    <row r="602" spans="1:10" x14ac:dyDescent="0.35">
      <c r="A602" s="5" t="s">
        <v>21</v>
      </c>
      <c r="B602" s="6">
        <v>44835</v>
      </c>
      <c r="C602" s="7">
        <v>13329330</v>
      </c>
      <c r="D602" s="7">
        <v>13329330</v>
      </c>
      <c r="E602" s="7">
        <v>0</v>
      </c>
      <c r="F602" t="str">
        <f>VLOOKUP(A602,[1]!Table1[#All],17,FALSE)</f>
        <v>UGANDA</v>
      </c>
      <c r="G602" t="str">
        <f>VLOOKUP(A602,[1]!Table1[#All],22,FALSE)</f>
        <v>MILDMAY UGANDA</v>
      </c>
      <c r="H602" s="8">
        <f>VLOOKUP(A602,[1]!Table1[#All],32,FALSE)</f>
        <v>42826</v>
      </c>
      <c r="I602" s="8">
        <f>VLOOKUP(A602,[1]!Table1[#All],33,FALSE)</f>
        <v>44833</v>
      </c>
      <c r="J602" t="str">
        <f t="shared" ca="1" si="9"/>
        <v>Non UDO</v>
      </c>
    </row>
    <row r="603" spans="1:10" x14ac:dyDescent="0.35">
      <c r="A603" s="9" t="s">
        <v>21</v>
      </c>
      <c r="B603" s="10">
        <v>44866</v>
      </c>
      <c r="C603" s="11">
        <v>13329330</v>
      </c>
      <c r="D603" s="11">
        <v>13329330</v>
      </c>
      <c r="E603" s="11">
        <v>0</v>
      </c>
      <c r="F603" t="str">
        <f>VLOOKUP(A603,[1]!Table1[#All],17,FALSE)</f>
        <v>UGANDA</v>
      </c>
      <c r="G603" t="str">
        <f>VLOOKUP(A603,[1]!Table1[#All],22,FALSE)</f>
        <v>MILDMAY UGANDA</v>
      </c>
      <c r="H603" s="8">
        <f>VLOOKUP(A603,[1]!Table1[#All],32,FALSE)</f>
        <v>42826</v>
      </c>
      <c r="I603" s="8">
        <f>VLOOKUP(A603,[1]!Table1[#All],33,FALSE)</f>
        <v>44833</v>
      </c>
      <c r="J603" t="str">
        <f t="shared" ca="1" si="9"/>
        <v>Non UDO</v>
      </c>
    </row>
    <row r="604" spans="1:10" x14ac:dyDescent="0.35">
      <c r="A604" s="5" t="s">
        <v>21</v>
      </c>
      <c r="B604" s="6">
        <v>44896</v>
      </c>
      <c r="C604" s="7">
        <v>13329330</v>
      </c>
      <c r="D604" s="7">
        <v>13329330</v>
      </c>
      <c r="E604" s="7">
        <v>0</v>
      </c>
      <c r="F604" t="str">
        <f>VLOOKUP(A604,[1]!Table1[#All],17,FALSE)</f>
        <v>UGANDA</v>
      </c>
      <c r="G604" t="str">
        <f>VLOOKUP(A604,[1]!Table1[#All],22,FALSE)</f>
        <v>MILDMAY UGANDA</v>
      </c>
      <c r="H604" s="8">
        <f>VLOOKUP(A604,[1]!Table1[#All],32,FALSE)</f>
        <v>42826</v>
      </c>
      <c r="I604" s="8">
        <f>VLOOKUP(A604,[1]!Table1[#All],33,FALSE)</f>
        <v>44833</v>
      </c>
      <c r="J604" t="str">
        <f t="shared" ca="1" si="9"/>
        <v>Non UDO</v>
      </c>
    </row>
    <row r="605" spans="1:10" x14ac:dyDescent="0.35">
      <c r="A605" s="9" t="s">
        <v>21</v>
      </c>
      <c r="B605" s="10">
        <v>44927</v>
      </c>
      <c r="C605" s="11">
        <v>13329330</v>
      </c>
      <c r="D605" s="11">
        <v>13329330</v>
      </c>
      <c r="E605" s="11">
        <v>0</v>
      </c>
      <c r="F605" t="str">
        <f>VLOOKUP(A605,[1]!Table1[#All],17,FALSE)</f>
        <v>UGANDA</v>
      </c>
      <c r="G605" t="str">
        <f>VLOOKUP(A605,[1]!Table1[#All],22,FALSE)</f>
        <v>MILDMAY UGANDA</v>
      </c>
      <c r="H605" s="8">
        <f>VLOOKUP(A605,[1]!Table1[#All],32,FALSE)</f>
        <v>42826</v>
      </c>
      <c r="I605" s="8">
        <f>VLOOKUP(A605,[1]!Table1[#All],33,FALSE)</f>
        <v>44833</v>
      </c>
      <c r="J605" t="str">
        <f t="shared" ca="1" si="9"/>
        <v>Non UDO</v>
      </c>
    </row>
    <row r="606" spans="1:10" x14ac:dyDescent="0.35">
      <c r="A606" s="5" t="s">
        <v>21</v>
      </c>
      <c r="B606" s="6">
        <v>44958</v>
      </c>
      <c r="C606" s="7">
        <v>13329330</v>
      </c>
      <c r="D606" s="7">
        <v>13329330</v>
      </c>
      <c r="E606" s="7">
        <v>0</v>
      </c>
      <c r="F606" t="str">
        <f>VLOOKUP(A606,[1]!Table1[#All],17,FALSE)</f>
        <v>UGANDA</v>
      </c>
      <c r="G606" t="str">
        <f>VLOOKUP(A606,[1]!Table1[#All],22,FALSE)</f>
        <v>MILDMAY UGANDA</v>
      </c>
      <c r="H606" s="8">
        <f>VLOOKUP(A606,[1]!Table1[#All],32,FALSE)</f>
        <v>42826</v>
      </c>
      <c r="I606" s="8">
        <f>VLOOKUP(A606,[1]!Table1[#All],33,FALSE)</f>
        <v>44833</v>
      </c>
      <c r="J606" t="str">
        <f t="shared" ca="1" si="9"/>
        <v>Non UDO</v>
      </c>
    </row>
    <row r="607" spans="1:10" x14ac:dyDescent="0.35">
      <c r="A607" s="9" t="s">
        <v>21</v>
      </c>
      <c r="B607" s="10">
        <v>44986</v>
      </c>
      <c r="C607" s="11">
        <v>13329330</v>
      </c>
      <c r="D607" s="11">
        <v>13329330</v>
      </c>
      <c r="E607" s="11">
        <v>0</v>
      </c>
      <c r="F607" t="str">
        <f>VLOOKUP(A607,[1]!Table1[#All],17,FALSE)</f>
        <v>UGANDA</v>
      </c>
      <c r="G607" t="str">
        <f>VLOOKUP(A607,[1]!Table1[#All],22,FALSE)</f>
        <v>MILDMAY UGANDA</v>
      </c>
      <c r="H607" s="8">
        <f>VLOOKUP(A607,[1]!Table1[#All],32,FALSE)</f>
        <v>42826</v>
      </c>
      <c r="I607" s="8">
        <f>VLOOKUP(A607,[1]!Table1[#All],33,FALSE)</f>
        <v>44833</v>
      </c>
      <c r="J607" t="str">
        <f t="shared" ca="1" si="9"/>
        <v>Non UDO</v>
      </c>
    </row>
    <row r="608" spans="1:10" x14ac:dyDescent="0.35">
      <c r="A608" s="5" t="s">
        <v>21</v>
      </c>
      <c r="B608" s="6">
        <v>45017</v>
      </c>
      <c r="C608" s="7">
        <v>13329330</v>
      </c>
      <c r="D608" s="7">
        <v>13329330</v>
      </c>
      <c r="E608" s="7">
        <v>0</v>
      </c>
      <c r="F608" t="str">
        <f>VLOOKUP(A608,[1]!Table1[#All],17,FALSE)</f>
        <v>UGANDA</v>
      </c>
      <c r="G608" t="str">
        <f>VLOOKUP(A608,[1]!Table1[#All],22,FALSE)</f>
        <v>MILDMAY UGANDA</v>
      </c>
      <c r="H608" s="8">
        <f>VLOOKUP(A608,[1]!Table1[#All],32,FALSE)</f>
        <v>42826</v>
      </c>
      <c r="I608" s="8">
        <f>VLOOKUP(A608,[1]!Table1[#All],33,FALSE)</f>
        <v>44833</v>
      </c>
      <c r="J608" t="str">
        <f t="shared" ca="1" si="9"/>
        <v>Non UDO</v>
      </c>
    </row>
    <row r="609" spans="1:10" x14ac:dyDescent="0.35">
      <c r="A609" s="9" t="s">
        <v>21</v>
      </c>
      <c r="B609" s="10">
        <v>45047</v>
      </c>
      <c r="C609" s="11">
        <v>13329330</v>
      </c>
      <c r="D609" s="11">
        <v>13329330</v>
      </c>
      <c r="E609" s="11">
        <v>0</v>
      </c>
      <c r="F609" t="str">
        <f>VLOOKUP(A609,[1]!Table1[#All],17,FALSE)</f>
        <v>UGANDA</v>
      </c>
      <c r="G609" t="str">
        <f>VLOOKUP(A609,[1]!Table1[#All],22,FALSE)</f>
        <v>MILDMAY UGANDA</v>
      </c>
      <c r="H609" s="8">
        <f>VLOOKUP(A609,[1]!Table1[#All],32,FALSE)</f>
        <v>42826</v>
      </c>
      <c r="I609" s="8">
        <f>VLOOKUP(A609,[1]!Table1[#All],33,FALSE)</f>
        <v>44833</v>
      </c>
      <c r="J609" t="str">
        <f t="shared" ca="1" si="9"/>
        <v>Non UDO</v>
      </c>
    </row>
    <row r="610" spans="1:10" x14ac:dyDescent="0.35">
      <c r="A610" s="5" t="s">
        <v>21</v>
      </c>
      <c r="B610" s="6">
        <v>45078</v>
      </c>
      <c r="C610" s="7">
        <v>13329330</v>
      </c>
      <c r="D610" s="7">
        <v>13329330</v>
      </c>
      <c r="E610" s="7">
        <v>0</v>
      </c>
      <c r="F610" t="str">
        <f>VLOOKUP(A610,[1]!Table1[#All],17,FALSE)</f>
        <v>UGANDA</v>
      </c>
      <c r="G610" t="str">
        <f>VLOOKUP(A610,[1]!Table1[#All],22,FALSE)</f>
        <v>MILDMAY UGANDA</v>
      </c>
      <c r="H610" s="8">
        <f>VLOOKUP(A610,[1]!Table1[#All],32,FALSE)</f>
        <v>42826</v>
      </c>
      <c r="I610" s="8">
        <f>VLOOKUP(A610,[1]!Table1[#All],33,FALSE)</f>
        <v>44833</v>
      </c>
      <c r="J610" t="str">
        <f t="shared" ca="1" si="9"/>
        <v>Non UDO</v>
      </c>
    </row>
    <row r="611" spans="1:10" x14ac:dyDescent="0.35">
      <c r="A611" s="9" t="s">
        <v>21</v>
      </c>
      <c r="B611" s="10">
        <v>45108</v>
      </c>
      <c r="C611" s="11">
        <v>13329330</v>
      </c>
      <c r="D611" s="11">
        <v>13329330</v>
      </c>
      <c r="E611" s="11">
        <v>0</v>
      </c>
      <c r="F611" t="str">
        <f>VLOOKUP(A611,[1]!Table1[#All],17,FALSE)</f>
        <v>UGANDA</v>
      </c>
      <c r="G611" t="str">
        <f>VLOOKUP(A611,[1]!Table1[#All],22,FALSE)</f>
        <v>MILDMAY UGANDA</v>
      </c>
      <c r="H611" s="8">
        <f>VLOOKUP(A611,[1]!Table1[#All],32,FALSE)</f>
        <v>42826</v>
      </c>
      <c r="I611" s="8">
        <f>VLOOKUP(A611,[1]!Table1[#All],33,FALSE)</f>
        <v>44833</v>
      </c>
      <c r="J611" t="str">
        <f t="shared" ca="1" si="9"/>
        <v>Non UDO</v>
      </c>
    </row>
    <row r="612" spans="1:10" x14ac:dyDescent="0.35">
      <c r="A612" s="5" t="s">
        <v>21</v>
      </c>
      <c r="B612" s="6">
        <v>45139</v>
      </c>
      <c r="C612" s="7">
        <v>13329330</v>
      </c>
      <c r="D612" s="7">
        <v>13329330</v>
      </c>
      <c r="E612" s="7">
        <v>0</v>
      </c>
      <c r="F612" t="str">
        <f>VLOOKUP(A612,[1]!Table1[#All],17,FALSE)</f>
        <v>UGANDA</v>
      </c>
      <c r="G612" t="str">
        <f>VLOOKUP(A612,[1]!Table1[#All],22,FALSE)</f>
        <v>MILDMAY UGANDA</v>
      </c>
      <c r="H612" s="8">
        <f>VLOOKUP(A612,[1]!Table1[#All],32,FALSE)</f>
        <v>42826</v>
      </c>
      <c r="I612" s="8">
        <f>VLOOKUP(A612,[1]!Table1[#All],33,FALSE)</f>
        <v>44833</v>
      </c>
      <c r="J612" t="str">
        <f t="shared" ca="1" si="9"/>
        <v>Non UDO</v>
      </c>
    </row>
    <row r="613" spans="1:10" x14ac:dyDescent="0.35">
      <c r="A613" s="9" t="s">
        <v>21</v>
      </c>
      <c r="B613" s="10">
        <v>45170</v>
      </c>
      <c r="C613" s="11">
        <v>13329330</v>
      </c>
      <c r="D613" s="11">
        <v>13329330</v>
      </c>
      <c r="E613" s="11">
        <v>0</v>
      </c>
      <c r="F613" t="str">
        <f>VLOOKUP(A613,[1]!Table1[#All],17,FALSE)</f>
        <v>UGANDA</v>
      </c>
      <c r="G613" t="str">
        <f>VLOOKUP(A613,[1]!Table1[#All],22,FALSE)</f>
        <v>MILDMAY UGANDA</v>
      </c>
      <c r="H613" s="8">
        <f>VLOOKUP(A613,[1]!Table1[#All],32,FALSE)</f>
        <v>42826</v>
      </c>
      <c r="I613" s="8">
        <f>VLOOKUP(A613,[1]!Table1[#All],33,FALSE)</f>
        <v>44833</v>
      </c>
      <c r="J613" t="str">
        <f t="shared" ca="1" si="9"/>
        <v>Non UDO</v>
      </c>
    </row>
    <row r="614" spans="1:10" x14ac:dyDescent="0.35">
      <c r="A614" s="5" t="s">
        <v>22</v>
      </c>
      <c r="B614" s="6">
        <v>44348</v>
      </c>
      <c r="C614" s="7">
        <v>1639788</v>
      </c>
      <c r="D614" s="7">
        <v>0</v>
      </c>
      <c r="E614" s="7">
        <v>1639788</v>
      </c>
      <c r="F614" t="str">
        <f>VLOOKUP(A614,[1]!Table1[#All],17,FALSE)</f>
        <v>JORDAN</v>
      </c>
      <c r="G614" t="str">
        <f>VLOOKUP(A614,[1]!Table1[#All],22,FALSE)</f>
        <v>Global Health Development</v>
      </c>
      <c r="H614" s="8">
        <f>VLOOKUP(A614,[1]!Table1[#All],32,FALSE)</f>
        <v>42901</v>
      </c>
      <c r="I614" s="8">
        <f>VLOOKUP(A614,[1]!Table1[#All],33,FALSE)</f>
        <v>44726</v>
      </c>
      <c r="J614" t="str">
        <f t="shared" ca="1" si="9"/>
        <v>UDO</v>
      </c>
    </row>
    <row r="615" spans="1:10" x14ac:dyDescent="0.35">
      <c r="A615" s="9" t="s">
        <v>22</v>
      </c>
      <c r="B615" s="10">
        <v>44378</v>
      </c>
      <c r="C615" s="11">
        <v>1639788</v>
      </c>
      <c r="D615" s="11">
        <v>0</v>
      </c>
      <c r="E615" s="11">
        <v>1639788</v>
      </c>
      <c r="F615" t="str">
        <f>VLOOKUP(A615,[1]!Table1[#All],17,FALSE)</f>
        <v>JORDAN</v>
      </c>
      <c r="G615" t="str">
        <f>VLOOKUP(A615,[1]!Table1[#All],22,FALSE)</f>
        <v>Global Health Development</v>
      </c>
      <c r="H615" s="8">
        <f>VLOOKUP(A615,[1]!Table1[#All],32,FALSE)</f>
        <v>42901</v>
      </c>
      <c r="I615" s="8">
        <f>VLOOKUP(A615,[1]!Table1[#All],33,FALSE)</f>
        <v>44726</v>
      </c>
      <c r="J615" t="str">
        <f t="shared" ca="1" si="9"/>
        <v>UDO</v>
      </c>
    </row>
    <row r="616" spans="1:10" x14ac:dyDescent="0.35">
      <c r="A616" s="5" t="s">
        <v>22</v>
      </c>
      <c r="B616" s="6">
        <v>44409</v>
      </c>
      <c r="C616" s="7">
        <v>1639788</v>
      </c>
      <c r="D616" s="7">
        <v>0</v>
      </c>
      <c r="E616" s="7">
        <v>1639788</v>
      </c>
      <c r="F616" t="str">
        <f>VLOOKUP(A616,[1]!Table1[#All],17,FALSE)</f>
        <v>JORDAN</v>
      </c>
      <c r="G616" t="str">
        <f>VLOOKUP(A616,[1]!Table1[#All],22,FALSE)</f>
        <v>Global Health Development</v>
      </c>
      <c r="H616" s="8">
        <f>VLOOKUP(A616,[1]!Table1[#All],32,FALSE)</f>
        <v>42901</v>
      </c>
      <c r="I616" s="8">
        <f>VLOOKUP(A616,[1]!Table1[#All],33,FALSE)</f>
        <v>44726</v>
      </c>
      <c r="J616" t="str">
        <f t="shared" ca="1" si="9"/>
        <v>UDO</v>
      </c>
    </row>
    <row r="617" spans="1:10" x14ac:dyDescent="0.35">
      <c r="A617" s="9" t="s">
        <v>22</v>
      </c>
      <c r="B617" s="10">
        <v>44440</v>
      </c>
      <c r="C617" s="11">
        <v>1639788</v>
      </c>
      <c r="D617" s="11">
        <v>118796</v>
      </c>
      <c r="E617" s="11">
        <v>1520992</v>
      </c>
      <c r="F617" t="str">
        <f>VLOOKUP(A617,[1]!Table1[#All],17,FALSE)</f>
        <v>JORDAN</v>
      </c>
      <c r="G617" t="str">
        <f>VLOOKUP(A617,[1]!Table1[#All],22,FALSE)</f>
        <v>Global Health Development</v>
      </c>
      <c r="H617" s="8">
        <f>VLOOKUP(A617,[1]!Table1[#All],32,FALSE)</f>
        <v>42901</v>
      </c>
      <c r="I617" s="8">
        <f>VLOOKUP(A617,[1]!Table1[#All],33,FALSE)</f>
        <v>44726</v>
      </c>
      <c r="J617" t="str">
        <f t="shared" ca="1" si="9"/>
        <v>UDO</v>
      </c>
    </row>
    <row r="618" spans="1:10" x14ac:dyDescent="0.35">
      <c r="A618" s="5" t="s">
        <v>22</v>
      </c>
      <c r="B618" s="6">
        <v>44470</v>
      </c>
      <c r="C618" s="7">
        <v>1639788</v>
      </c>
      <c r="D618" s="7">
        <v>216450</v>
      </c>
      <c r="E618" s="7">
        <v>1423338</v>
      </c>
      <c r="F618" t="str">
        <f>VLOOKUP(A618,[1]!Table1[#All],17,FALSE)</f>
        <v>JORDAN</v>
      </c>
      <c r="G618" t="str">
        <f>VLOOKUP(A618,[1]!Table1[#All],22,FALSE)</f>
        <v>Global Health Development</v>
      </c>
      <c r="H618" s="8">
        <f>VLOOKUP(A618,[1]!Table1[#All],32,FALSE)</f>
        <v>42901</v>
      </c>
      <c r="I618" s="8">
        <f>VLOOKUP(A618,[1]!Table1[#All],33,FALSE)</f>
        <v>44726</v>
      </c>
      <c r="J618" t="str">
        <f t="shared" ca="1" si="9"/>
        <v>UDO</v>
      </c>
    </row>
    <row r="619" spans="1:10" x14ac:dyDescent="0.35">
      <c r="A619" s="9" t="s">
        <v>22</v>
      </c>
      <c r="B619" s="10">
        <v>44501</v>
      </c>
      <c r="C619" s="11">
        <v>1639788</v>
      </c>
      <c r="D619" s="11">
        <v>291108</v>
      </c>
      <c r="E619" s="11">
        <v>1348680</v>
      </c>
      <c r="F619" t="str">
        <f>VLOOKUP(A619,[1]!Table1[#All],17,FALSE)</f>
        <v>JORDAN</v>
      </c>
      <c r="G619" t="str">
        <f>VLOOKUP(A619,[1]!Table1[#All],22,FALSE)</f>
        <v>Global Health Development</v>
      </c>
      <c r="H619" s="8">
        <f>VLOOKUP(A619,[1]!Table1[#All],32,FALSE)</f>
        <v>42901</v>
      </c>
      <c r="I619" s="8">
        <f>VLOOKUP(A619,[1]!Table1[#All],33,FALSE)</f>
        <v>44726</v>
      </c>
      <c r="J619" t="str">
        <f t="shared" ca="1" si="9"/>
        <v>UDO</v>
      </c>
    </row>
    <row r="620" spans="1:10" x14ac:dyDescent="0.35">
      <c r="A620" s="5" t="s">
        <v>22</v>
      </c>
      <c r="B620" s="6">
        <v>44531</v>
      </c>
      <c r="C620" s="7">
        <v>1639788</v>
      </c>
      <c r="D620" s="7">
        <v>526885</v>
      </c>
      <c r="E620" s="7">
        <v>1112903</v>
      </c>
      <c r="F620" t="str">
        <f>VLOOKUP(A620,[1]!Table1[#All],17,FALSE)</f>
        <v>JORDAN</v>
      </c>
      <c r="G620" t="str">
        <f>VLOOKUP(A620,[1]!Table1[#All],22,FALSE)</f>
        <v>Global Health Development</v>
      </c>
      <c r="H620" s="8">
        <f>VLOOKUP(A620,[1]!Table1[#All],32,FALSE)</f>
        <v>42901</v>
      </c>
      <c r="I620" s="8">
        <f>VLOOKUP(A620,[1]!Table1[#All],33,FALSE)</f>
        <v>44726</v>
      </c>
      <c r="J620" t="str">
        <f t="shared" ca="1" si="9"/>
        <v>UDO</v>
      </c>
    </row>
    <row r="621" spans="1:10" x14ac:dyDescent="0.35">
      <c r="A621" s="9" t="s">
        <v>22</v>
      </c>
      <c r="B621" s="10">
        <v>44562</v>
      </c>
      <c r="C621" s="11">
        <v>1639788</v>
      </c>
      <c r="D621" s="11">
        <v>566484</v>
      </c>
      <c r="E621" s="11">
        <v>1073304</v>
      </c>
      <c r="F621" t="str">
        <f>VLOOKUP(A621,[1]!Table1[#All],17,FALSE)</f>
        <v>JORDAN</v>
      </c>
      <c r="G621" t="str">
        <f>VLOOKUP(A621,[1]!Table1[#All],22,FALSE)</f>
        <v>Global Health Development</v>
      </c>
      <c r="H621" s="8">
        <f>VLOOKUP(A621,[1]!Table1[#All],32,FALSE)</f>
        <v>42901</v>
      </c>
      <c r="I621" s="8">
        <f>VLOOKUP(A621,[1]!Table1[#All],33,FALSE)</f>
        <v>44726</v>
      </c>
      <c r="J621" t="str">
        <f t="shared" ca="1" si="9"/>
        <v>UDO</v>
      </c>
    </row>
    <row r="622" spans="1:10" x14ac:dyDescent="0.35">
      <c r="A622" s="5" t="s">
        <v>22</v>
      </c>
      <c r="B622" s="6">
        <v>44593</v>
      </c>
      <c r="C622" s="7">
        <v>1639788</v>
      </c>
      <c r="D622" s="7">
        <v>649069</v>
      </c>
      <c r="E622" s="7">
        <v>990719</v>
      </c>
      <c r="F622" t="str">
        <f>VLOOKUP(A622,[1]!Table1[#All],17,FALSE)</f>
        <v>JORDAN</v>
      </c>
      <c r="G622" t="str">
        <f>VLOOKUP(A622,[1]!Table1[#All],22,FALSE)</f>
        <v>Global Health Development</v>
      </c>
      <c r="H622" s="8">
        <f>VLOOKUP(A622,[1]!Table1[#All],32,FALSE)</f>
        <v>42901</v>
      </c>
      <c r="I622" s="8">
        <f>VLOOKUP(A622,[1]!Table1[#All],33,FALSE)</f>
        <v>44726</v>
      </c>
      <c r="J622" t="str">
        <f t="shared" ca="1" si="9"/>
        <v>UDO</v>
      </c>
    </row>
    <row r="623" spans="1:10" x14ac:dyDescent="0.35">
      <c r="A623" s="9" t="s">
        <v>22</v>
      </c>
      <c r="B623" s="10">
        <v>44621</v>
      </c>
      <c r="C623" s="11">
        <v>1639788</v>
      </c>
      <c r="D623" s="11">
        <v>715372</v>
      </c>
      <c r="E623" s="11">
        <v>924416</v>
      </c>
      <c r="F623" t="str">
        <f>VLOOKUP(A623,[1]!Table1[#All],17,FALSE)</f>
        <v>JORDAN</v>
      </c>
      <c r="G623" t="str">
        <f>VLOOKUP(A623,[1]!Table1[#All],22,FALSE)</f>
        <v>Global Health Development</v>
      </c>
      <c r="H623" s="8">
        <f>VLOOKUP(A623,[1]!Table1[#All],32,FALSE)</f>
        <v>42901</v>
      </c>
      <c r="I623" s="8">
        <f>VLOOKUP(A623,[1]!Table1[#All],33,FALSE)</f>
        <v>44726</v>
      </c>
      <c r="J623" t="str">
        <f t="shared" ca="1" si="9"/>
        <v>UDO</v>
      </c>
    </row>
    <row r="624" spans="1:10" x14ac:dyDescent="0.35">
      <c r="A624" s="5" t="s">
        <v>22</v>
      </c>
      <c r="B624" s="6">
        <v>44652</v>
      </c>
      <c r="C624" s="7">
        <v>1639788</v>
      </c>
      <c r="D624" s="7">
        <v>990829</v>
      </c>
      <c r="E624" s="7">
        <v>648959</v>
      </c>
      <c r="F624" t="str">
        <f>VLOOKUP(A624,[1]!Table1[#All],17,FALSE)</f>
        <v>JORDAN</v>
      </c>
      <c r="G624" t="str">
        <f>VLOOKUP(A624,[1]!Table1[#All],22,FALSE)</f>
        <v>Global Health Development</v>
      </c>
      <c r="H624" s="8">
        <f>VLOOKUP(A624,[1]!Table1[#All],32,FALSE)</f>
        <v>42901</v>
      </c>
      <c r="I624" s="8">
        <f>VLOOKUP(A624,[1]!Table1[#All],33,FALSE)</f>
        <v>44726</v>
      </c>
      <c r="J624" t="str">
        <f t="shared" ca="1" si="9"/>
        <v>UDO</v>
      </c>
    </row>
    <row r="625" spans="1:10" x14ac:dyDescent="0.35">
      <c r="A625" s="9" t="s">
        <v>22</v>
      </c>
      <c r="B625" s="10">
        <v>44682</v>
      </c>
      <c r="C625" s="11">
        <v>1639788</v>
      </c>
      <c r="D625" s="11">
        <v>1079568</v>
      </c>
      <c r="E625" s="11">
        <v>560220</v>
      </c>
      <c r="F625" t="str">
        <f>VLOOKUP(A625,[1]!Table1[#All],17,FALSE)</f>
        <v>JORDAN</v>
      </c>
      <c r="G625" t="str">
        <f>VLOOKUP(A625,[1]!Table1[#All],22,FALSE)</f>
        <v>Global Health Development</v>
      </c>
      <c r="H625" s="8">
        <f>VLOOKUP(A625,[1]!Table1[#All],32,FALSE)</f>
        <v>42901</v>
      </c>
      <c r="I625" s="8">
        <f>VLOOKUP(A625,[1]!Table1[#All],33,FALSE)</f>
        <v>44726</v>
      </c>
      <c r="J625" t="str">
        <f t="shared" ca="1" si="9"/>
        <v>UDO</v>
      </c>
    </row>
    <row r="626" spans="1:10" x14ac:dyDescent="0.35">
      <c r="A626" s="5" t="s">
        <v>22</v>
      </c>
      <c r="B626" s="6">
        <v>44713</v>
      </c>
      <c r="C626" s="7">
        <v>1639788</v>
      </c>
      <c r="D626" s="7">
        <v>1218312</v>
      </c>
      <c r="E626" s="7">
        <v>421476</v>
      </c>
      <c r="F626" t="str">
        <f>VLOOKUP(A626,[1]!Table1[#All],17,FALSE)</f>
        <v>JORDAN</v>
      </c>
      <c r="G626" t="str">
        <f>VLOOKUP(A626,[1]!Table1[#All],22,FALSE)</f>
        <v>Global Health Development</v>
      </c>
      <c r="H626" s="8">
        <f>VLOOKUP(A626,[1]!Table1[#All],32,FALSE)</f>
        <v>42901</v>
      </c>
      <c r="I626" s="8">
        <f>VLOOKUP(A626,[1]!Table1[#All],33,FALSE)</f>
        <v>44726</v>
      </c>
      <c r="J626" t="str">
        <f t="shared" ca="1" si="9"/>
        <v>UDO</v>
      </c>
    </row>
    <row r="627" spans="1:10" x14ac:dyDescent="0.35">
      <c r="A627" s="9" t="s">
        <v>22</v>
      </c>
      <c r="B627" s="10">
        <v>44743</v>
      </c>
      <c r="C627" s="11">
        <v>1639788</v>
      </c>
      <c r="D627" s="11">
        <v>1237516</v>
      </c>
      <c r="E627" s="11">
        <v>402272</v>
      </c>
      <c r="F627" t="str">
        <f>VLOOKUP(A627,[1]!Table1[#All],17,FALSE)</f>
        <v>JORDAN</v>
      </c>
      <c r="G627" t="str">
        <f>VLOOKUP(A627,[1]!Table1[#All],22,FALSE)</f>
        <v>Global Health Development</v>
      </c>
      <c r="H627" s="8">
        <f>VLOOKUP(A627,[1]!Table1[#All],32,FALSE)</f>
        <v>42901</v>
      </c>
      <c r="I627" s="8">
        <f>VLOOKUP(A627,[1]!Table1[#All],33,FALSE)</f>
        <v>44726</v>
      </c>
      <c r="J627" t="str">
        <f t="shared" ca="1" si="9"/>
        <v>UDO</v>
      </c>
    </row>
    <row r="628" spans="1:10" x14ac:dyDescent="0.35">
      <c r="A628" s="5" t="s">
        <v>22</v>
      </c>
      <c r="B628" s="6">
        <v>44774</v>
      </c>
      <c r="C628" s="7">
        <v>1639788</v>
      </c>
      <c r="D628" s="7">
        <v>1269156</v>
      </c>
      <c r="E628" s="7">
        <v>370632</v>
      </c>
      <c r="F628" t="str">
        <f>VLOOKUP(A628,[1]!Table1[#All],17,FALSE)</f>
        <v>JORDAN</v>
      </c>
      <c r="G628" t="str">
        <f>VLOOKUP(A628,[1]!Table1[#All],22,FALSE)</f>
        <v>Global Health Development</v>
      </c>
      <c r="H628" s="8">
        <f>VLOOKUP(A628,[1]!Table1[#All],32,FALSE)</f>
        <v>42901</v>
      </c>
      <c r="I628" s="8">
        <f>VLOOKUP(A628,[1]!Table1[#All],33,FALSE)</f>
        <v>44726</v>
      </c>
      <c r="J628" t="str">
        <f t="shared" ca="1" si="9"/>
        <v>UDO</v>
      </c>
    </row>
    <row r="629" spans="1:10" x14ac:dyDescent="0.35">
      <c r="A629" s="9" t="s">
        <v>22</v>
      </c>
      <c r="B629" s="10">
        <v>44805</v>
      </c>
      <c r="C629" s="11">
        <v>1639788</v>
      </c>
      <c r="D629" s="11">
        <v>1269156</v>
      </c>
      <c r="E629" s="11">
        <v>370632</v>
      </c>
      <c r="F629" t="str">
        <f>VLOOKUP(A629,[1]!Table1[#All],17,FALSE)</f>
        <v>JORDAN</v>
      </c>
      <c r="G629" t="str">
        <f>VLOOKUP(A629,[1]!Table1[#All],22,FALSE)</f>
        <v>Global Health Development</v>
      </c>
      <c r="H629" s="8">
        <f>VLOOKUP(A629,[1]!Table1[#All],32,FALSE)</f>
        <v>42901</v>
      </c>
      <c r="I629" s="8">
        <f>VLOOKUP(A629,[1]!Table1[#All],33,FALSE)</f>
        <v>44726</v>
      </c>
      <c r="J629" t="str">
        <f t="shared" ca="1" si="9"/>
        <v>UDO</v>
      </c>
    </row>
    <row r="630" spans="1:10" x14ac:dyDescent="0.35">
      <c r="A630" s="5" t="s">
        <v>22</v>
      </c>
      <c r="B630" s="6">
        <v>44835</v>
      </c>
      <c r="C630" s="7">
        <v>1639788</v>
      </c>
      <c r="D630" s="7">
        <v>1269156</v>
      </c>
      <c r="E630" s="7">
        <v>370632</v>
      </c>
      <c r="F630" t="str">
        <f>VLOOKUP(A630,[1]!Table1[#All],17,FALSE)</f>
        <v>JORDAN</v>
      </c>
      <c r="G630" t="str">
        <f>VLOOKUP(A630,[1]!Table1[#All],22,FALSE)</f>
        <v>Global Health Development</v>
      </c>
      <c r="H630" s="8">
        <f>VLOOKUP(A630,[1]!Table1[#All],32,FALSE)</f>
        <v>42901</v>
      </c>
      <c r="I630" s="8">
        <f>VLOOKUP(A630,[1]!Table1[#All],33,FALSE)</f>
        <v>44726</v>
      </c>
      <c r="J630" t="str">
        <f t="shared" ca="1" si="9"/>
        <v>UDO</v>
      </c>
    </row>
    <row r="631" spans="1:10" x14ac:dyDescent="0.35">
      <c r="A631" s="9" t="s">
        <v>22</v>
      </c>
      <c r="B631" s="10">
        <v>44866</v>
      </c>
      <c r="C631" s="11">
        <v>1639788</v>
      </c>
      <c r="D631" s="11">
        <v>1269156</v>
      </c>
      <c r="E631" s="11">
        <v>370632</v>
      </c>
      <c r="F631" t="str">
        <f>VLOOKUP(A631,[1]!Table1[#All],17,FALSE)</f>
        <v>JORDAN</v>
      </c>
      <c r="G631" t="str">
        <f>VLOOKUP(A631,[1]!Table1[#All],22,FALSE)</f>
        <v>Global Health Development</v>
      </c>
      <c r="H631" s="8">
        <f>VLOOKUP(A631,[1]!Table1[#All],32,FALSE)</f>
        <v>42901</v>
      </c>
      <c r="I631" s="8">
        <f>VLOOKUP(A631,[1]!Table1[#All],33,FALSE)</f>
        <v>44726</v>
      </c>
      <c r="J631" t="str">
        <f t="shared" ca="1" si="9"/>
        <v>UDO</v>
      </c>
    </row>
    <row r="632" spans="1:10" x14ac:dyDescent="0.35">
      <c r="A632" s="5" t="s">
        <v>22</v>
      </c>
      <c r="B632" s="6">
        <v>44896</v>
      </c>
      <c r="C632" s="7">
        <v>1639788</v>
      </c>
      <c r="D632" s="7">
        <v>1415267</v>
      </c>
      <c r="E632" s="7">
        <v>224521</v>
      </c>
      <c r="F632" t="str">
        <f>VLOOKUP(A632,[1]!Table1[#All],17,FALSE)</f>
        <v>JORDAN</v>
      </c>
      <c r="G632" t="str">
        <f>VLOOKUP(A632,[1]!Table1[#All],22,FALSE)</f>
        <v>Global Health Development</v>
      </c>
      <c r="H632" s="8">
        <f>VLOOKUP(A632,[1]!Table1[#All],32,FALSE)</f>
        <v>42901</v>
      </c>
      <c r="I632" s="8">
        <f>VLOOKUP(A632,[1]!Table1[#All],33,FALSE)</f>
        <v>44726</v>
      </c>
      <c r="J632" t="str">
        <f t="shared" ca="1" si="9"/>
        <v>UDO</v>
      </c>
    </row>
    <row r="633" spans="1:10" x14ac:dyDescent="0.35">
      <c r="A633" s="9" t="s">
        <v>22</v>
      </c>
      <c r="B633" s="10">
        <v>44927</v>
      </c>
      <c r="C633" s="11">
        <v>1639788</v>
      </c>
      <c r="D633" s="11">
        <v>1415267</v>
      </c>
      <c r="E633" s="11">
        <v>224521</v>
      </c>
      <c r="F633" t="str">
        <f>VLOOKUP(A633,[1]!Table1[#All],17,FALSE)</f>
        <v>JORDAN</v>
      </c>
      <c r="G633" t="str">
        <f>VLOOKUP(A633,[1]!Table1[#All],22,FALSE)</f>
        <v>Global Health Development</v>
      </c>
      <c r="H633" s="8">
        <f>VLOOKUP(A633,[1]!Table1[#All],32,FALSE)</f>
        <v>42901</v>
      </c>
      <c r="I633" s="8">
        <f>VLOOKUP(A633,[1]!Table1[#All],33,FALSE)</f>
        <v>44726</v>
      </c>
      <c r="J633" t="str">
        <f t="shared" ca="1" si="9"/>
        <v>UDO</v>
      </c>
    </row>
    <row r="634" spans="1:10" x14ac:dyDescent="0.35">
      <c r="A634" s="5" t="s">
        <v>22</v>
      </c>
      <c r="B634" s="6">
        <v>44958</v>
      </c>
      <c r="C634" s="7">
        <v>1639788</v>
      </c>
      <c r="D634" s="7">
        <v>1509145</v>
      </c>
      <c r="E634" s="7">
        <v>130643</v>
      </c>
      <c r="F634" t="str">
        <f>VLOOKUP(A634,[1]!Table1[#All],17,FALSE)</f>
        <v>JORDAN</v>
      </c>
      <c r="G634" t="str">
        <f>VLOOKUP(A634,[1]!Table1[#All],22,FALSE)</f>
        <v>Global Health Development</v>
      </c>
      <c r="H634" s="8">
        <f>VLOOKUP(A634,[1]!Table1[#All],32,FALSE)</f>
        <v>42901</v>
      </c>
      <c r="I634" s="8">
        <f>VLOOKUP(A634,[1]!Table1[#All],33,FALSE)</f>
        <v>44726</v>
      </c>
      <c r="J634" t="str">
        <f t="shared" ca="1" si="9"/>
        <v>UDO</v>
      </c>
    </row>
    <row r="635" spans="1:10" x14ac:dyDescent="0.35">
      <c r="A635" s="9" t="s">
        <v>22</v>
      </c>
      <c r="B635" s="10">
        <v>44986</v>
      </c>
      <c r="C635" s="11">
        <v>1639788</v>
      </c>
      <c r="D635" s="11">
        <v>1531659</v>
      </c>
      <c r="E635" s="11">
        <v>108129</v>
      </c>
      <c r="F635" t="str">
        <f>VLOOKUP(A635,[1]!Table1[#All],17,FALSE)</f>
        <v>JORDAN</v>
      </c>
      <c r="G635" t="str">
        <f>VLOOKUP(A635,[1]!Table1[#All],22,FALSE)</f>
        <v>Global Health Development</v>
      </c>
      <c r="H635" s="8">
        <f>VLOOKUP(A635,[1]!Table1[#All],32,FALSE)</f>
        <v>42901</v>
      </c>
      <c r="I635" s="8">
        <f>VLOOKUP(A635,[1]!Table1[#All],33,FALSE)</f>
        <v>44726</v>
      </c>
      <c r="J635" t="str">
        <f t="shared" ca="1" si="9"/>
        <v>UDO</v>
      </c>
    </row>
    <row r="636" spans="1:10" x14ac:dyDescent="0.35">
      <c r="A636" s="5" t="s">
        <v>22</v>
      </c>
      <c r="B636" s="6">
        <v>45017</v>
      </c>
      <c r="C636" s="7">
        <v>1639788</v>
      </c>
      <c r="D636" s="7">
        <v>1549715</v>
      </c>
      <c r="E636" s="7">
        <v>90073</v>
      </c>
      <c r="F636" t="str">
        <f>VLOOKUP(A636,[1]!Table1[#All],17,FALSE)</f>
        <v>JORDAN</v>
      </c>
      <c r="G636" t="str">
        <f>VLOOKUP(A636,[1]!Table1[#All],22,FALSE)</f>
        <v>Global Health Development</v>
      </c>
      <c r="H636" s="8">
        <f>VLOOKUP(A636,[1]!Table1[#All],32,FALSE)</f>
        <v>42901</v>
      </c>
      <c r="I636" s="8">
        <f>VLOOKUP(A636,[1]!Table1[#All],33,FALSE)</f>
        <v>44726</v>
      </c>
      <c r="J636" t="str">
        <f t="shared" ca="1" si="9"/>
        <v>UDO</v>
      </c>
    </row>
    <row r="637" spans="1:10" x14ac:dyDescent="0.35">
      <c r="A637" s="9" t="s">
        <v>22</v>
      </c>
      <c r="B637" s="10">
        <v>45047</v>
      </c>
      <c r="C637" s="11">
        <v>1639788</v>
      </c>
      <c r="D637" s="11">
        <v>1639788</v>
      </c>
      <c r="E637" s="11">
        <v>0</v>
      </c>
      <c r="F637" t="str">
        <f>VLOOKUP(A637,[1]!Table1[#All],17,FALSE)</f>
        <v>JORDAN</v>
      </c>
      <c r="G637" t="str">
        <f>VLOOKUP(A637,[1]!Table1[#All],22,FALSE)</f>
        <v>Global Health Development</v>
      </c>
      <c r="H637" s="8">
        <f>VLOOKUP(A637,[1]!Table1[#All],32,FALSE)</f>
        <v>42901</v>
      </c>
      <c r="I637" s="8">
        <f>VLOOKUP(A637,[1]!Table1[#All],33,FALSE)</f>
        <v>44726</v>
      </c>
      <c r="J637" t="str">
        <f t="shared" ca="1" si="9"/>
        <v>Non UDO</v>
      </c>
    </row>
    <row r="638" spans="1:10" x14ac:dyDescent="0.35">
      <c r="A638" s="5" t="s">
        <v>22</v>
      </c>
      <c r="B638" s="6">
        <v>45078</v>
      </c>
      <c r="C638" s="7">
        <v>1639788</v>
      </c>
      <c r="D638" s="7">
        <v>1639788</v>
      </c>
      <c r="E638" s="7">
        <v>0</v>
      </c>
      <c r="F638" t="str">
        <f>VLOOKUP(A638,[1]!Table1[#All],17,FALSE)</f>
        <v>JORDAN</v>
      </c>
      <c r="G638" t="str">
        <f>VLOOKUP(A638,[1]!Table1[#All],22,FALSE)</f>
        <v>Global Health Development</v>
      </c>
      <c r="H638" s="8">
        <f>VLOOKUP(A638,[1]!Table1[#All],32,FALSE)</f>
        <v>42901</v>
      </c>
      <c r="I638" s="8">
        <f>VLOOKUP(A638,[1]!Table1[#All],33,FALSE)</f>
        <v>44726</v>
      </c>
      <c r="J638" t="str">
        <f t="shared" ca="1" si="9"/>
        <v>Non UDO</v>
      </c>
    </row>
    <row r="639" spans="1:10" x14ac:dyDescent="0.35">
      <c r="A639" s="9" t="s">
        <v>22</v>
      </c>
      <c r="B639" s="10">
        <v>45108</v>
      </c>
      <c r="C639" s="11">
        <v>1639788</v>
      </c>
      <c r="D639" s="11">
        <v>1639788</v>
      </c>
      <c r="E639" s="11">
        <v>0</v>
      </c>
      <c r="F639" t="str">
        <f>VLOOKUP(A639,[1]!Table1[#All],17,FALSE)</f>
        <v>JORDAN</v>
      </c>
      <c r="G639" t="str">
        <f>VLOOKUP(A639,[1]!Table1[#All],22,FALSE)</f>
        <v>Global Health Development</v>
      </c>
      <c r="H639" s="8">
        <f>VLOOKUP(A639,[1]!Table1[#All],32,FALSE)</f>
        <v>42901</v>
      </c>
      <c r="I639" s="8">
        <f>VLOOKUP(A639,[1]!Table1[#All],33,FALSE)</f>
        <v>44726</v>
      </c>
      <c r="J639" t="str">
        <f t="shared" ca="1" si="9"/>
        <v>Non UDO</v>
      </c>
    </row>
    <row r="640" spans="1:10" x14ac:dyDescent="0.35">
      <c r="A640" s="5" t="s">
        <v>22</v>
      </c>
      <c r="B640" s="6">
        <v>45139</v>
      </c>
      <c r="C640" s="7">
        <v>1639788</v>
      </c>
      <c r="D640" s="7">
        <v>1639788</v>
      </c>
      <c r="E640" s="7">
        <v>0</v>
      </c>
      <c r="F640" t="str">
        <f>VLOOKUP(A640,[1]!Table1[#All],17,FALSE)</f>
        <v>JORDAN</v>
      </c>
      <c r="G640" t="str">
        <f>VLOOKUP(A640,[1]!Table1[#All],22,FALSE)</f>
        <v>Global Health Development</v>
      </c>
      <c r="H640" s="8">
        <f>VLOOKUP(A640,[1]!Table1[#All],32,FALSE)</f>
        <v>42901</v>
      </c>
      <c r="I640" s="8">
        <f>VLOOKUP(A640,[1]!Table1[#All],33,FALSE)</f>
        <v>44726</v>
      </c>
      <c r="J640" t="str">
        <f t="shared" ca="1" si="9"/>
        <v>Non UDO</v>
      </c>
    </row>
    <row r="641" spans="1:10" x14ac:dyDescent="0.35">
      <c r="A641" s="9" t="s">
        <v>22</v>
      </c>
      <c r="B641" s="10">
        <v>45170</v>
      </c>
      <c r="C641" s="11">
        <v>1639788</v>
      </c>
      <c r="D641" s="11">
        <v>1639788</v>
      </c>
      <c r="E641" s="11">
        <v>0</v>
      </c>
      <c r="F641" t="str">
        <f>VLOOKUP(A641,[1]!Table1[#All],17,FALSE)</f>
        <v>JORDAN</v>
      </c>
      <c r="G641" t="str">
        <f>VLOOKUP(A641,[1]!Table1[#All],22,FALSE)</f>
        <v>Global Health Development</v>
      </c>
      <c r="H641" s="8">
        <f>VLOOKUP(A641,[1]!Table1[#All],32,FALSE)</f>
        <v>42901</v>
      </c>
      <c r="I641" s="8">
        <f>VLOOKUP(A641,[1]!Table1[#All],33,FALSE)</f>
        <v>44726</v>
      </c>
      <c r="J641" t="str">
        <f t="shared" ca="1" si="9"/>
        <v>Non UDO</v>
      </c>
    </row>
    <row r="642" spans="1:10" x14ac:dyDescent="0.35">
      <c r="A642" s="5" t="s">
        <v>23</v>
      </c>
      <c r="B642" s="6">
        <v>44105</v>
      </c>
      <c r="C642" s="7">
        <v>7150733</v>
      </c>
      <c r="D642" s="7">
        <v>2268571.2600000002</v>
      </c>
      <c r="E642" s="7">
        <v>4882161.74</v>
      </c>
      <c r="F642" t="str">
        <f>VLOOKUP(A642,[1]!Table1[#All],17,FALSE)</f>
        <v>UNITED STATES</v>
      </c>
      <c r="G642" t="str">
        <f>VLOOKUP(A642,[1]!Table1[#All],22,FALSE)</f>
        <v>Trustees Of Columbia University In The City Of New</v>
      </c>
      <c r="H642" s="8">
        <f>VLOOKUP(A642,[1]!Table1[#All],32,FALSE)</f>
        <v>43008</v>
      </c>
      <c r="I642" s="8">
        <f>VLOOKUP(A642,[1]!Table1[#All],33,FALSE)</f>
        <v>44833</v>
      </c>
      <c r="J642" t="str">
        <f t="shared" ca="1" si="9"/>
        <v>UDO</v>
      </c>
    </row>
    <row r="643" spans="1:10" x14ac:dyDescent="0.35">
      <c r="A643" s="9" t="s">
        <v>23</v>
      </c>
      <c r="B643" s="10">
        <v>44136</v>
      </c>
      <c r="C643" s="11">
        <v>7150733</v>
      </c>
      <c r="D643" s="11">
        <v>2519100.65</v>
      </c>
      <c r="E643" s="11">
        <v>4631632.3499999996</v>
      </c>
      <c r="F643" t="str">
        <f>VLOOKUP(A643,[1]!Table1[#All],17,FALSE)</f>
        <v>UNITED STATES</v>
      </c>
      <c r="G643" t="str">
        <f>VLOOKUP(A643,[1]!Table1[#All],22,FALSE)</f>
        <v>Trustees Of Columbia University In The City Of New</v>
      </c>
      <c r="H643" s="8">
        <f>VLOOKUP(A643,[1]!Table1[#All],32,FALSE)</f>
        <v>43008</v>
      </c>
      <c r="I643" s="8">
        <f>VLOOKUP(A643,[1]!Table1[#All],33,FALSE)</f>
        <v>44833</v>
      </c>
      <c r="J643" t="str">
        <f t="shared" ref="J643:J706" ca="1" si="10">IF(AND( E643&gt;0,TODAY()&gt;I643),"UDO","Non UDO")</f>
        <v>UDO</v>
      </c>
    </row>
    <row r="644" spans="1:10" x14ac:dyDescent="0.35">
      <c r="A644" s="5" t="s">
        <v>23</v>
      </c>
      <c r="B644" s="6">
        <v>44166</v>
      </c>
      <c r="C644" s="7">
        <v>7150733</v>
      </c>
      <c r="D644" s="7">
        <v>2835158.14</v>
      </c>
      <c r="E644" s="7">
        <v>4315574.8600000003</v>
      </c>
      <c r="F644" t="str">
        <f>VLOOKUP(A644,[1]!Table1[#All],17,FALSE)</f>
        <v>UNITED STATES</v>
      </c>
      <c r="G644" t="str">
        <f>VLOOKUP(A644,[1]!Table1[#All],22,FALSE)</f>
        <v>Trustees Of Columbia University In The City Of New</v>
      </c>
      <c r="H644" s="8">
        <f>VLOOKUP(A644,[1]!Table1[#All],32,FALSE)</f>
        <v>43008</v>
      </c>
      <c r="I644" s="8">
        <f>VLOOKUP(A644,[1]!Table1[#All],33,FALSE)</f>
        <v>44833</v>
      </c>
      <c r="J644" t="str">
        <f t="shared" ca="1" si="10"/>
        <v>UDO</v>
      </c>
    </row>
    <row r="645" spans="1:10" x14ac:dyDescent="0.35">
      <c r="A645" s="9" t="s">
        <v>23</v>
      </c>
      <c r="B645" s="10">
        <v>44197</v>
      </c>
      <c r="C645" s="11">
        <v>7150733</v>
      </c>
      <c r="D645" s="11">
        <v>3548965.37</v>
      </c>
      <c r="E645" s="11">
        <v>3601767.63</v>
      </c>
      <c r="F645" t="str">
        <f>VLOOKUP(A645,[1]!Table1[#All],17,FALSE)</f>
        <v>UNITED STATES</v>
      </c>
      <c r="G645" t="str">
        <f>VLOOKUP(A645,[1]!Table1[#All],22,FALSE)</f>
        <v>Trustees Of Columbia University In The City Of New</v>
      </c>
      <c r="H645" s="8">
        <f>VLOOKUP(A645,[1]!Table1[#All],32,FALSE)</f>
        <v>43008</v>
      </c>
      <c r="I645" s="8">
        <f>VLOOKUP(A645,[1]!Table1[#All],33,FALSE)</f>
        <v>44833</v>
      </c>
      <c r="J645" t="str">
        <f t="shared" ca="1" si="10"/>
        <v>UDO</v>
      </c>
    </row>
    <row r="646" spans="1:10" x14ac:dyDescent="0.35">
      <c r="A646" s="5" t="s">
        <v>23</v>
      </c>
      <c r="B646" s="6">
        <v>44228</v>
      </c>
      <c r="C646" s="7">
        <v>7150733</v>
      </c>
      <c r="D646" s="7">
        <v>3894563.89</v>
      </c>
      <c r="E646" s="7">
        <v>3256169.11</v>
      </c>
      <c r="F646" t="str">
        <f>VLOOKUP(A646,[1]!Table1[#All],17,FALSE)</f>
        <v>UNITED STATES</v>
      </c>
      <c r="G646" t="str">
        <f>VLOOKUP(A646,[1]!Table1[#All],22,FALSE)</f>
        <v>Trustees Of Columbia University In The City Of New</v>
      </c>
      <c r="H646" s="8">
        <f>VLOOKUP(A646,[1]!Table1[#All],32,FALSE)</f>
        <v>43008</v>
      </c>
      <c r="I646" s="8">
        <f>VLOOKUP(A646,[1]!Table1[#All],33,FALSE)</f>
        <v>44833</v>
      </c>
      <c r="J646" t="str">
        <f t="shared" ca="1" si="10"/>
        <v>UDO</v>
      </c>
    </row>
    <row r="647" spans="1:10" x14ac:dyDescent="0.35">
      <c r="A647" s="9" t="s">
        <v>23</v>
      </c>
      <c r="B647" s="10">
        <v>44256</v>
      </c>
      <c r="C647" s="11">
        <v>7150733</v>
      </c>
      <c r="D647" s="11">
        <v>4252015.45</v>
      </c>
      <c r="E647" s="11">
        <v>2898717.5500000003</v>
      </c>
      <c r="F647" t="str">
        <f>VLOOKUP(A647,[1]!Table1[#All],17,FALSE)</f>
        <v>UNITED STATES</v>
      </c>
      <c r="G647" t="str">
        <f>VLOOKUP(A647,[1]!Table1[#All],22,FALSE)</f>
        <v>Trustees Of Columbia University In The City Of New</v>
      </c>
      <c r="H647" s="8">
        <f>VLOOKUP(A647,[1]!Table1[#All],32,FALSE)</f>
        <v>43008</v>
      </c>
      <c r="I647" s="8">
        <f>VLOOKUP(A647,[1]!Table1[#All],33,FALSE)</f>
        <v>44833</v>
      </c>
      <c r="J647" t="str">
        <f t="shared" ca="1" si="10"/>
        <v>UDO</v>
      </c>
    </row>
    <row r="648" spans="1:10" x14ac:dyDescent="0.35">
      <c r="A648" s="5" t="s">
        <v>23</v>
      </c>
      <c r="B648" s="6">
        <v>44317</v>
      </c>
      <c r="C648" s="7">
        <v>7150733</v>
      </c>
      <c r="D648" s="7">
        <v>4938706.83</v>
      </c>
      <c r="E648" s="7">
        <v>2212026.17</v>
      </c>
      <c r="F648" t="str">
        <f>VLOOKUP(A648,[1]!Table1[#All],17,FALSE)</f>
        <v>UNITED STATES</v>
      </c>
      <c r="G648" t="str">
        <f>VLOOKUP(A648,[1]!Table1[#All],22,FALSE)</f>
        <v>Trustees Of Columbia University In The City Of New</v>
      </c>
      <c r="H648" s="8">
        <f>VLOOKUP(A648,[1]!Table1[#All],32,FALSE)</f>
        <v>43008</v>
      </c>
      <c r="I648" s="8">
        <f>VLOOKUP(A648,[1]!Table1[#All],33,FALSE)</f>
        <v>44833</v>
      </c>
      <c r="J648" t="str">
        <f t="shared" ca="1" si="10"/>
        <v>UDO</v>
      </c>
    </row>
    <row r="649" spans="1:10" x14ac:dyDescent="0.35">
      <c r="A649" s="9" t="s">
        <v>23</v>
      </c>
      <c r="B649" s="10">
        <v>44348</v>
      </c>
      <c r="C649" s="11">
        <v>7150733</v>
      </c>
      <c r="D649" s="11">
        <v>5519953.6200000001</v>
      </c>
      <c r="E649" s="11">
        <v>1630779.38</v>
      </c>
      <c r="F649" t="str">
        <f>VLOOKUP(A649,[1]!Table1[#All],17,FALSE)</f>
        <v>UNITED STATES</v>
      </c>
      <c r="G649" t="str">
        <f>VLOOKUP(A649,[1]!Table1[#All],22,FALSE)</f>
        <v>Trustees Of Columbia University In The City Of New</v>
      </c>
      <c r="H649" s="8">
        <f>VLOOKUP(A649,[1]!Table1[#All],32,FALSE)</f>
        <v>43008</v>
      </c>
      <c r="I649" s="8">
        <f>VLOOKUP(A649,[1]!Table1[#All],33,FALSE)</f>
        <v>44833</v>
      </c>
      <c r="J649" t="str">
        <f t="shared" ca="1" si="10"/>
        <v>UDO</v>
      </c>
    </row>
    <row r="650" spans="1:10" x14ac:dyDescent="0.35">
      <c r="A650" s="5" t="s">
        <v>23</v>
      </c>
      <c r="B650" s="6">
        <v>44378</v>
      </c>
      <c r="C650" s="7">
        <v>7150733</v>
      </c>
      <c r="D650" s="7">
        <v>5915914.3100000005</v>
      </c>
      <c r="E650" s="7">
        <v>1234818.69</v>
      </c>
      <c r="F650" t="str">
        <f>VLOOKUP(A650,[1]!Table1[#All],17,FALSE)</f>
        <v>UNITED STATES</v>
      </c>
      <c r="G650" t="str">
        <f>VLOOKUP(A650,[1]!Table1[#All],22,FALSE)</f>
        <v>Trustees Of Columbia University In The City Of New</v>
      </c>
      <c r="H650" s="8">
        <f>VLOOKUP(A650,[1]!Table1[#All],32,FALSE)</f>
        <v>43008</v>
      </c>
      <c r="I650" s="8">
        <f>VLOOKUP(A650,[1]!Table1[#All],33,FALSE)</f>
        <v>44833</v>
      </c>
      <c r="J650" t="str">
        <f t="shared" ca="1" si="10"/>
        <v>UDO</v>
      </c>
    </row>
    <row r="651" spans="1:10" x14ac:dyDescent="0.35">
      <c r="A651" s="9" t="s">
        <v>23</v>
      </c>
      <c r="B651" s="10">
        <v>44409</v>
      </c>
      <c r="C651" s="11">
        <v>7150733</v>
      </c>
      <c r="D651" s="11">
        <v>6171240.6099999994</v>
      </c>
      <c r="E651" s="11">
        <v>979492.39</v>
      </c>
      <c r="F651" t="str">
        <f>VLOOKUP(A651,[1]!Table1[#All],17,FALSE)</f>
        <v>UNITED STATES</v>
      </c>
      <c r="G651" t="str">
        <f>VLOOKUP(A651,[1]!Table1[#All],22,FALSE)</f>
        <v>Trustees Of Columbia University In The City Of New</v>
      </c>
      <c r="H651" s="8">
        <f>VLOOKUP(A651,[1]!Table1[#All],32,FALSE)</f>
        <v>43008</v>
      </c>
      <c r="I651" s="8">
        <f>VLOOKUP(A651,[1]!Table1[#All],33,FALSE)</f>
        <v>44833</v>
      </c>
      <c r="J651" t="str">
        <f t="shared" ca="1" si="10"/>
        <v>UDO</v>
      </c>
    </row>
    <row r="652" spans="1:10" x14ac:dyDescent="0.35">
      <c r="A652" s="5" t="s">
        <v>23</v>
      </c>
      <c r="B652" s="6">
        <v>44440</v>
      </c>
      <c r="C652" s="7">
        <v>7150733</v>
      </c>
      <c r="D652" s="7">
        <v>7072464.8600000003</v>
      </c>
      <c r="E652" s="7">
        <v>78268.14</v>
      </c>
      <c r="F652" t="str">
        <f>VLOOKUP(A652,[1]!Table1[#All],17,FALSE)</f>
        <v>UNITED STATES</v>
      </c>
      <c r="G652" t="str">
        <f>VLOOKUP(A652,[1]!Table1[#All],22,FALSE)</f>
        <v>Trustees Of Columbia University In The City Of New</v>
      </c>
      <c r="H652" s="8">
        <f>VLOOKUP(A652,[1]!Table1[#All],32,FALSE)</f>
        <v>43008</v>
      </c>
      <c r="I652" s="8">
        <f>VLOOKUP(A652,[1]!Table1[#All],33,FALSE)</f>
        <v>44833</v>
      </c>
      <c r="J652" t="str">
        <f t="shared" ca="1" si="10"/>
        <v>UDO</v>
      </c>
    </row>
    <row r="653" spans="1:10" x14ac:dyDescent="0.35">
      <c r="A653" s="9" t="s">
        <v>23</v>
      </c>
      <c r="B653" s="10">
        <v>44470</v>
      </c>
      <c r="C653" s="11">
        <v>7150733</v>
      </c>
      <c r="D653" s="11">
        <v>7071967.8200000003</v>
      </c>
      <c r="E653" s="11">
        <v>78765.179999999993</v>
      </c>
      <c r="F653" t="str">
        <f>VLOOKUP(A653,[1]!Table1[#All],17,FALSE)</f>
        <v>UNITED STATES</v>
      </c>
      <c r="G653" t="str">
        <f>VLOOKUP(A653,[1]!Table1[#All],22,FALSE)</f>
        <v>Trustees Of Columbia University In The City Of New</v>
      </c>
      <c r="H653" s="8">
        <f>VLOOKUP(A653,[1]!Table1[#All],32,FALSE)</f>
        <v>43008</v>
      </c>
      <c r="I653" s="8">
        <f>VLOOKUP(A653,[1]!Table1[#All],33,FALSE)</f>
        <v>44833</v>
      </c>
      <c r="J653" t="str">
        <f t="shared" ca="1" si="10"/>
        <v>UDO</v>
      </c>
    </row>
    <row r="654" spans="1:10" x14ac:dyDescent="0.35">
      <c r="A654" s="5" t="s">
        <v>23</v>
      </c>
      <c r="B654" s="6">
        <v>44501</v>
      </c>
      <c r="C654" s="7">
        <v>7150733</v>
      </c>
      <c r="D654" s="7">
        <v>7071967.8200000003</v>
      </c>
      <c r="E654" s="7">
        <v>78765.179999999993</v>
      </c>
      <c r="F654" t="str">
        <f>VLOOKUP(A654,[1]!Table1[#All],17,FALSE)</f>
        <v>UNITED STATES</v>
      </c>
      <c r="G654" t="str">
        <f>VLOOKUP(A654,[1]!Table1[#All],22,FALSE)</f>
        <v>Trustees Of Columbia University In The City Of New</v>
      </c>
      <c r="H654" s="8">
        <f>VLOOKUP(A654,[1]!Table1[#All],32,FALSE)</f>
        <v>43008</v>
      </c>
      <c r="I654" s="8">
        <f>VLOOKUP(A654,[1]!Table1[#All],33,FALSE)</f>
        <v>44833</v>
      </c>
      <c r="J654" t="str">
        <f t="shared" ca="1" si="10"/>
        <v>UDO</v>
      </c>
    </row>
    <row r="655" spans="1:10" x14ac:dyDescent="0.35">
      <c r="A655" s="9" t="s">
        <v>23</v>
      </c>
      <c r="B655" s="10">
        <v>44531</v>
      </c>
      <c r="C655" s="11">
        <v>7150733</v>
      </c>
      <c r="D655" s="11">
        <v>7071967.8200000003</v>
      </c>
      <c r="E655" s="11">
        <v>78765.179999999993</v>
      </c>
      <c r="F655" t="str">
        <f>VLOOKUP(A655,[1]!Table1[#All],17,FALSE)</f>
        <v>UNITED STATES</v>
      </c>
      <c r="G655" t="str">
        <f>VLOOKUP(A655,[1]!Table1[#All],22,FALSE)</f>
        <v>Trustees Of Columbia University In The City Of New</v>
      </c>
      <c r="H655" s="8">
        <f>VLOOKUP(A655,[1]!Table1[#All],32,FALSE)</f>
        <v>43008</v>
      </c>
      <c r="I655" s="8">
        <f>VLOOKUP(A655,[1]!Table1[#All],33,FALSE)</f>
        <v>44833</v>
      </c>
      <c r="J655" t="str">
        <f t="shared" ca="1" si="10"/>
        <v>UDO</v>
      </c>
    </row>
    <row r="656" spans="1:10" x14ac:dyDescent="0.35">
      <c r="A656" s="5" t="s">
        <v>23</v>
      </c>
      <c r="B656" s="6">
        <v>44562</v>
      </c>
      <c r="C656" s="7">
        <v>7150733</v>
      </c>
      <c r="D656" s="7">
        <v>7071967.8200000003</v>
      </c>
      <c r="E656" s="7">
        <v>78765.179999999993</v>
      </c>
      <c r="F656" t="str">
        <f>VLOOKUP(A656,[1]!Table1[#All],17,FALSE)</f>
        <v>UNITED STATES</v>
      </c>
      <c r="G656" t="str">
        <f>VLOOKUP(A656,[1]!Table1[#All],22,FALSE)</f>
        <v>Trustees Of Columbia University In The City Of New</v>
      </c>
      <c r="H656" s="8">
        <f>VLOOKUP(A656,[1]!Table1[#All],32,FALSE)</f>
        <v>43008</v>
      </c>
      <c r="I656" s="8">
        <f>VLOOKUP(A656,[1]!Table1[#All],33,FALSE)</f>
        <v>44833</v>
      </c>
      <c r="J656" t="str">
        <f t="shared" ca="1" si="10"/>
        <v>UDO</v>
      </c>
    </row>
    <row r="657" spans="1:10" x14ac:dyDescent="0.35">
      <c r="A657" s="9" t="s">
        <v>23</v>
      </c>
      <c r="B657" s="10">
        <v>44593</v>
      </c>
      <c r="C657" s="11">
        <v>7150733</v>
      </c>
      <c r="D657" s="11">
        <v>7071967.8200000003</v>
      </c>
      <c r="E657" s="11">
        <v>78765.179999999993</v>
      </c>
      <c r="F657" t="str">
        <f>VLOOKUP(A657,[1]!Table1[#All],17,FALSE)</f>
        <v>UNITED STATES</v>
      </c>
      <c r="G657" t="str">
        <f>VLOOKUP(A657,[1]!Table1[#All],22,FALSE)</f>
        <v>Trustees Of Columbia University In The City Of New</v>
      </c>
      <c r="H657" s="8">
        <f>VLOOKUP(A657,[1]!Table1[#All],32,FALSE)</f>
        <v>43008</v>
      </c>
      <c r="I657" s="8">
        <f>VLOOKUP(A657,[1]!Table1[#All],33,FALSE)</f>
        <v>44833</v>
      </c>
      <c r="J657" t="str">
        <f t="shared" ca="1" si="10"/>
        <v>UDO</v>
      </c>
    </row>
    <row r="658" spans="1:10" x14ac:dyDescent="0.35">
      <c r="A658" s="5" t="s">
        <v>23</v>
      </c>
      <c r="B658" s="6">
        <v>44621</v>
      </c>
      <c r="C658" s="7">
        <v>7150733</v>
      </c>
      <c r="D658" s="7">
        <v>7071967.8200000003</v>
      </c>
      <c r="E658" s="7">
        <v>78765.179999999993</v>
      </c>
      <c r="F658" t="str">
        <f>VLOOKUP(A658,[1]!Table1[#All],17,FALSE)</f>
        <v>UNITED STATES</v>
      </c>
      <c r="G658" t="str">
        <f>VLOOKUP(A658,[1]!Table1[#All],22,FALSE)</f>
        <v>Trustees Of Columbia University In The City Of New</v>
      </c>
      <c r="H658" s="8">
        <f>VLOOKUP(A658,[1]!Table1[#All],32,FALSE)</f>
        <v>43008</v>
      </c>
      <c r="I658" s="8">
        <f>VLOOKUP(A658,[1]!Table1[#All],33,FALSE)</f>
        <v>44833</v>
      </c>
      <c r="J658" t="str">
        <f t="shared" ca="1" si="10"/>
        <v>UDO</v>
      </c>
    </row>
    <row r="659" spans="1:10" x14ac:dyDescent="0.35">
      <c r="A659" s="9" t="s">
        <v>23</v>
      </c>
      <c r="B659" s="10">
        <v>44652</v>
      </c>
      <c r="C659" s="11">
        <v>7150733</v>
      </c>
      <c r="D659" s="11">
        <v>7071967.8200000003</v>
      </c>
      <c r="E659" s="11">
        <v>78765.179999999993</v>
      </c>
      <c r="F659" t="str">
        <f>VLOOKUP(A659,[1]!Table1[#All],17,FALSE)</f>
        <v>UNITED STATES</v>
      </c>
      <c r="G659" t="str">
        <f>VLOOKUP(A659,[1]!Table1[#All],22,FALSE)</f>
        <v>Trustees Of Columbia University In The City Of New</v>
      </c>
      <c r="H659" s="8">
        <f>VLOOKUP(A659,[1]!Table1[#All],32,FALSE)</f>
        <v>43008</v>
      </c>
      <c r="I659" s="8">
        <f>VLOOKUP(A659,[1]!Table1[#All],33,FALSE)</f>
        <v>44833</v>
      </c>
      <c r="J659" t="str">
        <f t="shared" ca="1" si="10"/>
        <v>UDO</v>
      </c>
    </row>
    <row r="660" spans="1:10" x14ac:dyDescent="0.35">
      <c r="A660" s="5" t="s">
        <v>23</v>
      </c>
      <c r="B660" s="6">
        <v>44682</v>
      </c>
      <c r="C660" s="7">
        <v>7150733</v>
      </c>
      <c r="D660" s="7">
        <v>7071967.8200000003</v>
      </c>
      <c r="E660" s="7">
        <v>78765.179999999993</v>
      </c>
      <c r="F660" t="str">
        <f>VLOOKUP(A660,[1]!Table1[#All],17,FALSE)</f>
        <v>UNITED STATES</v>
      </c>
      <c r="G660" t="str">
        <f>VLOOKUP(A660,[1]!Table1[#All],22,FALSE)</f>
        <v>Trustees Of Columbia University In The City Of New</v>
      </c>
      <c r="H660" s="8">
        <f>VLOOKUP(A660,[1]!Table1[#All],32,FALSE)</f>
        <v>43008</v>
      </c>
      <c r="I660" s="8">
        <f>VLOOKUP(A660,[1]!Table1[#All],33,FALSE)</f>
        <v>44833</v>
      </c>
      <c r="J660" t="str">
        <f t="shared" ca="1" si="10"/>
        <v>UDO</v>
      </c>
    </row>
    <row r="661" spans="1:10" x14ac:dyDescent="0.35">
      <c r="A661" s="9" t="s">
        <v>23</v>
      </c>
      <c r="B661" s="10">
        <v>44713</v>
      </c>
      <c r="C661" s="11">
        <v>7150733</v>
      </c>
      <c r="D661" s="11">
        <v>7071967.8200000003</v>
      </c>
      <c r="E661" s="11">
        <v>78765.179999999993</v>
      </c>
      <c r="F661" t="str">
        <f>VLOOKUP(A661,[1]!Table1[#All],17,FALSE)</f>
        <v>UNITED STATES</v>
      </c>
      <c r="G661" t="str">
        <f>VLOOKUP(A661,[1]!Table1[#All],22,FALSE)</f>
        <v>Trustees Of Columbia University In The City Of New</v>
      </c>
      <c r="H661" s="8">
        <f>VLOOKUP(A661,[1]!Table1[#All],32,FALSE)</f>
        <v>43008</v>
      </c>
      <c r="I661" s="8">
        <f>VLOOKUP(A661,[1]!Table1[#All],33,FALSE)</f>
        <v>44833</v>
      </c>
      <c r="J661" t="str">
        <f t="shared" ca="1" si="10"/>
        <v>UDO</v>
      </c>
    </row>
    <row r="662" spans="1:10" x14ac:dyDescent="0.35">
      <c r="A662" s="5" t="s">
        <v>23</v>
      </c>
      <c r="B662" s="6">
        <v>44743</v>
      </c>
      <c r="C662" s="7">
        <v>7150733</v>
      </c>
      <c r="D662" s="7">
        <v>7071967.8200000003</v>
      </c>
      <c r="E662" s="7">
        <v>78765.179999999993</v>
      </c>
      <c r="F662" t="str">
        <f>VLOOKUP(A662,[1]!Table1[#All],17,FALSE)</f>
        <v>UNITED STATES</v>
      </c>
      <c r="G662" t="str">
        <f>VLOOKUP(A662,[1]!Table1[#All],22,FALSE)</f>
        <v>Trustees Of Columbia University In The City Of New</v>
      </c>
      <c r="H662" s="8">
        <f>VLOOKUP(A662,[1]!Table1[#All],32,FALSE)</f>
        <v>43008</v>
      </c>
      <c r="I662" s="8">
        <f>VLOOKUP(A662,[1]!Table1[#All],33,FALSE)</f>
        <v>44833</v>
      </c>
      <c r="J662" t="str">
        <f t="shared" ca="1" si="10"/>
        <v>UDO</v>
      </c>
    </row>
    <row r="663" spans="1:10" x14ac:dyDescent="0.35">
      <c r="A663" s="9" t="s">
        <v>23</v>
      </c>
      <c r="B663" s="10">
        <v>44774</v>
      </c>
      <c r="C663" s="11">
        <v>7150733</v>
      </c>
      <c r="D663" s="11">
        <v>7071967.8200000003</v>
      </c>
      <c r="E663" s="11">
        <v>78765.179999999993</v>
      </c>
      <c r="F663" t="str">
        <f>VLOOKUP(A663,[1]!Table1[#All],17,FALSE)</f>
        <v>UNITED STATES</v>
      </c>
      <c r="G663" t="str">
        <f>VLOOKUP(A663,[1]!Table1[#All],22,FALSE)</f>
        <v>Trustees Of Columbia University In The City Of New</v>
      </c>
      <c r="H663" s="8">
        <f>VLOOKUP(A663,[1]!Table1[#All],32,FALSE)</f>
        <v>43008</v>
      </c>
      <c r="I663" s="8">
        <f>VLOOKUP(A663,[1]!Table1[#All],33,FALSE)</f>
        <v>44833</v>
      </c>
      <c r="J663" t="str">
        <f t="shared" ca="1" si="10"/>
        <v>UDO</v>
      </c>
    </row>
    <row r="664" spans="1:10" x14ac:dyDescent="0.35">
      <c r="A664" s="5" t="s">
        <v>23</v>
      </c>
      <c r="B664" s="6">
        <v>44805</v>
      </c>
      <c r="C664" s="7">
        <v>7150733</v>
      </c>
      <c r="D664" s="7">
        <v>7071967.8200000003</v>
      </c>
      <c r="E664" s="7">
        <v>78765.179999999993</v>
      </c>
      <c r="F664" t="str">
        <f>VLOOKUP(A664,[1]!Table1[#All],17,FALSE)</f>
        <v>UNITED STATES</v>
      </c>
      <c r="G664" t="str">
        <f>VLOOKUP(A664,[1]!Table1[#All],22,FALSE)</f>
        <v>Trustees Of Columbia University In The City Of New</v>
      </c>
      <c r="H664" s="8">
        <f>VLOOKUP(A664,[1]!Table1[#All],32,FALSE)</f>
        <v>43008</v>
      </c>
      <c r="I664" s="8">
        <f>VLOOKUP(A664,[1]!Table1[#All],33,FALSE)</f>
        <v>44833</v>
      </c>
      <c r="J664" t="str">
        <f t="shared" ca="1" si="10"/>
        <v>UDO</v>
      </c>
    </row>
    <row r="665" spans="1:10" x14ac:dyDescent="0.35">
      <c r="A665" s="9" t="s">
        <v>23</v>
      </c>
      <c r="B665" s="10">
        <v>44835</v>
      </c>
      <c r="C665" s="11">
        <v>7150733</v>
      </c>
      <c r="D665" s="11">
        <v>7071967.8200000003</v>
      </c>
      <c r="E665" s="11">
        <v>78765.179999999993</v>
      </c>
      <c r="F665" t="str">
        <f>VLOOKUP(A665,[1]!Table1[#All],17,FALSE)</f>
        <v>UNITED STATES</v>
      </c>
      <c r="G665" t="str">
        <f>VLOOKUP(A665,[1]!Table1[#All],22,FALSE)</f>
        <v>Trustees Of Columbia University In The City Of New</v>
      </c>
      <c r="H665" s="8">
        <f>VLOOKUP(A665,[1]!Table1[#All],32,FALSE)</f>
        <v>43008</v>
      </c>
      <c r="I665" s="8">
        <f>VLOOKUP(A665,[1]!Table1[#All],33,FALSE)</f>
        <v>44833</v>
      </c>
      <c r="J665" t="str">
        <f t="shared" ca="1" si="10"/>
        <v>UDO</v>
      </c>
    </row>
    <row r="666" spans="1:10" x14ac:dyDescent="0.35">
      <c r="A666" s="5" t="s">
        <v>23</v>
      </c>
      <c r="B666" s="6">
        <v>44866</v>
      </c>
      <c r="C666" s="7">
        <v>7150733</v>
      </c>
      <c r="D666" s="7">
        <v>7071967.8200000003</v>
      </c>
      <c r="E666" s="7">
        <v>78765.179999999993</v>
      </c>
      <c r="F666" t="str">
        <f>VLOOKUP(A666,[1]!Table1[#All],17,FALSE)</f>
        <v>UNITED STATES</v>
      </c>
      <c r="G666" t="str">
        <f>VLOOKUP(A666,[1]!Table1[#All],22,FALSE)</f>
        <v>Trustees Of Columbia University In The City Of New</v>
      </c>
      <c r="H666" s="8">
        <f>VLOOKUP(A666,[1]!Table1[#All],32,FALSE)</f>
        <v>43008</v>
      </c>
      <c r="I666" s="8">
        <f>VLOOKUP(A666,[1]!Table1[#All],33,FALSE)</f>
        <v>44833</v>
      </c>
      <c r="J666" t="str">
        <f t="shared" ca="1" si="10"/>
        <v>UDO</v>
      </c>
    </row>
    <row r="667" spans="1:10" x14ac:dyDescent="0.35">
      <c r="A667" s="9" t="s">
        <v>23</v>
      </c>
      <c r="B667" s="10">
        <v>44896</v>
      </c>
      <c r="C667" s="11">
        <v>7150733</v>
      </c>
      <c r="D667" s="11">
        <v>7071967.8200000003</v>
      </c>
      <c r="E667" s="11">
        <v>78765.179999999993</v>
      </c>
      <c r="F667" t="str">
        <f>VLOOKUP(A667,[1]!Table1[#All],17,FALSE)</f>
        <v>UNITED STATES</v>
      </c>
      <c r="G667" t="str">
        <f>VLOOKUP(A667,[1]!Table1[#All],22,FALSE)</f>
        <v>Trustees Of Columbia University In The City Of New</v>
      </c>
      <c r="H667" s="8">
        <f>VLOOKUP(A667,[1]!Table1[#All],32,FALSE)</f>
        <v>43008</v>
      </c>
      <c r="I667" s="8">
        <f>VLOOKUP(A667,[1]!Table1[#All],33,FALSE)</f>
        <v>44833</v>
      </c>
      <c r="J667" t="str">
        <f t="shared" ca="1" si="10"/>
        <v>UDO</v>
      </c>
    </row>
    <row r="668" spans="1:10" x14ac:dyDescent="0.35">
      <c r="A668" s="5" t="s">
        <v>23</v>
      </c>
      <c r="B668" s="6">
        <v>44927</v>
      </c>
      <c r="C668" s="7">
        <v>7150733</v>
      </c>
      <c r="D668" s="7">
        <v>7078609.6699999999</v>
      </c>
      <c r="E668" s="7">
        <v>72123.33</v>
      </c>
      <c r="F668" t="str">
        <f>VLOOKUP(A668,[1]!Table1[#All],17,FALSE)</f>
        <v>UNITED STATES</v>
      </c>
      <c r="G668" t="str">
        <f>VLOOKUP(A668,[1]!Table1[#All],22,FALSE)</f>
        <v>Trustees Of Columbia University In The City Of New</v>
      </c>
      <c r="H668" s="8">
        <f>VLOOKUP(A668,[1]!Table1[#All],32,FALSE)</f>
        <v>43008</v>
      </c>
      <c r="I668" s="8">
        <f>VLOOKUP(A668,[1]!Table1[#All],33,FALSE)</f>
        <v>44833</v>
      </c>
      <c r="J668" t="str">
        <f t="shared" ca="1" si="10"/>
        <v>UDO</v>
      </c>
    </row>
    <row r="669" spans="1:10" x14ac:dyDescent="0.35">
      <c r="A669" s="9" t="s">
        <v>23</v>
      </c>
      <c r="B669" s="10">
        <v>44958</v>
      </c>
      <c r="C669" s="11">
        <v>7150733</v>
      </c>
      <c r="D669" s="11">
        <v>7085002.8200000003</v>
      </c>
      <c r="E669" s="11">
        <v>65730.179999999993</v>
      </c>
      <c r="F669" t="str">
        <f>VLOOKUP(A669,[1]!Table1[#All],17,FALSE)</f>
        <v>UNITED STATES</v>
      </c>
      <c r="G669" t="str">
        <f>VLOOKUP(A669,[1]!Table1[#All],22,FALSE)</f>
        <v>Trustees Of Columbia University In The City Of New</v>
      </c>
      <c r="H669" s="8">
        <f>VLOOKUP(A669,[1]!Table1[#All],32,FALSE)</f>
        <v>43008</v>
      </c>
      <c r="I669" s="8">
        <f>VLOOKUP(A669,[1]!Table1[#All],33,FALSE)</f>
        <v>44833</v>
      </c>
      <c r="J669" t="str">
        <f t="shared" ca="1" si="10"/>
        <v>UDO</v>
      </c>
    </row>
    <row r="670" spans="1:10" x14ac:dyDescent="0.35">
      <c r="A670" s="5" t="s">
        <v>23</v>
      </c>
      <c r="B670" s="6">
        <v>44986</v>
      </c>
      <c r="C670" s="7">
        <v>7150733</v>
      </c>
      <c r="D670" s="7">
        <v>7087838.7400000002</v>
      </c>
      <c r="E670" s="7">
        <v>62894.26</v>
      </c>
      <c r="F670" t="str">
        <f>VLOOKUP(A670,[1]!Table1[#All],17,FALSE)</f>
        <v>UNITED STATES</v>
      </c>
      <c r="G670" t="str">
        <f>VLOOKUP(A670,[1]!Table1[#All],22,FALSE)</f>
        <v>Trustees Of Columbia University In The City Of New</v>
      </c>
      <c r="H670" s="8">
        <f>VLOOKUP(A670,[1]!Table1[#All],32,FALSE)</f>
        <v>43008</v>
      </c>
      <c r="I670" s="8">
        <f>VLOOKUP(A670,[1]!Table1[#All],33,FALSE)</f>
        <v>44833</v>
      </c>
      <c r="J670" t="str">
        <f t="shared" ca="1" si="10"/>
        <v>UDO</v>
      </c>
    </row>
    <row r="671" spans="1:10" x14ac:dyDescent="0.35">
      <c r="A671" s="9" t="s">
        <v>23</v>
      </c>
      <c r="B671" s="10">
        <v>45017</v>
      </c>
      <c r="C671" s="11">
        <v>7150733</v>
      </c>
      <c r="D671" s="11">
        <v>7093530.8300000001</v>
      </c>
      <c r="E671" s="11">
        <v>57202.17</v>
      </c>
      <c r="F671" t="str">
        <f>VLOOKUP(A671,[1]!Table1[#All],17,FALSE)</f>
        <v>UNITED STATES</v>
      </c>
      <c r="G671" t="str">
        <f>VLOOKUP(A671,[1]!Table1[#All],22,FALSE)</f>
        <v>Trustees Of Columbia University In The City Of New</v>
      </c>
      <c r="H671" s="8">
        <f>VLOOKUP(A671,[1]!Table1[#All],32,FALSE)</f>
        <v>43008</v>
      </c>
      <c r="I671" s="8">
        <f>VLOOKUP(A671,[1]!Table1[#All],33,FALSE)</f>
        <v>44833</v>
      </c>
      <c r="J671" t="str">
        <f t="shared" ca="1" si="10"/>
        <v>UDO</v>
      </c>
    </row>
    <row r="672" spans="1:10" x14ac:dyDescent="0.35">
      <c r="A672" s="5" t="s">
        <v>23</v>
      </c>
      <c r="B672" s="6">
        <v>45047</v>
      </c>
      <c r="C672" s="7">
        <v>7150733</v>
      </c>
      <c r="D672" s="7">
        <v>7109026.6100000003</v>
      </c>
      <c r="E672" s="7">
        <v>41706.39</v>
      </c>
      <c r="F672" t="str">
        <f>VLOOKUP(A672,[1]!Table1[#All],17,FALSE)</f>
        <v>UNITED STATES</v>
      </c>
      <c r="G672" t="str">
        <f>VLOOKUP(A672,[1]!Table1[#All],22,FALSE)</f>
        <v>Trustees Of Columbia University In The City Of New</v>
      </c>
      <c r="H672" s="8">
        <f>VLOOKUP(A672,[1]!Table1[#All],32,FALSE)</f>
        <v>43008</v>
      </c>
      <c r="I672" s="8">
        <f>VLOOKUP(A672,[1]!Table1[#All],33,FALSE)</f>
        <v>44833</v>
      </c>
      <c r="J672" t="str">
        <f t="shared" ca="1" si="10"/>
        <v>UDO</v>
      </c>
    </row>
    <row r="673" spans="1:10" x14ac:dyDescent="0.35">
      <c r="A673" s="9" t="s">
        <v>23</v>
      </c>
      <c r="B673" s="10">
        <v>45078</v>
      </c>
      <c r="C673" s="11">
        <v>7150733</v>
      </c>
      <c r="D673" s="11">
        <v>7121647.0199999996</v>
      </c>
      <c r="E673" s="11">
        <v>29085.98</v>
      </c>
      <c r="F673" t="str">
        <f>VLOOKUP(A673,[1]!Table1[#All],17,FALSE)</f>
        <v>UNITED STATES</v>
      </c>
      <c r="G673" t="str">
        <f>VLOOKUP(A673,[1]!Table1[#All],22,FALSE)</f>
        <v>Trustees Of Columbia University In The City Of New</v>
      </c>
      <c r="H673" s="8">
        <f>VLOOKUP(A673,[1]!Table1[#All],32,FALSE)</f>
        <v>43008</v>
      </c>
      <c r="I673" s="8">
        <f>VLOOKUP(A673,[1]!Table1[#All],33,FALSE)</f>
        <v>44833</v>
      </c>
      <c r="J673" t="str">
        <f t="shared" ca="1" si="10"/>
        <v>UDO</v>
      </c>
    </row>
    <row r="674" spans="1:10" x14ac:dyDescent="0.35">
      <c r="A674" s="5" t="s">
        <v>23</v>
      </c>
      <c r="B674" s="6">
        <v>45108</v>
      </c>
      <c r="C674" s="7">
        <v>7150733</v>
      </c>
      <c r="D674" s="7">
        <v>7132435.0899999999</v>
      </c>
      <c r="E674" s="7">
        <v>18297.91</v>
      </c>
      <c r="F674" t="str">
        <f>VLOOKUP(A674,[1]!Table1[#All],17,FALSE)</f>
        <v>UNITED STATES</v>
      </c>
      <c r="G674" t="str">
        <f>VLOOKUP(A674,[1]!Table1[#All],22,FALSE)</f>
        <v>Trustees Of Columbia University In The City Of New</v>
      </c>
      <c r="H674" s="8">
        <f>VLOOKUP(A674,[1]!Table1[#All],32,FALSE)</f>
        <v>43008</v>
      </c>
      <c r="I674" s="8">
        <f>VLOOKUP(A674,[1]!Table1[#All],33,FALSE)</f>
        <v>44833</v>
      </c>
      <c r="J674" t="str">
        <f t="shared" ca="1" si="10"/>
        <v>UDO</v>
      </c>
    </row>
    <row r="675" spans="1:10" x14ac:dyDescent="0.35">
      <c r="A675" s="9" t="s">
        <v>23</v>
      </c>
      <c r="B675" s="10">
        <v>45139</v>
      </c>
      <c r="C675" s="11">
        <v>7150733</v>
      </c>
      <c r="D675" s="11">
        <v>7138143.5599999996</v>
      </c>
      <c r="E675" s="11">
        <v>12589.44</v>
      </c>
      <c r="F675" t="str">
        <f>VLOOKUP(A675,[1]!Table1[#All],17,FALSE)</f>
        <v>UNITED STATES</v>
      </c>
      <c r="G675" t="str">
        <f>VLOOKUP(A675,[1]!Table1[#All],22,FALSE)</f>
        <v>Trustees Of Columbia University In The City Of New</v>
      </c>
      <c r="H675" s="8">
        <f>VLOOKUP(A675,[1]!Table1[#All],32,FALSE)</f>
        <v>43008</v>
      </c>
      <c r="I675" s="8">
        <f>VLOOKUP(A675,[1]!Table1[#All],33,FALSE)</f>
        <v>44833</v>
      </c>
      <c r="J675" t="str">
        <f t="shared" ca="1" si="10"/>
        <v>UDO</v>
      </c>
    </row>
    <row r="676" spans="1:10" x14ac:dyDescent="0.35">
      <c r="A676" s="5" t="s">
        <v>23</v>
      </c>
      <c r="B676" s="6">
        <v>45170</v>
      </c>
      <c r="C676" s="7">
        <v>7150733</v>
      </c>
      <c r="D676" s="7">
        <v>7150733</v>
      </c>
      <c r="E676" s="7">
        <v>0</v>
      </c>
      <c r="F676" t="str">
        <f>VLOOKUP(A676,[1]!Table1[#All],17,FALSE)</f>
        <v>UNITED STATES</v>
      </c>
      <c r="G676" t="str">
        <f>VLOOKUP(A676,[1]!Table1[#All],22,FALSE)</f>
        <v>Trustees Of Columbia University In The City Of New</v>
      </c>
      <c r="H676" s="8">
        <f>VLOOKUP(A676,[1]!Table1[#All],32,FALSE)</f>
        <v>43008</v>
      </c>
      <c r="I676" s="8">
        <f>VLOOKUP(A676,[1]!Table1[#All],33,FALSE)</f>
        <v>44833</v>
      </c>
      <c r="J676" t="str">
        <f t="shared" ca="1" si="10"/>
        <v>Non UDO</v>
      </c>
    </row>
    <row r="677" spans="1:10" x14ac:dyDescent="0.35">
      <c r="A677" s="9" t="s">
        <v>24</v>
      </c>
      <c r="B677" s="10">
        <v>44531</v>
      </c>
      <c r="C677" s="11">
        <v>4099878</v>
      </c>
      <c r="D677" s="11">
        <v>0</v>
      </c>
      <c r="E677" s="11">
        <v>4099878</v>
      </c>
      <c r="F677" t="str">
        <f>VLOOKUP(A677,[1]!Table1[#All],17,FALSE)</f>
        <v>UNITED STATES</v>
      </c>
      <c r="G677" t="str">
        <f>VLOOKUP(A677,[1]!Table1[#All],22,FALSE)</f>
        <v>Trustees Of Columbia University In The City Of New York</v>
      </c>
      <c r="H677" s="8">
        <f>VLOOKUP(A677,[1]!Table1[#All],32,FALSE)</f>
        <v>43008</v>
      </c>
      <c r="I677" s="8">
        <f>VLOOKUP(A677,[1]!Table1[#All],33,FALSE)</f>
        <v>45198</v>
      </c>
      <c r="J677" t="str">
        <f t="shared" ca="1" si="10"/>
        <v>UDO</v>
      </c>
    </row>
    <row r="678" spans="1:10" x14ac:dyDescent="0.35">
      <c r="A678" s="5" t="s">
        <v>24</v>
      </c>
      <c r="B678" s="6">
        <v>44562</v>
      </c>
      <c r="C678" s="7">
        <v>4099878</v>
      </c>
      <c r="D678" s="7">
        <v>0</v>
      </c>
      <c r="E678" s="7">
        <v>4099878</v>
      </c>
      <c r="F678" t="str">
        <f>VLOOKUP(A678,[1]!Table1[#All],17,FALSE)</f>
        <v>UNITED STATES</v>
      </c>
      <c r="G678" t="str">
        <f>VLOOKUP(A678,[1]!Table1[#All],22,FALSE)</f>
        <v>Trustees Of Columbia University In The City Of New York</v>
      </c>
      <c r="H678" s="8">
        <f>VLOOKUP(A678,[1]!Table1[#All],32,FALSE)</f>
        <v>43008</v>
      </c>
      <c r="I678" s="8">
        <f>VLOOKUP(A678,[1]!Table1[#All],33,FALSE)</f>
        <v>45198</v>
      </c>
      <c r="J678" t="str">
        <f t="shared" ca="1" si="10"/>
        <v>UDO</v>
      </c>
    </row>
    <row r="679" spans="1:10" x14ac:dyDescent="0.35">
      <c r="A679" s="9" t="s">
        <v>24</v>
      </c>
      <c r="B679" s="10">
        <v>44593</v>
      </c>
      <c r="C679" s="11">
        <v>4099878</v>
      </c>
      <c r="D679" s="11">
        <v>0</v>
      </c>
      <c r="E679" s="11">
        <v>4099878</v>
      </c>
      <c r="F679" t="str">
        <f>VLOOKUP(A679,[1]!Table1[#All],17,FALSE)</f>
        <v>UNITED STATES</v>
      </c>
      <c r="G679" t="str">
        <f>VLOOKUP(A679,[1]!Table1[#All],22,FALSE)</f>
        <v>Trustees Of Columbia University In The City Of New York</v>
      </c>
      <c r="H679" s="8">
        <f>VLOOKUP(A679,[1]!Table1[#All],32,FALSE)</f>
        <v>43008</v>
      </c>
      <c r="I679" s="8">
        <f>VLOOKUP(A679,[1]!Table1[#All],33,FALSE)</f>
        <v>45198</v>
      </c>
      <c r="J679" t="str">
        <f t="shared" ca="1" si="10"/>
        <v>UDO</v>
      </c>
    </row>
    <row r="680" spans="1:10" x14ac:dyDescent="0.35">
      <c r="A680" s="5" t="s">
        <v>24</v>
      </c>
      <c r="B680" s="6">
        <v>44621</v>
      </c>
      <c r="C680" s="7">
        <v>4099878</v>
      </c>
      <c r="D680" s="7">
        <v>0</v>
      </c>
      <c r="E680" s="7">
        <v>4099878</v>
      </c>
      <c r="F680" t="str">
        <f>VLOOKUP(A680,[1]!Table1[#All],17,FALSE)</f>
        <v>UNITED STATES</v>
      </c>
      <c r="G680" t="str">
        <f>VLOOKUP(A680,[1]!Table1[#All],22,FALSE)</f>
        <v>Trustees Of Columbia University In The City Of New York</v>
      </c>
      <c r="H680" s="8">
        <f>VLOOKUP(A680,[1]!Table1[#All],32,FALSE)</f>
        <v>43008</v>
      </c>
      <c r="I680" s="8">
        <f>VLOOKUP(A680,[1]!Table1[#All],33,FALSE)</f>
        <v>45198</v>
      </c>
      <c r="J680" t="str">
        <f t="shared" ca="1" si="10"/>
        <v>UDO</v>
      </c>
    </row>
    <row r="681" spans="1:10" x14ac:dyDescent="0.35">
      <c r="A681" s="9" t="s">
        <v>24</v>
      </c>
      <c r="B681" s="10">
        <v>44652</v>
      </c>
      <c r="C681" s="11">
        <v>4099878</v>
      </c>
      <c r="D681" s="11">
        <v>0</v>
      </c>
      <c r="E681" s="11">
        <v>4099878</v>
      </c>
      <c r="F681" t="str">
        <f>VLOOKUP(A681,[1]!Table1[#All],17,FALSE)</f>
        <v>UNITED STATES</v>
      </c>
      <c r="G681" t="str">
        <f>VLOOKUP(A681,[1]!Table1[#All],22,FALSE)</f>
        <v>Trustees Of Columbia University In The City Of New York</v>
      </c>
      <c r="H681" s="8">
        <f>VLOOKUP(A681,[1]!Table1[#All],32,FALSE)</f>
        <v>43008</v>
      </c>
      <c r="I681" s="8">
        <f>VLOOKUP(A681,[1]!Table1[#All],33,FALSE)</f>
        <v>45198</v>
      </c>
      <c r="J681" t="str">
        <f t="shared" ca="1" si="10"/>
        <v>UDO</v>
      </c>
    </row>
    <row r="682" spans="1:10" x14ac:dyDescent="0.35">
      <c r="A682" s="5" t="s">
        <v>24</v>
      </c>
      <c r="B682" s="6">
        <v>44682</v>
      </c>
      <c r="C682" s="7">
        <v>4099878</v>
      </c>
      <c r="D682" s="7">
        <v>0</v>
      </c>
      <c r="E682" s="7">
        <v>4099878</v>
      </c>
      <c r="F682" t="str">
        <f>VLOOKUP(A682,[1]!Table1[#All],17,FALSE)</f>
        <v>UNITED STATES</v>
      </c>
      <c r="G682" t="str">
        <f>VLOOKUP(A682,[1]!Table1[#All],22,FALSE)</f>
        <v>Trustees Of Columbia University In The City Of New York</v>
      </c>
      <c r="H682" s="8">
        <f>VLOOKUP(A682,[1]!Table1[#All],32,FALSE)</f>
        <v>43008</v>
      </c>
      <c r="I682" s="8">
        <f>VLOOKUP(A682,[1]!Table1[#All],33,FALSE)</f>
        <v>45198</v>
      </c>
      <c r="J682" t="str">
        <f t="shared" ca="1" si="10"/>
        <v>UDO</v>
      </c>
    </row>
    <row r="683" spans="1:10" x14ac:dyDescent="0.35">
      <c r="A683" s="9" t="s">
        <v>24</v>
      </c>
      <c r="B683" s="10">
        <v>44713</v>
      </c>
      <c r="C683" s="11">
        <v>4099878</v>
      </c>
      <c r="D683" s="11">
        <v>0</v>
      </c>
      <c r="E683" s="11">
        <v>4099878</v>
      </c>
      <c r="F683" t="str">
        <f>VLOOKUP(A683,[1]!Table1[#All],17,FALSE)</f>
        <v>UNITED STATES</v>
      </c>
      <c r="G683" t="str">
        <f>VLOOKUP(A683,[1]!Table1[#All],22,FALSE)</f>
        <v>Trustees Of Columbia University In The City Of New York</v>
      </c>
      <c r="H683" s="8">
        <f>VLOOKUP(A683,[1]!Table1[#All],32,FALSE)</f>
        <v>43008</v>
      </c>
      <c r="I683" s="8">
        <f>VLOOKUP(A683,[1]!Table1[#All],33,FALSE)</f>
        <v>45198</v>
      </c>
      <c r="J683" t="str">
        <f t="shared" ca="1" si="10"/>
        <v>UDO</v>
      </c>
    </row>
    <row r="684" spans="1:10" x14ac:dyDescent="0.35">
      <c r="A684" s="5" t="s">
        <v>24</v>
      </c>
      <c r="B684" s="6">
        <v>44743</v>
      </c>
      <c r="C684" s="7">
        <v>4099878</v>
      </c>
      <c r="D684" s="7">
        <v>0</v>
      </c>
      <c r="E684" s="7">
        <v>4099878</v>
      </c>
      <c r="F684" t="str">
        <f>VLOOKUP(A684,[1]!Table1[#All],17,FALSE)</f>
        <v>UNITED STATES</v>
      </c>
      <c r="G684" t="str">
        <f>VLOOKUP(A684,[1]!Table1[#All],22,FALSE)</f>
        <v>Trustees Of Columbia University In The City Of New York</v>
      </c>
      <c r="H684" s="8">
        <f>VLOOKUP(A684,[1]!Table1[#All],32,FALSE)</f>
        <v>43008</v>
      </c>
      <c r="I684" s="8">
        <f>VLOOKUP(A684,[1]!Table1[#All],33,FALSE)</f>
        <v>45198</v>
      </c>
      <c r="J684" t="str">
        <f t="shared" ca="1" si="10"/>
        <v>UDO</v>
      </c>
    </row>
    <row r="685" spans="1:10" x14ac:dyDescent="0.35">
      <c r="A685" s="9" t="s">
        <v>24</v>
      </c>
      <c r="B685" s="10">
        <v>44774</v>
      </c>
      <c r="C685" s="11">
        <v>4099878</v>
      </c>
      <c r="D685" s="11">
        <v>17386.54</v>
      </c>
      <c r="E685" s="11">
        <v>4082491.46</v>
      </c>
      <c r="F685" t="str">
        <f>VLOOKUP(A685,[1]!Table1[#All],17,FALSE)</f>
        <v>UNITED STATES</v>
      </c>
      <c r="G685" t="str">
        <f>VLOOKUP(A685,[1]!Table1[#All],22,FALSE)</f>
        <v>Trustees Of Columbia University In The City Of New York</v>
      </c>
      <c r="H685" s="8">
        <f>VLOOKUP(A685,[1]!Table1[#All],32,FALSE)</f>
        <v>43008</v>
      </c>
      <c r="I685" s="8">
        <f>VLOOKUP(A685,[1]!Table1[#All],33,FALSE)</f>
        <v>45198</v>
      </c>
      <c r="J685" t="str">
        <f t="shared" ca="1" si="10"/>
        <v>UDO</v>
      </c>
    </row>
    <row r="686" spans="1:10" x14ac:dyDescent="0.35">
      <c r="A686" s="5" t="s">
        <v>24</v>
      </c>
      <c r="B686" s="6">
        <v>44805</v>
      </c>
      <c r="C686" s="7">
        <v>4099878</v>
      </c>
      <c r="D686" s="7">
        <v>2977171.08</v>
      </c>
      <c r="E686" s="7">
        <v>1122706.92</v>
      </c>
      <c r="F686" t="str">
        <f>VLOOKUP(A686,[1]!Table1[#All],17,FALSE)</f>
        <v>UNITED STATES</v>
      </c>
      <c r="G686" t="str">
        <f>VLOOKUP(A686,[1]!Table1[#All],22,FALSE)</f>
        <v>Trustees Of Columbia University In The City Of New York</v>
      </c>
      <c r="H686" s="8">
        <f>VLOOKUP(A686,[1]!Table1[#All],32,FALSE)</f>
        <v>43008</v>
      </c>
      <c r="I686" s="8">
        <f>VLOOKUP(A686,[1]!Table1[#All],33,FALSE)</f>
        <v>45198</v>
      </c>
      <c r="J686" t="str">
        <f t="shared" ca="1" si="10"/>
        <v>UDO</v>
      </c>
    </row>
    <row r="687" spans="1:10" x14ac:dyDescent="0.35">
      <c r="A687" s="9" t="s">
        <v>24</v>
      </c>
      <c r="B687" s="10">
        <v>44835</v>
      </c>
      <c r="C687" s="11">
        <v>4099878</v>
      </c>
      <c r="D687" s="11">
        <v>2928714.89</v>
      </c>
      <c r="E687" s="11">
        <v>1171163.1100000001</v>
      </c>
      <c r="F687" t="str">
        <f>VLOOKUP(A687,[1]!Table1[#All],17,FALSE)</f>
        <v>UNITED STATES</v>
      </c>
      <c r="G687" t="str">
        <f>VLOOKUP(A687,[1]!Table1[#All],22,FALSE)</f>
        <v>Trustees Of Columbia University In The City Of New York</v>
      </c>
      <c r="H687" s="8">
        <f>VLOOKUP(A687,[1]!Table1[#All],32,FALSE)</f>
        <v>43008</v>
      </c>
      <c r="I687" s="8">
        <f>VLOOKUP(A687,[1]!Table1[#All],33,FALSE)</f>
        <v>45198</v>
      </c>
      <c r="J687" t="str">
        <f t="shared" ca="1" si="10"/>
        <v>UDO</v>
      </c>
    </row>
    <row r="688" spans="1:10" x14ac:dyDescent="0.35">
      <c r="A688" s="5" t="s">
        <v>24</v>
      </c>
      <c r="B688" s="6">
        <v>44866</v>
      </c>
      <c r="C688" s="7">
        <v>4099878</v>
      </c>
      <c r="D688" s="7">
        <v>3549980.19</v>
      </c>
      <c r="E688" s="7">
        <v>549897.81000000006</v>
      </c>
      <c r="F688" t="str">
        <f>VLOOKUP(A688,[1]!Table1[#All],17,FALSE)</f>
        <v>UNITED STATES</v>
      </c>
      <c r="G688" t="str">
        <f>VLOOKUP(A688,[1]!Table1[#All],22,FALSE)</f>
        <v>Trustees Of Columbia University In The City Of New York</v>
      </c>
      <c r="H688" s="8">
        <f>VLOOKUP(A688,[1]!Table1[#All],32,FALSE)</f>
        <v>43008</v>
      </c>
      <c r="I688" s="8">
        <f>VLOOKUP(A688,[1]!Table1[#All],33,FALSE)</f>
        <v>45198</v>
      </c>
      <c r="J688" t="str">
        <f t="shared" ca="1" si="10"/>
        <v>UDO</v>
      </c>
    </row>
    <row r="689" spans="1:10" x14ac:dyDescent="0.35">
      <c r="A689" s="9" t="s">
        <v>24</v>
      </c>
      <c r="B689" s="10">
        <v>44896</v>
      </c>
      <c r="C689" s="11">
        <v>4099878</v>
      </c>
      <c r="D689" s="11">
        <v>3603501.31</v>
      </c>
      <c r="E689" s="11">
        <v>496376.68999999994</v>
      </c>
      <c r="F689" t="str">
        <f>VLOOKUP(A689,[1]!Table1[#All],17,FALSE)</f>
        <v>UNITED STATES</v>
      </c>
      <c r="G689" t="str">
        <f>VLOOKUP(A689,[1]!Table1[#All],22,FALSE)</f>
        <v>Trustees Of Columbia University In The City Of New York</v>
      </c>
      <c r="H689" s="8">
        <f>VLOOKUP(A689,[1]!Table1[#All],32,FALSE)</f>
        <v>43008</v>
      </c>
      <c r="I689" s="8">
        <f>VLOOKUP(A689,[1]!Table1[#All],33,FALSE)</f>
        <v>45198</v>
      </c>
      <c r="J689" t="str">
        <f t="shared" ca="1" si="10"/>
        <v>UDO</v>
      </c>
    </row>
    <row r="690" spans="1:10" x14ac:dyDescent="0.35">
      <c r="A690" s="5" t="s">
        <v>24</v>
      </c>
      <c r="B690" s="6">
        <v>44927</v>
      </c>
      <c r="C690" s="7">
        <v>4099878</v>
      </c>
      <c r="D690" s="7">
        <v>3603595.42</v>
      </c>
      <c r="E690" s="7">
        <v>496282.57999999996</v>
      </c>
      <c r="F690" t="str">
        <f>VLOOKUP(A690,[1]!Table1[#All],17,FALSE)</f>
        <v>UNITED STATES</v>
      </c>
      <c r="G690" t="str">
        <f>VLOOKUP(A690,[1]!Table1[#All],22,FALSE)</f>
        <v>Trustees Of Columbia University In The City Of New York</v>
      </c>
      <c r="H690" s="8">
        <f>VLOOKUP(A690,[1]!Table1[#All],32,FALSE)</f>
        <v>43008</v>
      </c>
      <c r="I690" s="8">
        <f>VLOOKUP(A690,[1]!Table1[#All],33,FALSE)</f>
        <v>45198</v>
      </c>
      <c r="J690" t="str">
        <f t="shared" ca="1" si="10"/>
        <v>UDO</v>
      </c>
    </row>
    <row r="691" spans="1:10" x14ac:dyDescent="0.35">
      <c r="A691" s="9" t="s">
        <v>24</v>
      </c>
      <c r="B691" s="10">
        <v>44958</v>
      </c>
      <c r="C691" s="11">
        <v>4099878</v>
      </c>
      <c r="D691" s="11">
        <v>3629125.19</v>
      </c>
      <c r="E691" s="11">
        <v>470752.81000000006</v>
      </c>
      <c r="F691" t="str">
        <f>VLOOKUP(A691,[1]!Table1[#All],17,FALSE)</f>
        <v>UNITED STATES</v>
      </c>
      <c r="G691" t="str">
        <f>VLOOKUP(A691,[1]!Table1[#All],22,FALSE)</f>
        <v>Trustees Of Columbia University In The City Of New York</v>
      </c>
      <c r="H691" s="8">
        <f>VLOOKUP(A691,[1]!Table1[#All],32,FALSE)</f>
        <v>43008</v>
      </c>
      <c r="I691" s="8">
        <f>VLOOKUP(A691,[1]!Table1[#All],33,FALSE)</f>
        <v>45198</v>
      </c>
      <c r="J691" t="str">
        <f t="shared" ca="1" si="10"/>
        <v>UDO</v>
      </c>
    </row>
    <row r="692" spans="1:10" x14ac:dyDescent="0.35">
      <c r="A692" s="5" t="s">
        <v>24</v>
      </c>
      <c r="B692" s="6">
        <v>44986</v>
      </c>
      <c r="C692" s="7">
        <v>4099878</v>
      </c>
      <c r="D692" s="7">
        <v>3633342.9400000004</v>
      </c>
      <c r="E692" s="7">
        <v>466535.06</v>
      </c>
      <c r="F692" t="str">
        <f>VLOOKUP(A692,[1]!Table1[#All],17,FALSE)</f>
        <v>UNITED STATES</v>
      </c>
      <c r="G692" t="str">
        <f>VLOOKUP(A692,[1]!Table1[#All],22,FALSE)</f>
        <v>Trustees Of Columbia University In The City Of New York</v>
      </c>
      <c r="H692" s="8">
        <f>VLOOKUP(A692,[1]!Table1[#All],32,FALSE)</f>
        <v>43008</v>
      </c>
      <c r="I692" s="8">
        <f>VLOOKUP(A692,[1]!Table1[#All],33,FALSE)</f>
        <v>45198</v>
      </c>
      <c r="J692" t="str">
        <f t="shared" ca="1" si="10"/>
        <v>UDO</v>
      </c>
    </row>
    <row r="693" spans="1:10" x14ac:dyDescent="0.35">
      <c r="A693" s="9" t="s">
        <v>24</v>
      </c>
      <c r="B693" s="10">
        <v>45017</v>
      </c>
      <c r="C693" s="11">
        <v>4099878</v>
      </c>
      <c r="D693" s="11">
        <v>3647416.5100000002</v>
      </c>
      <c r="E693" s="11">
        <v>452461.49</v>
      </c>
      <c r="F693" t="str">
        <f>VLOOKUP(A693,[1]!Table1[#All],17,FALSE)</f>
        <v>UNITED STATES</v>
      </c>
      <c r="G693" t="str">
        <f>VLOOKUP(A693,[1]!Table1[#All],22,FALSE)</f>
        <v>Trustees Of Columbia University In The City Of New York</v>
      </c>
      <c r="H693" s="8">
        <f>VLOOKUP(A693,[1]!Table1[#All],32,FALSE)</f>
        <v>43008</v>
      </c>
      <c r="I693" s="8">
        <f>VLOOKUP(A693,[1]!Table1[#All],33,FALSE)</f>
        <v>45198</v>
      </c>
      <c r="J693" t="str">
        <f t="shared" ca="1" si="10"/>
        <v>UDO</v>
      </c>
    </row>
    <row r="694" spans="1:10" x14ac:dyDescent="0.35">
      <c r="A694" s="5" t="s">
        <v>24</v>
      </c>
      <c r="B694" s="6">
        <v>45047</v>
      </c>
      <c r="C694" s="7">
        <v>4099878</v>
      </c>
      <c r="D694" s="7">
        <v>3652960.2199999997</v>
      </c>
      <c r="E694" s="7">
        <v>446917.78</v>
      </c>
      <c r="F694" t="str">
        <f>VLOOKUP(A694,[1]!Table1[#All],17,FALSE)</f>
        <v>UNITED STATES</v>
      </c>
      <c r="G694" t="str">
        <f>VLOOKUP(A694,[1]!Table1[#All],22,FALSE)</f>
        <v>Trustees Of Columbia University In The City Of New York</v>
      </c>
      <c r="H694" s="8">
        <f>VLOOKUP(A694,[1]!Table1[#All],32,FALSE)</f>
        <v>43008</v>
      </c>
      <c r="I694" s="8">
        <f>VLOOKUP(A694,[1]!Table1[#All],33,FALSE)</f>
        <v>45198</v>
      </c>
      <c r="J694" t="str">
        <f t="shared" ca="1" si="10"/>
        <v>UDO</v>
      </c>
    </row>
    <row r="695" spans="1:10" x14ac:dyDescent="0.35">
      <c r="A695" s="9" t="s">
        <v>24</v>
      </c>
      <c r="B695" s="10">
        <v>45078</v>
      </c>
      <c r="C695" s="11">
        <v>4099878</v>
      </c>
      <c r="D695" s="11">
        <v>3717650.89</v>
      </c>
      <c r="E695" s="11">
        <v>382227.11</v>
      </c>
      <c r="F695" t="str">
        <f>VLOOKUP(A695,[1]!Table1[#All],17,FALSE)</f>
        <v>UNITED STATES</v>
      </c>
      <c r="G695" t="str">
        <f>VLOOKUP(A695,[1]!Table1[#All],22,FALSE)</f>
        <v>Trustees Of Columbia University In The City Of New York</v>
      </c>
      <c r="H695" s="8">
        <f>VLOOKUP(A695,[1]!Table1[#All],32,FALSE)</f>
        <v>43008</v>
      </c>
      <c r="I695" s="8">
        <f>VLOOKUP(A695,[1]!Table1[#All],33,FALSE)</f>
        <v>45198</v>
      </c>
      <c r="J695" t="str">
        <f t="shared" ca="1" si="10"/>
        <v>UDO</v>
      </c>
    </row>
    <row r="696" spans="1:10" x14ac:dyDescent="0.35">
      <c r="A696" s="5" t="s">
        <v>24</v>
      </c>
      <c r="B696" s="6">
        <v>45108</v>
      </c>
      <c r="C696" s="7">
        <v>4099878</v>
      </c>
      <c r="D696" s="7">
        <v>3787292.88</v>
      </c>
      <c r="E696" s="7">
        <v>312585.12</v>
      </c>
      <c r="F696" t="str">
        <f>VLOOKUP(A696,[1]!Table1[#All],17,FALSE)</f>
        <v>UNITED STATES</v>
      </c>
      <c r="G696" t="str">
        <f>VLOOKUP(A696,[1]!Table1[#All],22,FALSE)</f>
        <v>Trustees Of Columbia University In The City Of New York</v>
      </c>
      <c r="H696" s="8">
        <f>VLOOKUP(A696,[1]!Table1[#All],32,FALSE)</f>
        <v>43008</v>
      </c>
      <c r="I696" s="8">
        <f>VLOOKUP(A696,[1]!Table1[#All],33,FALSE)</f>
        <v>45198</v>
      </c>
      <c r="J696" t="str">
        <f t="shared" ca="1" si="10"/>
        <v>UDO</v>
      </c>
    </row>
    <row r="697" spans="1:10" x14ac:dyDescent="0.35">
      <c r="A697" s="9" t="s">
        <v>24</v>
      </c>
      <c r="B697" s="10">
        <v>45139</v>
      </c>
      <c r="C697" s="11">
        <v>4099878</v>
      </c>
      <c r="D697" s="11">
        <v>3809160.89</v>
      </c>
      <c r="E697" s="11">
        <v>290717.11</v>
      </c>
      <c r="F697" t="str">
        <f>VLOOKUP(A697,[1]!Table1[#All],17,FALSE)</f>
        <v>UNITED STATES</v>
      </c>
      <c r="G697" t="str">
        <f>VLOOKUP(A697,[1]!Table1[#All],22,FALSE)</f>
        <v>Trustees Of Columbia University In The City Of New York</v>
      </c>
      <c r="H697" s="8">
        <f>VLOOKUP(A697,[1]!Table1[#All],32,FALSE)</f>
        <v>43008</v>
      </c>
      <c r="I697" s="8">
        <f>VLOOKUP(A697,[1]!Table1[#All],33,FALSE)</f>
        <v>45198</v>
      </c>
      <c r="J697" t="str">
        <f t="shared" ca="1" si="10"/>
        <v>UDO</v>
      </c>
    </row>
    <row r="698" spans="1:10" x14ac:dyDescent="0.35">
      <c r="A698" s="5" t="s">
        <v>24</v>
      </c>
      <c r="B698" s="6">
        <v>45170</v>
      </c>
      <c r="C698" s="7">
        <v>4099878</v>
      </c>
      <c r="D698" s="7">
        <v>3875594.9299999997</v>
      </c>
      <c r="E698" s="7">
        <v>224283.06999999998</v>
      </c>
      <c r="F698" t="str">
        <f>VLOOKUP(A698,[1]!Table1[#All],17,FALSE)</f>
        <v>UNITED STATES</v>
      </c>
      <c r="G698" t="str">
        <f>VLOOKUP(A698,[1]!Table1[#All],22,FALSE)</f>
        <v>Trustees Of Columbia University In The City Of New York</v>
      </c>
      <c r="H698" s="8">
        <f>VLOOKUP(A698,[1]!Table1[#All],32,FALSE)</f>
        <v>43008</v>
      </c>
      <c r="I698" s="8">
        <f>VLOOKUP(A698,[1]!Table1[#All],33,FALSE)</f>
        <v>45198</v>
      </c>
      <c r="J698" t="str">
        <f t="shared" ca="1" si="10"/>
        <v>UDO</v>
      </c>
    </row>
    <row r="699" spans="1:10" x14ac:dyDescent="0.35">
      <c r="A699" s="9" t="s">
        <v>25</v>
      </c>
      <c r="B699" s="10">
        <v>44105</v>
      </c>
      <c r="C699" s="11">
        <v>9006886</v>
      </c>
      <c r="D699" s="11">
        <v>0</v>
      </c>
      <c r="E699" s="11">
        <v>9006886</v>
      </c>
      <c r="F699" t="str">
        <f>VLOOKUP(A699,[1]!Table1[#All],17,FALSE)</f>
        <v>UNITED STATES</v>
      </c>
      <c r="G699" t="str">
        <f>VLOOKUP(A699,[1]!Table1[#All],22,FALSE)</f>
        <v>PUBLIC HEALTH INSTITUTE</v>
      </c>
      <c r="H699" s="8">
        <f>VLOOKUP(A699,[1]!Table1[#All],32,FALSE)</f>
        <v>42962</v>
      </c>
      <c r="I699" s="8">
        <f>VLOOKUP(A699,[1]!Table1[#All],33,FALSE)</f>
        <v>44787</v>
      </c>
      <c r="J699" t="str">
        <f t="shared" ca="1" si="10"/>
        <v>UDO</v>
      </c>
    </row>
    <row r="700" spans="1:10" x14ac:dyDescent="0.35">
      <c r="A700" s="5" t="s">
        <v>25</v>
      </c>
      <c r="B700" s="6">
        <v>44136</v>
      </c>
      <c r="C700" s="7">
        <v>9006886</v>
      </c>
      <c r="D700" s="7">
        <v>458045.49</v>
      </c>
      <c r="E700" s="7">
        <v>8548840.5099999998</v>
      </c>
      <c r="F700" t="str">
        <f>VLOOKUP(A700,[1]!Table1[#All],17,FALSE)</f>
        <v>UNITED STATES</v>
      </c>
      <c r="G700" t="str">
        <f>VLOOKUP(A700,[1]!Table1[#All],22,FALSE)</f>
        <v>PUBLIC HEALTH INSTITUTE</v>
      </c>
      <c r="H700" s="8">
        <f>VLOOKUP(A700,[1]!Table1[#All],32,FALSE)</f>
        <v>42962</v>
      </c>
      <c r="I700" s="8">
        <f>VLOOKUP(A700,[1]!Table1[#All],33,FALSE)</f>
        <v>44787</v>
      </c>
      <c r="J700" t="str">
        <f t="shared" ca="1" si="10"/>
        <v>UDO</v>
      </c>
    </row>
    <row r="701" spans="1:10" x14ac:dyDescent="0.35">
      <c r="A701" s="9" t="s">
        <v>25</v>
      </c>
      <c r="B701" s="10">
        <v>44166</v>
      </c>
      <c r="C701" s="11">
        <v>9006886</v>
      </c>
      <c r="D701" s="11">
        <v>458045.49</v>
      </c>
      <c r="E701" s="11">
        <v>8548840.5099999998</v>
      </c>
      <c r="F701" t="str">
        <f>VLOOKUP(A701,[1]!Table1[#All],17,FALSE)</f>
        <v>UNITED STATES</v>
      </c>
      <c r="G701" t="str">
        <f>VLOOKUP(A701,[1]!Table1[#All],22,FALSE)</f>
        <v>PUBLIC HEALTH INSTITUTE</v>
      </c>
      <c r="H701" s="8">
        <f>VLOOKUP(A701,[1]!Table1[#All],32,FALSE)</f>
        <v>42962</v>
      </c>
      <c r="I701" s="8">
        <f>VLOOKUP(A701,[1]!Table1[#All],33,FALSE)</f>
        <v>44787</v>
      </c>
      <c r="J701" t="str">
        <f t="shared" ca="1" si="10"/>
        <v>UDO</v>
      </c>
    </row>
    <row r="702" spans="1:10" x14ac:dyDescent="0.35">
      <c r="A702" s="5" t="s">
        <v>25</v>
      </c>
      <c r="B702" s="6">
        <v>44197</v>
      </c>
      <c r="C702" s="7">
        <v>9006886</v>
      </c>
      <c r="D702" s="7">
        <v>595670.77999999991</v>
      </c>
      <c r="E702" s="7">
        <v>8411215.2199999988</v>
      </c>
      <c r="F702" t="str">
        <f>VLOOKUP(A702,[1]!Table1[#All],17,FALSE)</f>
        <v>UNITED STATES</v>
      </c>
      <c r="G702" t="str">
        <f>VLOOKUP(A702,[1]!Table1[#All],22,FALSE)</f>
        <v>PUBLIC HEALTH INSTITUTE</v>
      </c>
      <c r="H702" s="8">
        <f>VLOOKUP(A702,[1]!Table1[#All],32,FALSE)</f>
        <v>42962</v>
      </c>
      <c r="I702" s="8">
        <f>VLOOKUP(A702,[1]!Table1[#All],33,FALSE)</f>
        <v>44787</v>
      </c>
      <c r="J702" t="str">
        <f t="shared" ca="1" si="10"/>
        <v>UDO</v>
      </c>
    </row>
    <row r="703" spans="1:10" x14ac:dyDescent="0.35">
      <c r="A703" s="9" t="s">
        <v>25</v>
      </c>
      <c r="B703" s="10">
        <v>44228</v>
      </c>
      <c r="C703" s="11">
        <v>9006886</v>
      </c>
      <c r="D703" s="11">
        <v>884248.95999999985</v>
      </c>
      <c r="E703" s="11">
        <v>8122637.04</v>
      </c>
      <c r="F703" t="str">
        <f>VLOOKUP(A703,[1]!Table1[#All],17,FALSE)</f>
        <v>UNITED STATES</v>
      </c>
      <c r="G703" t="str">
        <f>VLOOKUP(A703,[1]!Table1[#All],22,FALSE)</f>
        <v>PUBLIC HEALTH INSTITUTE</v>
      </c>
      <c r="H703" s="8">
        <f>VLOOKUP(A703,[1]!Table1[#All],32,FALSE)</f>
        <v>42962</v>
      </c>
      <c r="I703" s="8">
        <f>VLOOKUP(A703,[1]!Table1[#All],33,FALSE)</f>
        <v>44787</v>
      </c>
      <c r="J703" t="str">
        <f t="shared" ca="1" si="10"/>
        <v>UDO</v>
      </c>
    </row>
    <row r="704" spans="1:10" x14ac:dyDescent="0.35">
      <c r="A704" s="5" t="s">
        <v>25</v>
      </c>
      <c r="B704" s="6">
        <v>44256</v>
      </c>
      <c r="C704" s="7">
        <v>9006886</v>
      </c>
      <c r="D704" s="7">
        <v>1365526.45</v>
      </c>
      <c r="E704" s="7">
        <v>7641359.5499999998</v>
      </c>
      <c r="F704" t="str">
        <f>VLOOKUP(A704,[1]!Table1[#All],17,FALSE)</f>
        <v>UNITED STATES</v>
      </c>
      <c r="G704" t="str">
        <f>VLOOKUP(A704,[1]!Table1[#All],22,FALSE)</f>
        <v>PUBLIC HEALTH INSTITUTE</v>
      </c>
      <c r="H704" s="8">
        <f>VLOOKUP(A704,[1]!Table1[#All],32,FALSE)</f>
        <v>42962</v>
      </c>
      <c r="I704" s="8">
        <f>VLOOKUP(A704,[1]!Table1[#All],33,FALSE)</f>
        <v>44787</v>
      </c>
      <c r="J704" t="str">
        <f t="shared" ca="1" si="10"/>
        <v>UDO</v>
      </c>
    </row>
    <row r="705" spans="1:10" x14ac:dyDescent="0.35">
      <c r="A705" s="9" t="s">
        <v>25</v>
      </c>
      <c r="B705" s="10">
        <v>44287</v>
      </c>
      <c r="C705" s="11">
        <v>9006886</v>
      </c>
      <c r="D705" s="11">
        <v>1365526.45</v>
      </c>
      <c r="E705" s="11">
        <v>7641359.5499999998</v>
      </c>
      <c r="F705" t="str">
        <f>VLOOKUP(A705,[1]!Table1[#All],17,FALSE)</f>
        <v>UNITED STATES</v>
      </c>
      <c r="G705" t="str">
        <f>VLOOKUP(A705,[1]!Table1[#All],22,FALSE)</f>
        <v>PUBLIC HEALTH INSTITUTE</v>
      </c>
      <c r="H705" s="8">
        <f>VLOOKUP(A705,[1]!Table1[#All],32,FALSE)</f>
        <v>42962</v>
      </c>
      <c r="I705" s="8">
        <f>VLOOKUP(A705,[1]!Table1[#All],33,FALSE)</f>
        <v>44787</v>
      </c>
      <c r="J705" t="str">
        <f t="shared" ca="1" si="10"/>
        <v>UDO</v>
      </c>
    </row>
    <row r="706" spans="1:10" x14ac:dyDescent="0.35">
      <c r="A706" s="5" t="s">
        <v>25</v>
      </c>
      <c r="B706" s="6">
        <v>44317</v>
      </c>
      <c r="C706" s="7">
        <v>9006886</v>
      </c>
      <c r="D706" s="7">
        <v>2426023.61</v>
      </c>
      <c r="E706" s="7">
        <v>6580862.3899999997</v>
      </c>
      <c r="F706" t="str">
        <f>VLOOKUP(A706,[1]!Table1[#All],17,FALSE)</f>
        <v>UNITED STATES</v>
      </c>
      <c r="G706" t="str">
        <f>VLOOKUP(A706,[1]!Table1[#All],22,FALSE)</f>
        <v>PUBLIC HEALTH INSTITUTE</v>
      </c>
      <c r="H706" s="8">
        <f>VLOOKUP(A706,[1]!Table1[#All],32,FALSE)</f>
        <v>42962</v>
      </c>
      <c r="I706" s="8">
        <f>VLOOKUP(A706,[1]!Table1[#All],33,FALSE)</f>
        <v>44787</v>
      </c>
      <c r="J706" t="str">
        <f t="shared" ca="1" si="10"/>
        <v>UDO</v>
      </c>
    </row>
    <row r="707" spans="1:10" x14ac:dyDescent="0.35">
      <c r="A707" s="9" t="s">
        <v>25</v>
      </c>
      <c r="B707" s="10">
        <v>44348</v>
      </c>
      <c r="C707" s="11">
        <v>9006886</v>
      </c>
      <c r="D707" s="11">
        <v>3440625.55</v>
      </c>
      <c r="E707" s="11">
        <v>5566260.4500000002</v>
      </c>
      <c r="F707" t="str">
        <f>VLOOKUP(A707,[1]!Table1[#All],17,FALSE)</f>
        <v>UNITED STATES</v>
      </c>
      <c r="G707" t="str">
        <f>VLOOKUP(A707,[1]!Table1[#All],22,FALSE)</f>
        <v>PUBLIC HEALTH INSTITUTE</v>
      </c>
      <c r="H707" s="8">
        <f>VLOOKUP(A707,[1]!Table1[#All],32,FALSE)</f>
        <v>42962</v>
      </c>
      <c r="I707" s="8">
        <f>VLOOKUP(A707,[1]!Table1[#All],33,FALSE)</f>
        <v>44787</v>
      </c>
      <c r="J707" t="str">
        <f t="shared" ref="J707:J770" ca="1" si="11">IF(AND( E707&gt;0,TODAY()&gt;I707),"UDO","Non UDO")</f>
        <v>UDO</v>
      </c>
    </row>
    <row r="708" spans="1:10" x14ac:dyDescent="0.35">
      <c r="A708" s="5" t="s">
        <v>25</v>
      </c>
      <c r="B708" s="6">
        <v>44378</v>
      </c>
      <c r="C708" s="7">
        <v>9006886</v>
      </c>
      <c r="D708" s="7">
        <v>3977360.55</v>
      </c>
      <c r="E708" s="7">
        <v>5029525.4499999993</v>
      </c>
      <c r="F708" t="str">
        <f>VLOOKUP(A708,[1]!Table1[#All],17,FALSE)</f>
        <v>UNITED STATES</v>
      </c>
      <c r="G708" t="str">
        <f>VLOOKUP(A708,[1]!Table1[#All],22,FALSE)</f>
        <v>PUBLIC HEALTH INSTITUTE</v>
      </c>
      <c r="H708" s="8">
        <f>VLOOKUP(A708,[1]!Table1[#All],32,FALSE)</f>
        <v>42962</v>
      </c>
      <c r="I708" s="8">
        <f>VLOOKUP(A708,[1]!Table1[#All],33,FALSE)</f>
        <v>44787</v>
      </c>
      <c r="J708" t="str">
        <f t="shared" ca="1" si="11"/>
        <v>UDO</v>
      </c>
    </row>
    <row r="709" spans="1:10" x14ac:dyDescent="0.35">
      <c r="A709" s="9" t="s">
        <v>25</v>
      </c>
      <c r="B709" s="10">
        <v>44409</v>
      </c>
      <c r="C709" s="11">
        <v>9006886</v>
      </c>
      <c r="D709" s="11">
        <v>3977360.55</v>
      </c>
      <c r="E709" s="11">
        <v>5029525.4499999993</v>
      </c>
      <c r="F709" t="str">
        <f>VLOOKUP(A709,[1]!Table1[#All],17,FALSE)</f>
        <v>UNITED STATES</v>
      </c>
      <c r="G709" t="str">
        <f>VLOOKUP(A709,[1]!Table1[#All],22,FALSE)</f>
        <v>PUBLIC HEALTH INSTITUTE</v>
      </c>
      <c r="H709" s="8">
        <f>VLOOKUP(A709,[1]!Table1[#All],32,FALSE)</f>
        <v>42962</v>
      </c>
      <c r="I709" s="8">
        <f>VLOOKUP(A709,[1]!Table1[#All],33,FALSE)</f>
        <v>44787</v>
      </c>
      <c r="J709" t="str">
        <f t="shared" ca="1" si="11"/>
        <v>UDO</v>
      </c>
    </row>
    <row r="710" spans="1:10" x14ac:dyDescent="0.35">
      <c r="A710" s="5" t="s">
        <v>25</v>
      </c>
      <c r="B710" s="6">
        <v>44440</v>
      </c>
      <c r="C710" s="7">
        <v>9006886</v>
      </c>
      <c r="D710" s="7">
        <v>4484271.8000000007</v>
      </c>
      <c r="E710" s="7">
        <v>4522614.2</v>
      </c>
      <c r="F710" t="str">
        <f>VLOOKUP(A710,[1]!Table1[#All],17,FALSE)</f>
        <v>UNITED STATES</v>
      </c>
      <c r="G710" t="str">
        <f>VLOOKUP(A710,[1]!Table1[#All],22,FALSE)</f>
        <v>PUBLIC HEALTH INSTITUTE</v>
      </c>
      <c r="H710" s="8">
        <f>VLOOKUP(A710,[1]!Table1[#All],32,FALSE)</f>
        <v>42962</v>
      </c>
      <c r="I710" s="8">
        <f>VLOOKUP(A710,[1]!Table1[#All],33,FALSE)</f>
        <v>44787</v>
      </c>
      <c r="J710" t="str">
        <f t="shared" ca="1" si="11"/>
        <v>UDO</v>
      </c>
    </row>
    <row r="711" spans="1:10" x14ac:dyDescent="0.35">
      <c r="A711" s="9" t="s">
        <v>25</v>
      </c>
      <c r="B711" s="10">
        <v>44470</v>
      </c>
      <c r="C711" s="11">
        <v>9006886</v>
      </c>
      <c r="D711" s="11">
        <v>5069954.3</v>
      </c>
      <c r="E711" s="11">
        <v>3936931.7</v>
      </c>
      <c r="F711" t="str">
        <f>VLOOKUP(A711,[1]!Table1[#All],17,FALSE)</f>
        <v>UNITED STATES</v>
      </c>
      <c r="G711" t="str">
        <f>VLOOKUP(A711,[1]!Table1[#All],22,FALSE)</f>
        <v>PUBLIC HEALTH INSTITUTE</v>
      </c>
      <c r="H711" s="8">
        <f>VLOOKUP(A711,[1]!Table1[#All],32,FALSE)</f>
        <v>42962</v>
      </c>
      <c r="I711" s="8">
        <f>VLOOKUP(A711,[1]!Table1[#All],33,FALSE)</f>
        <v>44787</v>
      </c>
      <c r="J711" t="str">
        <f t="shared" ca="1" si="11"/>
        <v>UDO</v>
      </c>
    </row>
    <row r="712" spans="1:10" x14ac:dyDescent="0.35">
      <c r="A712" s="5" t="s">
        <v>25</v>
      </c>
      <c r="B712" s="6">
        <v>44501</v>
      </c>
      <c r="C712" s="7">
        <v>9006886</v>
      </c>
      <c r="D712" s="7">
        <v>5624991.3900000006</v>
      </c>
      <c r="E712" s="7">
        <v>3381894.6099999994</v>
      </c>
      <c r="F712" t="str">
        <f>VLOOKUP(A712,[1]!Table1[#All],17,FALSE)</f>
        <v>UNITED STATES</v>
      </c>
      <c r="G712" t="str">
        <f>VLOOKUP(A712,[1]!Table1[#All],22,FALSE)</f>
        <v>PUBLIC HEALTH INSTITUTE</v>
      </c>
      <c r="H712" s="8">
        <f>VLOOKUP(A712,[1]!Table1[#All],32,FALSE)</f>
        <v>42962</v>
      </c>
      <c r="I712" s="8">
        <f>VLOOKUP(A712,[1]!Table1[#All],33,FALSE)</f>
        <v>44787</v>
      </c>
      <c r="J712" t="str">
        <f t="shared" ca="1" si="11"/>
        <v>UDO</v>
      </c>
    </row>
    <row r="713" spans="1:10" x14ac:dyDescent="0.35">
      <c r="A713" s="9" t="s">
        <v>25</v>
      </c>
      <c r="B713" s="10">
        <v>44531</v>
      </c>
      <c r="C713" s="11">
        <v>9006886</v>
      </c>
      <c r="D713" s="11">
        <v>6282826.1499999994</v>
      </c>
      <c r="E713" s="11">
        <v>2724059.850000001</v>
      </c>
      <c r="F713" t="str">
        <f>VLOOKUP(A713,[1]!Table1[#All],17,FALSE)</f>
        <v>UNITED STATES</v>
      </c>
      <c r="G713" t="str">
        <f>VLOOKUP(A713,[1]!Table1[#All],22,FALSE)</f>
        <v>PUBLIC HEALTH INSTITUTE</v>
      </c>
      <c r="H713" s="8">
        <f>VLOOKUP(A713,[1]!Table1[#All],32,FALSE)</f>
        <v>42962</v>
      </c>
      <c r="I713" s="8">
        <f>VLOOKUP(A713,[1]!Table1[#All],33,FALSE)</f>
        <v>44787</v>
      </c>
      <c r="J713" t="str">
        <f t="shared" ca="1" si="11"/>
        <v>UDO</v>
      </c>
    </row>
    <row r="714" spans="1:10" x14ac:dyDescent="0.35">
      <c r="A714" s="5" t="s">
        <v>25</v>
      </c>
      <c r="B714" s="6">
        <v>44562</v>
      </c>
      <c r="C714" s="7">
        <v>9006886</v>
      </c>
      <c r="D714" s="7">
        <v>6282826.1499999994</v>
      </c>
      <c r="E714" s="7">
        <v>2724059.850000001</v>
      </c>
      <c r="F714" t="str">
        <f>VLOOKUP(A714,[1]!Table1[#All],17,FALSE)</f>
        <v>UNITED STATES</v>
      </c>
      <c r="G714" t="str">
        <f>VLOOKUP(A714,[1]!Table1[#All],22,FALSE)</f>
        <v>PUBLIC HEALTH INSTITUTE</v>
      </c>
      <c r="H714" s="8">
        <f>VLOOKUP(A714,[1]!Table1[#All],32,FALSE)</f>
        <v>42962</v>
      </c>
      <c r="I714" s="8">
        <f>VLOOKUP(A714,[1]!Table1[#All],33,FALSE)</f>
        <v>44787</v>
      </c>
      <c r="J714" t="str">
        <f t="shared" ca="1" si="11"/>
        <v>UDO</v>
      </c>
    </row>
    <row r="715" spans="1:10" x14ac:dyDescent="0.35">
      <c r="A715" s="9" t="s">
        <v>25</v>
      </c>
      <c r="B715" s="10">
        <v>44593</v>
      </c>
      <c r="C715" s="11">
        <v>9006886</v>
      </c>
      <c r="D715" s="11">
        <v>6525342.4800000014</v>
      </c>
      <c r="E715" s="11">
        <v>2481543.52</v>
      </c>
      <c r="F715" t="str">
        <f>VLOOKUP(A715,[1]!Table1[#All],17,FALSE)</f>
        <v>UNITED STATES</v>
      </c>
      <c r="G715" t="str">
        <f>VLOOKUP(A715,[1]!Table1[#All],22,FALSE)</f>
        <v>PUBLIC HEALTH INSTITUTE</v>
      </c>
      <c r="H715" s="8">
        <f>VLOOKUP(A715,[1]!Table1[#All],32,FALSE)</f>
        <v>42962</v>
      </c>
      <c r="I715" s="8">
        <f>VLOOKUP(A715,[1]!Table1[#All],33,FALSE)</f>
        <v>44787</v>
      </c>
      <c r="J715" t="str">
        <f t="shared" ca="1" si="11"/>
        <v>UDO</v>
      </c>
    </row>
    <row r="716" spans="1:10" x14ac:dyDescent="0.35">
      <c r="A716" s="5" t="s">
        <v>25</v>
      </c>
      <c r="B716" s="6">
        <v>44621</v>
      </c>
      <c r="C716" s="7">
        <v>9006886</v>
      </c>
      <c r="D716" s="7">
        <v>6525342.4800000014</v>
      </c>
      <c r="E716" s="7">
        <v>2481543.52</v>
      </c>
      <c r="F716" t="str">
        <f>VLOOKUP(A716,[1]!Table1[#All],17,FALSE)</f>
        <v>UNITED STATES</v>
      </c>
      <c r="G716" t="str">
        <f>VLOOKUP(A716,[1]!Table1[#All],22,FALSE)</f>
        <v>PUBLIC HEALTH INSTITUTE</v>
      </c>
      <c r="H716" s="8">
        <f>VLOOKUP(A716,[1]!Table1[#All],32,FALSE)</f>
        <v>42962</v>
      </c>
      <c r="I716" s="8">
        <f>VLOOKUP(A716,[1]!Table1[#All],33,FALSE)</f>
        <v>44787</v>
      </c>
      <c r="J716" t="str">
        <f t="shared" ca="1" si="11"/>
        <v>UDO</v>
      </c>
    </row>
    <row r="717" spans="1:10" x14ac:dyDescent="0.35">
      <c r="A717" s="9" t="s">
        <v>25</v>
      </c>
      <c r="B717" s="10">
        <v>44652</v>
      </c>
      <c r="C717" s="11">
        <v>9006886</v>
      </c>
      <c r="D717" s="11">
        <v>7119999.9699999997</v>
      </c>
      <c r="E717" s="11">
        <v>1886886.0300000003</v>
      </c>
      <c r="F717" t="str">
        <f>VLOOKUP(A717,[1]!Table1[#All],17,FALSE)</f>
        <v>UNITED STATES</v>
      </c>
      <c r="G717" t="str">
        <f>VLOOKUP(A717,[1]!Table1[#All],22,FALSE)</f>
        <v>PUBLIC HEALTH INSTITUTE</v>
      </c>
      <c r="H717" s="8">
        <f>VLOOKUP(A717,[1]!Table1[#All],32,FALSE)</f>
        <v>42962</v>
      </c>
      <c r="I717" s="8">
        <f>VLOOKUP(A717,[1]!Table1[#All],33,FALSE)</f>
        <v>44787</v>
      </c>
      <c r="J717" t="str">
        <f t="shared" ca="1" si="11"/>
        <v>UDO</v>
      </c>
    </row>
    <row r="718" spans="1:10" x14ac:dyDescent="0.35">
      <c r="A718" s="5" t="s">
        <v>25</v>
      </c>
      <c r="B718" s="6">
        <v>44682</v>
      </c>
      <c r="C718" s="7">
        <v>9006886</v>
      </c>
      <c r="D718" s="7">
        <v>7320449.1500000004</v>
      </c>
      <c r="E718" s="7">
        <v>1686436.8499999999</v>
      </c>
      <c r="F718" t="str">
        <f>VLOOKUP(A718,[1]!Table1[#All],17,FALSE)</f>
        <v>UNITED STATES</v>
      </c>
      <c r="G718" t="str">
        <f>VLOOKUP(A718,[1]!Table1[#All],22,FALSE)</f>
        <v>PUBLIC HEALTH INSTITUTE</v>
      </c>
      <c r="H718" s="8">
        <f>VLOOKUP(A718,[1]!Table1[#All],32,FALSE)</f>
        <v>42962</v>
      </c>
      <c r="I718" s="8">
        <f>VLOOKUP(A718,[1]!Table1[#All],33,FALSE)</f>
        <v>44787</v>
      </c>
      <c r="J718" t="str">
        <f t="shared" ca="1" si="11"/>
        <v>UDO</v>
      </c>
    </row>
    <row r="719" spans="1:10" x14ac:dyDescent="0.35">
      <c r="A719" s="9" t="s">
        <v>25</v>
      </c>
      <c r="B719" s="10">
        <v>44713</v>
      </c>
      <c r="C719" s="11">
        <v>9006886</v>
      </c>
      <c r="D719" s="11">
        <v>7576819.2199999997</v>
      </c>
      <c r="E719" s="11">
        <v>1430066.78</v>
      </c>
      <c r="F719" t="str">
        <f>VLOOKUP(A719,[1]!Table1[#All],17,FALSE)</f>
        <v>UNITED STATES</v>
      </c>
      <c r="G719" t="str">
        <f>VLOOKUP(A719,[1]!Table1[#All],22,FALSE)</f>
        <v>PUBLIC HEALTH INSTITUTE</v>
      </c>
      <c r="H719" s="8">
        <f>VLOOKUP(A719,[1]!Table1[#All],32,FALSE)</f>
        <v>42962</v>
      </c>
      <c r="I719" s="8">
        <f>VLOOKUP(A719,[1]!Table1[#All],33,FALSE)</f>
        <v>44787</v>
      </c>
      <c r="J719" t="str">
        <f t="shared" ca="1" si="11"/>
        <v>UDO</v>
      </c>
    </row>
    <row r="720" spans="1:10" x14ac:dyDescent="0.35">
      <c r="A720" s="5" t="s">
        <v>25</v>
      </c>
      <c r="B720" s="6">
        <v>44743</v>
      </c>
      <c r="C720" s="7">
        <v>9006886</v>
      </c>
      <c r="D720" s="7">
        <v>7923939.5399999991</v>
      </c>
      <c r="E720" s="7">
        <v>1082946.4600000002</v>
      </c>
      <c r="F720" t="str">
        <f>VLOOKUP(A720,[1]!Table1[#All],17,FALSE)</f>
        <v>UNITED STATES</v>
      </c>
      <c r="G720" t="str">
        <f>VLOOKUP(A720,[1]!Table1[#All],22,FALSE)</f>
        <v>PUBLIC HEALTH INSTITUTE</v>
      </c>
      <c r="H720" s="8">
        <f>VLOOKUP(A720,[1]!Table1[#All],32,FALSE)</f>
        <v>42962</v>
      </c>
      <c r="I720" s="8">
        <f>VLOOKUP(A720,[1]!Table1[#All],33,FALSE)</f>
        <v>44787</v>
      </c>
      <c r="J720" t="str">
        <f t="shared" ca="1" si="11"/>
        <v>UDO</v>
      </c>
    </row>
    <row r="721" spans="1:10" x14ac:dyDescent="0.35">
      <c r="A721" s="9" t="s">
        <v>25</v>
      </c>
      <c r="B721" s="10">
        <v>44774</v>
      </c>
      <c r="C721" s="11">
        <v>9006886</v>
      </c>
      <c r="D721" s="11">
        <v>8166857.8300000001</v>
      </c>
      <c r="E721" s="11">
        <v>840028.17</v>
      </c>
      <c r="F721" t="str">
        <f>VLOOKUP(A721,[1]!Table1[#All],17,FALSE)</f>
        <v>UNITED STATES</v>
      </c>
      <c r="G721" t="str">
        <f>VLOOKUP(A721,[1]!Table1[#All],22,FALSE)</f>
        <v>PUBLIC HEALTH INSTITUTE</v>
      </c>
      <c r="H721" s="8">
        <f>VLOOKUP(A721,[1]!Table1[#All],32,FALSE)</f>
        <v>42962</v>
      </c>
      <c r="I721" s="8">
        <f>VLOOKUP(A721,[1]!Table1[#All],33,FALSE)</f>
        <v>44787</v>
      </c>
      <c r="J721" t="str">
        <f t="shared" ca="1" si="11"/>
        <v>UDO</v>
      </c>
    </row>
    <row r="722" spans="1:10" x14ac:dyDescent="0.35">
      <c r="A722" s="5" t="s">
        <v>25</v>
      </c>
      <c r="B722" s="6">
        <v>44805</v>
      </c>
      <c r="C722" s="7">
        <v>9006886</v>
      </c>
      <c r="D722" s="7">
        <v>8509414.2100000009</v>
      </c>
      <c r="E722" s="7">
        <v>497471.79</v>
      </c>
      <c r="F722" t="str">
        <f>VLOOKUP(A722,[1]!Table1[#All],17,FALSE)</f>
        <v>UNITED STATES</v>
      </c>
      <c r="G722" t="str">
        <f>VLOOKUP(A722,[1]!Table1[#All],22,FALSE)</f>
        <v>PUBLIC HEALTH INSTITUTE</v>
      </c>
      <c r="H722" s="8">
        <f>VLOOKUP(A722,[1]!Table1[#All],32,FALSE)</f>
        <v>42962</v>
      </c>
      <c r="I722" s="8">
        <f>VLOOKUP(A722,[1]!Table1[#All],33,FALSE)</f>
        <v>44787</v>
      </c>
      <c r="J722" t="str">
        <f t="shared" ca="1" si="11"/>
        <v>UDO</v>
      </c>
    </row>
    <row r="723" spans="1:10" x14ac:dyDescent="0.35">
      <c r="A723" s="9" t="s">
        <v>25</v>
      </c>
      <c r="B723" s="10">
        <v>44835</v>
      </c>
      <c r="C723" s="11">
        <v>9006886</v>
      </c>
      <c r="D723" s="11">
        <v>8819886.0800000001</v>
      </c>
      <c r="E723" s="11">
        <v>186999.91999999998</v>
      </c>
      <c r="F723" t="str">
        <f>VLOOKUP(A723,[1]!Table1[#All],17,FALSE)</f>
        <v>UNITED STATES</v>
      </c>
      <c r="G723" t="str">
        <f>VLOOKUP(A723,[1]!Table1[#All],22,FALSE)</f>
        <v>PUBLIC HEALTH INSTITUTE</v>
      </c>
      <c r="H723" s="8">
        <f>VLOOKUP(A723,[1]!Table1[#All],32,FALSE)</f>
        <v>42962</v>
      </c>
      <c r="I723" s="8">
        <f>VLOOKUP(A723,[1]!Table1[#All],33,FALSE)</f>
        <v>44787</v>
      </c>
      <c r="J723" t="str">
        <f t="shared" ca="1" si="11"/>
        <v>UDO</v>
      </c>
    </row>
    <row r="724" spans="1:10" x14ac:dyDescent="0.35">
      <c r="A724" s="5" t="s">
        <v>25</v>
      </c>
      <c r="B724" s="6">
        <v>44866</v>
      </c>
      <c r="C724" s="7">
        <v>9006886</v>
      </c>
      <c r="D724" s="7">
        <v>8839630.1400000006</v>
      </c>
      <c r="E724" s="7">
        <v>167255.85999999999</v>
      </c>
      <c r="F724" t="str">
        <f>VLOOKUP(A724,[1]!Table1[#All],17,FALSE)</f>
        <v>UNITED STATES</v>
      </c>
      <c r="G724" t="str">
        <f>VLOOKUP(A724,[1]!Table1[#All],22,FALSE)</f>
        <v>PUBLIC HEALTH INSTITUTE</v>
      </c>
      <c r="H724" s="8">
        <f>VLOOKUP(A724,[1]!Table1[#All],32,FALSE)</f>
        <v>42962</v>
      </c>
      <c r="I724" s="8">
        <f>VLOOKUP(A724,[1]!Table1[#All],33,FALSE)</f>
        <v>44787</v>
      </c>
      <c r="J724" t="str">
        <f t="shared" ca="1" si="11"/>
        <v>UDO</v>
      </c>
    </row>
    <row r="725" spans="1:10" x14ac:dyDescent="0.35">
      <c r="A725" s="9" t="s">
        <v>25</v>
      </c>
      <c r="B725" s="10">
        <v>44896</v>
      </c>
      <c r="C725" s="11">
        <v>9006886</v>
      </c>
      <c r="D725" s="11">
        <v>8860078.2400000002</v>
      </c>
      <c r="E725" s="11">
        <v>146807.76</v>
      </c>
      <c r="F725" t="str">
        <f>VLOOKUP(A725,[1]!Table1[#All],17,FALSE)</f>
        <v>UNITED STATES</v>
      </c>
      <c r="G725" t="str">
        <f>VLOOKUP(A725,[1]!Table1[#All],22,FALSE)</f>
        <v>PUBLIC HEALTH INSTITUTE</v>
      </c>
      <c r="H725" s="8">
        <f>VLOOKUP(A725,[1]!Table1[#All],32,FALSE)</f>
        <v>42962</v>
      </c>
      <c r="I725" s="8">
        <f>VLOOKUP(A725,[1]!Table1[#All],33,FALSE)</f>
        <v>44787</v>
      </c>
      <c r="J725" t="str">
        <f t="shared" ca="1" si="11"/>
        <v>UDO</v>
      </c>
    </row>
    <row r="726" spans="1:10" x14ac:dyDescent="0.35">
      <c r="A726" s="5" t="s">
        <v>25</v>
      </c>
      <c r="B726" s="6">
        <v>44927</v>
      </c>
      <c r="C726" s="7">
        <v>9006886</v>
      </c>
      <c r="D726" s="7">
        <v>8860078.2400000002</v>
      </c>
      <c r="E726" s="7">
        <v>146807.76</v>
      </c>
      <c r="F726" t="str">
        <f>VLOOKUP(A726,[1]!Table1[#All],17,FALSE)</f>
        <v>UNITED STATES</v>
      </c>
      <c r="G726" t="str">
        <f>VLOOKUP(A726,[1]!Table1[#All],22,FALSE)</f>
        <v>PUBLIC HEALTH INSTITUTE</v>
      </c>
      <c r="H726" s="8">
        <f>VLOOKUP(A726,[1]!Table1[#All],32,FALSE)</f>
        <v>42962</v>
      </c>
      <c r="I726" s="8">
        <f>VLOOKUP(A726,[1]!Table1[#All],33,FALSE)</f>
        <v>44787</v>
      </c>
      <c r="J726" t="str">
        <f t="shared" ca="1" si="11"/>
        <v>UDO</v>
      </c>
    </row>
    <row r="727" spans="1:10" x14ac:dyDescent="0.35">
      <c r="A727" s="9" t="s">
        <v>25</v>
      </c>
      <c r="B727" s="10">
        <v>44958</v>
      </c>
      <c r="C727" s="11">
        <v>9006886</v>
      </c>
      <c r="D727" s="11">
        <v>8902831.4800000004</v>
      </c>
      <c r="E727" s="11">
        <v>104054.51999999999</v>
      </c>
      <c r="F727" t="str">
        <f>VLOOKUP(A727,[1]!Table1[#All],17,FALSE)</f>
        <v>UNITED STATES</v>
      </c>
      <c r="G727" t="str">
        <f>VLOOKUP(A727,[1]!Table1[#All],22,FALSE)</f>
        <v>PUBLIC HEALTH INSTITUTE</v>
      </c>
      <c r="H727" s="8">
        <f>VLOOKUP(A727,[1]!Table1[#All],32,FALSE)</f>
        <v>42962</v>
      </c>
      <c r="I727" s="8">
        <f>VLOOKUP(A727,[1]!Table1[#All],33,FALSE)</f>
        <v>44787</v>
      </c>
      <c r="J727" t="str">
        <f t="shared" ca="1" si="11"/>
        <v>UDO</v>
      </c>
    </row>
    <row r="728" spans="1:10" x14ac:dyDescent="0.35">
      <c r="A728" s="5" t="s">
        <v>25</v>
      </c>
      <c r="B728" s="6">
        <v>44986</v>
      </c>
      <c r="C728" s="7">
        <v>9006886</v>
      </c>
      <c r="D728" s="7">
        <v>8917366.3399999999</v>
      </c>
      <c r="E728" s="7">
        <v>89519.66</v>
      </c>
      <c r="F728" t="str">
        <f>VLOOKUP(A728,[1]!Table1[#All],17,FALSE)</f>
        <v>UNITED STATES</v>
      </c>
      <c r="G728" t="str">
        <f>VLOOKUP(A728,[1]!Table1[#All],22,FALSE)</f>
        <v>PUBLIC HEALTH INSTITUTE</v>
      </c>
      <c r="H728" s="8">
        <f>VLOOKUP(A728,[1]!Table1[#All],32,FALSE)</f>
        <v>42962</v>
      </c>
      <c r="I728" s="8">
        <f>VLOOKUP(A728,[1]!Table1[#All],33,FALSE)</f>
        <v>44787</v>
      </c>
      <c r="J728" t="str">
        <f t="shared" ca="1" si="11"/>
        <v>UDO</v>
      </c>
    </row>
    <row r="729" spans="1:10" x14ac:dyDescent="0.35">
      <c r="A729" s="9" t="s">
        <v>25</v>
      </c>
      <c r="B729" s="10">
        <v>45017</v>
      </c>
      <c r="C729" s="11">
        <v>9006886</v>
      </c>
      <c r="D729" s="11">
        <v>8938019.2600000016</v>
      </c>
      <c r="E729" s="11">
        <v>68866.739999999991</v>
      </c>
      <c r="F729" t="str">
        <f>VLOOKUP(A729,[1]!Table1[#All],17,FALSE)</f>
        <v>UNITED STATES</v>
      </c>
      <c r="G729" t="str">
        <f>VLOOKUP(A729,[1]!Table1[#All],22,FALSE)</f>
        <v>PUBLIC HEALTH INSTITUTE</v>
      </c>
      <c r="H729" s="8">
        <f>VLOOKUP(A729,[1]!Table1[#All],32,FALSE)</f>
        <v>42962</v>
      </c>
      <c r="I729" s="8">
        <f>VLOOKUP(A729,[1]!Table1[#All],33,FALSE)</f>
        <v>44787</v>
      </c>
      <c r="J729" t="str">
        <f t="shared" ca="1" si="11"/>
        <v>UDO</v>
      </c>
    </row>
    <row r="730" spans="1:10" x14ac:dyDescent="0.35">
      <c r="A730" s="5" t="s">
        <v>25</v>
      </c>
      <c r="B730" s="6">
        <v>45047</v>
      </c>
      <c r="C730" s="7">
        <v>9006886</v>
      </c>
      <c r="D730" s="7">
        <v>8938019.2600000016</v>
      </c>
      <c r="E730" s="7">
        <v>68866.739999999991</v>
      </c>
      <c r="F730" t="str">
        <f>VLOOKUP(A730,[1]!Table1[#All],17,FALSE)</f>
        <v>UNITED STATES</v>
      </c>
      <c r="G730" t="str">
        <f>VLOOKUP(A730,[1]!Table1[#All],22,FALSE)</f>
        <v>PUBLIC HEALTH INSTITUTE</v>
      </c>
      <c r="H730" s="8">
        <f>VLOOKUP(A730,[1]!Table1[#All],32,FALSE)</f>
        <v>42962</v>
      </c>
      <c r="I730" s="8">
        <f>VLOOKUP(A730,[1]!Table1[#All],33,FALSE)</f>
        <v>44787</v>
      </c>
      <c r="J730" t="str">
        <f t="shared" ca="1" si="11"/>
        <v>UDO</v>
      </c>
    </row>
    <row r="731" spans="1:10" x14ac:dyDescent="0.35">
      <c r="A731" s="9" t="s">
        <v>25</v>
      </c>
      <c r="B731" s="10">
        <v>45078</v>
      </c>
      <c r="C731" s="11">
        <v>9006886</v>
      </c>
      <c r="D731" s="11">
        <v>8954951.5600000005</v>
      </c>
      <c r="E731" s="11">
        <v>51934.44</v>
      </c>
      <c r="F731" t="str">
        <f>VLOOKUP(A731,[1]!Table1[#All],17,FALSE)</f>
        <v>UNITED STATES</v>
      </c>
      <c r="G731" t="str">
        <f>VLOOKUP(A731,[1]!Table1[#All],22,FALSE)</f>
        <v>PUBLIC HEALTH INSTITUTE</v>
      </c>
      <c r="H731" s="8">
        <f>VLOOKUP(A731,[1]!Table1[#All],32,FALSE)</f>
        <v>42962</v>
      </c>
      <c r="I731" s="8">
        <f>VLOOKUP(A731,[1]!Table1[#All],33,FALSE)</f>
        <v>44787</v>
      </c>
      <c r="J731" t="str">
        <f t="shared" ca="1" si="11"/>
        <v>UDO</v>
      </c>
    </row>
    <row r="732" spans="1:10" x14ac:dyDescent="0.35">
      <c r="A732" s="5" t="s">
        <v>25</v>
      </c>
      <c r="B732" s="6">
        <v>45108</v>
      </c>
      <c r="C732" s="7">
        <v>9006886</v>
      </c>
      <c r="D732" s="7">
        <v>8965969.8000000007</v>
      </c>
      <c r="E732" s="7">
        <v>40916.199999999997</v>
      </c>
      <c r="F732" t="str">
        <f>VLOOKUP(A732,[1]!Table1[#All],17,FALSE)</f>
        <v>UNITED STATES</v>
      </c>
      <c r="G732" t="str">
        <f>VLOOKUP(A732,[1]!Table1[#All],22,FALSE)</f>
        <v>PUBLIC HEALTH INSTITUTE</v>
      </c>
      <c r="H732" s="8">
        <f>VLOOKUP(A732,[1]!Table1[#All],32,FALSE)</f>
        <v>42962</v>
      </c>
      <c r="I732" s="8">
        <f>VLOOKUP(A732,[1]!Table1[#All],33,FALSE)</f>
        <v>44787</v>
      </c>
      <c r="J732" t="str">
        <f t="shared" ca="1" si="11"/>
        <v>UDO</v>
      </c>
    </row>
    <row r="733" spans="1:10" x14ac:dyDescent="0.35">
      <c r="A733" s="9" t="s">
        <v>25</v>
      </c>
      <c r="B733" s="10">
        <v>45139</v>
      </c>
      <c r="C733" s="11">
        <v>9006886</v>
      </c>
      <c r="D733" s="11">
        <v>8978778.9100000001</v>
      </c>
      <c r="E733" s="11">
        <v>28107.09</v>
      </c>
      <c r="F733" t="str">
        <f>VLOOKUP(A733,[1]!Table1[#All],17,FALSE)</f>
        <v>UNITED STATES</v>
      </c>
      <c r="G733" t="str">
        <f>VLOOKUP(A733,[1]!Table1[#All],22,FALSE)</f>
        <v>PUBLIC HEALTH INSTITUTE</v>
      </c>
      <c r="H733" s="8">
        <f>VLOOKUP(A733,[1]!Table1[#All],32,FALSE)</f>
        <v>42962</v>
      </c>
      <c r="I733" s="8">
        <f>VLOOKUP(A733,[1]!Table1[#All],33,FALSE)</f>
        <v>44787</v>
      </c>
      <c r="J733" t="str">
        <f t="shared" ca="1" si="11"/>
        <v>UDO</v>
      </c>
    </row>
    <row r="734" spans="1:10" x14ac:dyDescent="0.35">
      <c r="A734" s="5" t="s">
        <v>25</v>
      </c>
      <c r="B734" s="6">
        <v>45170</v>
      </c>
      <c r="C734" s="7">
        <v>9006886</v>
      </c>
      <c r="D734" s="7">
        <v>8978778.9100000001</v>
      </c>
      <c r="E734" s="7">
        <v>28107.09</v>
      </c>
      <c r="F734" t="str">
        <f>VLOOKUP(A734,[1]!Table1[#All],17,FALSE)</f>
        <v>UNITED STATES</v>
      </c>
      <c r="G734" t="str">
        <f>VLOOKUP(A734,[1]!Table1[#All],22,FALSE)</f>
        <v>PUBLIC HEALTH INSTITUTE</v>
      </c>
      <c r="H734" s="8">
        <f>VLOOKUP(A734,[1]!Table1[#All],32,FALSE)</f>
        <v>42962</v>
      </c>
      <c r="I734" s="8">
        <f>VLOOKUP(A734,[1]!Table1[#All],33,FALSE)</f>
        <v>44787</v>
      </c>
      <c r="J734" t="str">
        <f t="shared" ca="1" si="11"/>
        <v>UDO</v>
      </c>
    </row>
    <row r="735" spans="1:10" x14ac:dyDescent="0.35">
      <c r="A735" s="9" t="s">
        <v>26</v>
      </c>
      <c r="B735" s="10">
        <v>44409</v>
      </c>
      <c r="C735" s="11">
        <v>11951297</v>
      </c>
      <c r="D735" s="11">
        <v>0</v>
      </c>
      <c r="E735" s="11">
        <v>11951297</v>
      </c>
      <c r="F735" t="str">
        <f>VLOOKUP(A735,[1]!Table1[#All],17,FALSE)</f>
        <v>UNITED STATES</v>
      </c>
      <c r="G735" t="str">
        <f>VLOOKUP(A735,[1]!Table1[#All],22,FALSE)</f>
        <v>PUBLIC HEALTH INSTITUTE</v>
      </c>
      <c r="H735" s="8">
        <f>VLOOKUP(A735,[1]!Table1[#All],32,FALSE)</f>
        <v>42962</v>
      </c>
      <c r="I735" s="8">
        <f>VLOOKUP(A735,[1]!Table1[#All],33,FALSE)</f>
        <v>44787</v>
      </c>
      <c r="J735" t="str">
        <f t="shared" ca="1" si="11"/>
        <v>UDO</v>
      </c>
    </row>
    <row r="736" spans="1:10" x14ac:dyDescent="0.35">
      <c r="A736" s="5" t="s">
        <v>26</v>
      </c>
      <c r="B736" s="6">
        <v>44440</v>
      </c>
      <c r="C736" s="7">
        <v>11951297</v>
      </c>
      <c r="D736" s="7">
        <v>0</v>
      </c>
      <c r="E736" s="7">
        <v>11951297</v>
      </c>
      <c r="F736" t="str">
        <f>VLOOKUP(A736,[1]!Table1[#All],17,FALSE)</f>
        <v>UNITED STATES</v>
      </c>
      <c r="G736" t="str">
        <f>VLOOKUP(A736,[1]!Table1[#All],22,FALSE)</f>
        <v>PUBLIC HEALTH INSTITUTE</v>
      </c>
      <c r="H736" s="8">
        <f>VLOOKUP(A736,[1]!Table1[#All],32,FALSE)</f>
        <v>42962</v>
      </c>
      <c r="I736" s="8">
        <f>VLOOKUP(A736,[1]!Table1[#All],33,FALSE)</f>
        <v>44787</v>
      </c>
      <c r="J736" t="str">
        <f t="shared" ca="1" si="11"/>
        <v>UDO</v>
      </c>
    </row>
    <row r="737" spans="1:10" x14ac:dyDescent="0.35">
      <c r="A737" s="9" t="s">
        <v>26</v>
      </c>
      <c r="B737" s="10">
        <v>44470</v>
      </c>
      <c r="C737" s="11">
        <v>11951297</v>
      </c>
      <c r="D737" s="11">
        <v>229385.9</v>
      </c>
      <c r="E737" s="11">
        <v>11721911.1</v>
      </c>
      <c r="F737" t="str">
        <f>VLOOKUP(A737,[1]!Table1[#All],17,FALSE)</f>
        <v>UNITED STATES</v>
      </c>
      <c r="G737" t="str">
        <f>VLOOKUP(A737,[1]!Table1[#All],22,FALSE)</f>
        <v>PUBLIC HEALTH INSTITUTE</v>
      </c>
      <c r="H737" s="8">
        <f>VLOOKUP(A737,[1]!Table1[#All],32,FALSE)</f>
        <v>42962</v>
      </c>
      <c r="I737" s="8">
        <f>VLOOKUP(A737,[1]!Table1[#All],33,FALSE)</f>
        <v>44787</v>
      </c>
      <c r="J737" t="str">
        <f t="shared" ca="1" si="11"/>
        <v>UDO</v>
      </c>
    </row>
    <row r="738" spans="1:10" x14ac:dyDescent="0.35">
      <c r="A738" s="5" t="s">
        <v>26</v>
      </c>
      <c r="B738" s="6">
        <v>44501</v>
      </c>
      <c r="C738" s="7">
        <v>11951297</v>
      </c>
      <c r="D738" s="7">
        <v>513418.9</v>
      </c>
      <c r="E738" s="7">
        <v>11437878.1</v>
      </c>
      <c r="F738" t="str">
        <f>VLOOKUP(A738,[1]!Table1[#All],17,FALSE)</f>
        <v>UNITED STATES</v>
      </c>
      <c r="G738" t="str">
        <f>VLOOKUP(A738,[1]!Table1[#All],22,FALSE)</f>
        <v>PUBLIC HEALTH INSTITUTE</v>
      </c>
      <c r="H738" s="8">
        <f>VLOOKUP(A738,[1]!Table1[#All],32,FALSE)</f>
        <v>42962</v>
      </c>
      <c r="I738" s="8">
        <f>VLOOKUP(A738,[1]!Table1[#All],33,FALSE)</f>
        <v>44787</v>
      </c>
      <c r="J738" t="str">
        <f t="shared" ca="1" si="11"/>
        <v>UDO</v>
      </c>
    </row>
    <row r="739" spans="1:10" x14ac:dyDescent="0.35">
      <c r="A739" s="9" t="s">
        <v>26</v>
      </c>
      <c r="B739" s="10">
        <v>44531</v>
      </c>
      <c r="C739" s="11">
        <v>11951297</v>
      </c>
      <c r="D739" s="11">
        <v>1208980.06</v>
      </c>
      <c r="E739" s="11">
        <v>10742316.939999999</v>
      </c>
      <c r="F739" t="str">
        <f>VLOOKUP(A739,[1]!Table1[#All],17,FALSE)</f>
        <v>UNITED STATES</v>
      </c>
      <c r="G739" t="str">
        <f>VLOOKUP(A739,[1]!Table1[#All],22,FALSE)</f>
        <v>PUBLIC HEALTH INSTITUTE</v>
      </c>
      <c r="H739" s="8">
        <f>VLOOKUP(A739,[1]!Table1[#All],32,FALSE)</f>
        <v>42962</v>
      </c>
      <c r="I739" s="8">
        <f>VLOOKUP(A739,[1]!Table1[#All],33,FALSE)</f>
        <v>44787</v>
      </c>
      <c r="J739" t="str">
        <f t="shared" ca="1" si="11"/>
        <v>UDO</v>
      </c>
    </row>
    <row r="740" spans="1:10" x14ac:dyDescent="0.35">
      <c r="A740" s="5" t="s">
        <v>26</v>
      </c>
      <c r="B740" s="6">
        <v>44562</v>
      </c>
      <c r="C740" s="7">
        <v>11951297</v>
      </c>
      <c r="D740" s="7">
        <v>1208980.06</v>
      </c>
      <c r="E740" s="7">
        <v>10742316.939999999</v>
      </c>
      <c r="F740" t="str">
        <f>VLOOKUP(A740,[1]!Table1[#All],17,FALSE)</f>
        <v>UNITED STATES</v>
      </c>
      <c r="G740" t="str">
        <f>VLOOKUP(A740,[1]!Table1[#All],22,FALSE)</f>
        <v>PUBLIC HEALTH INSTITUTE</v>
      </c>
      <c r="H740" s="8">
        <f>VLOOKUP(A740,[1]!Table1[#All],32,FALSE)</f>
        <v>42962</v>
      </c>
      <c r="I740" s="8">
        <f>VLOOKUP(A740,[1]!Table1[#All],33,FALSE)</f>
        <v>44787</v>
      </c>
      <c r="J740" t="str">
        <f t="shared" ca="1" si="11"/>
        <v>UDO</v>
      </c>
    </row>
    <row r="741" spans="1:10" x14ac:dyDescent="0.35">
      <c r="A741" s="9" t="s">
        <v>26</v>
      </c>
      <c r="B741" s="10">
        <v>44593</v>
      </c>
      <c r="C741" s="11">
        <v>11951297</v>
      </c>
      <c r="D741" s="11">
        <v>1559018.76</v>
      </c>
      <c r="E741" s="11">
        <v>10392278.24</v>
      </c>
      <c r="F741" t="str">
        <f>VLOOKUP(A741,[1]!Table1[#All],17,FALSE)</f>
        <v>UNITED STATES</v>
      </c>
      <c r="G741" t="str">
        <f>VLOOKUP(A741,[1]!Table1[#All],22,FALSE)</f>
        <v>PUBLIC HEALTH INSTITUTE</v>
      </c>
      <c r="H741" s="8">
        <f>VLOOKUP(A741,[1]!Table1[#All],32,FALSE)</f>
        <v>42962</v>
      </c>
      <c r="I741" s="8">
        <f>VLOOKUP(A741,[1]!Table1[#All],33,FALSE)</f>
        <v>44787</v>
      </c>
      <c r="J741" t="str">
        <f t="shared" ca="1" si="11"/>
        <v>UDO</v>
      </c>
    </row>
    <row r="742" spans="1:10" x14ac:dyDescent="0.35">
      <c r="A742" s="5" t="s">
        <v>26</v>
      </c>
      <c r="B742" s="6">
        <v>44621</v>
      </c>
      <c r="C742" s="7">
        <v>11951297</v>
      </c>
      <c r="D742" s="7">
        <v>1559018.76</v>
      </c>
      <c r="E742" s="7">
        <v>10392278.24</v>
      </c>
      <c r="F742" t="str">
        <f>VLOOKUP(A742,[1]!Table1[#All],17,FALSE)</f>
        <v>UNITED STATES</v>
      </c>
      <c r="G742" t="str">
        <f>VLOOKUP(A742,[1]!Table1[#All],22,FALSE)</f>
        <v>PUBLIC HEALTH INSTITUTE</v>
      </c>
      <c r="H742" s="8">
        <f>VLOOKUP(A742,[1]!Table1[#All],32,FALSE)</f>
        <v>42962</v>
      </c>
      <c r="I742" s="8">
        <f>VLOOKUP(A742,[1]!Table1[#All],33,FALSE)</f>
        <v>44787</v>
      </c>
      <c r="J742" t="str">
        <f t="shared" ca="1" si="11"/>
        <v>UDO</v>
      </c>
    </row>
    <row r="743" spans="1:10" x14ac:dyDescent="0.35">
      <c r="A743" s="9" t="s">
        <v>26</v>
      </c>
      <c r="B743" s="10">
        <v>44652</v>
      </c>
      <c r="C743" s="11">
        <v>11951297</v>
      </c>
      <c r="D743" s="11">
        <v>3333530.8800000004</v>
      </c>
      <c r="E743" s="11">
        <v>8617766.1199999973</v>
      </c>
      <c r="F743" t="str">
        <f>VLOOKUP(A743,[1]!Table1[#All],17,FALSE)</f>
        <v>UNITED STATES</v>
      </c>
      <c r="G743" t="str">
        <f>VLOOKUP(A743,[1]!Table1[#All],22,FALSE)</f>
        <v>PUBLIC HEALTH INSTITUTE</v>
      </c>
      <c r="H743" s="8">
        <f>VLOOKUP(A743,[1]!Table1[#All],32,FALSE)</f>
        <v>42962</v>
      </c>
      <c r="I743" s="8">
        <f>VLOOKUP(A743,[1]!Table1[#All],33,FALSE)</f>
        <v>44787</v>
      </c>
      <c r="J743" t="str">
        <f t="shared" ca="1" si="11"/>
        <v>UDO</v>
      </c>
    </row>
    <row r="744" spans="1:10" x14ac:dyDescent="0.35">
      <c r="A744" s="5" t="s">
        <v>26</v>
      </c>
      <c r="B744" s="6">
        <v>44682</v>
      </c>
      <c r="C744" s="7">
        <v>11951297</v>
      </c>
      <c r="D744" s="7">
        <v>3996344.1599999997</v>
      </c>
      <c r="E744" s="7">
        <v>7954952.8399999999</v>
      </c>
      <c r="F744" t="str">
        <f>VLOOKUP(A744,[1]!Table1[#All],17,FALSE)</f>
        <v>UNITED STATES</v>
      </c>
      <c r="G744" t="str">
        <f>VLOOKUP(A744,[1]!Table1[#All],22,FALSE)</f>
        <v>PUBLIC HEALTH INSTITUTE</v>
      </c>
      <c r="H744" s="8">
        <f>VLOOKUP(A744,[1]!Table1[#All],32,FALSE)</f>
        <v>42962</v>
      </c>
      <c r="I744" s="8">
        <f>VLOOKUP(A744,[1]!Table1[#All],33,FALSE)</f>
        <v>44787</v>
      </c>
      <c r="J744" t="str">
        <f t="shared" ca="1" si="11"/>
        <v>UDO</v>
      </c>
    </row>
    <row r="745" spans="1:10" x14ac:dyDescent="0.35">
      <c r="A745" s="9" t="s">
        <v>26</v>
      </c>
      <c r="B745" s="10">
        <v>44713</v>
      </c>
      <c r="C745" s="11">
        <v>11951297</v>
      </c>
      <c r="D745" s="11">
        <v>4631770.87</v>
      </c>
      <c r="E745" s="11">
        <v>7319526.1300000008</v>
      </c>
      <c r="F745" t="str">
        <f>VLOOKUP(A745,[1]!Table1[#All],17,FALSE)</f>
        <v>UNITED STATES</v>
      </c>
      <c r="G745" t="str">
        <f>VLOOKUP(A745,[1]!Table1[#All],22,FALSE)</f>
        <v>PUBLIC HEALTH INSTITUTE</v>
      </c>
      <c r="H745" s="8">
        <f>VLOOKUP(A745,[1]!Table1[#All],32,FALSE)</f>
        <v>42962</v>
      </c>
      <c r="I745" s="8">
        <f>VLOOKUP(A745,[1]!Table1[#All],33,FALSE)</f>
        <v>44787</v>
      </c>
      <c r="J745" t="str">
        <f t="shared" ca="1" si="11"/>
        <v>UDO</v>
      </c>
    </row>
    <row r="746" spans="1:10" x14ac:dyDescent="0.35">
      <c r="A746" s="5" t="s">
        <v>26</v>
      </c>
      <c r="B746" s="6">
        <v>44743</v>
      </c>
      <c r="C746" s="7">
        <v>11951297</v>
      </c>
      <c r="D746" s="7">
        <v>5288307.919999999</v>
      </c>
      <c r="E746" s="7">
        <v>6662989.0800000001</v>
      </c>
      <c r="F746" t="str">
        <f>VLOOKUP(A746,[1]!Table1[#All],17,FALSE)</f>
        <v>UNITED STATES</v>
      </c>
      <c r="G746" t="str">
        <f>VLOOKUP(A746,[1]!Table1[#All],22,FALSE)</f>
        <v>PUBLIC HEALTH INSTITUTE</v>
      </c>
      <c r="H746" s="8">
        <f>VLOOKUP(A746,[1]!Table1[#All],32,FALSE)</f>
        <v>42962</v>
      </c>
      <c r="I746" s="8">
        <f>VLOOKUP(A746,[1]!Table1[#All],33,FALSE)</f>
        <v>44787</v>
      </c>
      <c r="J746" t="str">
        <f t="shared" ca="1" si="11"/>
        <v>UDO</v>
      </c>
    </row>
    <row r="747" spans="1:10" x14ac:dyDescent="0.35">
      <c r="A747" s="9" t="s">
        <v>26</v>
      </c>
      <c r="B747" s="10">
        <v>44774</v>
      </c>
      <c r="C747" s="11">
        <v>11951297</v>
      </c>
      <c r="D747" s="11">
        <v>5913785.8600000022</v>
      </c>
      <c r="E747" s="11">
        <v>6037511.1399999978</v>
      </c>
      <c r="F747" t="str">
        <f>VLOOKUP(A747,[1]!Table1[#All],17,FALSE)</f>
        <v>UNITED STATES</v>
      </c>
      <c r="G747" t="str">
        <f>VLOOKUP(A747,[1]!Table1[#All],22,FALSE)</f>
        <v>PUBLIC HEALTH INSTITUTE</v>
      </c>
      <c r="H747" s="8">
        <f>VLOOKUP(A747,[1]!Table1[#All],32,FALSE)</f>
        <v>42962</v>
      </c>
      <c r="I747" s="8">
        <f>VLOOKUP(A747,[1]!Table1[#All],33,FALSE)</f>
        <v>44787</v>
      </c>
      <c r="J747" t="str">
        <f t="shared" ca="1" si="11"/>
        <v>UDO</v>
      </c>
    </row>
    <row r="748" spans="1:10" x14ac:dyDescent="0.35">
      <c r="A748" s="5" t="s">
        <v>26</v>
      </c>
      <c r="B748" s="6">
        <v>44805</v>
      </c>
      <c r="C748" s="7">
        <v>11951297</v>
      </c>
      <c r="D748" s="7">
        <v>6751199.5</v>
      </c>
      <c r="E748" s="7">
        <v>5200097.5</v>
      </c>
      <c r="F748" t="str">
        <f>VLOOKUP(A748,[1]!Table1[#All],17,FALSE)</f>
        <v>UNITED STATES</v>
      </c>
      <c r="G748" t="str">
        <f>VLOOKUP(A748,[1]!Table1[#All],22,FALSE)</f>
        <v>PUBLIC HEALTH INSTITUTE</v>
      </c>
      <c r="H748" s="8">
        <f>VLOOKUP(A748,[1]!Table1[#All],32,FALSE)</f>
        <v>42962</v>
      </c>
      <c r="I748" s="8">
        <f>VLOOKUP(A748,[1]!Table1[#All],33,FALSE)</f>
        <v>44787</v>
      </c>
      <c r="J748" t="str">
        <f t="shared" ca="1" si="11"/>
        <v>UDO</v>
      </c>
    </row>
    <row r="749" spans="1:10" x14ac:dyDescent="0.35">
      <c r="A749" s="9" t="s">
        <v>26</v>
      </c>
      <c r="B749" s="10">
        <v>44835</v>
      </c>
      <c r="C749" s="11">
        <v>11951297</v>
      </c>
      <c r="D749" s="11">
        <v>7523704.7500000009</v>
      </c>
      <c r="E749" s="11">
        <v>4427592.25</v>
      </c>
      <c r="F749" t="str">
        <f>VLOOKUP(A749,[1]!Table1[#All],17,FALSE)</f>
        <v>UNITED STATES</v>
      </c>
      <c r="G749" t="str">
        <f>VLOOKUP(A749,[1]!Table1[#All],22,FALSE)</f>
        <v>PUBLIC HEALTH INSTITUTE</v>
      </c>
      <c r="H749" s="8">
        <f>VLOOKUP(A749,[1]!Table1[#All],32,FALSE)</f>
        <v>42962</v>
      </c>
      <c r="I749" s="8">
        <f>VLOOKUP(A749,[1]!Table1[#All],33,FALSE)</f>
        <v>44787</v>
      </c>
      <c r="J749" t="str">
        <f t="shared" ca="1" si="11"/>
        <v>UDO</v>
      </c>
    </row>
    <row r="750" spans="1:10" x14ac:dyDescent="0.35">
      <c r="A750" s="5" t="s">
        <v>26</v>
      </c>
      <c r="B750" s="6">
        <v>44866</v>
      </c>
      <c r="C750" s="7">
        <v>11951297</v>
      </c>
      <c r="D750" s="7">
        <v>8283389.0200000014</v>
      </c>
      <c r="E750" s="7">
        <v>3667907.9800000009</v>
      </c>
      <c r="F750" t="str">
        <f>VLOOKUP(A750,[1]!Table1[#All],17,FALSE)</f>
        <v>UNITED STATES</v>
      </c>
      <c r="G750" t="str">
        <f>VLOOKUP(A750,[1]!Table1[#All],22,FALSE)</f>
        <v>PUBLIC HEALTH INSTITUTE</v>
      </c>
      <c r="H750" s="8">
        <f>VLOOKUP(A750,[1]!Table1[#All],32,FALSE)</f>
        <v>42962</v>
      </c>
      <c r="I750" s="8">
        <f>VLOOKUP(A750,[1]!Table1[#All],33,FALSE)</f>
        <v>44787</v>
      </c>
      <c r="J750" t="str">
        <f t="shared" ca="1" si="11"/>
        <v>UDO</v>
      </c>
    </row>
    <row r="751" spans="1:10" x14ac:dyDescent="0.35">
      <c r="A751" s="9" t="s">
        <v>26</v>
      </c>
      <c r="B751" s="10">
        <v>44896</v>
      </c>
      <c r="C751" s="11">
        <v>11951297</v>
      </c>
      <c r="D751" s="11">
        <v>8887218.9800000004</v>
      </c>
      <c r="E751" s="11">
        <v>3064078.02</v>
      </c>
      <c r="F751" t="str">
        <f>VLOOKUP(A751,[1]!Table1[#All],17,FALSE)</f>
        <v>UNITED STATES</v>
      </c>
      <c r="G751" t="str">
        <f>VLOOKUP(A751,[1]!Table1[#All],22,FALSE)</f>
        <v>PUBLIC HEALTH INSTITUTE</v>
      </c>
      <c r="H751" s="8">
        <f>VLOOKUP(A751,[1]!Table1[#All],32,FALSE)</f>
        <v>42962</v>
      </c>
      <c r="I751" s="8">
        <f>VLOOKUP(A751,[1]!Table1[#All],33,FALSE)</f>
        <v>44787</v>
      </c>
      <c r="J751" t="str">
        <f t="shared" ca="1" si="11"/>
        <v>UDO</v>
      </c>
    </row>
    <row r="752" spans="1:10" x14ac:dyDescent="0.35">
      <c r="A752" s="5" t="s">
        <v>26</v>
      </c>
      <c r="B752" s="6">
        <v>44927</v>
      </c>
      <c r="C752" s="7">
        <v>11951297</v>
      </c>
      <c r="D752" s="7">
        <v>8887218.9800000004</v>
      </c>
      <c r="E752" s="7">
        <v>3064078.02</v>
      </c>
      <c r="F752" t="str">
        <f>VLOOKUP(A752,[1]!Table1[#All],17,FALSE)</f>
        <v>UNITED STATES</v>
      </c>
      <c r="G752" t="str">
        <f>VLOOKUP(A752,[1]!Table1[#All],22,FALSE)</f>
        <v>PUBLIC HEALTH INSTITUTE</v>
      </c>
      <c r="H752" s="8">
        <f>VLOOKUP(A752,[1]!Table1[#All],32,FALSE)</f>
        <v>42962</v>
      </c>
      <c r="I752" s="8">
        <f>VLOOKUP(A752,[1]!Table1[#All],33,FALSE)</f>
        <v>44787</v>
      </c>
      <c r="J752" t="str">
        <f t="shared" ca="1" si="11"/>
        <v>UDO</v>
      </c>
    </row>
    <row r="753" spans="1:10" x14ac:dyDescent="0.35">
      <c r="A753" s="9" t="s">
        <v>26</v>
      </c>
      <c r="B753" s="10">
        <v>44958</v>
      </c>
      <c r="C753" s="11">
        <v>11951297</v>
      </c>
      <c r="D753" s="11">
        <v>9453104.620000001</v>
      </c>
      <c r="E753" s="11">
        <v>2498192.38</v>
      </c>
      <c r="F753" t="str">
        <f>VLOOKUP(A753,[1]!Table1[#All],17,FALSE)</f>
        <v>UNITED STATES</v>
      </c>
      <c r="G753" t="str">
        <f>VLOOKUP(A753,[1]!Table1[#All],22,FALSE)</f>
        <v>PUBLIC HEALTH INSTITUTE</v>
      </c>
      <c r="H753" s="8">
        <f>VLOOKUP(A753,[1]!Table1[#All],32,FALSE)</f>
        <v>42962</v>
      </c>
      <c r="I753" s="8">
        <f>VLOOKUP(A753,[1]!Table1[#All],33,FALSE)</f>
        <v>44787</v>
      </c>
      <c r="J753" t="str">
        <f t="shared" ca="1" si="11"/>
        <v>UDO</v>
      </c>
    </row>
    <row r="754" spans="1:10" x14ac:dyDescent="0.35">
      <c r="A754" s="5" t="s">
        <v>26</v>
      </c>
      <c r="B754" s="6">
        <v>44986</v>
      </c>
      <c r="C754" s="7">
        <v>11951297</v>
      </c>
      <c r="D754" s="7">
        <v>10030331.959999999</v>
      </c>
      <c r="E754" s="7">
        <v>1920965.0399999998</v>
      </c>
      <c r="F754" t="str">
        <f>VLOOKUP(A754,[1]!Table1[#All],17,FALSE)</f>
        <v>UNITED STATES</v>
      </c>
      <c r="G754" t="str">
        <f>VLOOKUP(A754,[1]!Table1[#All],22,FALSE)</f>
        <v>PUBLIC HEALTH INSTITUTE</v>
      </c>
      <c r="H754" s="8">
        <f>VLOOKUP(A754,[1]!Table1[#All],32,FALSE)</f>
        <v>42962</v>
      </c>
      <c r="I754" s="8">
        <f>VLOOKUP(A754,[1]!Table1[#All],33,FALSE)</f>
        <v>44787</v>
      </c>
      <c r="J754" t="str">
        <f t="shared" ca="1" si="11"/>
        <v>UDO</v>
      </c>
    </row>
    <row r="755" spans="1:10" x14ac:dyDescent="0.35">
      <c r="A755" s="9" t="s">
        <v>26</v>
      </c>
      <c r="B755" s="10">
        <v>45017</v>
      </c>
      <c r="C755" s="11">
        <v>11951297</v>
      </c>
      <c r="D755" s="11">
        <v>10709545.74</v>
      </c>
      <c r="E755" s="11">
        <v>1241751.26</v>
      </c>
      <c r="F755" t="str">
        <f>VLOOKUP(A755,[1]!Table1[#All],17,FALSE)</f>
        <v>UNITED STATES</v>
      </c>
      <c r="G755" t="str">
        <f>VLOOKUP(A755,[1]!Table1[#All],22,FALSE)</f>
        <v>PUBLIC HEALTH INSTITUTE</v>
      </c>
      <c r="H755" s="8">
        <f>VLOOKUP(A755,[1]!Table1[#All],32,FALSE)</f>
        <v>42962</v>
      </c>
      <c r="I755" s="8">
        <f>VLOOKUP(A755,[1]!Table1[#All],33,FALSE)</f>
        <v>44787</v>
      </c>
      <c r="J755" t="str">
        <f t="shared" ca="1" si="11"/>
        <v>UDO</v>
      </c>
    </row>
    <row r="756" spans="1:10" x14ac:dyDescent="0.35">
      <c r="A756" s="5" t="s">
        <v>26</v>
      </c>
      <c r="B756" s="6">
        <v>45047</v>
      </c>
      <c r="C756" s="7">
        <v>11951297</v>
      </c>
      <c r="D756" s="7">
        <v>10733649.33</v>
      </c>
      <c r="E756" s="7">
        <v>1217647.67</v>
      </c>
      <c r="F756" t="str">
        <f>VLOOKUP(A756,[1]!Table1[#All],17,FALSE)</f>
        <v>UNITED STATES</v>
      </c>
      <c r="G756" t="str">
        <f>VLOOKUP(A756,[1]!Table1[#All],22,FALSE)</f>
        <v>PUBLIC HEALTH INSTITUTE</v>
      </c>
      <c r="H756" s="8">
        <f>VLOOKUP(A756,[1]!Table1[#All],32,FALSE)</f>
        <v>42962</v>
      </c>
      <c r="I756" s="8">
        <f>VLOOKUP(A756,[1]!Table1[#All],33,FALSE)</f>
        <v>44787</v>
      </c>
      <c r="J756" t="str">
        <f t="shared" ca="1" si="11"/>
        <v>UDO</v>
      </c>
    </row>
    <row r="757" spans="1:10" x14ac:dyDescent="0.35">
      <c r="A757" s="9" t="s">
        <v>26</v>
      </c>
      <c r="B757" s="10">
        <v>45078</v>
      </c>
      <c r="C757" s="11">
        <v>11951297</v>
      </c>
      <c r="D757" s="11">
        <v>11540536.320000002</v>
      </c>
      <c r="E757" s="11">
        <v>410760.68</v>
      </c>
      <c r="F757" t="str">
        <f>VLOOKUP(A757,[1]!Table1[#All],17,FALSE)</f>
        <v>UNITED STATES</v>
      </c>
      <c r="G757" t="str">
        <f>VLOOKUP(A757,[1]!Table1[#All],22,FALSE)</f>
        <v>PUBLIC HEALTH INSTITUTE</v>
      </c>
      <c r="H757" s="8">
        <f>VLOOKUP(A757,[1]!Table1[#All],32,FALSE)</f>
        <v>42962</v>
      </c>
      <c r="I757" s="8">
        <f>VLOOKUP(A757,[1]!Table1[#All],33,FALSE)</f>
        <v>44787</v>
      </c>
      <c r="J757" t="str">
        <f t="shared" ca="1" si="11"/>
        <v>UDO</v>
      </c>
    </row>
    <row r="758" spans="1:10" x14ac:dyDescent="0.35">
      <c r="A758" s="5" t="s">
        <v>26</v>
      </c>
      <c r="B758" s="6">
        <v>45108</v>
      </c>
      <c r="C758" s="7">
        <v>11951297</v>
      </c>
      <c r="D758" s="7">
        <v>11563928.17</v>
      </c>
      <c r="E758" s="7">
        <v>387368.83</v>
      </c>
      <c r="F758" t="str">
        <f>VLOOKUP(A758,[1]!Table1[#All],17,FALSE)</f>
        <v>UNITED STATES</v>
      </c>
      <c r="G758" t="str">
        <f>VLOOKUP(A758,[1]!Table1[#All],22,FALSE)</f>
        <v>PUBLIC HEALTH INSTITUTE</v>
      </c>
      <c r="H758" s="8">
        <f>VLOOKUP(A758,[1]!Table1[#All],32,FALSE)</f>
        <v>42962</v>
      </c>
      <c r="I758" s="8">
        <f>VLOOKUP(A758,[1]!Table1[#All],33,FALSE)</f>
        <v>44787</v>
      </c>
      <c r="J758" t="str">
        <f t="shared" ca="1" si="11"/>
        <v>UDO</v>
      </c>
    </row>
    <row r="759" spans="1:10" x14ac:dyDescent="0.35">
      <c r="A759" s="9" t="s">
        <v>26</v>
      </c>
      <c r="B759" s="10">
        <v>45139</v>
      </c>
      <c r="C759" s="11">
        <v>11951297</v>
      </c>
      <c r="D759" s="11">
        <v>11569893.68</v>
      </c>
      <c r="E759" s="11">
        <v>381403.32</v>
      </c>
      <c r="F759" t="str">
        <f>VLOOKUP(A759,[1]!Table1[#All],17,FALSE)</f>
        <v>UNITED STATES</v>
      </c>
      <c r="G759" t="str">
        <f>VLOOKUP(A759,[1]!Table1[#All],22,FALSE)</f>
        <v>PUBLIC HEALTH INSTITUTE</v>
      </c>
      <c r="H759" s="8">
        <f>VLOOKUP(A759,[1]!Table1[#All],32,FALSE)</f>
        <v>42962</v>
      </c>
      <c r="I759" s="8">
        <f>VLOOKUP(A759,[1]!Table1[#All],33,FALSE)</f>
        <v>44787</v>
      </c>
      <c r="J759" t="str">
        <f t="shared" ca="1" si="11"/>
        <v>UDO</v>
      </c>
    </row>
    <row r="760" spans="1:10" x14ac:dyDescent="0.35">
      <c r="A760" s="5" t="s">
        <v>26</v>
      </c>
      <c r="B760" s="6">
        <v>45170</v>
      </c>
      <c r="C760" s="7">
        <v>11951297</v>
      </c>
      <c r="D760" s="7">
        <v>11569893.68</v>
      </c>
      <c r="E760" s="7">
        <v>381403.32</v>
      </c>
      <c r="F760" t="str">
        <f>VLOOKUP(A760,[1]!Table1[#All],17,FALSE)</f>
        <v>UNITED STATES</v>
      </c>
      <c r="G760" t="str">
        <f>VLOOKUP(A760,[1]!Table1[#All],22,FALSE)</f>
        <v>PUBLIC HEALTH INSTITUTE</v>
      </c>
      <c r="H760" s="8">
        <f>VLOOKUP(A760,[1]!Table1[#All],32,FALSE)</f>
        <v>42962</v>
      </c>
      <c r="I760" s="8">
        <f>VLOOKUP(A760,[1]!Table1[#All],33,FALSE)</f>
        <v>44787</v>
      </c>
      <c r="J760" t="str">
        <f t="shared" ca="1" si="11"/>
        <v>UDO</v>
      </c>
    </row>
    <row r="761" spans="1:10" x14ac:dyDescent="0.35">
      <c r="A761" s="9" t="s">
        <v>27</v>
      </c>
      <c r="B761" s="10">
        <v>44105</v>
      </c>
      <c r="C761" s="11">
        <v>46236664</v>
      </c>
      <c r="D761" s="11">
        <v>20634786</v>
      </c>
      <c r="E761" s="11">
        <v>25601878</v>
      </c>
      <c r="F761" t="str">
        <f>VLOOKUP(A761,[1]!Table1[#All],17,FALSE)</f>
        <v>NIGERIA</v>
      </c>
      <c r="G761" t="str">
        <f>VLOOKUP(A761,[1]!Table1[#All],22,FALSE)</f>
        <v>AIDS PREVENTION INITIATIVE</v>
      </c>
      <c r="H761" s="8">
        <f>VLOOKUP(A761,[1]!Table1[#All],32,FALSE)</f>
        <v>43008</v>
      </c>
      <c r="I761" s="8">
        <f>VLOOKUP(A761,[1]!Table1[#All],33,FALSE)</f>
        <v>44833</v>
      </c>
      <c r="J761" t="str">
        <f t="shared" ca="1" si="11"/>
        <v>UDO</v>
      </c>
    </row>
    <row r="762" spans="1:10" x14ac:dyDescent="0.35">
      <c r="A762" s="5" t="s">
        <v>27</v>
      </c>
      <c r="B762" s="6">
        <v>44136</v>
      </c>
      <c r="C762" s="7">
        <v>46236664</v>
      </c>
      <c r="D762" s="7">
        <v>24324236</v>
      </c>
      <c r="E762" s="7">
        <v>21912428</v>
      </c>
      <c r="F762" t="str">
        <f>VLOOKUP(A762,[1]!Table1[#All],17,FALSE)</f>
        <v>NIGERIA</v>
      </c>
      <c r="G762" t="str">
        <f>VLOOKUP(A762,[1]!Table1[#All],22,FALSE)</f>
        <v>AIDS PREVENTION INITIATIVE</v>
      </c>
      <c r="H762" s="8">
        <f>VLOOKUP(A762,[1]!Table1[#All],32,FALSE)</f>
        <v>43008</v>
      </c>
      <c r="I762" s="8">
        <f>VLOOKUP(A762,[1]!Table1[#All],33,FALSE)</f>
        <v>44833</v>
      </c>
      <c r="J762" t="str">
        <f t="shared" ca="1" si="11"/>
        <v>UDO</v>
      </c>
    </row>
    <row r="763" spans="1:10" x14ac:dyDescent="0.35">
      <c r="A763" s="9" t="s">
        <v>27</v>
      </c>
      <c r="B763" s="10">
        <v>44166</v>
      </c>
      <c r="C763" s="11">
        <v>46236664</v>
      </c>
      <c r="D763" s="11">
        <v>29008827</v>
      </c>
      <c r="E763" s="11">
        <v>17227837</v>
      </c>
      <c r="F763" t="str">
        <f>VLOOKUP(A763,[1]!Table1[#All],17,FALSE)</f>
        <v>NIGERIA</v>
      </c>
      <c r="G763" t="str">
        <f>VLOOKUP(A763,[1]!Table1[#All],22,FALSE)</f>
        <v>AIDS PREVENTION INITIATIVE</v>
      </c>
      <c r="H763" s="8">
        <f>VLOOKUP(A763,[1]!Table1[#All],32,FALSE)</f>
        <v>43008</v>
      </c>
      <c r="I763" s="8">
        <f>VLOOKUP(A763,[1]!Table1[#All],33,FALSE)</f>
        <v>44833</v>
      </c>
      <c r="J763" t="str">
        <f t="shared" ca="1" si="11"/>
        <v>UDO</v>
      </c>
    </row>
    <row r="764" spans="1:10" x14ac:dyDescent="0.35">
      <c r="A764" s="5" t="s">
        <v>27</v>
      </c>
      <c r="B764" s="6">
        <v>44197</v>
      </c>
      <c r="C764" s="7">
        <v>46236664</v>
      </c>
      <c r="D764" s="7">
        <v>37126695</v>
      </c>
      <c r="E764" s="7">
        <v>9109969</v>
      </c>
      <c r="F764" t="str">
        <f>VLOOKUP(A764,[1]!Table1[#All],17,FALSE)</f>
        <v>NIGERIA</v>
      </c>
      <c r="G764" t="str">
        <f>VLOOKUP(A764,[1]!Table1[#All],22,FALSE)</f>
        <v>AIDS PREVENTION INITIATIVE</v>
      </c>
      <c r="H764" s="8">
        <f>VLOOKUP(A764,[1]!Table1[#All],32,FALSE)</f>
        <v>43008</v>
      </c>
      <c r="I764" s="8">
        <f>VLOOKUP(A764,[1]!Table1[#All],33,FALSE)</f>
        <v>44833</v>
      </c>
      <c r="J764" t="str">
        <f t="shared" ca="1" si="11"/>
        <v>UDO</v>
      </c>
    </row>
    <row r="765" spans="1:10" x14ac:dyDescent="0.35">
      <c r="A765" s="9" t="s">
        <v>27</v>
      </c>
      <c r="B765" s="10">
        <v>44228</v>
      </c>
      <c r="C765" s="11">
        <v>46236664</v>
      </c>
      <c r="D765" s="11">
        <v>41274130</v>
      </c>
      <c r="E765" s="11">
        <v>4962534</v>
      </c>
      <c r="F765" t="str">
        <f>VLOOKUP(A765,[1]!Table1[#All],17,FALSE)</f>
        <v>NIGERIA</v>
      </c>
      <c r="G765" t="str">
        <f>VLOOKUP(A765,[1]!Table1[#All],22,FALSE)</f>
        <v>AIDS PREVENTION INITIATIVE</v>
      </c>
      <c r="H765" s="8">
        <f>VLOOKUP(A765,[1]!Table1[#All],32,FALSE)</f>
        <v>43008</v>
      </c>
      <c r="I765" s="8">
        <f>VLOOKUP(A765,[1]!Table1[#All],33,FALSE)</f>
        <v>44833</v>
      </c>
      <c r="J765" t="str">
        <f t="shared" ca="1" si="11"/>
        <v>UDO</v>
      </c>
    </row>
    <row r="766" spans="1:10" x14ac:dyDescent="0.35">
      <c r="A766" s="5" t="s">
        <v>27</v>
      </c>
      <c r="B766" s="6">
        <v>44256</v>
      </c>
      <c r="C766" s="7">
        <v>46236664</v>
      </c>
      <c r="D766" s="7">
        <v>45320463</v>
      </c>
      <c r="E766" s="7">
        <v>916201</v>
      </c>
      <c r="F766" t="str">
        <f>VLOOKUP(A766,[1]!Table1[#All],17,FALSE)</f>
        <v>NIGERIA</v>
      </c>
      <c r="G766" t="str">
        <f>VLOOKUP(A766,[1]!Table1[#All],22,FALSE)</f>
        <v>AIDS PREVENTION INITIATIVE</v>
      </c>
      <c r="H766" s="8">
        <f>VLOOKUP(A766,[1]!Table1[#All],32,FALSE)</f>
        <v>43008</v>
      </c>
      <c r="I766" s="8">
        <f>VLOOKUP(A766,[1]!Table1[#All],33,FALSE)</f>
        <v>44833</v>
      </c>
      <c r="J766" t="str">
        <f t="shared" ca="1" si="11"/>
        <v>UDO</v>
      </c>
    </row>
    <row r="767" spans="1:10" x14ac:dyDescent="0.35">
      <c r="A767" s="9" t="s">
        <v>27</v>
      </c>
      <c r="B767" s="10">
        <v>44287</v>
      </c>
      <c r="C767" s="11">
        <v>46236664</v>
      </c>
      <c r="D767" s="11">
        <v>45392069</v>
      </c>
      <c r="E767" s="11">
        <v>844595</v>
      </c>
      <c r="F767" t="str">
        <f>VLOOKUP(A767,[1]!Table1[#All],17,FALSE)</f>
        <v>NIGERIA</v>
      </c>
      <c r="G767" t="str">
        <f>VLOOKUP(A767,[1]!Table1[#All],22,FALSE)</f>
        <v>AIDS PREVENTION INITIATIVE</v>
      </c>
      <c r="H767" s="8">
        <f>VLOOKUP(A767,[1]!Table1[#All],32,FALSE)</f>
        <v>43008</v>
      </c>
      <c r="I767" s="8">
        <f>VLOOKUP(A767,[1]!Table1[#All],33,FALSE)</f>
        <v>44833</v>
      </c>
      <c r="J767" t="str">
        <f t="shared" ca="1" si="11"/>
        <v>UDO</v>
      </c>
    </row>
    <row r="768" spans="1:10" x14ac:dyDescent="0.35">
      <c r="A768" s="5" t="s">
        <v>27</v>
      </c>
      <c r="B768" s="6">
        <v>44317</v>
      </c>
      <c r="C768" s="7">
        <v>46236664</v>
      </c>
      <c r="D768" s="7">
        <v>45692763</v>
      </c>
      <c r="E768" s="7">
        <v>543901</v>
      </c>
      <c r="F768" t="str">
        <f>VLOOKUP(A768,[1]!Table1[#All],17,FALSE)</f>
        <v>NIGERIA</v>
      </c>
      <c r="G768" t="str">
        <f>VLOOKUP(A768,[1]!Table1[#All],22,FALSE)</f>
        <v>AIDS PREVENTION INITIATIVE</v>
      </c>
      <c r="H768" s="8">
        <f>VLOOKUP(A768,[1]!Table1[#All],32,FALSE)</f>
        <v>43008</v>
      </c>
      <c r="I768" s="8">
        <f>VLOOKUP(A768,[1]!Table1[#All],33,FALSE)</f>
        <v>44833</v>
      </c>
      <c r="J768" t="str">
        <f t="shared" ca="1" si="11"/>
        <v>UDO</v>
      </c>
    </row>
    <row r="769" spans="1:10" x14ac:dyDescent="0.35">
      <c r="A769" s="9" t="s">
        <v>27</v>
      </c>
      <c r="B769" s="10">
        <v>44348</v>
      </c>
      <c r="C769" s="11">
        <v>46236664</v>
      </c>
      <c r="D769" s="11">
        <v>45828740</v>
      </c>
      <c r="E769" s="11">
        <v>407924</v>
      </c>
      <c r="F769" t="str">
        <f>VLOOKUP(A769,[1]!Table1[#All],17,FALSE)</f>
        <v>NIGERIA</v>
      </c>
      <c r="G769" t="str">
        <f>VLOOKUP(A769,[1]!Table1[#All],22,FALSE)</f>
        <v>AIDS PREVENTION INITIATIVE</v>
      </c>
      <c r="H769" s="8">
        <f>VLOOKUP(A769,[1]!Table1[#All],32,FALSE)</f>
        <v>43008</v>
      </c>
      <c r="I769" s="8">
        <f>VLOOKUP(A769,[1]!Table1[#All],33,FALSE)</f>
        <v>44833</v>
      </c>
      <c r="J769" t="str">
        <f t="shared" ca="1" si="11"/>
        <v>UDO</v>
      </c>
    </row>
    <row r="770" spans="1:10" x14ac:dyDescent="0.35">
      <c r="A770" s="5" t="s">
        <v>27</v>
      </c>
      <c r="B770" s="6">
        <v>44378</v>
      </c>
      <c r="C770" s="7">
        <v>46236664</v>
      </c>
      <c r="D770" s="7">
        <v>45964714.68</v>
      </c>
      <c r="E770" s="7">
        <v>271949.32</v>
      </c>
      <c r="F770" t="str">
        <f>VLOOKUP(A770,[1]!Table1[#All],17,FALSE)</f>
        <v>NIGERIA</v>
      </c>
      <c r="G770" t="str">
        <f>VLOOKUP(A770,[1]!Table1[#All],22,FALSE)</f>
        <v>AIDS PREVENTION INITIATIVE</v>
      </c>
      <c r="H770" s="8">
        <f>VLOOKUP(A770,[1]!Table1[#All],32,FALSE)</f>
        <v>43008</v>
      </c>
      <c r="I770" s="8">
        <f>VLOOKUP(A770,[1]!Table1[#All],33,FALSE)</f>
        <v>44833</v>
      </c>
      <c r="J770" t="str">
        <f t="shared" ca="1" si="11"/>
        <v>UDO</v>
      </c>
    </row>
    <row r="771" spans="1:10" x14ac:dyDescent="0.35">
      <c r="A771" s="9" t="s">
        <v>27</v>
      </c>
      <c r="B771" s="10">
        <v>44409</v>
      </c>
      <c r="C771" s="11">
        <v>46236664</v>
      </c>
      <c r="D771" s="11">
        <v>46100688.68</v>
      </c>
      <c r="E771" s="11">
        <v>135975.32</v>
      </c>
      <c r="F771" t="str">
        <f>VLOOKUP(A771,[1]!Table1[#All],17,FALSE)</f>
        <v>NIGERIA</v>
      </c>
      <c r="G771" t="str">
        <f>VLOOKUP(A771,[1]!Table1[#All],22,FALSE)</f>
        <v>AIDS PREVENTION INITIATIVE</v>
      </c>
      <c r="H771" s="8">
        <f>VLOOKUP(A771,[1]!Table1[#All],32,FALSE)</f>
        <v>43008</v>
      </c>
      <c r="I771" s="8">
        <f>VLOOKUP(A771,[1]!Table1[#All],33,FALSE)</f>
        <v>44833</v>
      </c>
      <c r="J771" t="str">
        <f t="shared" ref="J771:J834" ca="1" si="12">IF(AND( E771&gt;0,TODAY()&gt;I771),"UDO","Non UDO")</f>
        <v>UDO</v>
      </c>
    </row>
    <row r="772" spans="1:10" x14ac:dyDescent="0.35">
      <c r="A772" s="5" t="s">
        <v>27</v>
      </c>
      <c r="B772" s="6">
        <v>44440</v>
      </c>
      <c r="C772" s="7">
        <v>46236664</v>
      </c>
      <c r="D772" s="7">
        <v>46100688.68</v>
      </c>
      <c r="E772" s="7">
        <v>135975.32</v>
      </c>
      <c r="F772" t="str">
        <f>VLOOKUP(A772,[1]!Table1[#All],17,FALSE)</f>
        <v>NIGERIA</v>
      </c>
      <c r="G772" t="str">
        <f>VLOOKUP(A772,[1]!Table1[#All],22,FALSE)</f>
        <v>AIDS PREVENTION INITIATIVE</v>
      </c>
      <c r="H772" s="8">
        <f>VLOOKUP(A772,[1]!Table1[#All],32,FALSE)</f>
        <v>43008</v>
      </c>
      <c r="I772" s="8">
        <f>VLOOKUP(A772,[1]!Table1[#All],33,FALSE)</f>
        <v>44833</v>
      </c>
      <c r="J772" t="str">
        <f t="shared" ca="1" si="12"/>
        <v>UDO</v>
      </c>
    </row>
    <row r="773" spans="1:10" x14ac:dyDescent="0.35">
      <c r="A773" s="9" t="s">
        <v>27</v>
      </c>
      <c r="B773" s="10">
        <v>44470</v>
      </c>
      <c r="C773" s="11">
        <v>46236664</v>
      </c>
      <c r="D773" s="11">
        <v>46100688.68</v>
      </c>
      <c r="E773" s="11">
        <v>135975.32</v>
      </c>
      <c r="F773" t="str">
        <f>VLOOKUP(A773,[1]!Table1[#All],17,FALSE)</f>
        <v>NIGERIA</v>
      </c>
      <c r="G773" t="str">
        <f>VLOOKUP(A773,[1]!Table1[#All],22,FALSE)</f>
        <v>AIDS PREVENTION INITIATIVE</v>
      </c>
      <c r="H773" s="8">
        <f>VLOOKUP(A773,[1]!Table1[#All],32,FALSE)</f>
        <v>43008</v>
      </c>
      <c r="I773" s="8">
        <f>VLOOKUP(A773,[1]!Table1[#All],33,FALSE)</f>
        <v>44833</v>
      </c>
      <c r="J773" t="str">
        <f t="shared" ca="1" si="12"/>
        <v>UDO</v>
      </c>
    </row>
    <row r="774" spans="1:10" x14ac:dyDescent="0.35">
      <c r="A774" s="5" t="s">
        <v>27</v>
      </c>
      <c r="B774" s="6">
        <v>44501</v>
      </c>
      <c r="C774" s="7">
        <v>46236664</v>
      </c>
      <c r="D774" s="7">
        <v>46167688.68</v>
      </c>
      <c r="E774" s="7">
        <v>68975.320000000007</v>
      </c>
      <c r="F774" t="str">
        <f>VLOOKUP(A774,[1]!Table1[#All],17,FALSE)</f>
        <v>NIGERIA</v>
      </c>
      <c r="G774" t="str">
        <f>VLOOKUP(A774,[1]!Table1[#All],22,FALSE)</f>
        <v>AIDS PREVENTION INITIATIVE</v>
      </c>
      <c r="H774" s="8">
        <f>VLOOKUP(A774,[1]!Table1[#All],32,FALSE)</f>
        <v>43008</v>
      </c>
      <c r="I774" s="8">
        <f>VLOOKUP(A774,[1]!Table1[#All],33,FALSE)</f>
        <v>44833</v>
      </c>
      <c r="J774" t="str">
        <f t="shared" ca="1" si="12"/>
        <v>UDO</v>
      </c>
    </row>
    <row r="775" spans="1:10" x14ac:dyDescent="0.35">
      <c r="A775" s="9" t="s">
        <v>27</v>
      </c>
      <c r="B775" s="10">
        <v>44531</v>
      </c>
      <c r="C775" s="11">
        <v>46236664</v>
      </c>
      <c r="D775" s="11">
        <v>46167688.68</v>
      </c>
      <c r="E775" s="11">
        <v>68975.320000000007</v>
      </c>
      <c r="F775" t="str">
        <f>VLOOKUP(A775,[1]!Table1[#All],17,FALSE)</f>
        <v>NIGERIA</v>
      </c>
      <c r="G775" t="str">
        <f>VLOOKUP(A775,[1]!Table1[#All],22,FALSE)</f>
        <v>AIDS PREVENTION INITIATIVE</v>
      </c>
      <c r="H775" s="8">
        <f>VLOOKUP(A775,[1]!Table1[#All],32,FALSE)</f>
        <v>43008</v>
      </c>
      <c r="I775" s="8">
        <f>VLOOKUP(A775,[1]!Table1[#All],33,FALSE)</f>
        <v>44833</v>
      </c>
      <c r="J775" t="str">
        <f t="shared" ca="1" si="12"/>
        <v>UDO</v>
      </c>
    </row>
    <row r="776" spans="1:10" x14ac:dyDescent="0.35">
      <c r="A776" s="5" t="s">
        <v>27</v>
      </c>
      <c r="B776" s="6">
        <v>44562</v>
      </c>
      <c r="C776" s="7">
        <v>46236664</v>
      </c>
      <c r="D776" s="7">
        <v>46196607.68</v>
      </c>
      <c r="E776" s="7">
        <v>40056.32</v>
      </c>
      <c r="F776" t="str">
        <f>VLOOKUP(A776,[1]!Table1[#All],17,FALSE)</f>
        <v>NIGERIA</v>
      </c>
      <c r="G776" t="str">
        <f>VLOOKUP(A776,[1]!Table1[#All],22,FALSE)</f>
        <v>AIDS PREVENTION INITIATIVE</v>
      </c>
      <c r="H776" s="8">
        <f>VLOOKUP(A776,[1]!Table1[#All],32,FALSE)</f>
        <v>43008</v>
      </c>
      <c r="I776" s="8">
        <f>VLOOKUP(A776,[1]!Table1[#All],33,FALSE)</f>
        <v>44833</v>
      </c>
      <c r="J776" t="str">
        <f t="shared" ca="1" si="12"/>
        <v>UDO</v>
      </c>
    </row>
    <row r="777" spans="1:10" x14ac:dyDescent="0.35">
      <c r="A777" s="9" t="s">
        <v>27</v>
      </c>
      <c r="B777" s="10">
        <v>44593</v>
      </c>
      <c r="C777" s="11">
        <v>46236664</v>
      </c>
      <c r="D777" s="11">
        <v>46196607.68</v>
      </c>
      <c r="E777" s="11">
        <v>40056.32</v>
      </c>
      <c r="F777" t="str">
        <f>VLOOKUP(A777,[1]!Table1[#All],17,FALSE)</f>
        <v>NIGERIA</v>
      </c>
      <c r="G777" t="str">
        <f>VLOOKUP(A777,[1]!Table1[#All],22,FALSE)</f>
        <v>AIDS PREVENTION INITIATIVE</v>
      </c>
      <c r="H777" s="8">
        <f>VLOOKUP(A777,[1]!Table1[#All],32,FALSE)</f>
        <v>43008</v>
      </c>
      <c r="I777" s="8">
        <f>VLOOKUP(A777,[1]!Table1[#All],33,FALSE)</f>
        <v>44833</v>
      </c>
      <c r="J777" t="str">
        <f t="shared" ca="1" si="12"/>
        <v>UDO</v>
      </c>
    </row>
    <row r="778" spans="1:10" x14ac:dyDescent="0.35">
      <c r="A778" s="5" t="s">
        <v>27</v>
      </c>
      <c r="B778" s="6">
        <v>44621</v>
      </c>
      <c r="C778" s="7">
        <v>46236664</v>
      </c>
      <c r="D778" s="7">
        <v>46236664</v>
      </c>
      <c r="E778" s="7">
        <v>0</v>
      </c>
      <c r="F778" t="str">
        <f>VLOOKUP(A778,[1]!Table1[#All],17,FALSE)</f>
        <v>NIGERIA</v>
      </c>
      <c r="G778" t="str">
        <f>VLOOKUP(A778,[1]!Table1[#All],22,FALSE)</f>
        <v>AIDS PREVENTION INITIATIVE</v>
      </c>
      <c r="H778" s="8">
        <f>VLOOKUP(A778,[1]!Table1[#All],32,FALSE)</f>
        <v>43008</v>
      </c>
      <c r="I778" s="8">
        <f>VLOOKUP(A778,[1]!Table1[#All],33,FALSE)</f>
        <v>44833</v>
      </c>
      <c r="J778" t="str">
        <f t="shared" ca="1" si="12"/>
        <v>Non UDO</v>
      </c>
    </row>
    <row r="779" spans="1:10" x14ac:dyDescent="0.35">
      <c r="A779" s="9" t="s">
        <v>27</v>
      </c>
      <c r="B779" s="10">
        <v>44652</v>
      </c>
      <c r="C779" s="11">
        <v>46236664</v>
      </c>
      <c r="D779" s="11">
        <v>46236664</v>
      </c>
      <c r="E779" s="11">
        <v>0</v>
      </c>
      <c r="F779" t="str">
        <f>VLOOKUP(A779,[1]!Table1[#All],17,FALSE)</f>
        <v>NIGERIA</v>
      </c>
      <c r="G779" t="str">
        <f>VLOOKUP(A779,[1]!Table1[#All],22,FALSE)</f>
        <v>AIDS PREVENTION INITIATIVE</v>
      </c>
      <c r="H779" s="8">
        <f>VLOOKUP(A779,[1]!Table1[#All],32,FALSE)</f>
        <v>43008</v>
      </c>
      <c r="I779" s="8">
        <f>VLOOKUP(A779,[1]!Table1[#All],33,FALSE)</f>
        <v>44833</v>
      </c>
      <c r="J779" t="str">
        <f t="shared" ca="1" si="12"/>
        <v>Non UDO</v>
      </c>
    </row>
    <row r="780" spans="1:10" x14ac:dyDescent="0.35">
      <c r="A780" s="5" t="s">
        <v>27</v>
      </c>
      <c r="B780" s="6">
        <v>44682</v>
      </c>
      <c r="C780" s="7">
        <v>46236664</v>
      </c>
      <c r="D780" s="7">
        <v>46236664</v>
      </c>
      <c r="E780" s="7">
        <v>0</v>
      </c>
      <c r="F780" t="str">
        <f>VLOOKUP(A780,[1]!Table1[#All],17,FALSE)</f>
        <v>NIGERIA</v>
      </c>
      <c r="G780" t="str">
        <f>VLOOKUP(A780,[1]!Table1[#All],22,FALSE)</f>
        <v>AIDS PREVENTION INITIATIVE</v>
      </c>
      <c r="H780" s="8">
        <f>VLOOKUP(A780,[1]!Table1[#All],32,FALSE)</f>
        <v>43008</v>
      </c>
      <c r="I780" s="8">
        <f>VLOOKUP(A780,[1]!Table1[#All],33,FALSE)</f>
        <v>44833</v>
      </c>
      <c r="J780" t="str">
        <f t="shared" ca="1" si="12"/>
        <v>Non UDO</v>
      </c>
    </row>
    <row r="781" spans="1:10" x14ac:dyDescent="0.35">
      <c r="A781" s="9" t="s">
        <v>27</v>
      </c>
      <c r="B781" s="10">
        <v>44713</v>
      </c>
      <c r="C781" s="11">
        <v>46236664</v>
      </c>
      <c r="D781" s="11">
        <v>46236664</v>
      </c>
      <c r="E781" s="11">
        <v>0</v>
      </c>
      <c r="F781" t="str">
        <f>VLOOKUP(A781,[1]!Table1[#All],17,FALSE)</f>
        <v>NIGERIA</v>
      </c>
      <c r="G781" t="str">
        <f>VLOOKUP(A781,[1]!Table1[#All],22,FALSE)</f>
        <v>AIDS PREVENTION INITIATIVE</v>
      </c>
      <c r="H781" s="8">
        <f>VLOOKUP(A781,[1]!Table1[#All],32,FALSE)</f>
        <v>43008</v>
      </c>
      <c r="I781" s="8">
        <f>VLOOKUP(A781,[1]!Table1[#All],33,FALSE)</f>
        <v>44833</v>
      </c>
      <c r="J781" t="str">
        <f t="shared" ca="1" si="12"/>
        <v>Non UDO</v>
      </c>
    </row>
    <row r="782" spans="1:10" x14ac:dyDescent="0.35">
      <c r="A782" s="5" t="s">
        <v>27</v>
      </c>
      <c r="B782" s="6">
        <v>44743</v>
      </c>
      <c r="C782" s="7">
        <v>46236664</v>
      </c>
      <c r="D782" s="7">
        <v>46236664</v>
      </c>
      <c r="E782" s="7">
        <v>0</v>
      </c>
      <c r="F782" t="str">
        <f>VLOOKUP(A782,[1]!Table1[#All],17,FALSE)</f>
        <v>NIGERIA</v>
      </c>
      <c r="G782" t="str">
        <f>VLOOKUP(A782,[1]!Table1[#All],22,FALSE)</f>
        <v>AIDS PREVENTION INITIATIVE</v>
      </c>
      <c r="H782" s="8">
        <f>VLOOKUP(A782,[1]!Table1[#All],32,FALSE)</f>
        <v>43008</v>
      </c>
      <c r="I782" s="8">
        <f>VLOOKUP(A782,[1]!Table1[#All],33,FALSE)</f>
        <v>44833</v>
      </c>
      <c r="J782" t="str">
        <f t="shared" ca="1" si="12"/>
        <v>Non UDO</v>
      </c>
    </row>
    <row r="783" spans="1:10" x14ac:dyDescent="0.35">
      <c r="A783" s="9" t="s">
        <v>27</v>
      </c>
      <c r="B783" s="10">
        <v>44774</v>
      </c>
      <c r="C783" s="11">
        <v>46236664</v>
      </c>
      <c r="D783" s="11">
        <v>46236664</v>
      </c>
      <c r="E783" s="11">
        <v>0</v>
      </c>
      <c r="F783" t="str">
        <f>VLOOKUP(A783,[1]!Table1[#All],17,FALSE)</f>
        <v>NIGERIA</v>
      </c>
      <c r="G783" t="str">
        <f>VLOOKUP(A783,[1]!Table1[#All],22,FALSE)</f>
        <v>AIDS PREVENTION INITIATIVE</v>
      </c>
      <c r="H783" s="8">
        <f>VLOOKUP(A783,[1]!Table1[#All],32,FALSE)</f>
        <v>43008</v>
      </c>
      <c r="I783" s="8">
        <f>VLOOKUP(A783,[1]!Table1[#All],33,FALSE)</f>
        <v>44833</v>
      </c>
      <c r="J783" t="str">
        <f t="shared" ca="1" si="12"/>
        <v>Non UDO</v>
      </c>
    </row>
    <row r="784" spans="1:10" x14ac:dyDescent="0.35">
      <c r="A784" s="5" t="s">
        <v>27</v>
      </c>
      <c r="B784" s="6">
        <v>44805</v>
      </c>
      <c r="C784" s="7">
        <v>46236664</v>
      </c>
      <c r="D784" s="7">
        <v>46236664</v>
      </c>
      <c r="E784" s="7">
        <v>0</v>
      </c>
      <c r="F784" t="str">
        <f>VLOOKUP(A784,[1]!Table1[#All],17,FALSE)</f>
        <v>NIGERIA</v>
      </c>
      <c r="G784" t="str">
        <f>VLOOKUP(A784,[1]!Table1[#All],22,FALSE)</f>
        <v>AIDS PREVENTION INITIATIVE</v>
      </c>
      <c r="H784" s="8">
        <f>VLOOKUP(A784,[1]!Table1[#All],32,FALSE)</f>
        <v>43008</v>
      </c>
      <c r="I784" s="8">
        <f>VLOOKUP(A784,[1]!Table1[#All],33,FALSE)</f>
        <v>44833</v>
      </c>
      <c r="J784" t="str">
        <f t="shared" ca="1" si="12"/>
        <v>Non UDO</v>
      </c>
    </row>
    <row r="785" spans="1:10" x14ac:dyDescent="0.35">
      <c r="A785" s="9" t="s">
        <v>27</v>
      </c>
      <c r="B785" s="10">
        <v>44835</v>
      </c>
      <c r="C785" s="11">
        <v>46236664</v>
      </c>
      <c r="D785" s="11">
        <v>46236664</v>
      </c>
      <c r="E785" s="11">
        <v>0</v>
      </c>
      <c r="F785" t="str">
        <f>VLOOKUP(A785,[1]!Table1[#All],17,FALSE)</f>
        <v>NIGERIA</v>
      </c>
      <c r="G785" t="str">
        <f>VLOOKUP(A785,[1]!Table1[#All],22,FALSE)</f>
        <v>AIDS PREVENTION INITIATIVE</v>
      </c>
      <c r="H785" s="8">
        <f>VLOOKUP(A785,[1]!Table1[#All],32,FALSE)</f>
        <v>43008</v>
      </c>
      <c r="I785" s="8">
        <f>VLOOKUP(A785,[1]!Table1[#All],33,FALSE)</f>
        <v>44833</v>
      </c>
      <c r="J785" t="str">
        <f t="shared" ca="1" si="12"/>
        <v>Non UDO</v>
      </c>
    </row>
    <row r="786" spans="1:10" x14ac:dyDescent="0.35">
      <c r="A786" s="5" t="s">
        <v>27</v>
      </c>
      <c r="B786" s="6">
        <v>44866</v>
      </c>
      <c r="C786" s="7">
        <v>46236664</v>
      </c>
      <c r="D786" s="7">
        <v>46236664</v>
      </c>
      <c r="E786" s="7">
        <v>0</v>
      </c>
      <c r="F786" t="str">
        <f>VLOOKUP(A786,[1]!Table1[#All],17,FALSE)</f>
        <v>NIGERIA</v>
      </c>
      <c r="G786" t="str">
        <f>VLOOKUP(A786,[1]!Table1[#All],22,FALSE)</f>
        <v>AIDS PREVENTION INITIATIVE</v>
      </c>
      <c r="H786" s="8">
        <f>VLOOKUP(A786,[1]!Table1[#All],32,FALSE)</f>
        <v>43008</v>
      </c>
      <c r="I786" s="8">
        <f>VLOOKUP(A786,[1]!Table1[#All],33,FALSE)</f>
        <v>44833</v>
      </c>
      <c r="J786" t="str">
        <f t="shared" ca="1" si="12"/>
        <v>Non UDO</v>
      </c>
    </row>
    <row r="787" spans="1:10" x14ac:dyDescent="0.35">
      <c r="A787" s="9" t="s">
        <v>27</v>
      </c>
      <c r="B787" s="10">
        <v>44896</v>
      </c>
      <c r="C787" s="11">
        <v>46236664</v>
      </c>
      <c r="D787" s="11">
        <v>46236664</v>
      </c>
      <c r="E787" s="11">
        <v>0</v>
      </c>
      <c r="F787" t="str">
        <f>VLOOKUP(A787,[1]!Table1[#All],17,FALSE)</f>
        <v>NIGERIA</v>
      </c>
      <c r="G787" t="str">
        <f>VLOOKUP(A787,[1]!Table1[#All],22,FALSE)</f>
        <v>AIDS PREVENTION INITIATIVE</v>
      </c>
      <c r="H787" s="8">
        <f>VLOOKUP(A787,[1]!Table1[#All],32,FALSE)</f>
        <v>43008</v>
      </c>
      <c r="I787" s="8">
        <f>VLOOKUP(A787,[1]!Table1[#All],33,FALSE)</f>
        <v>44833</v>
      </c>
      <c r="J787" t="str">
        <f t="shared" ca="1" si="12"/>
        <v>Non UDO</v>
      </c>
    </row>
    <row r="788" spans="1:10" x14ac:dyDescent="0.35">
      <c r="A788" s="5" t="s">
        <v>27</v>
      </c>
      <c r="B788" s="6">
        <v>44927</v>
      </c>
      <c r="C788" s="7">
        <v>46236664</v>
      </c>
      <c r="D788" s="7">
        <v>46236664</v>
      </c>
      <c r="E788" s="7">
        <v>0</v>
      </c>
      <c r="F788" t="str">
        <f>VLOOKUP(A788,[1]!Table1[#All],17,FALSE)</f>
        <v>NIGERIA</v>
      </c>
      <c r="G788" t="str">
        <f>VLOOKUP(A788,[1]!Table1[#All],22,FALSE)</f>
        <v>AIDS PREVENTION INITIATIVE</v>
      </c>
      <c r="H788" s="8">
        <f>VLOOKUP(A788,[1]!Table1[#All],32,FALSE)</f>
        <v>43008</v>
      </c>
      <c r="I788" s="8">
        <f>VLOOKUP(A788,[1]!Table1[#All],33,FALSE)</f>
        <v>44833</v>
      </c>
      <c r="J788" t="str">
        <f t="shared" ca="1" si="12"/>
        <v>Non UDO</v>
      </c>
    </row>
    <row r="789" spans="1:10" x14ac:dyDescent="0.35">
      <c r="A789" s="9" t="s">
        <v>27</v>
      </c>
      <c r="B789" s="10">
        <v>44958</v>
      </c>
      <c r="C789" s="11">
        <v>46236664</v>
      </c>
      <c r="D789" s="11">
        <v>46236664</v>
      </c>
      <c r="E789" s="11">
        <v>0</v>
      </c>
      <c r="F789" t="str">
        <f>VLOOKUP(A789,[1]!Table1[#All],17,FALSE)</f>
        <v>NIGERIA</v>
      </c>
      <c r="G789" t="str">
        <f>VLOOKUP(A789,[1]!Table1[#All],22,FALSE)</f>
        <v>AIDS PREVENTION INITIATIVE</v>
      </c>
      <c r="H789" s="8">
        <f>VLOOKUP(A789,[1]!Table1[#All],32,FALSE)</f>
        <v>43008</v>
      </c>
      <c r="I789" s="8">
        <f>VLOOKUP(A789,[1]!Table1[#All],33,FALSE)</f>
        <v>44833</v>
      </c>
      <c r="J789" t="str">
        <f t="shared" ca="1" si="12"/>
        <v>Non UDO</v>
      </c>
    </row>
    <row r="790" spans="1:10" x14ac:dyDescent="0.35">
      <c r="A790" s="5" t="s">
        <v>27</v>
      </c>
      <c r="B790" s="6">
        <v>44986</v>
      </c>
      <c r="C790" s="7">
        <v>46236664</v>
      </c>
      <c r="D790" s="7">
        <v>46236664</v>
      </c>
      <c r="E790" s="7">
        <v>0</v>
      </c>
      <c r="F790" t="str">
        <f>VLOOKUP(A790,[1]!Table1[#All],17,FALSE)</f>
        <v>NIGERIA</v>
      </c>
      <c r="G790" t="str">
        <f>VLOOKUP(A790,[1]!Table1[#All],22,FALSE)</f>
        <v>AIDS PREVENTION INITIATIVE</v>
      </c>
      <c r="H790" s="8">
        <f>VLOOKUP(A790,[1]!Table1[#All],32,FALSE)</f>
        <v>43008</v>
      </c>
      <c r="I790" s="8">
        <f>VLOOKUP(A790,[1]!Table1[#All],33,FALSE)</f>
        <v>44833</v>
      </c>
      <c r="J790" t="str">
        <f t="shared" ca="1" si="12"/>
        <v>Non UDO</v>
      </c>
    </row>
    <row r="791" spans="1:10" x14ac:dyDescent="0.35">
      <c r="A791" s="9" t="s">
        <v>27</v>
      </c>
      <c r="B791" s="10">
        <v>45017</v>
      </c>
      <c r="C791" s="11">
        <v>46236664</v>
      </c>
      <c r="D791" s="11">
        <v>44686664</v>
      </c>
      <c r="E791" s="11">
        <v>1550000</v>
      </c>
      <c r="F791" t="str">
        <f>VLOOKUP(A791,[1]!Table1[#All],17,FALSE)</f>
        <v>NIGERIA</v>
      </c>
      <c r="G791" t="str">
        <f>VLOOKUP(A791,[1]!Table1[#All],22,FALSE)</f>
        <v>AIDS PREVENTION INITIATIVE</v>
      </c>
      <c r="H791" s="8">
        <f>VLOOKUP(A791,[1]!Table1[#All],32,FALSE)</f>
        <v>43008</v>
      </c>
      <c r="I791" s="8">
        <f>VLOOKUP(A791,[1]!Table1[#All],33,FALSE)</f>
        <v>44833</v>
      </c>
      <c r="J791" t="str">
        <f t="shared" ca="1" si="12"/>
        <v>UDO</v>
      </c>
    </row>
    <row r="792" spans="1:10" x14ac:dyDescent="0.35">
      <c r="A792" s="5" t="s">
        <v>27</v>
      </c>
      <c r="B792" s="6">
        <v>45047</v>
      </c>
      <c r="C792" s="7">
        <v>46236664</v>
      </c>
      <c r="D792" s="7">
        <v>44686664</v>
      </c>
      <c r="E792" s="7">
        <v>1550000</v>
      </c>
      <c r="F792" t="str">
        <f>VLOOKUP(A792,[1]!Table1[#All],17,FALSE)</f>
        <v>NIGERIA</v>
      </c>
      <c r="G792" t="str">
        <f>VLOOKUP(A792,[1]!Table1[#All],22,FALSE)</f>
        <v>AIDS PREVENTION INITIATIVE</v>
      </c>
      <c r="H792" s="8">
        <f>VLOOKUP(A792,[1]!Table1[#All],32,FALSE)</f>
        <v>43008</v>
      </c>
      <c r="I792" s="8">
        <f>VLOOKUP(A792,[1]!Table1[#All],33,FALSE)</f>
        <v>44833</v>
      </c>
      <c r="J792" t="str">
        <f t="shared" ca="1" si="12"/>
        <v>UDO</v>
      </c>
    </row>
    <row r="793" spans="1:10" x14ac:dyDescent="0.35">
      <c r="A793" s="9" t="s">
        <v>27</v>
      </c>
      <c r="B793" s="10">
        <v>45078</v>
      </c>
      <c r="C793" s="11">
        <v>46236664</v>
      </c>
      <c r="D793" s="11">
        <v>46236664</v>
      </c>
      <c r="E793" s="11">
        <v>0</v>
      </c>
      <c r="F793" t="str">
        <f>VLOOKUP(A793,[1]!Table1[#All],17,FALSE)</f>
        <v>NIGERIA</v>
      </c>
      <c r="G793" t="str">
        <f>VLOOKUP(A793,[1]!Table1[#All],22,FALSE)</f>
        <v>AIDS PREVENTION INITIATIVE</v>
      </c>
      <c r="H793" s="8">
        <f>VLOOKUP(A793,[1]!Table1[#All],32,FALSE)</f>
        <v>43008</v>
      </c>
      <c r="I793" s="8">
        <f>VLOOKUP(A793,[1]!Table1[#All],33,FALSE)</f>
        <v>44833</v>
      </c>
      <c r="J793" t="str">
        <f t="shared" ca="1" si="12"/>
        <v>Non UDO</v>
      </c>
    </row>
    <row r="794" spans="1:10" x14ac:dyDescent="0.35">
      <c r="A794" s="5" t="s">
        <v>27</v>
      </c>
      <c r="B794" s="6">
        <v>45108</v>
      </c>
      <c r="C794" s="7">
        <v>46236664</v>
      </c>
      <c r="D794" s="7">
        <v>46236664</v>
      </c>
      <c r="E794" s="7">
        <v>0</v>
      </c>
      <c r="F794" t="str">
        <f>VLOOKUP(A794,[1]!Table1[#All],17,FALSE)</f>
        <v>NIGERIA</v>
      </c>
      <c r="G794" t="str">
        <f>VLOOKUP(A794,[1]!Table1[#All],22,FALSE)</f>
        <v>AIDS PREVENTION INITIATIVE</v>
      </c>
      <c r="H794" s="8">
        <f>VLOOKUP(A794,[1]!Table1[#All],32,FALSE)</f>
        <v>43008</v>
      </c>
      <c r="I794" s="8">
        <f>VLOOKUP(A794,[1]!Table1[#All],33,FALSE)</f>
        <v>44833</v>
      </c>
      <c r="J794" t="str">
        <f t="shared" ca="1" si="12"/>
        <v>Non UDO</v>
      </c>
    </row>
    <row r="795" spans="1:10" x14ac:dyDescent="0.35">
      <c r="A795" s="9" t="s">
        <v>27</v>
      </c>
      <c r="B795" s="10">
        <v>45139</v>
      </c>
      <c r="C795" s="11">
        <v>46236664</v>
      </c>
      <c r="D795" s="11">
        <v>46236664</v>
      </c>
      <c r="E795" s="11">
        <v>0</v>
      </c>
      <c r="F795" t="str">
        <f>VLOOKUP(A795,[1]!Table1[#All],17,FALSE)</f>
        <v>NIGERIA</v>
      </c>
      <c r="G795" t="str">
        <f>VLOOKUP(A795,[1]!Table1[#All],22,FALSE)</f>
        <v>AIDS PREVENTION INITIATIVE</v>
      </c>
      <c r="H795" s="8">
        <f>VLOOKUP(A795,[1]!Table1[#All],32,FALSE)</f>
        <v>43008</v>
      </c>
      <c r="I795" s="8">
        <f>VLOOKUP(A795,[1]!Table1[#All],33,FALSE)</f>
        <v>44833</v>
      </c>
      <c r="J795" t="str">
        <f t="shared" ca="1" si="12"/>
        <v>Non UDO</v>
      </c>
    </row>
    <row r="796" spans="1:10" x14ac:dyDescent="0.35">
      <c r="A796" s="5" t="s">
        <v>27</v>
      </c>
      <c r="B796" s="6">
        <v>45170</v>
      </c>
      <c r="C796" s="7">
        <v>46236664</v>
      </c>
      <c r="D796" s="7">
        <v>46236664</v>
      </c>
      <c r="E796" s="7">
        <v>0</v>
      </c>
      <c r="F796" t="str">
        <f>VLOOKUP(A796,[1]!Table1[#All],17,FALSE)</f>
        <v>NIGERIA</v>
      </c>
      <c r="G796" t="str">
        <f>VLOOKUP(A796,[1]!Table1[#All],22,FALSE)</f>
        <v>AIDS PREVENTION INITIATIVE</v>
      </c>
      <c r="H796" s="8">
        <f>VLOOKUP(A796,[1]!Table1[#All],32,FALSE)</f>
        <v>43008</v>
      </c>
      <c r="I796" s="8">
        <f>VLOOKUP(A796,[1]!Table1[#All],33,FALSE)</f>
        <v>44833</v>
      </c>
      <c r="J796" t="str">
        <f t="shared" ca="1" si="12"/>
        <v>Non UDO</v>
      </c>
    </row>
    <row r="797" spans="1:10" x14ac:dyDescent="0.35">
      <c r="A797" s="9" t="s">
        <v>28</v>
      </c>
      <c r="B797" s="10">
        <v>44105</v>
      </c>
      <c r="C797" s="11">
        <v>12287309</v>
      </c>
      <c r="D797" s="11">
        <v>3309991.67</v>
      </c>
      <c r="E797" s="11">
        <v>8977317.3300000001</v>
      </c>
      <c r="F797" t="str">
        <f>VLOOKUP(A797,[1]!Table1[#All],17,FALSE)</f>
        <v>UNITED STATES</v>
      </c>
      <c r="G797" t="str">
        <f>VLOOKUP(A797,[1]!Table1[#All],22,FALSE)</f>
        <v>POPULATION SERVICES INTERNATIONAL</v>
      </c>
      <c r="H797" s="8">
        <f>VLOOKUP(A797,[1]!Table1[#All],32,FALSE)</f>
        <v>43191</v>
      </c>
      <c r="I797" s="8">
        <f>VLOOKUP(A797,[1]!Table1[#All],33,FALSE)</f>
        <v>44833</v>
      </c>
      <c r="J797" t="str">
        <f t="shared" ca="1" si="12"/>
        <v>UDO</v>
      </c>
    </row>
    <row r="798" spans="1:10" x14ac:dyDescent="0.35">
      <c r="A798" s="5" t="s">
        <v>28</v>
      </c>
      <c r="B798" s="6">
        <v>44136</v>
      </c>
      <c r="C798" s="7">
        <v>12287309</v>
      </c>
      <c r="D798" s="7">
        <v>3309991.67</v>
      </c>
      <c r="E798" s="7">
        <v>8977317.3300000001</v>
      </c>
      <c r="F798" t="str">
        <f>VLOOKUP(A798,[1]!Table1[#All],17,FALSE)</f>
        <v>UNITED STATES</v>
      </c>
      <c r="G798" t="str">
        <f>VLOOKUP(A798,[1]!Table1[#All],22,FALSE)</f>
        <v>POPULATION SERVICES INTERNATIONAL</v>
      </c>
      <c r="H798" s="8">
        <f>VLOOKUP(A798,[1]!Table1[#All],32,FALSE)</f>
        <v>43191</v>
      </c>
      <c r="I798" s="8">
        <f>VLOOKUP(A798,[1]!Table1[#All],33,FALSE)</f>
        <v>44833</v>
      </c>
      <c r="J798" t="str">
        <f t="shared" ca="1" si="12"/>
        <v>UDO</v>
      </c>
    </row>
    <row r="799" spans="1:10" x14ac:dyDescent="0.35">
      <c r="A799" s="9" t="s">
        <v>28</v>
      </c>
      <c r="B799" s="10">
        <v>44166</v>
      </c>
      <c r="C799" s="11">
        <v>12287309</v>
      </c>
      <c r="D799" s="11">
        <v>3309991.67</v>
      </c>
      <c r="E799" s="11">
        <v>8977317.3300000001</v>
      </c>
      <c r="F799" t="str">
        <f>VLOOKUP(A799,[1]!Table1[#All],17,FALSE)</f>
        <v>UNITED STATES</v>
      </c>
      <c r="G799" t="str">
        <f>VLOOKUP(A799,[1]!Table1[#All],22,FALSE)</f>
        <v>POPULATION SERVICES INTERNATIONAL</v>
      </c>
      <c r="H799" s="8">
        <f>VLOOKUP(A799,[1]!Table1[#All],32,FALSE)</f>
        <v>43191</v>
      </c>
      <c r="I799" s="8">
        <f>VLOOKUP(A799,[1]!Table1[#All],33,FALSE)</f>
        <v>44833</v>
      </c>
      <c r="J799" t="str">
        <f t="shared" ca="1" si="12"/>
        <v>UDO</v>
      </c>
    </row>
    <row r="800" spans="1:10" x14ac:dyDescent="0.35">
      <c r="A800" s="5" t="s">
        <v>28</v>
      </c>
      <c r="B800" s="6">
        <v>44197</v>
      </c>
      <c r="C800" s="7">
        <v>12287309</v>
      </c>
      <c r="D800" s="7">
        <v>3788261.16</v>
      </c>
      <c r="E800" s="7">
        <v>8499047.8399999999</v>
      </c>
      <c r="F800" t="str">
        <f>VLOOKUP(A800,[1]!Table1[#All],17,FALSE)</f>
        <v>UNITED STATES</v>
      </c>
      <c r="G800" t="str">
        <f>VLOOKUP(A800,[1]!Table1[#All],22,FALSE)</f>
        <v>POPULATION SERVICES INTERNATIONAL</v>
      </c>
      <c r="H800" s="8">
        <f>VLOOKUP(A800,[1]!Table1[#All],32,FALSE)</f>
        <v>43191</v>
      </c>
      <c r="I800" s="8">
        <f>VLOOKUP(A800,[1]!Table1[#All],33,FALSE)</f>
        <v>44833</v>
      </c>
      <c r="J800" t="str">
        <f t="shared" ca="1" si="12"/>
        <v>UDO</v>
      </c>
    </row>
    <row r="801" spans="1:10" x14ac:dyDescent="0.35">
      <c r="A801" s="9" t="s">
        <v>28</v>
      </c>
      <c r="B801" s="10">
        <v>44228</v>
      </c>
      <c r="C801" s="11">
        <v>12287309</v>
      </c>
      <c r="D801" s="11">
        <v>4565900.72</v>
      </c>
      <c r="E801" s="11">
        <v>7721408.2800000003</v>
      </c>
      <c r="F801" t="str">
        <f>VLOOKUP(A801,[1]!Table1[#All],17,FALSE)</f>
        <v>UNITED STATES</v>
      </c>
      <c r="G801" t="str">
        <f>VLOOKUP(A801,[1]!Table1[#All],22,FALSE)</f>
        <v>POPULATION SERVICES INTERNATIONAL</v>
      </c>
      <c r="H801" s="8">
        <f>VLOOKUP(A801,[1]!Table1[#All],32,FALSE)</f>
        <v>43191</v>
      </c>
      <c r="I801" s="8">
        <f>VLOOKUP(A801,[1]!Table1[#All],33,FALSE)</f>
        <v>44833</v>
      </c>
      <c r="J801" t="str">
        <f t="shared" ca="1" si="12"/>
        <v>UDO</v>
      </c>
    </row>
    <row r="802" spans="1:10" x14ac:dyDescent="0.35">
      <c r="A802" s="5" t="s">
        <v>28</v>
      </c>
      <c r="B802" s="6">
        <v>44256</v>
      </c>
      <c r="C802" s="7">
        <v>12287309</v>
      </c>
      <c r="D802" s="7">
        <v>5325421.6899999995</v>
      </c>
      <c r="E802" s="7">
        <v>6961887.3100000005</v>
      </c>
      <c r="F802" t="str">
        <f>VLOOKUP(A802,[1]!Table1[#All],17,FALSE)</f>
        <v>UNITED STATES</v>
      </c>
      <c r="G802" t="str">
        <f>VLOOKUP(A802,[1]!Table1[#All],22,FALSE)</f>
        <v>POPULATION SERVICES INTERNATIONAL</v>
      </c>
      <c r="H802" s="8">
        <f>VLOOKUP(A802,[1]!Table1[#All],32,FALSE)</f>
        <v>43191</v>
      </c>
      <c r="I802" s="8">
        <f>VLOOKUP(A802,[1]!Table1[#All],33,FALSE)</f>
        <v>44833</v>
      </c>
      <c r="J802" t="str">
        <f t="shared" ca="1" si="12"/>
        <v>UDO</v>
      </c>
    </row>
    <row r="803" spans="1:10" x14ac:dyDescent="0.35">
      <c r="A803" s="9" t="s">
        <v>28</v>
      </c>
      <c r="B803" s="10">
        <v>44317</v>
      </c>
      <c r="C803" s="11">
        <v>12287309</v>
      </c>
      <c r="D803" s="11">
        <v>6335078.3399999999</v>
      </c>
      <c r="E803" s="11">
        <v>5952230.6600000001</v>
      </c>
      <c r="F803" t="str">
        <f>VLOOKUP(A803,[1]!Table1[#All],17,FALSE)</f>
        <v>UNITED STATES</v>
      </c>
      <c r="G803" t="str">
        <f>VLOOKUP(A803,[1]!Table1[#All],22,FALSE)</f>
        <v>POPULATION SERVICES INTERNATIONAL</v>
      </c>
      <c r="H803" s="8">
        <f>VLOOKUP(A803,[1]!Table1[#All],32,FALSE)</f>
        <v>43191</v>
      </c>
      <c r="I803" s="8">
        <f>VLOOKUP(A803,[1]!Table1[#All],33,FALSE)</f>
        <v>44833</v>
      </c>
      <c r="J803" t="str">
        <f t="shared" ca="1" si="12"/>
        <v>UDO</v>
      </c>
    </row>
    <row r="804" spans="1:10" x14ac:dyDescent="0.35">
      <c r="A804" s="5" t="s">
        <v>28</v>
      </c>
      <c r="B804" s="6">
        <v>44348</v>
      </c>
      <c r="C804" s="7">
        <v>12287309</v>
      </c>
      <c r="D804" s="7">
        <v>6335078.3399999999</v>
      </c>
      <c r="E804" s="7">
        <v>5952230.6600000001</v>
      </c>
      <c r="F804" t="str">
        <f>VLOOKUP(A804,[1]!Table1[#All],17,FALSE)</f>
        <v>UNITED STATES</v>
      </c>
      <c r="G804" t="str">
        <f>VLOOKUP(A804,[1]!Table1[#All],22,FALSE)</f>
        <v>POPULATION SERVICES INTERNATIONAL</v>
      </c>
      <c r="H804" s="8">
        <f>VLOOKUP(A804,[1]!Table1[#All],32,FALSE)</f>
        <v>43191</v>
      </c>
      <c r="I804" s="8">
        <f>VLOOKUP(A804,[1]!Table1[#All],33,FALSE)</f>
        <v>44833</v>
      </c>
      <c r="J804" t="str">
        <f t="shared" ca="1" si="12"/>
        <v>UDO</v>
      </c>
    </row>
    <row r="805" spans="1:10" x14ac:dyDescent="0.35">
      <c r="A805" s="9" t="s">
        <v>28</v>
      </c>
      <c r="B805" s="10">
        <v>44378</v>
      </c>
      <c r="C805" s="11">
        <v>12287309</v>
      </c>
      <c r="D805" s="11">
        <v>7136861.71</v>
      </c>
      <c r="E805" s="11">
        <v>5150447.29</v>
      </c>
      <c r="F805" t="str">
        <f>VLOOKUP(A805,[1]!Table1[#All],17,FALSE)</f>
        <v>UNITED STATES</v>
      </c>
      <c r="G805" t="str">
        <f>VLOOKUP(A805,[1]!Table1[#All],22,FALSE)</f>
        <v>POPULATION SERVICES INTERNATIONAL</v>
      </c>
      <c r="H805" s="8">
        <f>VLOOKUP(A805,[1]!Table1[#All],32,FALSE)</f>
        <v>43191</v>
      </c>
      <c r="I805" s="8">
        <f>VLOOKUP(A805,[1]!Table1[#All],33,FALSE)</f>
        <v>44833</v>
      </c>
      <c r="J805" t="str">
        <f t="shared" ca="1" si="12"/>
        <v>UDO</v>
      </c>
    </row>
    <row r="806" spans="1:10" x14ac:dyDescent="0.35">
      <c r="A806" s="5" t="s">
        <v>28</v>
      </c>
      <c r="B806" s="6">
        <v>44409</v>
      </c>
      <c r="C806" s="7">
        <v>12287309</v>
      </c>
      <c r="D806" s="7">
        <v>8415744.0899999999</v>
      </c>
      <c r="E806" s="7">
        <v>3871564.91</v>
      </c>
      <c r="F806" t="str">
        <f>VLOOKUP(A806,[1]!Table1[#All],17,FALSE)</f>
        <v>UNITED STATES</v>
      </c>
      <c r="G806" t="str">
        <f>VLOOKUP(A806,[1]!Table1[#All],22,FALSE)</f>
        <v>POPULATION SERVICES INTERNATIONAL</v>
      </c>
      <c r="H806" s="8">
        <f>VLOOKUP(A806,[1]!Table1[#All],32,FALSE)</f>
        <v>43191</v>
      </c>
      <c r="I806" s="8">
        <f>VLOOKUP(A806,[1]!Table1[#All],33,FALSE)</f>
        <v>44833</v>
      </c>
      <c r="J806" t="str">
        <f t="shared" ca="1" si="12"/>
        <v>UDO</v>
      </c>
    </row>
    <row r="807" spans="1:10" x14ac:dyDescent="0.35">
      <c r="A807" s="9" t="s">
        <v>28</v>
      </c>
      <c r="B807" s="10">
        <v>44440</v>
      </c>
      <c r="C807" s="11">
        <v>12287309</v>
      </c>
      <c r="D807" s="11">
        <v>9982464.4699999988</v>
      </c>
      <c r="E807" s="11">
        <v>2304844.5299999998</v>
      </c>
      <c r="F807" t="str">
        <f>VLOOKUP(A807,[1]!Table1[#All],17,FALSE)</f>
        <v>UNITED STATES</v>
      </c>
      <c r="G807" t="str">
        <f>VLOOKUP(A807,[1]!Table1[#All],22,FALSE)</f>
        <v>POPULATION SERVICES INTERNATIONAL</v>
      </c>
      <c r="H807" s="8">
        <f>VLOOKUP(A807,[1]!Table1[#All],32,FALSE)</f>
        <v>43191</v>
      </c>
      <c r="I807" s="8">
        <f>VLOOKUP(A807,[1]!Table1[#All],33,FALSE)</f>
        <v>44833</v>
      </c>
      <c r="J807" t="str">
        <f t="shared" ca="1" si="12"/>
        <v>UDO</v>
      </c>
    </row>
    <row r="808" spans="1:10" x14ac:dyDescent="0.35">
      <c r="A808" s="5" t="s">
        <v>28</v>
      </c>
      <c r="B808" s="6">
        <v>44470</v>
      </c>
      <c r="C808" s="7">
        <v>12287309</v>
      </c>
      <c r="D808" s="7">
        <v>10811930.779999999</v>
      </c>
      <c r="E808" s="7">
        <v>1475378.22</v>
      </c>
      <c r="F808" t="str">
        <f>VLOOKUP(A808,[1]!Table1[#All],17,FALSE)</f>
        <v>UNITED STATES</v>
      </c>
      <c r="G808" t="str">
        <f>VLOOKUP(A808,[1]!Table1[#All],22,FALSE)</f>
        <v>POPULATION SERVICES INTERNATIONAL</v>
      </c>
      <c r="H808" s="8">
        <f>VLOOKUP(A808,[1]!Table1[#All],32,FALSE)</f>
        <v>43191</v>
      </c>
      <c r="I808" s="8">
        <f>VLOOKUP(A808,[1]!Table1[#All],33,FALSE)</f>
        <v>44833</v>
      </c>
      <c r="J808" t="str">
        <f t="shared" ca="1" si="12"/>
        <v>UDO</v>
      </c>
    </row>
    <row r="809" spans="1:10" x14ac:dyDescent="0.35">
      <c r="A809" s="9" t="s">
        <v>28</v>
      </c>
      <c r="B809" s="10">
        <v>44501</v>
      </c>
      <c r="C809" s="11">
        <v>12287309</v>
      </c>
      <c r="D809" s="11">
        <v>11152799.399999999</v>
      </c>
      <c r="E809" s="11">
        <v>1134509.6000000001</v>
      </c>
      <c r="F809" t="str">
        <f>VLOOKUP(A809,[1]!Table1[#All],17,FALSE)</f>
        <v>UNITED STATES</v>
      </c>
      <c r="G809" t="str">
        <f>VLOOKUP(A809,[1]!Table1[#All],22,FALSE)</f>
        <v>POPULATION SERVICES INTERNATIONAL</v>
      </c>
      <c r="H809" s="8">
        <f>VLOOKUP(A809,[1]!Table1[#All],32,FALSE)</f>
        <v>43191</v>
      </c>
      <c r="I809" s="8">
        <f>VLOOKUP(A809,[1]!Table1[#All],33,FALSE)</f>
        <v>44833</v>
      </c>
      <c r="J809" t="str">
        <f t="shared" ca="1" si="12"/>
        <v>UDO</v>
      </c>
    </row>
    <row r="810" spans="1:10" x14ac:dyDescent="0.35">
      <c r="A810" s="5" t="s">
        <v>28</v>
      </c>
      <c r="B810" s="6">
        <v>44531</v>
      </c>
      <c r="C810" s="7">
        <v>12287309</v>
      </c>
      <c r="D810" s="7">
        <v>11540981.699999999</v>
      </c>
      <c r="E810" s="7">
        <v>746327.29999999993</v>
      </c>
      <c r="F810" t="str">
        <f>VLOOKUP(A810,[1]!Table1[#All],17,FALSE)</f>
        <v>UNITED STATES</v>
      </c>
      <c r="G810" t="str">
        <f>VLOOKUP(A810,[1]!Table1[#All],22,FALSE)</f>
        <v>POPULATION SERVICES INTERNATIONAL</v>
      </c>
      <c r="H810" s="8">
        <f>VLOOKUP(A810,[1]!Table1[#All],32,FALSE)</f>
        <v>43191</v>
      </c>
      <c r="I810" s="8">
        <f>VLOOKUP(A810,[1]!Table1[#All],33,FALSE)</f>
        <v>44833</v>
      </c>
      <c r="J810" t="str">
        <f t="shared" ca="1" si="12"/>
        <v>UDO</v>
      </c>
    </row>
    <row r="811" spans="1:10" x14ac:dyDescent="0.35">
      <c r="A811" s="9" t="s">
        <v>28</v>
      </c>
      <c r="B811" s="10">
        <v>44562</v>
      </c>
      <c r="C811" s="11">
        <v>12287309</v>
      </c>
      <c r="D811" s="11">
        <v>11540981.699999999</v>
      </c>
      <c r="E811" s="11">
        <v>746327.29999999993</v>
      </c>
      <c r="F811" t="str">
        <f>VLOOKUP(A811,[1]!Table1[#All],17,FALSE)</f>
        <v>UNITED STATES</v>
      </c>
      <c r="G811" t="str">
        <f>VLOOKUP(A811,[1]!Table1[#All],22,FALSE)</f>
        <v>POPULATION SERVICES INTERNATIONAL</v>
      </c>
      <c r="H811" s="8">
        <f>VLOOKUP(A811,[1]!Table1[#All],32,FALSE)</f>
        <v>43191</v>
      </c>
      <c r="I811" s="8">
        <f>VLOOKUP(A811,[1]!Table1[#All],33,FALSE)</f>
        <v>44833</v>
      </c>
      <c r="J811" t="str">
        <f t="shared" ca="1" si="12"/>
        <v>UDO</v>
      </c>
    </row>
    <row r="812" spans="1:10" x14ac:dyDescent="0.35">
      <c r="A812" s="5" t="s">
        <v>28</v>
      </c>
      <c r="B812" s="6">
        <v>44593</v>
      </c>
      <c r="C812" s="7">
        <v>12287309</v>
      </c>
      <c r="D812" s="7">
        <v>12136150.629999999</v>
      </c>
      <c r="E812" s="7">
        <v>151158.37000000002</v>
      </c>
      <c r="F812" t="str">
        <f>VLOOKUP(A812,[1]!Table1[#All],17,FALSE)</f>
        <v>UNITED STATES</v>
      </c>
      <c r="G812" t="str">
        <f>VLOOKUP(A812,[1]!Table1[#All],22,FALSE)</f>
        <v>POPULATION SERVICES INTERNATIONAL</v>
      </c>
      <c r="H812" s="8">
        <f>VLOOKUP(A812,[1]!Table1[#All],32,FALSE)</f>
        <v>43191</v>
      </c>
      <c r="I812" s="8">
        <f>VLOOKUP(A812,[1]!Table1[#All],33,FALSE)</f>
        <v>44833</v>
      </c>
      <c r="J812" t="str">
        <f t="shared" ca="1" si="12"/>
        <v>UDO</v>
      </c>
    </row>
    <row r="813" spans="1:10" x14ac:dyDescent="0.35">
      <c r="A813" s="9" t="s">
        <v>28</v>
      </c>
      <c r="B813" s="10">
        <v>44621</v>
      </c>
      <c r="C813" s="11">
        <v>12287309</v>
      </c>
      <c r="D813" s="11">
        <v>12287309</v>
      </c>
      <c r="E813" s="11">
        <v>0</v>
      </c>
      <c r="F813" t="str">
        <f>VLOOKUP(A813,[1]!Table1[#All],17,FALSE)</f>
        <v>UNITED STATES</v>
      </c>
      <c r="G813" t="str">
        <f>VLOOKUP(A813,[1]!Table1[#All],22,FALSE)</f>
        <v>POPULATION SERVICES INTERNATIONAL</v>
      </c>
      <c r="H813" s="8">
        <f>VLOOKUP(A813,[1]!Table1[#All],32,FALSE)</f>
        <v>43191</v>
      </c>
      <c r="I813" s="8">
        <f>VLOOKUP(A813,[1]!Table1[#All],33,FALSE)</f>
        <v>44833</v>
      </c>
      <c r="J813" t="str">
        <f t="shared" ca="1" si="12"/>
        <v>Non UDO</v>
      </c>
    </row>
    <row r="814" spans="1:10" x14ac:dyDescent="0.35">
      <c r="A814" s="5" t="s">
        <v>28</v>
      </c>
      <c r="B814" s="6">
        <v>44652</v>
      </c>
      <c r="C814" s="7">
        <v>12287309</v>
      </c>
      <c r="D814" s="7">
        <v>12287309</v>
      </c>
      <c r="E814" s="7">
        <v>0</v>
      </c>
      <c r="F814" t="str">
        <f>VLOOKUP(A814,[1]!Table1[#All],17,FALSE)</f>
        <v>UNITED STATES</v>
      </c>
      <c r="G814" t="str">
        <f>VLOOKUP(A814,[1]!Table1[#All],22,FALSE)</f>
        <v>POPULATION SERVICES INTERNATIONAL</v>
      </c>
      <c r="H814" s="8">
        <f>VLOOKUP(A814,[1]!Table1[#All],32,FALSE)</f>
        <v>43191</v>
      </c>
      <c r="I814" s="8">
        <f>VLOOKUP(A814,[1]!Table1[#All],33,FALSE)</f>
        <v>44833</v>
      </c>
      <c r="J814" t="str">
        <f t="shared" ca="1" si="12"/>
        <v>Non UDO</v>
      </c>
    </row>
    <row r="815" spans="1:10" x14ac:dyDescent="0.35">
      <c r="A815" s="9" t="s">
        <v>28</v>
      </c>
      <c r="B815" s="10">
        <v>44682</v>
      </c>
      <c r="C815" s="11">
        <v>12287309</v>
      </c>
      <c r="D815" s="11">
        <v>12287309</v>
      </c>
      <c r="E815" s="11">
        <v>0</v>
      </c>
      <c r="F815" t="str">
        <f>VLOOKUP(A815,[1]!Table1[#All],17,FALSE)</f>
        <v>UNITED STATES</v>
      </c>
      <c r="G815" t="str">
        <f>VLOOKUP(A815,[1]!Table1[#All],22,FALSE)</f>
        <v>POPULATION SERVICES INTERNATIONAL</v>
      </c>
      <c r="H815" s="8">
        <f>VLOOKUP(A815,[1]!Table1[#All],32,FALSE)</f>
        <v>43191</v>
      </c>
      <c r="I815" s="8">
        <f>VLOOKUP(A815,[1]!Table1[#All],33,FALSE)</f>
        <v>44833</v>
      </c>
      <c r="J815" t="str">
        <f t="shared" ca="1" si="12"/>
        <v>Non UDO</v>
      </c>
    </row>
    <row r="816" spans="1:10" x14ac:dyDescent="0.35">
      <c r="A816" s="5" t="s">
        <v>28</v>
      </c>
      <c r="B816" s="6">
        <v>44713</v>
      </c>
      <c r="C816" s="7">
        <v>12287309</v>
      </c>
      <c r="D816" s="7">
        <v>12287309</v>
      </c>
      <c r="E816" s="7">
        <v>0</v>
      </c>
      <c r="F816" t="str">
        <f>VLOOKUP(A816,[1]!Table1[#All],17,FALSE)</f>
        <v>UNITED STATES</v>
      </c>
      <c r="G816" t="str">
        <f>VLOOKUP(A816,[1]!Table1[#All],22,FALSE)</f>
        <v>POPULATION SERVICES INTERNATIONAL</v>
      </c>
      <c r="H816" s="8">
        <f>VLOOKUP(A816,[1]!Table1[#All],32,FALSE)</f>
        <v>43191</v>
      </c>
      <c r="I816" s="8">
        <f>VLOOKUP(A816,[1]!Table1[#All],33,FALSE)</f>
        <v>44833</v>
      </c>
      <c r="J816" t="str">
        <f t="shared" ca="1" si="12"/>
        <v>Non UDO</v>
      </c>
    </row>
    <row r="817" spans="1:10" x14ac:dyDescent="0.35">
      <c r="A817" s="9" t="s">
        <v>28</v>
      </c>
      <c r="B817" s="10">
        <v>44743</v>
      </c>
      <c r="C817" s="11">
        <v>12287309</v>
      </c>
      <c r="D817" s="11">
        <v>12287309</v>
      </c>
      <c r="E817" s="11">
        <v>0</v>
      </c>
      <c r="F817" t="str">
        <f>VLOOKUP(A817,[1]!Table1[#All],17,FALSE)</f>
        <v>UNITED STATES</v>
      </c>
      <c r="G817" t="str">
        <f>VLOOKUP(A817,[1]!Table1[#All],22,FALSE)</f>
        <v>POPULATION SERVICES INTERNATIONAL</v>
      </c>
      <c r="H817" s="8">
        <f>VLOOKUP(A817,[1]!Table1[#All],32,FALSE)</f>
        <v>43191</v>
      </c>
      <c r="I817" s="8">
        <f>VLOOKUP(A817,[1]!Table1[#All],33,FALSE)</f>
        <v>44833</v>
      </c>
      <c r="J817" t="str">
        <f t="shared" ca="1" si="12"/>
        <v>Non UDO</v>
      </c>
    </row>
    <row r="818" spans="1:10" x14ac:dyDescent="0.35">
      <c r="A818" s="5" t="s">
        <v>28</v>
      </c>
      <c r="B818" s="6">
        <v>44774</v>
      </c>
      <c r="C818" s="7">
        <v>12287309</v>
      </c>
      <c r="D818" s="7">
        <v>12287309</v>
      </c>
      <c r="E818" s="7">
        <v>0</v>
      </c>
      <c r="F818" t="str">
        <f>VLOOKUP(A818,[1]!Table1[#All],17,FALSE)</f>
        <v>UNITED STATES</v>
      </c>
      <c r="G818" t="str">
        <f>VLOOKUP(A818,[1]!Table1[#All],22,FALSE)</f>
        <v>POPULATION SERVICES INTERNATIONAL</v>
      </c>
      <c r="H818" s="8">
        <f>VLOOKUP(A818,[1]!Table1[#All],32,FALSE)</f>
        <v>43191</v>
      </c>
      <c r="I818" s="8">
        <f>VLOOKUP(A818,[1]!Table1[#All],33,FALSE)</f>
        <v>44833</v>
      </c>
      <c r="J818" t="str">
        <f t="shared" ca="1" si="12"/>
        <v>Non UDO</v>
      </c>
    </row>
    <row r="819" spans="1:10" x14ac:dyDescent="0.35">
      <c r="A819" s="9" t="s">
        <v>28</v>
      </c>
      <c r="B819" s="10">
        <v>44805</v>
      </c>
      <c r="C819" s="11">
        <v>12287309</v>
      </c>
      <c r="D819" s="11">
        <v>12287309</v>
      </c>
      <c r="E819" s="11">
        <v>0</v>
      </c>
      <c r="F819" t="str">
        <f>VLOOKUP(A819,[1]!Table1[#All],17,FALSE)</f>
        <v>UNITED STATES</v>
      </c>
      <c r="G819" t="str">
        <f>VLOOKUP(A819,[1]!Table1[#All],22,FALSE)</f>
        <v>POPULATION SERVICES INTERNATIONAL</v>
      </c>
      <c r="H819" s="8">
        <f>VLOOKUP(A819,[1]!Table1[#All],32,FALSE)</f>
        <v>43191</v>
      </c>
      <c r="I819" s="8">
        <f>VLOOKUP(A819,[1]!Table1[#All],33,FALSE)</f>
        <v>44833</v>
      </c>
      <c r="J819" t="str">
        <f t="shared" ca="1" si="12"/>
        <v>Non UDO</v>
      </c>
    </row>
    <row r="820" spans="1:10" x14ac:dyDescent="0.35">
      <c r="A820" s="5" t="s">
        <v>28</v>
      </c>
      <c r="B820" s="6">
        <v>44835</v>
      </c>
      <c r="C820" s="7">
        <v>12287309</v>
      </c>
      <c r="D820" s="7">
        <v>12287309</v>
      </c>
      <c r="E820" s="7">
        <v>0</v>
      </c>
      <c r="F820" t="str">
        <f>VLOOKUP(A820,[1]!Table1[#All],17,FALSE)</f>
        <v>UNITED STATES</v>
      </c>
      <c r="G820" t="str">
        <f>VLOOKUP(A820,[1]!Table1[#All],22,FALSE)</f>
        <v>POPULATION SERVICES INTERNATIONAL</v>
      </c>
      <c r="H820" s="8">
        <f>VLOOKUP(A820,[1]!Table1[#All],32,FALSE)</f>
        <v>43191</v>
      </c>
      <c r="I820" s="8">
        <f>VLOOKUP(A820,[1]!Table1[#All],33,FALSE)</f>
        <v>44833</v>
      </c>
      <c r="J820" t="str">
        <f t="shared" ca="1" si="12"/>
        <v>Non UDO</v>
      </c>
    </row>
    <row r="821" spans="1:10" x14ac:dyDescent="0.35">
      <c r="A821" s="9" t="s">
        <v>28</v>
      </c>
      <c r="B821" s="10">
        <v>44866</v>
      </c>
      <c r="C821" s="11">
        <v>12287309</v>
      </c>
      <c r="D821" s="11">
        <v>12287309</v>
      </c>
      <c r="E821" s="11">
        <v>0</v>
      </c>
      <c r="F821" t="str">
        <f>VLOOKUP(A821,[1]!Table1[#All],17,FALSE)</f>
        <v>UNITED STATES</v>
      </c>
      <c r="G821" t="str">
        <f>VLOOKUP(A821,[1]!Table1[#All],22,FALSE)</f>
        <v>POPULATION SERVICES INTERNATIONAL</v>
      </c>
      <c r="H821" s="8">
        <f>VLOOKUP(A821,[1]!Table1[#All],32,FALSE)</f>
        <v>43191</v>
      </c>
      <c r="I821" s="8">
        <f>VLOOKUP(A821,[1]!Table1[#All],33,FALSE)</f>
        <v>44833</v>
      </c>
      <c r="J821" t="str">
        <f t="shared" ca="1" si="12"/>
        <v>Non UDO</v>
      </c>
    </row>
    <row r="822" spans="1:10" x14ac:dyDescent="0.35">
      <c r="A822" s="5" t="s">
        <v>28</v>
      </c>
      <c r="B822" s="6">
        <v>44896</v>
      </c>
      <c r="C822" s="7">
        <v>12287309</v>
      </c>
      <c r="D822" s="7">
        <v>12287309</v>
      </c>
      <c r="E822" s="7">
        <v>0</v>
      </c>
      <c r="F822" t="str">
        <f>VLOOKUP(A822,[1]!Table1[#All],17,FALSE)</f>
        <v>UNITED STATES</v>
      </c>
      <c r="G822" t="str">
        <f>VLOOKUP(A822,[1]!Table1[#All],22,FALSE)</f>
        <v>POPULATION SERVICES INTERNATIONAL</v>
      </c>
      <c r="H822" s="8">
        <f>VLOOKUP(A822,[1]!Table1[#All],32,FALSE)</f>
        <v>43191</v>
      </c>
      <c r="I822" s="8">
        <f>VLOOKUP(A822,[1]!Table1[#All],33,FALSE)</f>
        <v>44833</v>
      </c>
      <c r="J822" t="str">
        <f t="shared" ca="1" si="12"/>
        <v>Non UDO</v>
      </c>
    </row>
    <row r="823" spans="1:10" x14ac:dyDescent="0.35">
      <c r="A823" s="9" t="s">
        <v>28</v>
      </c>
      <c r="B823" s="10">
        <v>44927</v>
      </c>
      <c r="C823" s="11">
        <v>12287309</v>
      </c>
      <c r="D823" s="11">
        <v>12287309</v>
      </c>
      <c r="E823" s="11">
        <v>0</v>
      </c>
      <c r="F823" t="str">
        <f>VLOOKUP(A823,[1]!Table1[#All],17,FALSE)</f>
        <v>UNITED STATES</v>
      </c>
      <c r="G823" t="str">
        <f>VLOOKUP(A823,[1]!Table1[#All],22,FALSE)</f>
        <v>POPULATION SERVICES INTERNATIONAL</v>
      </c>
      <c r="H823" s="8">
        <f>VLOOKUP(A823,[1]!Table1[#All],32,FALSE)</f>
        <v>43191</v>
      </c>
      <c r="I823" s="8">
        <f>VLOOKUP(A823,[1]!Table1[#All],33,FALSE)</f>
        <v>44833</v>
      </c>
      <c r="J823" t="str">
        <f t="shared" ca="1" si="12"/>
        <v>Non UDO</v>
      </c>
    </row>
    <row r="824" spans="1:10" x14ac:dyDescent="0.35">
      <c r="A824" s="5" t="s">
        <v>28</v>
      </c>
      <c r="B824" s="6">
        <v>44958</v>
      </c>
      <c r="C824" s="7">
        <v>12287309</v>
      </c>
      <c r="D824" s="7">
        <v>12287309</v>
      </c>
      <c r="E824" s="7">
        <v>0</v>
      </c>
      <c r="F824" t="str">
        <f>VLOOKUP(A824,[1]!Table1[#All],17,FALSE)</f>
        <v>UNITED STATES</v>
      </c>
      <c r="G824" t="str">
        <f>VLOOKUP(A824,[1]!Table1[#All],22,FALSE)</f>
        <v>POPULATION SERVICES INTERNATIONAL</v>
      </c>
      <c r="H824" s="8">
        <f>VLOOKUP(A824,[1]!Table1[#All],32,FALSE)</f>
        <v>43191</v>
      </c>
      <c r="I824" s="8">
        <f>VLOOKUP(A824,[1]!Table1[#All],33,FALSE)</f>
        <v>44833</v>
      </c>
      <c r="J824" t="str">
        <f t="shared" ca="1" si="12"/>
        <v>Non UDO</v>
      </c>
    </row>
    <row r="825" spans="1:10" x14ac:dyDescent="0.35">
      <c r="A825" s="9" t="s">
        <v>28</v>
      </c>
      <c r="B825" s="10">
        <v>44986</v>
      </c>
      <c r="C825" s="11">
        <v>12287309</v>
      </c>
      <c r="D825" s="11">
        <v>12287309</v>
      </c>
      <c r="E825" s="11">
        <v>0</v>
      </c>
      <c r="F825" t="str">
        <f>VLOOKUP(A825,[1]!Table1[#All],17,FALSE)</f>
        <v>UNITED STATES</v>
      </c>
      <c r="G825" t="str">
        <f>VLOOKUP(A825,[1]!Table1[#All],22,FALSE)</f>
        <v>POPULATION SERVICES INTERNATIONAL</v>
      </c>
      <c r="H825" s="8">
        <f>VLOOKUP(A825,[1]!Table1[#All],32,FALSE)</f>
        <v>43191</v>
      </c>
      <c r="I825" s="8">
        <f>VLOOKUP(A825,[1]!Table1[#All],33,FALSE)</f>
        <v>44833</v>
      </c>
      <c r="J825" t="str">
        <f t="shared" ca="1" si="12"/>
        <v>Non UDO</v>
      </c>
    </row>
    <row r="826" spans="1:10" x14ac:dyDescent="0.35">
      <c r="A826" s="5" t="s">
        <v>28</v>
      </c>
      <c r="B826" s="6">
        <v>45017</v>
      </c>
      <c r="C826" s="7">
        <v>12287309</v>
      </c>
      <c r="D826" s="7">
        <v>12287309</v>
      </c>
      <c r="E826" s="7">
        <v>0</v>
      </c>
      <c r="F826" t="str">
        <f>VLOOKUP(A826,[1]!Table1[#All],17,FALSE)</f>
        <v>UNITED STATES</v>
      </c>
      <c r="G826" t="str">
        <f>VLOOKUP(A826,[1]!Table1[#All],22,FALSE)</f>
        <v>POPULATION SERVICES INTERNATIONAL</v>
      </c>
      <c r="H826" s="8">
        <f>VLOOKUP(A826,[1]!Table1[#All],32,FALSE)</f>
        <v>43191</v>
      </c>
      <c r="I826" s="8">
        <f>VLOOKUP(A826,[1]!Table1[#All],33,FALSE)</f>
        <v>44833</v>
      </c>
      <c r="J826" t="str">
        <f t="shared" ca="1" si="12"/>
        <v>Non UDO</v>
      </c>
    </row>
    <row r="827" spans="1:10" x14ac:dyDescent="0.35">
      <c r="A827" s="9" t="s">
        <v>28</v>
      </c>
      <c r="B827" s="10">
        <v>45047</v>
      </c>
      <c r="C827" s="11">
        <v>12287309</v>
      </c>
      <c r="D827" s="11">
        <v>12287309</v>
      </c>
      <c r="E827" s="11">
        <v>0</v>
      </c>
      <c r="F827" t="str">
        <f>VLOOKUP(A827,[1]!Table1[#All],17,FALSE)</f>
        <v>UNITED STATES</v>
      </c>
      <c r="G827" t="str">
        <f>VLOOKUP(A827,[1]!Table1[#All],22,FALSE)</f>
        <v>POPULATION SERVICES INTERNATIONAL</v>
      </c>
      <c r="H827" s="8">
        <f>VLOOKUP(A827,[1]!Table1[#All],32,FALSE)</f>
        <v>43191</v>
      </c>
      <c r="I827" s="8">
        <f>VLOOKUP(A827,[1]!Table1[#All],33,FALSE)</f>
        <v>44833</v>
      </c>
      <c r="J827" t="str">
        <f t="shared" ca="1" si="12"/>
        <v>Non UDO</v>
      </c>
    </row>
    <row r="828" spans="1:10" x14ac:dyDescent="0.35">
      <c r="A828" s="5" t="s">
        <v>28</v>
      </c>
      <c r="B828" s="6">
        <v>45078</v>
      </c>
      <c r="C828" s="7">
        <v>12287309</v>
      </c>
      <c r="D828" s="7">
        <v>12287309</v>
      </c>
      <c r="E828" s="7">
        <v>0</v>
      </c>
      <c r="F828" t="str">
        <f>VLOOKUP(A828,[1]!Table1[#All],17,FALSE)</f>
        <v>UNITED STATES</v>
      </c>
      <c r="G828" t="str">
        <f>VLOOKUP(A828,[1]!Table1[#All],22,FALSE)</f>
        <v>POPULATION SERVICES INTERNATIONAL</v>
      </c>
      <c r="H828" s="8">
        <f>VLOOKUP(A828,[1]!Table1[#All],32,FALSE)</f>
        <v>43191</v>
      </c>
      <c r="I828" s="8">
        <f>VLOOKUP(A828,[1]!Table1[#All],33,FALSE)</f>
        <v>44833</v>
      </c>
      <c r="J828" t="str">
        <f t="shared" ca="1" si="12"/>
        <v>Non UDO</v>
      </c>
    </row>
    <row r="829" spans="1:10" x14ac:dyDescent="0.35">
      <c r="A829" s="9" t="s">
        <v>28</v>
      </c>
      <c r="B829" s="10">
        <v>45108</v>
      </c>
      <c r="C829" s="11">
        <v>12287309</v>
      </c>
      <c r="D829" s="11">
        <v>12287309</v>
      </c>
      <c r="E829" s="11">
        <v>0</v>
      </c>
      <c r="F829" t="str">
        <f>VLOOKUP(A829,[1]!Table1[#All],17,FALSE)</f>
        <v>UNITED STATES</v>
      </c>
      <c r="G829" t="str">
        <f>VLOOKUP(A829,[1]!Table1[#All],22,FALSE)</f>
        <v>POPULATION SERVICES INTERNATIONAL</v>
      </c>
      <c r="H829" s="8">
        <f>VLOOKUP(A829,[1]!Table1[#All],32,FALSE)</f>
        <v>43191</v>
      </c>
      <c r="I829" s="8">
        <f>VLOOKUP(A829,[1]!Table1[#All],33,FALSE)</f>
        <v>44833</v>
      </c>
      <c r="J829" t="str">
        <f t="shared" ca="1" si="12"/>
        <v>Non UDO</v>
      </c>
    </row>
    <row r="830" spans="1:10" x14ac:dyDescent="0.35">
      <c r="A830" s="5" t="s">
        <v>28</v>
      </c>
      <c r="B830" s="6">
        <v>45139</v>
      </c>
      <c r="C830" s="7">
        <v>12287309</v>
      </c>
      <c r="D830" s="7">
        <v>12287309</v>
      </c>
      <c r="E830" s="7">
        <v>0</v>
      </c>
      <c r="F830" t="str">
        <f>VLOOKUP(A830,[1]!Table1[#All],17,FALSE)</f>
        <v>UNITED STATES</v>
      </c>
      <c r="G830" t="str">
        <f>VLOOKUP(A830,[1]!Table1[#All],22,FALSE)</f>
        <v>POPULATION SERVICES INTERNATIONAL</v>
      </c>
      <c r="H830" s="8">
        <f>VLOOKUP(A830,[1]!Table1[#All],32,FALSE)</f>
        <v>43191</v>
      </c>
      <c r="I830" s="8">
        <f>VLOOKUP(A830,[1]!Table1[#All],33,FALSE)</f>
        <v>44833</v>
      </c>
      <c r="J830" t="str">
        <f t="shared" ca="1" si="12"/>
        <v>Non UDO</v>
      </c>
    </row>
    <row r="831" spans="1:10" x14ac:dyDescent="0.35">
      <c r="A831" s="9" t="s">
        <v>28</v>
      </c>
      <c r="B831" s="10">
        <v>45170</v>
      </c>
      <c r="C831" s="11">
        <v>12287309</v>
      </c>
      <c r="D831" s="11">
        <v>12287309</v>
      </c>
      <c r="E831" s="11">
        <v>0</v>
      </c>
      <c r="F831" t="str">
        <f>VLOOKUP(A831,[1]!Table1[#All],17,FALSE)</f>
        <v>UNITED STATES</v>
      </c>
      <c r="G831" t="str">
        <f>VLOOKUP(A831,[1]!Table1[#All],22,FALSE)</f>
        <v>POPULATION SERVICES INTERNATIONAL</v>
      </c>
      <c r="H831" s="8">
        <f>VLOOKUP(A831,[1]!Table1[#All],32,FALSE)</f>
        <v>43191</v>
      </c>
      <c r="I831" s="8">
        <f>VLOOKUP(A831,[1]!Table1[#All],33,FALSE)</f>
        <v>44833</v>
      </c>
      <c r="J831" t="str">
        <f t="shared" ca="1" si="12"/>
        <v>Non UDO</v>
      </c>
    </row>
    <row r="832" spans="1:10" x14ac:dyDescent="0.35">
      <c r="A832" s="5" t="s">
        <v>29</v>
      </c>
      <c r="B832" s="6">
        <v>44105</v>
      </c>
      <c r="C832" s="7">
        <v>8107658</v>
      </c>
      <c r="D832" s="7">
        <v>1566473.2200000002</v>
      </c>
      <c r="E832" s="7">
        <v>6541184.7800000003</v>
      </c>
      <c r="F832" t="str">
        <f>VLOOKUP(A832,[1]!Table1[#All],17,FALSE)</f>
        <v>UGANDA</v>
      </c>
      <c r="G832" t="str">
        <f>VLOOKUP(A832,[1]!Table1[#All],22,FALSE)</f>
        <v>African Field Epidemology Network Limited (AFENET)</v>
      </c>
      <c r="H832" s="8">
        <f>VLOOKUP(A832,[1]!Table1[#All],32,FALSE)</f>
        <v>43191</v>
      </c>
      <c r="I832" s="8">
        <f>VLOOKUP(A832,[1]!Table1[#All],33,FALSE)</f>
        <v>45198</v>
      </c>
      <c r="J832" t="str">
        <f t="shared" ca="1" si="12"/>
        <v>UDO</v>
      </c>
    </row>
    <row r="833" spans="1:10" x14ac:dyDescent="0.35">
      <c r="A833" s="9" t="s">
        <v>29</v>
      </c>
      <c r="B833" s="10">
        <v>44136</v>
      </c>
      <c r="C833" s="11">
        <v>8107658</v>
      </c>
      <c r="D833" s="11">
        <v>1566473.2199999997</v>
      </c>
      <c r="E833" s="11">
        <v>6541184.7800000003</v>
      </c>
      <c r="F833" t="str">
        <f>VLOOKUP(A833,[1]!Table1[#All],17,FALSE)</f>
        <v>UGANDA</v>
      </c>
      <c r="G833" t="str">
        <f>VLOOKUP(A833,[1]!Table1[#All],22,FALSE)</f>
        <v>African Field Epidemology Network Limited (AFENET)</v>
      </c>
      <c r="H833" s="8">
        <f>VLOOKUP(A833,[1]!Table1[#All],32,FALSE)</f>
        <v>43191</v>
      </c>
      <c r="I833" s="8">
        <f>VLOOKUP(A833,[1]!Table1[#All],33,FALSE)</f>
        <v>45198</v>
      </c>
      <c r="J833" t="str">
        <f t="shared" ca="1" si="12"/>
        <v>UDO</v>
      </c>
    </row>
    <row r="834" spans="1:10" x14ac:dyDescent="0.35">
      <c r="A834" s="5" t="s">
        <v>29</v>
      </c>
      <c r="B834" s="6">
        <v>44166</v>
      </c>
      <c r="C834" s="7">
        <v>8107658</v>
      </c>
      <c r="D834" s="7">
        <v>1566473.2199999997</v>
      </c>
      <c r="E834" s="7">
        <v>6541184.7800000003</v>
      </c>
      <c r="F834" t="str">
        <f>VLOOKUP(A834,[1]!Table1[#All],17,FALSE)</f>
        <v>UGANDA</v>
      </c>
      <c r="G834" t="str">
        <f>VLOOKUP(A834,[1]!Table1[#All],22,FALSE)</f>
        <v>African Field Epidemology Network Limited (AFENET)</v>
      </c>
      <c r="H834" s="8">
        <f>VLOOKUP(A834,[1]!Table1[#All],32,FALSE)</f>
        <v>43191</v>
      </c>
      <c r="I834" s="8">
        <f>VLOOKUP(A834,[1]!Table1[#All],33,FALSE)</f>
        <v>45198</v>
      </c>
      <c r="J834" t="str">
        <f t="shared" ca="1" si="12"/>
        <v>UDO</v>
      </c>
    </row>
    <row r="835" spans="1:10" x14ac:dyDescent="0.35">
      <c r="A835" s="9" t="s">
        <v>29</v>
      </c>
      <c r="B835" s="10">
        <v>44197</v>
      </c>
      <c r="C835" s="11">
        <v>8107658</v>
      </c>
      <c r="D835" s="11">
        <v>3456473.2199999997</v>
      </c>
      <c r="E835" s="11">
        <v>4651184.78</v>
      </c>
      <c r="F835" t="str">
        <f>VLOOKUP(A835,[1]!Table1[#All],17,FALSE)</f>
        <v>UGANDA</v>
      </c>
      <c r="G835" t="str">
        <f>VLOOKUP(A835,[1]!Table1[#All],22,FALSE)</f>
        <v>African Field Epidemology Network Limited (AFENET)</v>
      </c>
      <c r="H835" s="8">
        <f>VLOOKUP(A835,[1]!Table1[#All],32,FALSE)</f>
        <v>43191</v>
      </c>
      <c r="I835" s="8">
        <f>VLOOKUP(A835,[1]!Table1[#All],33,FALSE)</f>
        <v>45198</v>
      </c>
      <c r="J835" t="str">
        <f t="shared" ref="J835:J898" ca="1" si="13">IF(AND( E835&gt;0,TODAY()&gt;I835),"UDO","Non UDO")</f>
        <v>UDO</v>
      </c>
    </row>
    <row r="836" spans="1:10" x14ac:dyDescent="0.35">
      <c r="A836" s="5" t="s">
        <v>29</v>
      </c>
      <c r="B836" s="6">
        <v>44228</v>
      </c>
      <c r="C836" s="7">
        <v>8107658</v>
      </c>
      <c r="D836" s="7">
        <v>3456473.2199999997</v>
      </c>
      <c r="E836" s="7">
        <v>4651184.78</v>
      </c>
      <c r="F836" t="str">
        <f>VLOOKUP(A836,[1]!Table1[#All],17,FALSE)</f>
        <v>UGANDA</v>
      </c>
      <c r="G836" t="str">
        <f>VLOOKUP(A836,[1]!Table1[#All],22,FALSE)</f>
        <v>African Field Epidemology Network Limited (AFENET)</v>
      </c>
      <c r="H836" s="8">
        <f>VLOOKUP(A836,[1]!Table1[#All],32,FALSE)</f>
        <v>43191</v>
      </c>
      <c r="I836" s="8">
        <f>VLOOKUP(A836,[1]!Table1[#All],33,FALSE)</f>
        <v>45198</v>
      </c>
      <c r="J836" t="str">
        <f t="shared" ca="1" si="13"/>
        <v>UDO</v>
      </c>
    </row>
    <row r="837" spans="1:10" x14ac:dyDescent="0.35">
      <c r="A837" s="9" t="s">
        <v>29</v>
      </c>
      <c r="B837" s="10">
        <v>44256</v>
      </c>
      <c r="C837" s="11">
        <v>8107658</v>
      </c>
      <c r="D837" s="11">
        <v>3486473.2199999997</v>
      </c>
      <c r="E837" s="11">
        <v>4621184.78</v>
      </c>
      <c r="F837" t="str">
        <f>VLOOKUP(A837,[1]!Table1[#All],17,FALSE)</f>
        <v>UGANDA</v>
      </c>
      <c r="G837" t="str">
        <f>VLOOKUP(A837,[1]!Table1[#All],22,FALSE)</f>
        <v>African Field Epidemology Network Limited (AFENET)</v>
      </c>
      <c r="H837" s="8">
        <f>VLOOKUP(A837,[1]!Table1[#All],32,FALSE)</f>
        <v>43191</v>
      </c>
      <c r="I837" s="8">
        <f>VLOOKUP(A837,[1]!Table1[#All],33,FALSE)</f>
        <v>45198</v>
      </c>
      <c r="J837" t="str">
        <f t="shared" ca="1" si="13"/>
        <v>UDO</v>
      </c>
    </row>
    <row r="838" spans="1:10" x14ac:dyDescent="0.35">
      <c r="A838" s="5" t="s">
        <v>29</v>
      </c>
      <c r="B838" s="6">
        <v>44287</v>
      </c>
      <c r="C838" s="7">
        <v>8107658</v>
      </c>
      <c r="D838" s="7">
        <v>3486473.2199999997</v>
      </c>
      <c r="E838" s="7">
        <v>4621184.7800000012</v>
      </c>
      <c r="F838" t="str">
        <f>VLOOKUP(A838,[1]!Table1[#All],17,FALSE)</f>
        <v>UGANDA</v>
      </c>
      <c r="G838" t="str">
        <f>VLOOKUP(A838,[1]!Table1[#All],22,FALSE)</f>
        <v>African Field Epidemology Network Limited (AFENET)</v>
      </c>
      <c r="H838" s="8">
        <f>VLOOKUP(A838,[1]!Table1[#All],32,FALSE)</f>
        <v>43191</v>
      </c>
      <c r="I838" s="8">
        <f>VLOOKUP(A838,[1]!Table1[#All],33,FALSE)</f>
        <v>45198</v>
      </c>
      <c r="J838" t="str">
        <f t="shared" ca="1" si="13"/>
        <v>UDO</v>
      </c>
    </row>
    <row r="839" spans="1:10" x14ac:dyDescent="0.35">
      <c r="A839" s="9" t="s">
        <v>29</v>
      </c>
      <c r="B839" s="10">
        <v>44317</v>
      </c>
      <c r="C839" s="11">
        <v>8107658</v>
      </c>
      <c r="D839" s="11">
        <v>3616473.2199999997</v>
      </c>
      <c r="E839" s="11">
        <v>4491184.78</v>
      </c>
      <c r="F839" t="str">
        <f>VLOOKUP(A839,[1]!Table1[#All],17,FALSE)</f>
        <v>UGANDA</v>
      </c>
      <c r="G839" t="str">
        <f>VLOOKUP(A839,[1]!Table1[#All],22,FALSE)</f>
        <v>African Field Epidemology Network Limited (AFENET)</v>
      </c>
      <c r="H839" s="8">
        <f>VLOOKUP(A839,[1]!Table1[#All],32,FALSE)</f>
        <v>43191</v>
      </c>
      <c r="I839" s="8">
        <f>VLOOKUP(A839,[1]!Table1[#All],33,FALSE)</f>
        <v>45198</v>
      </c>
      <c r="J839" t="str">
        <f t="shared" ca="1" si="13"/>
        <v>UDO</v>
      </c>
    </row>
    <row r="840" spans="1:10" x14ac:dyDescent="0.35">
      <c r="A840" s="5" t="s">
        <v>29</v>
      </c>
      <c r="B840" s="6">
        <v>44348</v>
      </c>
      <c r="C840" s="7">
        <v>8107658</v>
      </c>
      <c r="D840" s="7">
        <v>4153283.0799999996</v>
      </c>
      <c r="E840" s="7">
        <v>3954374.92</v>
      </c>
      <c r="F840" t="str">
        <f>VLOOKUP(A840,[1]!Table1[#All],17,FALSE)</f>
        <v>UGANDA</v>
      </c>
      <c r="G840" t="str">
        <f>VLOOKUP(A840,[1]!Table1[#All],22,FALSE)</f>
        <v>African Field Epidemology Network Limited (AFENET)</v>
      </c>
      <c r="H840" s="8">
        <f>VLOOKUP(A840,[1]!Table1[#All],32,FALSE)</f>
        <v>43191</v>
      </c>
      <c r="I840" s="8">
        <f>VLOOKUP(A840,[1]!Table1[#All],33,FALSE)</f>
        <v>45198</v>
      </c>
      <c r="J840" t="str">
        <f t="shared" ca="1" si="13"/>
        <v>UDO</v>
      </c>
    </row>
    <row r="841" spans="1:10" x14ac:dyDescent="0.35">
      <c r="A841" s="9" t="s">
        <v>29</v>
      </c>
      <c r="B841" s="10">
        <v>44378</v>
      </c>
      <c r="C841" s="11">
        <v>8107658</v>
      </c>
      <c r="D841" s="11">
        <v>4153283.0799999996</v>
      </c>
      <c r="E841" s="11">
        <v>3954374.92</v>
      </c>
      <c r="F841" t="str">
        <f>VLOOKUP(A841,[1]!Table1[#All],17,FALSE)</f>
        <v>UGANDA</v>
      </c>
      <c r="G841" t="str">
        <f>VLOOKUP(A841,[1]!Table1[#All],22,FALSE)</f>
        <v>African Field Epidemology Network Limited (AFENET)</v>
      </c>
      <c r="H841" s="8">
        <f>VLOOKUP(A841,[1]!Table1[#All],32,FALSE)</f>
        <v>43191</v>
      </c>
      <c r="I841" s="8">
        <f>VLOOKUP(A841,[1]!Table1[#All],33,FALSE)</f>
        <v>45198</v>
      </c>
      <c r="J841" t="str">
        <f t="shared" ca="1" si="13"/>
        <v>UDO</v>
      </c>
    </row>
    <row r="842" spans="1:10" x14ac:dyDescent="0.35">
      <c r="A842" s="5" t="s">
        <v>29</v>
      </c>
      <c r="B842" s="6">
        <v>44409</v>
      </c>
      <c r="C842" s="7">
        <v>8107658</v>
      </c>
      <c r="D842" s="7">
        <v>4558447.26</v>
      </c>
      <c r="E842" s="7">
        <v>3549210.74</v>
      </c>
      <c r="F842" t="str">
        <f>VLOOKUP(A842,[1]!Table1[#All],17,FALSE)</f>
        <v>UGANDA</v>
      </c>
      <c r="G842" t="str">
        <f>VLOOKUP(A842,[1]!Table1[#All],22,FALSE)</f>
        <v>African Field Epidemology Network Limited (AFENET)</v>
      </c>
      <c r="H842" s="8">
        <f>VLOOKUP(A842,[1]!Table1[#All],32,FALSE)</f>
        <v>43191</v>
      </c>
      <c r="I842" s="8">
        <f>VLOOKUP(A842,[1]!Table1[#All],33,FALSE)</f>
        <v>45198</v>
      </c>
      <c r="J842" t="str">
        <f t="shared" ca="1" si="13"/>
        <v>UDO</v>
      </c>
    </row>
    <row r="843" spans="1:10" x14ac:dyDescent="0.35">
      <c r="A843" s="9" t="s">
        <v>29</v>
      </c>
      <c r="B843" s="10">
        <v>44440</v>
      </c>
      <c r="C843" s="11">
        <v>8107658</v>
      </c>
      <c r="D843" s="11">
        <v>4813321.4499999993</v>
      </c>
      <c r="E843" s="11">
        <v>3294336.5500000003</v>
      </c>
      <c r="F843" t="str">
        <f>VLOOKUP(A843,[1]!Table1[#All],17,FALSE)</f>
        <v>UGANDA</v>
      </c>
      <c r="G843" t="str">
        <f>VLOOKUP(A843,[1]!Table1[#All],22,FALSE)</f>
        <v>African Field Epidemology Network Limited (AFENET)</v>
      </c>
      <c r="H843" s="8">
        <f>VLOOKUP(A843,[1]!Table1[#All],32,FALSE)</f>
        <v>43191</v>
      </c>
      <c r="I843" s="8">
        <f>VLOOKUP(A843,[1]!Table1[#All],33,FALSE)</f>
        <v>45198</v>
      </c>
      <c r="J843" t="str">
        <f t="shared" ca="1" si="13"/>
        <v>UDO</v>
      </c>
    </row>
    <row r="844" spans="1:10" x14ac:dyDescent="0.35">
      <c r="A844" s="5" t="s">
        <v>29</v>
      </c>
      <c r="B844" s="6">
        <v>44470</v>
      </c>
      <c r="C844" s="7">
        <v>8107658</v>
      </c>
      <c r="D844" s="7">
        <v>4813321.4499999993</v>
      </c>
      <c r="E844" s="7">
        <v>3294336.5500000003</v>
      </c>
      <c r="F844" t="str">
        <f>VLOOKUP(A844,[1]!Table1[#All],17,FALSE)</f>
        <v>UGANDA</v>
      </c>
      <c r="G844" t="str">
        <f>VLOOKUP(A844,[1]!Table1[#All],22,FALSE)</f>
        <v>African Field Epidemology Network Limited (AFENET)</v>
      </c>
      <c r="H844" s="8">
        <f>VLOOKUP(A844,[1]!Table1[#All],32,FALSE)</f>
        <v>43191</v>
      </c>
      <c r="I844" s="8">
        <f>VLOOKUP(A844,[1]!Table1[#All],33,FALSE)</f>
        <v>45198</v>
      </c>
      <c r="J844" t="str">
        <f t="shared" ca="1" si="13"/>
        <v>UDO</v>
      </c>
    </row>
    <row r="845" spans="1:10" x14ac:dyDescent="0.35">
      <c r="A845" s="9" t="s">
        <v>29</v>
      </c>
      <c r="B845" s="10">
        <v>44501</v>
      </c>
      <c r="C845" s="11">
        <v>8107658</v>
      </c>
      <c r="D845" s="11">
        <v>4813321.4499999993</v>
      </c>
      <c r="E845" s="11">
        <v>3294336.5500000003</v>
      </c>
      <c r="F845" t="str">
        <f>VLOOKUP(A845,[1]!Table1[#All],17,FALSE)</f>
        <v>UGANDA</v>
      </c>
      <c r="G845" t="str">
        <f>VLOOKUP(A845,[1]!Table1[#All],22,FALSE)</f>
        <v>African Field Epidemology Network Limited (AFENET)</v>
      </c>
      <c r="H845" s="8">
        <f>VLOOKUP(A845,[1]!Table1[#All],32,FALSE)</f>
        <v>43191</v>
      </c>
      <c r="I845" s="8">
        <f>VLOOKUP(A845,[1]!Table1[#All],33,FALSE)</f>
        <v>45198</v>
      </c>
      <c r="J845" t="str">
        <f t="shared" ca="1" si="13"/>
        <v>UDO</v>
      </c>
    </row>
    <row r="846" spans="1:10" x14ac:dyDescent="0.35">
      <c r="A846" s="5" t="s">
        <v>29</v>
      </c>
      <c r="B846" s="6">
        <v>44531</v>
      </c>
      <c r="C846" s="7">
        <v>8107658</v>
      </c>
      <c r="D846" s="7">
        <v>5429321.4499999993</v>
      </c>
      <c r="E846" s="7">
        <v>2678336.5500000003</v>
      </c>
      <c r="F846" t="str">
        <f>VLOOKUP(A846,[1]!Table1[#All],17,FALSE)</f>
        <v>UGANDA</v>
      </c>
      <c r="G846" t="str">
        <f>VLOOKUP(A846,[1]!Table1[#All],22,FALSE)</f>
        <v>African Field Epidemology Network Limited (AFENET)</v>
      </c>
      <c r="H846" s="8">
        <f>VLOOKUP(A846,[1]!Table1[#All],32,FALSE)</f>
        <v>43191</v>
      </c>
      <c r="I846" s="8">
        <f>VLOOKUP(A846,[1]!Table1[#All],33,FALSE)</f>
        <v>45198</v>
      </c>
      <c r="J846" t="str">
        <f t="shared" ca="1" si="13"/>
        <v>UDO</v>
      </c>
    </row>
    <row r="847" spans="1:10" x14ac:dyDescent="0.35">
      <c r="A847" s="9" t="s">
        <v>29</v>
      </c>
      <c r="B847" s="10">
        <v>44562</v>
      </c>
      <c r="C847" s="11">
        <v>8107658</v>
      </c>
      <c r="D847" s="11">
        <v>5429321.4499999993</v>
      </c>
      <c r="E847" s="11">
        <v>2678336.5500000003</v>
      </c>
      <c r="F847" t="str">
        <f>VLOOKUP(A847,[1]!Table1[#All],17,FALSE)</f>
        <v>UGANDA</v>
      </c>
      <c r="G847" t="str">
        <f>VLOOKUP(A847,[1]!Table1[#All],22,FALSE)</f>
        <v>African Field Epidemology Network Limited (AFENET)</v>
      </c>
      <c r="H847" s="8">
        <f>VLOOKUP(A847,[1]!Table1[#All],32,FALSE)</f>
        <v>43191</v>
      </c>
      <c r="I847" s="8">
        <f>VLOOKUP(A847,[1]!Table1[#All],33,FALSE)</f>
        <v>45198</v>
      </c>
      <c r="J847" t="str">
        <f t="shared" ca="1" si="13"/>
        <v>UDO</v>
      </c>
    </row>
    <row r="848" spans="1:10" x14ac:dyDescent="0.35">
      <c r="A848" s="5" t="s">
        <v>29</v>
      </c>
      <c r="B848" s="6">
        <v>44593</v>
      </c>
      <c r="C848" s="7">
        <v>8107658</v>
      </c>
      <c r="D848" s="7">
        <v>5994321.4499999993</v>
      </c>
      <c r="E848" s="7">
        <v>2113336.5500000003</v>
      </c>
      <c r="F848" t="str">
        <f>VLOOKUP(A848,[1]!Table1[#All],17,FALSE)</f>
        <v>UGANDA</v>
      </c>
      <c r="G848" t="str">
        <f>VLOOKUP(A848,[1]!Table1[#All],22,FALSE)</f>
        <v>African Field Epidemology Network Limited (AFENET)</v>
      </c>
      <c r="H848" s="8">
        <f>VLOOKUP(A848,[1]!Table1[#All],32,FALSE)</f>
        <v>43191</v>
      </c>
      <c r="I848" s="8">
        <f>VLOOKUP(A848,[1]!Table1[#All],33,FALSE)</f>
        <v>45198</v>
      </c>
      <c r="J848" t="str">
        <f t="shared" ca="1" si="13"/>
        <v>UDO</v>
      </c>
    </row>
    <row r="849" spans="1:10" x14ac:dyDescent="0.35">
      <c r="A849" s="9" t="s">
        <v>29</v>
      </c>
      <c r="B849" s="10">
        <v>44621</v>
      </c>
      <c r="C849" s="11">
        <v>8107658</v>
      </c>
      <c r="D849" s="11">
        <v>6489321.4499999993</v>
      </c>
      <c r="E849" s="11">
        <v>1618336.55</v>
      </c>
      <c r="F849" t="str">
        <f>VLOOKUP(A849,[1]!Table1[#All],17,FALSE)</f>
        <v>UGANDA</v>
      </c>
      <c r="G849" t="str">
        <f>VLOOKUP(A849,[1]!Table1[#All],22,FALSE)</f>
        <v>African Field Epidemology Network Limited (AFENET)</v>
      </c>
      <c r="H849" s="8">
        <f>VLOOKUP(A849,[1]!Table1[#All],32,FALSE)</f>
        <v>43191</v>
      </c>
      <c r="I849" s="8">
        <f>VLOOKUP(A849,[1]!Table1[#All],33,FALSE)</f>
        <v>45198</v>
      </c>
      <c r="J849" t="str">
        <f t="shared" ca="1" si="13"/>
        <v>UDO</v>
      </c>
    </row>
    <row r="850" spans="1:10" x14ac:dyDescent="0.35">
      <c r="A850" s="5" t="s">
        <v>29</v>
      </c>
      <c r="B850" s="6">
        <v>44652</v>
      </c>
      <c r="C850" s="7">
        <v>8107658</v>
      </c>
      <c r="D850" s="7">
        <v>6489321.4499999993</v>
      </c>
      <c r="E850" s="7">
        <v>1618336.55</v>
      </c>
      <c r="F850" t="str">
        <f>VLOOKUP(A850,[1]!Table1[#All],17,FALSE)</f>
        <v>UGANDA</v>
      </c>
      <c r="G850" t="str">
        <f>VLOOKUP(A850,[1]!Table1[#All],22,FALSE)</f>
        <v>African Field Epidemology Network Limited (AFENET)</v>
      </c>
      <c r="H850" s="8">
        <f>VLOOKUP(A850,[1]!Table1[#All],32,FALSE)</f>
        <v>43191</v>
      </c>
      <c r="I850" s="8">
        <f>VLOOKUP(A850,[1]!Table1[#All],33,FALSE)</f>
        <v>45198</v>
      </c>
      <c r="J850" t="str">
        <f t="shared" ca="1" si="13"/>
        <v>UDO</v>
      </c>
    </row>
    <row r="851" spans="1:10" x14ac:dyDescent="0.35">
      <c r="A851" s="9" t="s">
        <v>29</v>
      </c>
      <c r="B851" s="10">
        <v>44682</v>
      </c>
      <c r="C851" s="11">
        <v>8107658</v>
      </c>
      <c r="D851" s="11">
        <v>6489321.4499999993</v>
      </c>
      <c r="E851" s="11">
        <v>1618336.55</v>
      </c>
      <c r="F851" t="str">
        <f>VLOOKUP(A851,[1]!Table1[#All],17,FALSE)</f>
        <v>UGANDA</v>
      </c>
      <c r="G851" t="str">
        <f>VLOOKUP(A851,[1]!Table1[#All],22,FALSE)</f>
        <v>African Field Epidemology Network Limited (AFENET)</v>
      </c>
      <c r="H851" s="8">
        <f>VLOOKUP(A851,[1]!Table1[#All],32,FALSE)</f>
        <v>43191</v>
      </c>
      <c r="I851" s="8">
        <f>VLOOKUP(A851,[1]!Table1[#All],33,FALSE)</f>
        <v>45198</v>
      </c>
      <c r="J851" t="str">
        <f t="shared" ca="1" si="13"/>
        <v>UDO</v>
      </c>
    </row>
    <row r="852" spans="1:10" x14ac:dyDescent="0.35">
      <c r="A852" s="5" t="s">
        <v>29</v>
      </c>
      <c r="B852" s="6">
        <v>44713</v>
      </c>
      <c r="C852" s="7">
        <v>8107658</v>
      </c>
      <c r="D852" s="7">
        <v>7165447.2599999998</v>
      </c>
      <c r="E852" s="7">
        <v>942210.74</v>
      </c>
      <c r="F852" t="str">
        <f>VLOOKUP(A852,[1]!Table1[#All],17,FALSE)</f>
        <v>UGANDA</v>
      </c>
      <c r="G852" t="str">
        <f>VLOOKUP(A852,[1]!Table1[#All],22,FALSE)</f>
        <v>African Field Epidemology Network Limited (AFENET)</v>
      </c>
      <c r="H852" s="8">
        <f>VLOOKUP(A852,[1]!Table1[#All],32,FALSE)</f>
        <v>43191</v>
      </c>
      <c r="I852" s="8">
        <f>VLOOKUP(A852,[1]!Table1[#All],33,FALSE)</f>
        <v>45198</v>
      </c>
      <c r="J852" t="str">
        <f t="shared" ca="1" si="13"/>
        <v>UDO</v>
      </c>
    </row>
    <row r="853" spans="1:10" x14ac:dyDescent="0.35">
      <c r="A853" s="9" t="s">
        <v>29</v>
      </c>
      <c r="B853" s="10">
        <v>44743</v>
      </c>
      <c r="C853" s="11">
        <v>8107658</v>
      </c>
      <c r="D853" s="11">
        <v>7605447.2599999998</v>
      </c>
      <c r="E853" s="11">
        <v>502210.74</v>
      </c>
      <c r="F853" t="str">
        <f>VLOOKUP(A853,[1]!Table1[#All],17,FALSE)</f>
        <v>UGANDA</v>
      </c>
      <c r="G853" t="str">
        <f>VLOOKUP(A853,[1]!Table1[#All],22,FALSE)</f>
        <v>African Field Epidemology Network Limited (AFENET)</v>
      </c>
      <c r="H853" s="8">
        <f>VLOOKUP(A853,[1]!Table1[#All],32,FALSE)</f>
        <v>43191</v>
      </c>
      <c r="I853" s="8">
        <f>VLOOKUP(A853,[1]!Table1[#All],33,FALSE)</f>
        <v>45198</v>
      </c>
      <c r="J853" t="str">
        <f t="shared" ca="1" si="13"/>
        <v>UDO</v>
      </c>
    </row>
    <row r="854" spans="1:10" x14ac:dyDescent="0.35">
      <c r="A854" s="5" t="s">
        <v>29</v>
      </c>
      <c r="B854" s="6">
        <v>44774</v>
      </c>
      <c r="C854" s="7">
        <v>8107658</v>
      </c>
      <c r="D854" s="7">
        <v>7605447.2599999998</v>
      </c>
      <c r="E854" s="7">
        <v>502210.74</v>
      </c>
      <c r="F854" t="str">
        <f>VLOOKUP(A854,[1]!Table1[#All],17,FALSE)</f>
        <v>UGANDA</v>
      </c>
      <c r="G854" t="str">
        <f>VLOOKUP(A854,[1]!Table1[#All],22,FALSE)</f>
        <v>African Field Epidemology Network Limited (AFENET)</v>
      </c>
      <c r="H854" s="8">
        <f>VLOOKUP(A854,[1]!Table1[#All],32,FALSE)</f>
        <v>43191</v>
      </c>
      <c r="I854" s="8">
        <f>VLOOKUP(A854,[1]!Table1[#All],33,FALSE)</f>
        <v>45198</v>
      </c>
      <c r="J854" t="str">
        <f t="shared" ca="1" si="13"/>
        <v>UDO</v>
      </c>
    </row>
    <row r="855" spans="1:10" x14ac:dyDescent="0.35">
      <c r="A855" s="9" t="s">
        <v>29</v>
      </c>
      <c r="B855" s="10">
        <v>44805</v>
      </c>
      <c r="C855" s="11">
        <v>8107658</v>
      </c>
      <c r="D855" s="11">
        <v>8025947.2599999998</v>
      </c>
      <c r="E855" s="11">
        <v>81710.740000000005</v>
      </c>
      <c r="F855" t="str">
        <f>VLOOKUP(A855,[1]!Table1[#All],17,FALSE)</f>
        <v>UGANDA</v>
      </c>
      <c r="G855" t="str">
        <f>VLOOKUP(A855,[1]!Table1[#All],22,FALSE)</f>
        <v>African Field Epidemology Network Limited (AFENET)</v>
      </c>
      <c r="H855" s="8">
        <f>VLOOKUP(A855,[1]!Table1[#All],32,FALSE)</f>
        <v>43191</v>
      </c>
      <c r="I855" s="8">
        <f>VLOOKUP(A855,[1]!Table1[#All],33,FALSE)</f>
        <v>45198</v>
      </c>
      <c r="J855" t="str">
        <f t="shared" ca="1" si="13"/>
        <v>UDO</v>
      </c>
    </row>
    <row r="856" spans="1:10" x14ac:dyDescent="0.35">
      <c r="A856" s="5" t="s">
        <v>29</v>
      </c>
      <c r="B856" s="6">
        <v>44835</v>
      </c>
      <c r="C856" s="7">
        <v>8107658</v>
      </c>
      <c r="D856" s="7">
        <v>8025947.2599999998</v>
      </c>
      <c r="E856" s="7">
        <v>81710.740000000005</v>
      </c>
      <c r="F856" t="str">
        <f>VLOOKUP(A856,[1]!Table1[#All],17,FALSE)</f>
        <v>UGANDA</v>
      </c>
      <c r="G856" t="str">
        <f>VLOOKUP(A856,[1]!Table1[#All],22,FALSE)</f>
        <v>African Field Epidemology Network Limited (AFENET)</v>
      </c>
      <c r="H856" s="8">
        <f>VLOOKUP(A856,[1]!Table1[#All],32,FALSE)</f>
        <v>43191</v>
      </c>
      <c r="I856" s="8">
        <f>VLOOKUP(A856,[1]!Table1[#All],33,FALSE)</f>
        <v>45198</v>
      </c>
      <c r="J856" t="str">
        <f t="shared" ca="1" si="13"/>
        <v>UDO</v>
      </c>
    </row>
    <row r="857" spans="1:10" x14ac:dyDescent="0.35">
      <c r="A857" s="9" t="s">
        <v>29</v>
      </c>
      <c r="B857" s="10">
        <v>44866</v>
      </c>
      <c r="C857" s="11">
        <v>8107658</v>
      </c>
      <c r="D857" s="11">
        <v>8083581.3799999999</v>
      </c>
      <c r="E857" s="11">
        <v>24076.62</v>
      </c>
      <c r="F857" t="str">
        <f>VLOOKUP(A857,[1]!Table1[#All],17,FALSE)</f>
        <v>UGANDA</v>
      </c>
      <c r="G857" t="str">
        <f>VLOOKUP(A857,[1]!Table1[#All],22,FALSE)</f>
        <v>African Field Epidemology Network Limited (AFENET)</v>
      </c>
      <c r="H857" s="8">
        <f>VLOOKUP(A857,[1]!Table1[#All],32,FALSE)</f>
        <v>43191</v>
      </c>
      <c r="I857" s="8">
        <f>VLOOKUP(A857,[1]!Table1[#All],33,FALSE)</f>
        <v>45198</v>
      </c>
      <c r="J857" t="str">
        <f t="shared" ca="1" si="13"/>
        <v>UDO</v>
      </c>
    </row>
    <row r="858" spans="1:10" x14ac:dyDescent="0.35">
      <c r="A858" s="5" t="s">
        <v>29</v>
      </c>
      <c r="B858" s="6">
        <v>44896</v>
      </c>
      <c r="C858" s="7">
        <v>8107658</v>
      </c>
      <c r="D858" s="7">
        <v>8083581.3799999999</v>
      </c>
      <c r="E858" s="7">
        <v>24076.62</v>
      </c>
      <c r="F858" t="str">
        <f>VLOOKUP(A858,[1]!Table1[#All],17,FALSE)</f>
        <v>UGANDA</v>
      </c>
      <c r="G858" t="str">
        <f>VLOOKUP(A858,[1]!Table1[#All],22,FALSE)</f>
        <v>African Field Epidemology Network Limited (AFENET)</v>
      </c>
      <c r="H858" s="8">
        <f>VLOOKUP(A858,[1]!Table1[#All],32,FALSE)</f>
        <v>43191</v>
      </c>
      <c r="I858" s="8">
        <f>VLOOKUP(A858,[1]!Table1[#All],33,FALSE)</f>
        <v>45198</v>
      </c>
      <c r="J858" t="str">
        <f t="shared" ca="1" si="13"/>
        <v>UDO</v>
      </c>
    </row>
    <row r="859" spans="1:10" x14ac:dyDescent="0.35">
      <c r="A859" s="9" t="s">
        <v>29</v>
      </c>
      <c r="B859" s="10">
        <v>44927</v>
      </c>
      <c r="C859" s="11">
        <v>8107658</v>
      </c>
      <c r="D859" s="11">
        <v>8083581.3799999999</v>
      </c>
      <c r="E859" s="11">
        <v>24076.62</v>
      </c>
      <c r="F859" t="str">
        <f>VLOOKUP(A859,[1]!Table1[#All],17,FALSE)</f>
        <v>UGANDA</v>
      </c>
      <c r="G859" t="str">
        <f>VLOOKUP(A859,[1]!Table1[#All],22,FALSE)</f>
        <v>African Field Epidemology Network Limited (AFENET)</v>
      </c>
      <c r="H859" s="8">
        <f>VLOOKUP(A859,[1]!Table1[#All],32,FALSE)</f>
        <v>43191</v>
      </c>
      <c r="I859" s="8">
        <f>VLOOKUP(A859,[1]!Table1[#All],33,FALSE)</f>
        <v>45198</v>
      </c>
      <c r="J859" t="str">
        <f t="shared" ca="1" si="13"/>
        <v>UDO</v>
      </c>
    </row>
    <row r="860" spans="1:10" x14ac:dyDescent="0.35">
      <c r="A860" s="5" t="s">
        <v>29</v>
      </c>
      <c r="B860" s="6">
        <v>44958</v>
      </c>
      <c r="C860" s="7">
        <v>8107658</v>
      </c>
      <c r="D860" s="7">
        <v>8083581.3799999999</v>
      </c>
      <c r="E860" s="7">
        <v>24076.62</v>
      </c>
      <c r="F860" t="str">
        <f>VLOOKUP(A860,[1]!Table1[#All],17,FALSE)</f>
        <v>UGANDA</v>
      </c>
      <c r="G860" t="str">
        <f>VLOOKUP(A860,[1]!Table1[#All],22,FALSE)</f>
        <v>African Field Epidemology Network Limited (AFENET)</v>
      </c>
      <c r="H860" s="8">
        <f>VLOOKUP(A860,[1]!Table1[#All],32,FALSE)</f>
        <v>43191</v>
      </c>
      <c r="I860" s="8">
        <f>VLOOKUP(A860,[1]!Table1[#All],33,FALSE)</f>
        <v>45198</v>
      </c>
      <c r="J860" t="str">
        <f t="shared" ca="1" si="13"/>
        <v>UDO</v>
      </c>
    </row>
    <row r="861" spans="1:10" x14ac:dyDescent="0.35">
      <c r="A861" s="9" t="s">
        <v>29</v>
      </c>
      <c r="B861" s="10">
        <v>44986</v>
      </c>
      <c r="C861" s="11">
        <v>8107658</v>
      </c>
      <c r="D861" s="11">
        <v>8083581.3799999999</v>
      </c>
      <c r="E861" s="11">
        <v>24076.62</v>
      </c>
      <c r="F861" t="str">
        <f>VLOOKUP(A861,[1]!Table1[#All],17,FALSE)</f>
        <v>UGANDA</v>
      </c>
      <c r="G861" t="str">
        <f>VLOOKUP(A861,[1]!Table1[#All],22,FALSE)</f>
        <v>African Field Epidemology Network Limited (AFENET)</v>
      </c>
      <c r="H861" s="8">
        <f>VLOOKUP(A861,[1]!Table1[#All],32,FALSE)</f>
        <v>43191</v>
      </c>
      <c r="I861" s="8">
        <f>VLOOKUP(A861,[1]!Table1[#All],33,FALSE)</f>
        <v>45198</v>
      </c>
      <c r="J861" t="str">
        <f t="shared" ca="1" si="13"/>
        <v>UDO</v>
      </c>
    </row>
    <row r="862" spans="1:10" x14ac:dyDescent="0.35">
      <c r="A862" s="5" t="s">
        <v>29</v>
      </c>
      <c r="B862" s="6">
        <v>45017</v>
      </c>
      <c r="C862" s="7">
        <v>8107658</v>
      </c>
      <c r="D862" s="7">
        <v>8083581.3799999999</v>
      </c>
      <c r="E862" s="7">
        <v>24076.62</v>
      </c>
      <c r="F862" t="str">
        <f>VLOOKUP(A862,[1]!Table1[#All],17,FALSE)</f>
        <v>UGANDA</v>
      </c>
      <c r="G862" t="str">
        <f>VLOOKUP(A862,[1]!Table1[#All],22,FALSE)</f>
        <v>African Field Epidemology Network Limited (AFENET)</v>
      </c>
      <c r="H862" s="8">
        <f>VLOOKUP(A862,[1]!Table1[#All],32,FALSE)</f>
        <v>43191</v>
      </c>
      <c r="I862" s="8">
        <f>VLOOKUP(A862,[1]!Table1[#All],33,FALSE)</f>
        <v>45198</v>
      </c>
      <c r="J862" t="str">
        <f t="shared" ca="1" si="13"/>
        <v>UDO</v>
      </c>
    </row>
    <row r="863" spans="1:10" x14ac:dyDescent="0.35">
      <c r="A863" s="9" t="s">
        <v>29</v>
      </c>
      <c r="B863" s="10">
        <v>45047</v>
      </c>
      <c r="C863" s="11">
        <v>8107658</v>
      </c>
      <c r="D863" s="11">
        <v>8083581.3799999999</v>
      </c>
      <c r="E863" s="11">
        <v>24076.62</v>
      </c>
      <c r="F863" t="str">
        <f>VLOOKUP(A863,[1]!Table1[#All],17,FALSE)</f>
        <v>UGANDA</v>
      </c>
      <c r="G863" t="str">
        <f>VLOOKUP(A863,[1]!Table1[#All],22,FALSE)</f>
        <v>African Field Epidemology Network Limited (AFENET)</v>
      </c>
      <c r="H863" s="8">
        <f>VLOOKUP(A863,[1]!Table1[#All],32,FALSE)</f>
        <v>43191</v>
      </c>
      <c r="I863" s="8">
        <f>VLOOKUP(A863,[1]!Table1[#All],33,FALSE)</f>
        <v>45198</v>
      </c>
      <c r="J863" t="str">
        <f t="shared" ca="1" si="13"/>
        <v>UDO</v>
      </c>
    </row>
    <row r="864" spans="1:10" x14ac:dyDescent="0.35">
      <c r="A864" s="5" t="s">
        <v>29</v>
      </c>
      <c r="B864" s="6">
        <v>45078</v>
      </c>
      <c r="C864" s="7">
        <v>8107658</v>
      </c>
      <c r="D864" s="7">
        <v>8083581.3799999999</v>
      </c>
      <c r="E864" s="7">
        <v>24076.62</v>
      </c>
      <c r="F864" t="str">
        <f>VLOOKUP(A864,[1]!Table1[#All],17,FALSE)</f>
        <v>UGANDA</v>
      </c>
      <c r="G864" t="str">
        <f>VLOOKUP(A864,[1]!Table1[#All],22,FALSE)</f>
        <v>African Field Epidemology Network Limited (AFENET)</v>
      </c>
      <c r="H864" s="8">
        <f>VLOOKUP(A864,[1]!Table1[#All],32,FALSE)</f>
        <v>43191</v>
      </c>
      <c r="I864" s="8">
        <f>VLOOKUP(A864,[1]!Table1[#All],33,FALSE)</f>
        <v>45198</v>
      </c>
      <c r="J864" t="str">
        <f t="shared" ca="1" si="13"/>
        <v>UDO</v>
      </c>
    </row>
    <row r="865" spans="1:10" x14ac:dyDescent="0.35">
      <c r="A865" s="9" t="s">
        <v>29</v>
      </c>
      <c r="B865" s="10">
        <v>45108</v>
      </c>
      <c r="C865" s="11">
        <v>8107658</v>
      </c>
      <c r="D865" s="11">
        <v>8083581.3799999999</v>
      </c>
      <c r="E865" s="11">
        <v>24076.62</v>
      </c>
      <c r="F865" t="str">
        <f>VLOOKUP(A865,[1]!Table1[#All],17,FALSE)</f>
        <v>UGANDA</v>
      </c>
      <c r="G865" t="str">
        <f>VLOOKUP(A865,[1]!Table1[#All],22,FALSE)</f>
        <v>African Field Epidemology Network Limited (AFENET)</v>
      </c>
      <c r="H865" s="8">
        <f>VLOOKUP(A865,[1]!Table1[#All],32,FALSE)</f>
        <v>43191</v>
      </c>
      <c r="I865" s="8">
        <f>VLOOKUP(A865,[1]!Table1[#All],33,FALSE)</f>
        <v>45198</v>
      </c>
      <c r="J865" t="str">
        <f t="shared" ca="1" si="13"/>
        <v>UDO</v>
      </c>
    </row>
    <row r="866" spans="1:10" x14ac:dyDescent="0.35">
      <c r="A866" s="5" t="s">
        <v>29</v>
      </c>
      <c r="B866" s="6">
        <v>45139</v>
      </c>
      <c r="C866" s="7">
        <v>8107658</v>
      </c>
      <c r="D866" s="7">
        <v>8083581.3799999999</v>
      </c>
      <c r="E866" s="7">
        <v>24076.62</v>
      </c>
      <c r="F866" t="str">
        <f>VLOOKUP(A866,[1]!Table1[#All],17,FALSE)</f>
        <v>UGANDA</v>
      </c>
      <c r="G866" t="str">
        <f>VLOOKUP(A866,[1]!Table1[#All],22,FALSE)</f>
        <v>African Field Epidemology Network Limited (AFENET)</v>
      </c>
      <c r="H866" s="8">
        <f>VLOOKUP(A866,[1]!Table1[#All],32,FALSE)</f>
        <v>43191</v>
      </c>
      <c r="I866" s="8">
        <f>VLOOKUP(A866,[1]!Table1[#All],33,FALSE)</f>
        <v>45198</v>
      </c>
      <c r="J866" t="str">
        <f t="shared" ca="1" si="13"/>
        <v>UDO</v>
      </c>
    </row>
    <row r="867" spans="1:10" x14ac:dyDescent="0.35">
      <c r="A867" s="9" t="s">
        <v>29</v>
      </c>
      <c r="B867" s="10">
        <v>45170</v>
      </c>
      <c r="C867" s="11">
        <v>8107658</v>
      </c>
      <c r="D867" s="11">
        <v>8083581.3799999999</v>
      </c>
      <c r="E867" s="11">
        <v>24076.62</v>
      </c>
      <c r="F867" t="str">
        <f>VLOOKUP(A867,[1]!Table1[#All],17,FALSE)</f>
        <v>UGANDA</v>
      </c>
      <c r="G867" t="str">
        <f>VLOOKUP(A867,[1]!Table1[#All],22,FALSE)</f>
        <v>African Field Epidemology Network Limited (AFENET)</v>
      </c>
      <c r="H867" s="8">
        <f>VLOOKUP(A867,[1]!Table1[#All],32,FALSE)</f>
        <v>43191</v>
      </c>
      <c r="I867" s="8">
        <f>VLOOKUP(A867,[1]!Table1[#All],33,FALSE)</f>
        <v>45198</v>
      </c>
      <c r="J867" t="str">
        <f t="shared" ca="1" si="13"/>
        <v>UDO</v>
      </c>
    </row>
    <row r="868" spans="1:10" x14ac:dyDescent="0.35">
      <c r="A868" s="5" t="s">
        <v>30</v>
      </c>
      <c r="B868" s="6">
        <v>44105</v>
      </c>
      <c r="C868" s="7">
        <v>7930784</v>
      </c>
      <c r="D868" s="7">
        <v>851923.47</v>
      </c>
      <c r="E868" s="7">
        <v>7078860.5299999993</v>
      </c>
      <c r="F868" t="str">
        <f>VLOOKUP(A868,[1]!Table1[#All],17,FALSE)</f>
        <v>UNITED STATES</v>
      </c>
      <c r="G868" t="str">
        <f>VLOOKUP(A868,[1]!Table1[#All],22,FALSE)</f>
        <v>UNIVERSITY OF CALIFORNIA-SAN FRANCISCO</v>
      </c>
      <c r="H868" s="8">
        <f>VLOOKUP(A868,[1]!Table1[#All],32,FALSE)</f>
        <v>43405</v>
      </c>
      <c r="I868" s="8">
        <f>VLOOKUP(A868,[1]!Table1[#All],33,FALSE)</f>
        <v>45198</v>
      </c>
      <c r="J868" t="str">
        <f t="shared" ca="1" si="13"/>
        <v>UDO</v>
      </c>
    </row>
    <row r="869" spans="1:10" x14ac:dyDescent="0.35">
      <c r="A869" s="9" t="s">
        <v>30</v>
      </c>
      <c r="B869" s="10">
        <v>44136</v>
      </c>
      <c r="C869" s="11">
        <v>7930784</v>
      </c>
      <c r="D869" s="11">
        <v>938520.76</v>
      </c>
      <c r="E869" s="11">
        <v>6992263.2400000002</v>
      </c>
      <c r="F869" t="str">
        <f>VLOOKUP(A869,[1]!Table1[#All],17,FALSE)</f>
        <v>UNITED STATES</v>
      </c>
      <c r="G869" t="str">
        <f>VLOOKUP(A869,[1]!Table1[#All],22,FALSE)</f>
        <v>UNIVERSITY OF CALIFORNIA-SAN FRANCISCO</v>
      </c>
      <c r="H869" s="8">
        <f>VLOOKUP(A869,[1]!Table1[#All],32,FALSE)</f>
        <v>43405</v>
      </c>
      <c r="I869" s="8">
        <f>VLOOKUP(A869,[1]!Table1[#All],33,FALSE)</f>
        <v>45198</v>
      </c>
      <c r="J869" t="str">
        <f t="shared" ca="1" si="13"/>
        <v>UDO</v>
      </c>
    </row>
    <row r="870" spans="1:10" x14ac:dyDescent="0.35">
      <c r="A870" s="5" t="s">
        <v>30</v>
      </c>
      <c r="B870" s="6">
        <v>44166</v>
      </c>
      <c r="C870" s="7">
        <v>7930784</v>
      </c>
      <c r="D870" s="7">
        <v>938520.76</v>
      </c>
      <c r="E870" s="7">
        <v>6992263.2400000002</v>
      </c>
      <c r="F870" t="str">
        <f>VLOOKUP(A870,[1]!Table1[#All],17,FALSE)</f>
        <v>UNITED STATES</v>
      </c>
      <c r="G870" t="str">
        <f>VLOOKUP(A870,[1]!Table1[#All],22,FALSE)</f>
        <v>UNIVERSITY OF CALIFORNIA-SAN FRANCISCO</v>
      </c>
      <c r="H870" s="8">
        <f>VLOOKUP(A870,[1]!Table1[#All],32,FALSE)</f>
        <v>43405</v>
      </c>
      <c r="I870" s="8">
        <f>VLOOKUP(A870,[1]!Table1[#All],33,FALSE)</f>
        <v>45198</v>
      </c>
      <c r="J870" t="str">
        <f t="shared" ca="1" si="13"/>
        <v>UDO</v>
      </c>
    </row>
    <row r="871" spans="1:10" x14ac:dyDescent="0.35">
      <c r="A871" s="9" t="s">
        <v>30</v>
      </c>
      <c r="B871" s="10">
        <v>44197</v>
      </c>
      <c r="C871" s="11">
        <v>7930784</v>
      </c>
      <c r="D871" s="11">
        <v>1011584.3600000001</v>
      </c>
      <c r="E871" s="11">
        <v>6919199.6400000006</v>
      </c>
      <c r="F871" t="str">
        <f>VLOOKUP(A871,[1]!Table1[#All],17,FALSE)</f>
        <v>UNITED STATES</v>
      </c>
      <c r="G871" t="str">
        <f>VLOOKUP(A871,[1]!Table1[#All],22,FALSE)</f>
        <v>UNIVERSITY OF CALIFORNIA-SAN FRANCISCO</v>
      </c>
      <c r="H871" s="8">
        <f>VLOOKUP(A871,[1]!Table1[#All],32,FALSE)</f>
        <v>43405</v>
      </c>
      <c r="I871" s="8">
        <f>VLOOKUP(A871,[1]!Table1[#All],33,FALSE)</f>
        <v>45198</v>
      </c>
      <c r="J871" t="str">
        <f t="shared" ca="1" si="13"/>
        <v>UDO</v>
      </c>
    </row>
    <row r="872" spans="1:10" x14ac:dyDescent="0.35">
      <c r="A872" s="5" t="s">
        <v>30</v>
      </c>
      <c r="B872" s="6">
        <v>44228</v>
      </c>
      <c r="C872" s="7">
        <v>7930784</v>
      </c>
      <c r="D872" s="7">
        <v>1355147.5099999998</v>
      </c>
      <c r="E872" s="7">
        <v>6575636.4900000002</v>
      </c>
      <c r="F872" t="str">
        <f>VLOOKUP(A872,[1]!Table1[#All],17,FALSE)</f>
        <v>UNITED STATES</v>
      </c>
      <c r="G872" t="str">
        <f>VLOOKUP(A872,[1]!Table1[#All],22,FALSE)</f>
        <v>UNIVERSITY OF CALIFORNIA-SAN FRANCISCO</v>
      </c>
      <c r="H872" s="8">
        <f>VLOOKUP(A872,[1]!Table1[#All],32,FALSE)</f>
        <v>43405</v>
      </c>
      <c r="I872" s="8">
        <f>VLOOKUP(A872,[1]!Table1[#All],33,FALSE)</f>
        <v>45198</v>
      </c>
      <c r="J872" t="str">
        <f t="shared" ca="1" si="13"/>
        <v>UDO</v>
      </c>
    </row>
    <row r="873" spans="1:10" x14ac:dyDescent="0.35">
      <c r="A873" s="9" t="s">
        <v>30</v>
      </c>
      <c r="B873" s="10">
        <v>44256</v>
      </c>
      <c r="C873" s="11">
        <v>7930784</v>
      </c>
      <c r="D873" s="11">
        <v>1355147.5099999998</v>
      </c>
      <c r="E873" s="11">
        <v>6575636.4900000002</v>
      </c>
      <c r="F873" t="str">
        <f>VLOOKUP(A873,[1]!Table1[#All],17,FALSE)</f>
        <v>UNITED STATES</v>
      </c>
      <c r="G873" t="str">
        <f>VLOOKUP(A873,[1]!Table1[#All],22,FALSE)</f>
        <v>UNIVERSITY OF CALIFORNIA-SAN FRANCISCO</v>
      </c>
      <c r="H873" s="8">
        <f>VLOOKUP(A873,[1]!Table1[#All],32,FALSE)</f>
        <v>43405</v>
      </c>
      <c r="I873" s="8">
        <f>VLOOKUP(A873,[1]!Table1[#All],33,FALSE)</f>
        <v>45198</v>
      </c>
      <c r="J873" t="str">
        <f t="shared" ca="1" si="13"/>
        <v>UDO</v>
      </c>
    </row>
    <row r="874" spans="1:10" x14ac:dyDescent="0.35">
      <c r="A874" s="5" t="s">
        <v>30</v>
      </c>
      <c r="B874" s="6">
        <v>44317</v>
      </c>
      <c r="C874" s="7">
        <v>7930784</v>
      </c>
      <c r="D874" s="7">
        <v>2154765.7000000002</v>
      </c>
      <c r="E874" s="7">
        <v>5776018.2999999998</v>
      </c>
      <c r="F874" t="str">
        <f>VLOOKUP(A874,[1]!Table1[#All],17,FALSE)</f>
        <v>UNITED STATES</v>
      </c>
      <c r="G874" t="str">
        <f>VLOOKUP(A874,[1]!Table1[#All],22,FALSE)</f>
        <v>UNIVERSITY OF CALIFORNIA-SAN FRANCISCO</v>
      </c>
      <c r="H874" s="8">
        <f>VLOOKUP(A874,[1]!Table1[#All],32,FALSE)</f>
        <v>43405</v>
      </c>
      <c r="I874" s="8">
        <f>VLOOKUP(A874,[1]!Table1[#All],33,FALSE)</f>
        <v>45198</v>
      </c>
      <c r="J874" t="str">
        <f t="shared" ca="1" si="13"/>
        <v>UDO</v>
      </c>
    </row>
    <row r="875" spans="1:10" x14ac:dyDescent="0.35">
      <c r="A875" s="9" t="s">
        <v>30</v>
      </c>
      <c r="B875" s="10">
        <v>44348</v>
      </c>
      <c r="C875" s="11">
        <v>7930784</v>
      </c>
      <c r="D875" s="11">
        <v>2475551.7199999997</v>
      </c>
      <c r="E875" s="11">
        <v>5455232.2800000003</v>
      </c>
      <c r="F875" t="str">
        <f>VLOOKUP(A875,[1]!Table1[#All],17,FALSE)</f>
        <v>UNITED STATES</v>
      </c>
      <c r="G875" t="str">
        <f>VLOOKUP(A875,[1]!Table1[#All],22,FALSE)</f>
        <v>UNIVERSITY OF CALIFORNIA-SAN FRANCISCO</v>
      </c>
      <c r="H875" s="8">
        <f>VLOOKUP(A875,[1]!Table1[#All],32,FALSE)</f>
        <v>43405</v>
      </c>
      <c r="I875" s="8">
        <f>VLOOKUP(A875,[1]!Table1[#All],33,FALSE)</f>
        <v>45198</v>
      </c>
      <c r="J875" t="str">
        <f t="shared" ca="1" si="13"/>
        <v>UDO</v>
      </c>
    </row>
    <row r="876" spans="1:10" x14ac:dyDescent="0.35">
      <c r="A876" s="5" t="s">
        <v>30</v>
      </c>
      <c r="B876" s="6">
        <v>44378</v>
      </c>
      <c r="C876" s="7">
        <v>7930784</v>
      </c>
      <c r="D876" s="7">
        <v>2661433.7399999998</v>
      </c>
      <c r="E876" s="7">
        <v>5269350.26</v>
      </c>
      <c r="F876" t="str">
        <f>VLOOKUP(A876,[1]!Table1[#All],17,FALSE)</f>
        <v>UNITED STATES</v>
      </c>
      <c r="G876" t="str">
        <f>VLOOKUP(A876,[1]!Table1[#All],22,FALSE)</f>
        <v>UNIVERSITY OF CALIFORNIA-SAN FRANCISCO</v>
      </c>
      <c r="H876" s="8">
        <f>VLOOKUP(A876,[1]!Table1[#All],32,FALSE)</f>
        <v>43405</v>
      </c>
      <c r="I876" s="8">
        <f>VLOOKUP(A876,[1]!Table1[#All],33,FALSE)</f>
        <v>45198</v>
      </c>
      <c r="J876" t="str">
        <f t="shared" ca="1" si="13"/>
        <v>UDO</v>
      </c>
    </row>
    <row r="877" spans="1:10" x14ac:dyDescent="0.35">
      <c r="A877" s="9" t="s">
        <v>30</v>
      </c>
      <c r="B877" s="10">
        <v>44409</v>
      </c>
      <c r="C877" s="11">
        <v>7930784</v>
      </c>
      <c r="D877" s="11">
        <v>3007786.15</v>
      </c>
      <c r="E877" s="11">
        <v>4922997.8500000006</v>
      </c>
      <c r="F877" t="str">
        <f>VLOOKUP(A877,[1]!Table1[#All],17,FALSE)</f>
        <v>UNITED STATES</v>
      </c>
      <c r="G877" t="str">
        <f>VLOOKUP(A877,[1]!Table1[#All],22,FALSE)</f>
        <v>UNIVERSITY OF CALIFORNIA-SAN FRANCISCO</v>
      </c>
      <c r="H877" s="8">
        <f>VLOOKUP(A877,[1]!Table1[#All],32,FALSE)</f>
        <v>43405</v>
      </c>
      <c r="I877" s="8">
        <f>VLOOKUP(A877,[1]!Table1[#All],33,FALSE)</f>
        <v>45198</v>
      </c>
      <c r="J877" t="str">
        <f t="shared" ca="1" si="13"/>
        <v>UDO</v>
      </c>
    </row>
    <row r="878" spans="1:10" x14ac:dyDescent="0.35">
      <c r="A878" s="5" t="s">
        <v>30</v>
      </c>
      <c r="B878" s="6">
        <v>44440</v>
      </c>
      <c r="C878" s="7">
        <v>7930784</v>
      </c>
      <c r="D878" s="7">
        <v>4203014.5200000005</v>
      </c>
      <c r="E878" s="7">
        <v>3727769.4800000004</v>
      </c>
      <c r="F878" t="str">
        <f>VLOOKUP(A878,[1]!Table1[#All],17,FALSE)</f>
        <v>UNITED STATES</v>
      </c>
      <c r="G878" t="str">
        <f>VLOOKUP(A878,[1]!Table1[#All],22,FALSE)</f>
        <v>UNIVERSITY OF CALIFORNIA-SAN FRANCISCO</v>
      </c>
      <c r="H878" s="8">
        <f>VLOOKUP(A878,[1]!Table1[#All],32,FALSE)</f>
        <v>43405</v>
      </c>
      <c r="I878" s="8">
        <f>VLOOKUP(A878,[1]!Table1[#All],33,FALSE)</f>
        <v>45198</v>
      </c>
      <c r="J878" t="str">
        <f t="shared" ca="1" si="13"/>
        <v>UDO</v>
      </c>
    </row>
    <row r="879" spans="1:10" x14ac:dyDescent="0.35">
      <c r="A879" s="9" t="s">
        <v>30</v>
      </c>
      <c r="B879" s="10">
        <v>44470</v>
      </c>
      <c r="C879" s="11">
        <v>7930784</v>
      </c>
      <c r="D879" s="11">
        <v>4203014.5200000005</v>
      </c>
      <c r="E879" s="11">
        <v>3727769.4800000004</v>
      </c>
      <c r="F879" t="str">
        <f>VLOOKUP(A879,[1]!Table1[#All],17,FALSE)</f>
        <v>UNITED STATES</v>
      </c>
      <c r="G879" t="str">
        <f>VLOOKUP(A879,[1]!Table1[#All],22,FALSE)</f>
        <v>UNIVERSITY OF CALIFORNIA-SAN FRANCISCO</v>
      </c>
      <c r="H879" s="8">
        <f>VLOOKUP(A879,[1]!Table1[#All],32,FALSE)</f>
        <v>43405</v>
      </c>
      <c r="I879" s="8">
        <f>VLOOKUP(A879,[1]!Table1[#All],33,FALSE)</f>
        <v>45198</v>
      </c>
      <c r="J879" t="str">
        <f t="shared" ca="1" si="13"/>
        <v>UDO</v>
      </c>
    </row>
    <row r="880" spans="1:10" x14ac:dyDescent="0.35">
      <c r="A880" s="5" t="s">
        <v>30</v>
      </c>
      <c r="B880" s="6">
        <v>44501</v>
      </c>
      <c r="C880" s="7">
        <v>7930784</v>
      </c>
      <c r="D880" s="7">
        <v>4203014.5200000005</v>
      </c>
      <c r="E880" s="7">
        <v>3727769.4800000004</v>
      </c>
      <c r="F880" t="str">
        <f>VLOOKUP(A880,[1]!Table1[#All],17,FALSE)</f>
        <v>UNITED STATES</v>
      </c>
      <c r="G880" t="str">
        <f>VLOOKUP(A880,[1]!Table1[#All],22,FALSE)</f>
        <v>UNIVERSITY OF CALIFORNIA-SAN FRANCISCO</v>
      </c>
      <c r="H880" s="8">
        <f>VLOOKUP(A880,[1]!Table1[#All],32,FALSE)</f>
        <v>43405</v>
      </c>
      <c r="I880" s="8">
        <f>VLOOKUP(A880,[1]!Table1[#All],33,FALSE)</f>
        <v>45198</v>
      </c>
      <c r="J880" t="str">
        <f t="shared" ca="1" si="13"/>
        <v>UDO</v>
      </c>
    </row>
    <row r="881" spans="1:10" x14ac:dyDescent="0.35">
      <c r="A881" s="9" t="s">
        <v>30</v>
      </c>
      <c r="B881" s="10">
        <v>44531</v>
      </c>
      <c r="C881" s="11">
        <v>7930784</v>
      </c>
      <c r="D881" s="11">
        <v>4373691.88</v>
      </c>
      <c r="E881" s="11">
        <v>3557092.12</v>
      </c>
      <c r="F881" t="str">
        <f>VLOOKUP(A881,[1]!Table1[#All],17,FALSE)</f>
        <v>UNITED STATES</v>
      </c>
      <c r="G881" t="str">
        <f>VLOOKUP(A881,[1]!Table1[#All],22,FALSE)</f>
        <v>UNIVERSITY OF CALIFORNIA-SAN FRANCISCO</v>
      </c>
      <c r="H881" s="8">
        <f>VLOOKUP(A881,[1]!Table1[#All],32,FALSE)</f>
        <v>43405</v>
      </c>
      <c r="I881" s="8">
        <f>VLOOKUP(A881,[1]!Table1[#All],33,FALSE)</f>
        <v>45198</v>
      </c>
      <c r="J881" t="str">
        <f t="shared" ca="1" si="13"/>
        <v>UDO</v>
      </c>
    </row>
    <row r="882" spans="1:10" x14ac:dyDescent="0.35">
      <c r="A882" s="5" t="s">
        <v>30</v>
      </c>
      <c r="B882" s="6">
        <v>44562</v>
      </c>
      <c r="C882" s="7">
        <v>7930784</v>
      </c>
      <c r="D882" s="7">
        <v>4265060.4399999995</v>
      </c>
      <c r="E882" s="7">
        <v>3665723.5600000005</v>
      </c>
      <c r="F882" t="str">
        <f>VLOOKUP(A882,[1]!Table1[#All],17,FALSE)</f>
        <v>UNITED STATES</v>
      </c>
      <c r="G882" t="str">
        <f>VLOOKUP(A882,[1]!Table1[#All],22,FALSE)</f>
        <v>UNIVERSITY OF CALIFORNIA-SAN FRANCISCO</v>
      </c>
      <c r="H882" s="8">
        <f>VLOOKUP(A882,[1]!Table1[#All],32,FALSE)</f>
        <v>43405</v>
      </c>
      <c r="I882" s="8">
        <f>VLOOKUP(A882,[1]!Table1[#All],33,FALSE)</f>
        <v>45198</v>
      </c>
      <c r="J882" t="str">
        <f t="shared" ca="1" si="13"/>
        <v>UDO</v>
      </c>
    </row>
    <row r="883" spans="1:10" x14ac:dyDescent="0.35">
      <c r="A883" s="9" t="s">
        <v>30</v>
      </c>
      <c r="B883" s="10">
        <v>44593</v>
      </c>
      <c r="C883" s="11">
        <v>7930784</v>
      </c>
      <c r="D883" s="11">
        <v>4473632.16</v>
      </c>
      <c r="E883" s="11">
        <v>3457151.8400000008</v>
      </c>
      <c r="F883" t="str">
        <f>VLOOKUP(A883,[1]!Table1[#All],17,FALSE)</f>
        <v>UNITED STATES</v>
      </c>
      <c r="G883" t="str">
        <f>VLOOKUP(A883,[1]!Table1[#All],22,FALSE)</f>
        <v>UNIVERSITY OF CALIFORNIA-SAN FRANCISCO</v>
      </c>
      <c r="H883" s="8">
        <f>VLOOKUP(A883,[1]!Table1[#All],32,FALSE)</f>
        <v>43405</v>
      </c>
      <c r="I883" s="8">
        <f>VLOOKUP(A883,[1]!Table1[#All],33,FALSE)</f>
        <v>45198</v>
      </c>
      <c r="J883" t="str">
        <f t="shared" ca="1" si="13"/>
        <v>UDO</v>
      </c>
    </row>
    <row r="884" spans="1:10" x14ac:dyDescent="0.35">
      <c r="A884" s="5" t="s">
        <v>30</v>
      </c>
      <c r="B884" s="6">
        <v>44621</v>
      </c>
      <c r="C884" s="7">
        <v>7930784</v>
      </c>
      <c r="D884" s="7">
        <v>4698995.21</v>
      </c>
      <c r="E884" s="7">
        <v>3231788.7900000005</v>
      </c>
      <c r="F884" t="str">
        <f>VLOOKUP(A884,[1]!Table1[#All],17,FALSE)</f>
        <v>UNITED STATES</v>
      </c>
      <c r="G884" t="str">
        <f>VLOOKUP(A884,[1]!Table1[#All],22,FALSE)</f>
        <v>UNIVERSITY OF CALIFORNIA-SAN FRANCISCO</v>
      </c>
      <c r="H884" s="8">
        <f>VLOOKUP(A884,[1]!Table1[#All],32,FALSE)</f>
        <v>43405</v>
      </c>
      <c r="I884" s="8">
        <f>VLOOKUP(A884,[1]!Table1[#All],33,FALSE)</f>
        <v>45198</v>
      </c>
      <c r="J884" t="str">
        <f t="shared" ca="1" si="13"/>
        <v>UDO</v>
      </c>
    </row>
    <row r="885" spans="1:10" x14ac:dyDescent="0.35">
      <c r="A885" s="9" t="s">
        <v>30</v>
      </c>
      <c r="B885" s="10">
        <v>44652</v>
      </c>
      <c r="C885" s="11">
        <v>7930784</v>
      </c>
      <c r="D885" s="11">
        <v>5078201.7300000004</v>
      </c>
      <c r="E885" s="11">
        <v>2852582.2700000005</v>
      </c>
      <c r="F885" t="str">
        <f>VLOOKUP(A885,[1]!Table1[#All],17,FALSE)</f>
        <v>UNITED STATES</v>
      </c>
      <c r="G885" t="str">
        <f>VLOOKUP(A885,[1]!Table1[#All],22,FALSE)</f>
        <v>UNIVERSITY OF CALIFORNIA-SAN FRANCISCO</v>
      </c>
      <c r="H885" s="8">
        <f>VLOOKUP(A885,[1]!Table1[#All],32,FALSE)</f>
        <v>43405</v>
      </c>
      <c r="I885" s="8">
        <f>VLOOKUP(A885,[1]!Table1[#All],33,FALSE)</f>
        <v>45198</v>
      </c>
      <c r="J885" t="str">
        <f t="shared" ca="1" si="13"/>
        <v>UDO</v>
      </c>
    </row>
    <row r="886" spans="1:10" x14ac:dyDescent="0.35">
      <c r="A886" s="5" t="s">
        <v>30</v>
      </c>
      <c r="B886" s="6">
        <v>44682</v>
      </c>
      <c r="C886" s="7">
        <v>7930784</v>
      </c>
      <c r="D886" s="7">
        <v>5251505.41</v>
      </c>
      <c r="E886" s="7">
        <v>2679278.59</v>
      </c>
      <c r="F886" t="str">
        <f>VLOOKUP(A886,[1]!Table1[#All],17,FALSE)</f>
        <v>UNITED STATES</v>
      </c>
      <c r="G886" t="str">
        <f>VLOOKUP(A886,[1]!Table1[#All],22,FALSE)</f>
        <v>UNIVERSITY OF CALIFORNIA-SAN FRANCISCO</v>
      </c>
      <c r="H886" s="8">
        <f>VLOOKUP(A886,[1]!Table1[#All],32,FALSE)</f>
        <v>43405</v>
      </c>
      <c r="I886" s="8">
        <f>VLOOKUP(A886,[1]!Table1[#All],33,FALSE)</f>
        <v>45198</v>
      </c>
      <c r="J886" t="str">
        <f t="shared" ca="1" si="13"/>
        <v>UDO</v>
      </c>
    </row>
    <row r="887" spans="1:10" x14ac:dyDescent="0.35">
      <c r="A887" s="9" t="s">
        <v>30</v>
      </c>
      <c r="B887" s="10">
        <v>44713</v>
      </c>
      <c r="C887" s="11">
        <v>7930784</v>
      </c>
      <c r="D887" s="11">
        <v>5533928.4699999997</v>
      </c>
      <c r="E887" s="11">
        <v>2396855.5300000003</v>
      </c>
      <c r="F887" t="str">
        <f>VLOOKUP(A887,[1]!Table1[#All],17,FALSE)</f>
        <v>UNITED STATES</v>
      </c>
      <c r="G887" t="str">
        <f>VLOOKUP(A887,[1]!Table1[#All],22,FALSE)</f>
        <v>UNIVERSITY OF CALIFORNIA-SAN FRANCISCO</v>
      </c>
      <c r="H887" s="8">
        <f>VLOOKUP(A887,[1]!Table1[#All],32,FALSE)</f>
        <v>43405</v>
      </c>
      <c r="I887" s="8">
        <f>VLOOKUP(A887,[1]!Table1[#All],33,FALSE)</f>
        <v>45198</v>
      </c>
      <c r="J887" t="str">
        <f t="shared" ca="1" si="13"/>
        <v>UDO</v>
      </c>
    </row>
    <row r="888" spans="1:10" x14ac:dyDescent="0.35">
      <c r="A888" s="5" t="s">
        <v>30</v>
      </c>
      <c r="B888" s="6">
        <v>44743</v>
      </c>
      <c r="C888" s="7">
        <v>7930784</v>
      </c>
      <c r="D888" s="7">
        <v>5542200.5199999996</v>
      </c>
      <c r="E888" s="7">
        <v>2388583.48</v>
      </c>
      <c r="F888" t="str">
        <f>VLOOKUP(A888,[1]!Table1[#All],17,FALSE)</f>
        <v>UNITED STATES</v>
      </c>
      <c r="G888" t="str">
        <f>VLOOKUP(A888,[1]!Table1[#All],22,FALSE)</f>
        <v>UNIVERSITY OF CALIFORNIA-SAN FRANCISCO</v>
      </c>
      <c r="H888" s="8">
        <f>VLOOKUP(A888,[1]!Table1[#All],32,FALSE)</f>
        <v>43405</v>
      </c>
      <c r="I888" s="8">
        <f>VLOOKUP(A888,[1]!Table1[#All],33,FALSE)</f>
        <v>45198</v>
      </c>
      <c r="J888" t="str">
        <f t="shared" ca="1" si="13"/>
        <v>UDO</v>
      </c>
    </row>
    <row r="889" spans="1:10" x14ac:dyDescent="0.35">
      <c r="A889" s="9" t="s">
        <v>30</v>
      </c>
      <c r="B889" s="10">
        <v>44774</v>
      </c>
      <c r="C889" s="11">
        <v>7930784</v>
      </c>
      <c r="D889" s="11">
        <v>5563175.7200000007</v>
      </c>
      <c r="E889" s="11">
        <v>2367608.2799999998</v>
      </c>
      <c r="F889" t="str">
        <f>VLOOKUP(A889,[1]!Table1[#All],17,FALSE)</f>
        <v>UNITED STATES</v>
      </c>
      <c r="G889" t="str">
        <f>VLOOKUP(A889,[1]!Table1[#All],22,FALSE)</f>
        <v>UNIVERSITY OF CALIFORNIA-SAN FRANCISCO</v>
      </c>
      <c r="H889" s="8">
        <f>VLOOKUP(A889,[1]!Table1[#All],32,FALSE)</f>
        <v>43405</v>
      </c>
      <c r="I889" s="8">
        <f>VLOOKUP(A889,[1]!Table1[#All],33,FALSE)</f>
        <v>45198</v>
      </c>
      <c r="J889" t="str">
        <f t="shared" ca="1" si="13"/>
        <v>UDO</v>
      </c>
    </row>
    <row r="890" spans="1:10" x14ac:dyDescent="0.35">
      <c r="A890" s="5" t="s">
        <v>30</v>
      </c>
      <c r="B890" s="6">
        <v>44805</v>
      </c>
      <c r="C890" s="7">
        <v>7930784</v>
      </c>
      <c r="D890" s="7">
        <v>5990744.1900000004</v>
      </c>
      <c r="E890" s="7">
        <v>1940039.8099999996</v>
      </c>
      <c r="F890" t="str">
        <f>VLOOKUP(A890,[1]!Table1[#All],17,FALSE)</f>
        <v>UNITED STATES</v>
      </c>
      <c r="G890" t="str">
        <f>VLOOKUP(A890,[1]!Table1[#All],22,FALSE)</f>
        <v>UNIVERSITY OF CALIFORNIA-SAN FRANCISCO</v>
      </c>
      <c r="H890" s="8">
        <f>VLOOKUP(A890,[1]!Table1[#All],32,FALSE)</f>
        <v>43405</v>
      </c>
      <c r="I890" s="8">
        <f>VLOOKUP(A890,[1]!Table1[#All],33,FALSE)</f>
        <v>45198</v>
      </c>
      <c r="J890" t="str">
        <f t="shared" ca="1" si="13"/>
        <v>UDO</v>
      </c>
    </row>
    <row r="891" spans="1:10" x14ac:dyDescent="0.35">
      <c r="A891" s="9" t="s">
        <v>30</v>
      </c>
      <c r="B891" s="10">
        <v>44835</v>
      </c>
      <c r="C891" s="11">
        <v>7930784</v>
      </c>
      <c r="D891" s="11">
        <v>5990744.1900000004</v>
      </c>
      <c r="E891" s="11">
        <v>1940039.8099999996</v>
      </c>
      <c r="F891" t="str">
        <f>VLOOKUP(A891,[1]!Table1[#All],17,FALSE)</f>
        <v>UNITED STATES</v>
      </c>
      <c r="G891" t="str">
        <f>VLOOKUP(A891,[1]!Table1[#All],22,FALSE)</f>
        <v>UNIVERSITY OF CALIFORNIA-SAN FRANCISCO</v>
      </c>
      <c r="H891" s="8">
        <f>VLOOKUP(A891,[1]!Table1[#All],32,FALSE)</f>
        <v>43405</v>
      </c>
      <c r="I891" s="8">
        <f>VLOOKUP(A891,[1]!Table1[#All],33,FALSE)</f>
        <v>45198</v>
      </c>
      <c r="J891" t="str">
        <f t="shared" ca="1" si="13"/>
        <v>UDO</v>
      </c>
    </row>
    <row r="892" spans="1:10" x14ac:dyDescent="0.35">
      <c r="A892" s="5" t="s">
        <v>30</v>
      </c>
      <c r="B892" s="6">
        <v>44866</v>
      </c>
      <c r="C892" s="7">
        <v>7930784</v>
      </c>
      <c r="D892" s="7">
        <v>5990744.1900000004</v>
      </c>
      <c r="E892" s="7">
        <v>1940039.8099999996</v>
      </c>
      <c r="F892" t="str">
        <f>VLOOKUP(A892,[1]!Table1[#All],17,FALSE)</f>
        <v>UNITED STATES</v>
      </c>
      <c r="G892" t="str">
        <f>VLOOKUP(A892,[1]!Table1[#All],22,FALSE)</f>
        <v>UNIVERSITY OF CALIFORNIA-SAN FRANCISCO</v>
      </c>
      <c r="H892" s="8">
        <f>VLOOKUP(A892,[1]!Table1[#All],32,FALSE)</f>
        <v>43405</v>
      </c>
      <c r="I892" s="8">
        <f>VLOOKUP(A892,[1]!Table1[#All],33,FALSE)</f>
        <v>45198</v>
      </c>
      <c r="J892" t="str">
        <f t="shared" ca="1" si="13"/>
        <v>UDO</v>
      </c>
    </row>
    <row r="893" spans="1:10" x14ac:dyDescent="0.35">
      <c r="A893" s="9" t="s">
        <v>30</v>
      </c>
      <c r="B893" s="10">
        <v>44896</v>
      </c>
      <c r="C893" s="11">
        <v>7930784</v>
      </c>
      <c r="D893" s="11">
        <v>5990744.1900000004</v>
      </c>
      <c r="E893" s="11">
        <v>1940039.8099999996</v>
      </c>
      <c r="F893" t="str">
        <f>VLOOKUP(A893,[1]!Table1[#All],17,FALSE)</f>
        <v>UNITED STATES</v>
      </c>
      <c r="G893" t="str">
        <f>VLOOKUP(A893,[1]!Table1[#All],22,FALSE)</f>
        <v>UNIVERSITY OF CALIFORNIA-SAN FRANCISCO</v>
      </c>
      <c r="H893" s="8">
        <f>VLOOKUP(A893,[1]!Table1[#All],32,FALSE)</f>
        <v>43405</v>
      </c>
      <c r="I893" s="8">
        <f>VLOOKUP(A893,[1]!Table1[#All],33,FALSE)</f>
        <v>45198</v>
      </c>
      <c r="J893" t="str">
        <f t="shared" ca="1" si="13"/>
        <v>UDO</v>
      </c>
    </row>
    <row r="894" spans="1:10" x14ac:dyDescent="0.35">
      <c r="A894" s="5" t="s">
        <v>30</v>
      </c>
      <c r="B894" s="6">
        <v>44927</v>
      </c>
      <c r="C894" s="7">
        <v>7930784</v>
      </c>
      <c r="D894" s="7">
        <v>5990744.1900000004</v>
      </c>
      <c r="E894" s="7">
        <v>1940039.8099999996</v>
      </c>
      <c r="F894" t="str">
        <f>VLOOKUP(A894,[1]!Table1[#All],17,FALSE)</f>
        <v>UNITED STATES</v>
      </c>
      <c r="G894" t="str">
        <f>VLOOKUP(A894,[1]!Table1[#All],22,FALSE)</f>
        <v>UNIVERSITY OF CALIFORNIA-SAN FRANCISCO</v>
      </c>
      <c r="H894" s="8">
        <f>VLOOKUP(A894,[1]!Table1[#All],32,FALSE)</f>
        <v>43405</v>
      </c>
      <c r="I894" s="8">
        <f>VLOOKUP(A894,[1]!Table1[#All],33,FALSE)</f>
        <v>45198</v>
      </c>
      <c r="J894" t="str">
        <f t="shared" ca="1" si="13"/>
        <v>UDO</v>
      </c>
    </row>
    <row r="895" spans="1:10" x14ac:dyDescent="0.35">
      <c r="A895" s="9" t="s">
        <v>30</v>
      </c>
      <c r="B895" s="10">
        <v>44958</v>
      </c>
      <c r="C895" s="11">
        <v>7930784</v>
      </c>
      <c r="D895" s="11">
        <v>6385483.4699999997</v>
      </c>
      <c r="E895" s="11">
        <v>1545300.53</v>
      </c>
      <c r="F895" t="str">
        <f>VLOOKUP(A895,[1]!Table1[#All],17,FALSE)</f>
        <v>UNITED STATES</v>
      </c>
      <c r="G895" t="str">
        <f>VLOOKUP(A895,[1]!Table1[#All],22,FALSE)</f>
        <v>UNIVERSITY OF CALIFORNIA-SAN FRANCISCO</v>
      </c>
      <c r="H895" s="8">
        <f>VLOOKUP(A895,[1]!Table1[#All],32,FALSE)</f>
        <v>43405</v>
      </c>
      <c r="I895" s="8">
        <f>VLOOKUP(A895,[1]!Table1[#All],33,FALSE)</f>
        <v>45198</v>
      </c>
      <c r="J895" t="str">
        <f t="shared" ca="1" si="13"/>
        <v>UDO</v>
      </c>
    </row>
    <row r="896" spans="1:10" x14ac:dyDescent="0.35">
      <c r="A896" s="5" t="s">
        <v>30</v>
      </c>
      <c r="B896" s="6">
        <v>44986</v>
      </c>
      <c r="C896" s="7">
        <v>7930784</v>
      </c>
      <c r="D896" s="7">
        <v>6720800.0599999996</v>
      </c>
      <c r="E896" s="7">
        <v>1209983.9399999997</v>
      </c>
      <c r="F896" t="str">
        <f>VLOOKUP(A896,[1]!Table1[#All],17,FALSE)</f>
        <v>UNITED STATES</v>
      </c>
      <c r="G896" t="str">
        <f>VLOOKUP(A896,[1]!Table1[#All],22,FALSE)</f>
        <v>UNIVERSITY OF CALIFORNIA-SAN FRANCISCO</v>
      </c>
      <c r="H896" s="8">
        <f>VLOOKUP(A896,[1]!Table1[#All],32,FALSE)</f>
        <v>43405</v>
      </c>
      <c r="I896" s="8">
        <f>VLOOKUP(A896,[1]!Table1[#All],33,FALSE)</f>
        <v>45198</v>
      </c>
      <c r="J896" t="str">
        <f t="shared" ca="1" si="13"/>
        <v>UDO</v>
      </c>
    </row>
    <row r="897" spans="1:10" x14ac:dyDescent="0.35">
      <c r="A897" s="9" t="s">
        <v>30</v>
      </c>
      <c r="B897" s="10">
        <v>45017</v>
      </c>
      <c r="C897" s="11">
        <v>7930784</v>
      </c>
      <c r="D897" s="11">
        <v>6720800.0599999996</v>
      </c>
      <c r="E897" s="11">
        <v>1209983.9399999997</v>
      </c>
      <c r="F897" t="str">
        <f>VLOOKUP(A897,[1]!Table1[#All],17,FALSE)</f>
        <v>UNITED STATES</v>
      </c>
      <c r="G897" t="str">
        <f>VLOOKUP(A897,[1]!Table1[#All],22,FALSE)</f>
        <v>UNIVERSITY OF CALIFORNIA-SAN FRANCISCO</v>
      </c>
      <c r="H897" s="8">
        <f>VLOOKUP(A897,[1]!Table1[#All],32,FALSE)</f>
        <v>43405</v>
      </c>
      <c r="I897" s="8">
        <f>VLOOKUP(A897,[1]!Table1[#All],33,FALSE)</f>
        <v>45198</v>
      </c>
      <c r="J897" t="str">
        <f t="shared" ca="1" si="13"/>
        <v>UDO</v>
      </c>
    </row>
    <row r="898" spans="1:10" x14ac:dyDescent="0.35">
      <c r="A898" s="5" t="s">
        <v>30</v>
      </c>
      <c r="B898" s="6">
        <v>45047</v>
      </c>
      <c r="C898" s="7">
        <v>7930784</v>
      </c>
      <c r="D898" s="7">
        <v>7075250</v>
      </c>
      <c r="E898" s="7">
        <v>855534</v>
      </c>
      <c r="F898" t="str">
        <f>VLOOKUP(A898,[1]!Table1[#All],17,FALSE)</f>
        <v>UNITED STATES</v>
      </c>
      <c r="G898" t="str">
        <f>VLOOKUP(A898,[1]!Table1[#All],22,FALSE)</f>
        <v>UNIVERSITY OF CALIFORNIA-SAN FRANCISCO</v>
      </c>
      <c r="H898" s="8">
        <f>VLOOKUP(A898,[1]!Table1[#All],32,FALSE)</f>
        <v>43405</v>
      </c>
      <c r="I898" s="8">
        <f>VLOOKUP(A898,[1]!Table1[#All],33,FALSE)</f>
        <v>45198</v>
      </c>
      <c r="J898" t="str">
        <f t="shared" ca="1" si="13"/>
        <v>UDO</v>
      </c>
    </row>
    <row r="899" spans="1:10" x14ac:dyDescent="0.35">
      <c r="A899" s="9" t="s">
        <v>30</v>
      </c>
      <c r="B899" s="10">
        <v>45078</v>
      </c>
      <c r="C899" s="11">
        <v>7930784</v>
      </c>
      <c r="D899" s="11">
        <v>7209116.8599999994</v>
      </c>
      <c r="E899" s="11">
        <v>721667.1399999999</v>
      </c>
      <c r="F899" t="str">
        <f>VLOOKUP(A899,[1]!Table1[#All],17,FALSE)</f>
        <v>UNITED STATES</v>
      </c>
      <c r="G899" t="str">
        <f>VLOOKUP(A899,[1]!Table1[#All],22,FALSE)</f>
        <v>UNIVERSITY OF CALIFORNIA-SAN FRANCISCO</v>
      </c>
      <c r="H899" s="8">
        <f>VLOOKUP(A899,[1]!Table1[#All],32,FALSE)</f>
        <v>43405</v>
      </c>
      <c r="I899" s="8">
        <f>VLOOKUP(A899,[1]!Table1[#All],33,FALSE)</f>
        <v>45198</v>
      </c>
      <c r="J899" t="str">
        <f t="shared" ref="J899:J962" ca="1" si="14">IF(AND( E899&gt;0,TODAY()&gt;I899),"UDO","Non UDO")</f>
        <v>UDO</v>
      </c>
    </row>
    <row r="900" spans="1:10" x14ac:dyDescent="0.35">
      <c r="A900" s="5" t="s">
        <v>30</v>
      </c>
      <c r="B900" s="6">
        <v>45108</v>
      </c>
      <c r="C900" s="7">
        <v>7930784</v>
      </c>
      <c r="D900" s="7">
        <v>7209116.8599999994</v>
      </c>
      <c r="E900" s="7">
        <v>721667.1399999999</v>
      </c>
      <c r="F900" t="str">
        <f>VLOOKUP(A900,[1]!Table1[#All],17,FALSE)</f>
        <v>UNITED STATES</v>
      </c>
      <c r="G900" t="str">
        <f>VLOOKUP(A900,[1]!Table1[#All],22,FALSE)</f>
        <v>UNIVERSITY OF CALIFORNIA-SAN FRANCISCO</v>
      </c>
      <c r="H900" s="8">
        <f>VLOOKUP(A900,[1]!Table1[#All],32,FALSE)</f>
        <v>43405</v>
      </c>
      <c r="I900" s="8">
        <f>VLOOKUP(A900,[1]!Table1[#All],33,FALSE)</f>
        <v>45198</v>
      </c>
      <c r="J900" t="str">
        <f t="shared" ca="1" si="14"/>
        <v>UDO</v>
      </c>
    </row>
    <row r="901" spans="1:10" x14ac:dyDescent="0.35">
      <c r="A901" s="9" t="s">
        <v>30</v>
      </c>
      <c r="B901" s="10">
        <v>45139</v>
      </c>
      <c r="C901" s="11">
        <v>7930784</v>
      </c>
      <c r="D901" s="11">
        <v>7209116.8599999994</v>
      </c>
      <c r="E901" s="11">
        <v>721667.1399999999</v>
      </c>
      <c r="F901" t="str">
        <f>VLOOKUP(A901,[1]!Table1[#All],17,FALSE)</f>
        <v>UNITED STATES</v>
      </c>
      <c r="G901" t="str">
        <f>VLOOKUP(A901,[1]!Table1[#All],22,FALSE)</f>
        <v>UNIVERSITY OF CALIFORNIA-SAN FRANCISCO</v>
      </c>
      <c r="H901" s="8">
        <f>VLOOKUP(A901,[1]!Table1[#All],32,FALSE)</f>
        <v>43405</v>
      </c>
      <c r="I901" s="8">
        <f>VLOOKUP(A901,[1]!Table1[#All],33,FALSE)</f>
        <v>45198</v>
      </c>
      <c r="J901" t="str">
        <f t="shared" ca="1" si="14"/>
        <v>UDO</v>
      </c>
    </row>
    <row r="902" spans="1:10" x14ac:dyDescent="0.35">
      <c r="A902" s="5" t="s">
        <v>30</v>
      </c>
      <c r="B902" s="6">
        <v>45170</v>
      </c>
      <c r="C902" s="7">
        <v>7930784</v>
      </c>
      <c r="D902" s="7">
        <v>7822819.5599999996</v>
      </c>
      <c r="E902" s="7">
        <v>107964.44</v>
      </c>
      <c r="F902" t="str">
        <f>VLOOKUP(A902,[1]!Table1[#All],17,FALSE)</f>
        <v>UNITED STATES</v>
      </c>
      <c r="G902" t="str">
        <f>VLOOKUP(A902,[1]!Table1[#All],22,FALSE)</f>
        <v>UNIVERSITY OF CALIFORNIA-SAN FRANCISCO</v>
      </c>
      <c r="H902" s="8">
        <f>VLOOKUP(A902,[1]!Table1[#All],32,FALSE)</f>
        <v>43405</v>
      </c>
      <c r="I902" s="8">
        <f>VLOOKUP(A902,[1]!Table1[#All],33,FALSE)</f>
        <v>45198</v>
      </c>
      <c r="J902" t="str">
        <f t="shared" ca="1" si="14"/>
        <v>UDO</v>
      </c>
    </row>
    <row r="903" spans="1:10" x14ac:dyDescent="0.35">
      <c r="A903" s="9" t="s">
        <v>31</v>
      </c>
      <c r="B903" s="10">
        <v>44105</v>
      </c>
      <c r="C903" s="11">
        <v>15771228</v>
      </c>
      <c r="D903" s="11">
        <v>2720848.5700000003</v>
      </c>
      <c r="E903" s="11">
        <v>13050379.43</v>
      </c>
      <c r="F903" t="str">
        <f>VLOOKUP(A903,[1]!Table1[#All],17,FALSE)</f>
        <v>UNITED STATES</v>
      </c>
      <c r="G903" t="str">
        <f>VLOOKUP(A903,[1]!Table1[#All],22,FALSE)</f>
        <v>COLUMBIA UNIVERSITY TRUSTEES</v>
      </c>
      <c r="H903" s="8">
        <f>VLOOKUP(A903,[1]!Table1[#All],32,FALSE)</f>
        <v>43405</v>
      </c>
      <c r="I903" s="8">
        <f>VLOOKUP(A903,[1]!Table1[#All],33,FALSE)</f>
        <v>45198</v>
      </c>
      <c r="J903" t="str">
        <f t="shared" ca="1" si="14"/>
        <v>UDO</v>
      </c>
    </row>
    <row r="904" spans="1:10" x14ac:dyDescent="0.35">
      <c r="A904" s="5" t="s">
        <v>31</v>
      </c>
      <c r="B904" s="6">
        <v>44136</v>
      </c>
      <c r="C904" s="7">
        <v>15771228</v>
      </c>
      <c r="D904" s="7">
        <v>2920173.01</v>
      </c>
      <c r="E904" s="7">
        <v>12851054.989999998</v>
      </c>
      <c r="F904" t="str">
        <f>VLOOKUP(A904,[1]!Table1[#All],17,FALSE)</f>
        <v>UNITED STATES</v>
      </c>
      <c r="G904" t="str">
        <f>VLOOKUP(A904,[1]!Table1[#All],22,FALSE)</f>
        <v>COLUMBIA UNIVERSITY TRUSTEES</v>
      </c>
      <c r="H904" s="8">
        <f>VLOOKUP(A904,[1]!Table1[#All],32,FALSE)</f>
        <v>43405</v>
      </c>
      <c r="I904" s="8">
        <f>VLOOKUP(A904,[1]!Table1[#All],33,FALSE)</f>
        <v>45198</v>
      </c>
      <c r="J904" t="str">
        <f t="shared" ca="1" si="14"/>
        <v>UDO</v>
      </c>
    </row>
    <row r="905" spans="1:10" x14ac:dyDescent="0.35">
      <c r="A905" s="9" t="s">
        <v>31</v>
      </c>
      <c r="B905" s="10">
        <v>44166</v>
      </c>
      <c r="C905" s="11">
        <v>15771228</v>
      </c>
      <c r="D905" s="11">
        <v>3597246.13</v>
      </c>
      <c r="E905" s="11">
        <v>12173981.869999999</v>
      </c>
      <c r="F905" t="str">
        <f>VLOOKUP(A905,[1]!Table1[#All],17,FALSE)</f>
        <v>UNITED STATES</v>
      </c>
      <c r="G905" t="str">
        <f>VLOOKUP(A905,[1]!Table1[#All],22,FALSE)</f>
        <v>COLUMBIA UNIVERSITY TRUSTEES</v>
      </c>
      <c r="H905" s="8">
        <f>VLOOKUP(A905,[1]!Table1[#All],32,FALSE)</f>
        <v>43405</v>
      </c>
      <c r="I905" s="8">
        <f>VLOOKUP(A905,[1]!Table1[#All],33,FALSE)</f>
        <v>45198</v>
      </c>
      <c r="J905" t="str">
        <f t="shared" ca="1" si="14"/>
        <v>UDO</v>
      </c>
    </row>
    <row r="906" spans="1:10" x14ac:dyDescent="0.35">
      <c r="A906" s="5" t="s">
        <v>31</v>
      </c>
      <c r="B906" s="6">
        <v>44197</v>
      </c>
      <c r="C906" s="7">
        <v>15771228</v>
      </c>
      <c r="D906" s="7">
        <v>5192969.82</v>
      </c>
      <c r="E906" s="7">
        <v>10578258.18</v>
      </c>
      <c r="F906" t="str">
        <f>VLOOKUP(A906,[1]!Table1[#All],17,FALSE)</f>
        <v>UNITED STATES</v>
      </c>
      <c r="G906" t="str">
        <f>VLOOKUP(A906,[1]!Table1[#All],22,FALSE)</f>
        <v>COLUMBIA UNIVERSITY TRUSTEES</v>
      </c>
      <c r="H906" s="8">
        <f>VLOOKUP(A906,[1]!Table1[#All],32,FALSE)</f>
        <v>43405</v>
      </c>
      <c r="I906" s="8">
        <f>VLOOKUP(A906,[1]!Table1[#All],33,FALSE)</f>
        <v>45198</v>
      </c>
      <c r="J906" t="str">
        <f t="shared" ca="1" si="14"/>
        <v>UDO</v>
      </c>
    </row>
    <row r="907" spans="1:10" x14ac:dyDescent="0.35">
      <c r="A907" s="9" t="s">
        <v>31</v>
      </c>
      <c r="B907" s="10">
        <v>44228</v>
      </c>
      <c r="C907" s="11">
        <v>15771228</v>
      </c>
      <c r="D907" s="11">
        <v>5854903.2400000002</v>
      </c>
      <c r="E907" s="11">
        <v>9916324.7599999979</v>
      </c>
      <c r="F907" t="str">
        <f>VLOOKUP(A907,[1]!Table1[#All],17,FALSE)</f>
        <v>UNITED STATES</v>
      </c>
      <c r="G907" t="str">
        <f>VLOOKUP(A907,[1]!Table1[#All],22,FALSE)</f>
        <v>COLUMBIA UNIVERSITY TRUSTEES</v>
      </c>
      <c r="H907" s="8">
        <f>VLOOKUP(A907,[1]!Table1[#All],32,FALSE)</f>
        <v>43405</v>
      </c>
      <c r="I907" s="8">
        <f>VLOOKUP(A907,[1]!Table1[#All],33,FALSE)</f>
        <v>45198</v>
      </c>
      <c r="J907" t="str">
        <f t="shared" ca="1" si="14"/>
        <v>UDO</v>
      </c>
    </row>
    <row r="908" spans="1:10" x14ac:dyDescent="0.35">
      <c r="A908" s="5" t="s">
        <v>31</v>
      </c>
      <c r="B908" s="6">
        <v>44256</v>
      </c>
      <c r="C908" s="7">
        <v>15771228</v>
      </c>
      <c r="D908" s="7">
        <v>6691367.2400000002</v>
      </c>
      <c r="E908" s="7">
        <v>9079860.7599999998</v>
      </c>
      <c r="F908" t="str">
        <f>VLOOKUP(A908,[1]!Table1[#All],17,FALSE)</f>
        <v>UNITED STATES</v>
      </c>
      <c r="G908" t="str">
        <f>VLOOKUP(A908,[1]!Table1[#All],22,FALSE)</f>
        <v>COLUMBIA UNIVERSITY TRUSTEES</v>
      </c>
      <c r="H908" s="8">
        <f>VLOOKUP(A908,[1]!Table1[#All],32,FALSE)</f>
        <v>43405</v>
      </c>
      <c r="I908" s="8">
        <f>VLOOKUP(A908,[1]!Table1[#All],33,FALSE)</f>
        <v>45198</v>
      </c>
      <c r="J908" t="str">
        <f t="shared" ca="1" si="14"/>
        <v>UDO</v>
      </c>
    </row>
    <row r="909" spans="1:10" x14ac:dyDescent="0.35">
      <c r="A909" s="9" t="s">
        <v>31</v>
      </c>
      <c r="B909" s="10">
        <v>44287</v>
      </c>
      <c r="C909" s="11">
        <v>15771228</v>
      </c>
      <c r="D909" s="11">
        <v>7102238.8200000012</v>
      </c>
      <c r="E909" s="11">
        <v>8668989.1799999978</v>
      </c>
      <c r="F909" t="str">
        <f>VLOOKUP(A909,[1]!Table1[#All],17,FALSE)</f>
        <v>UNITED STATES</v>
      </c>
      <c r="G909" t="str">
        <f>VLOOKUP(A909,[1]!Table1[#All],22,FALSE)</f>
        <v>COLUMBIA UNIVERSITY TRUSTEES</v>
      </c>
      <c r="H909" s="8">
        <f>VLOOKUP(A909,[1]!Table1[#All],32,FALSE)</f>
        <v>43405</v>
      </c>
      <c r="I909" s="8">
        <f>VLOOKUP(A909,[1]!Table1[#All],33,FALSE)</f>
        <v>45198</v>
      </c>
      <c r="J909" t="str">
        <f t="shared" ca="1" si="14"/>
        <v>UDO</v>
      </c>
    </row>
    <row r="910" spans="1:10" x14ac:dyDescent="0.35">
      <c r="A910" s="5" t="s">
        <v>31</v>
      </c>
      <c r="B910" s="6">
        <v>44317</v>
      </c>
      <c r="C910" s="7">
        <v>15771228</v>
      </c>
      <c r="D910" s="7">
        <v>8072555.2799999993</v>
      </c>
      <c r="E910" s="7">
        <v>7698672.7200000007</v>
      </c>
      <c r="F910" t="str">
        <f>VLOOKUP(A910,[1]!Table1[#All],17,FALSE)</f>
        <v>UNITED STATES</v>
      </c>
      <c r="G910" t="str">
        <f>VLOOKUP(A910,[1]!Table1[#All],22,FALSE)</f>
        <v>COLUMBIA UNIVERSITY TRUSTEES</v>
      </c>
      <c r="H910" s="8">
        <f>VLOOKUP(A910,[1]!Table1[#All],32,FALSE)</f>
        <v>43405</v>
      </c>
      <c r="I910" s="8">
        <f>VLOOKUP(A910,[1]!Table1[#All],33,FALSE)</f>
        <v>45198</v>
      </c>
      <c r="J910" t="str">
        <f t="shared" ca="1" si="14"/>
        <v>UDO</v>
      </c>
    </row>
    <row r="911" spans="1:10" x14ac:dyDescent="0.35">
      <c r="A911" s="9" t="s">
        <v>31</v>
      </c>
      <c r="B911" s="10">
        <v>44348</v>
      </c>
      <c r="C911" s="11">
        <v>15771228</v>
      </c>
      <c r="D911" s="11">
        <v>8805151.4700000007</v>
      </c>
      <c r="E911" s="11">
        <v>6966076.5300000003</v>
      </c>
      <c r="F911" t="str">
        <f>VLOOKUP(A911,[1]!Table1[#All],17,FALSE)</f>
        <v>UNITED STATES</v>
      </c>
      <c r="G911" t="str">
        <f>VLOOKUP(A911,[1]!Table1[#All],22,FALSE)</f>
        <v>COLUMBIA UNIVERSITY TRUSTEES</v>
      </c>
      <c r="H911" s="8">
        <f>VLOOKUP(A911,[1]!Table1[#All],32,FALSE)</f>
        <v>43405</v>
      </c>
      <c r="I911" s="8">
        <f>VLOOKUP(A911,[1]!Table1[#All],33,FALSE)</f>
        <v>45198</v>
      </c>
      <c r="J911" t="str">
        <f t="shared" ca="1" si="14"/>
        <v>UDO</v>
      </c>
    </row>
    <row r="912" spans="1:10" x14ac:dyDescent="0.35">
      <c r="A912" s="5" t="s">
        <v>31</v>
      </c>
      <c r="B912" s="6">
        <v>44378</v>
      </c>
      <c r="C912" s="7">
        <v>15771228</v>
      </c>
      <c r="D912" s="7">
        <v>9733268.5300000012</v>
      </c>
      <c r="E912" s="7">
        <v>6037959.4700000007</v>
      </c>
      <c r="F912" t="str">
        <f>VLOOKUP(A912,[1]!Table1[#All],17,FALSE)</f>
        <v>UNITED STATES</v>
      </c>
      <c r="G912" t="str">
        <f>VLOOKUP(A912,[1]!Table1[#All],22,FALSE)</f>
        <v>COLUMBIA UNIVERSITY TRUSTEES</v>
      </c>
      <c r="H912" s="8">
        <f>VLOOKUP(A912,[1]!Table1[#All],32,FALSE)</f>
        <v>43405</v>
      </c>
      <c r="I912" s="8">
        <f>VLOOKUP(A912,[1]!Table1[#All],33,FALSE)</f>
        <v>45198</v>
      </c>
      <c r="J912" t="str">
        <f t="shared" ca="1" si="14"/>
        <v>UDO</v>
      </c>
    </row>
    <row r="913" spans="1:10" x14ac:dyDescent="0.35">
      <c r="A913" s="9" t="s">
        <v>31</v>
      </c>
      <c r="B913" s="10">
        <v>44409</v>
      </c>
      <c r="C913" s="11">
        <v>15771228</v>
      </c>
      <c r="D913" s="11">
        <v>10362707.59</v>
      </c>
      <c r="E913" s="11">
        <v>5408520.4100000001</v>
      </c>
      <c r="F913" t="str">
        <f>VLOOKUP(A913,[1]!Table1[#All],17,FALSE)</f>
        <v>UNITED STATES</v>
      </c>
      <c r="G913" t="str">
        <f>VLOOKUP(A913,[1]!Table1[#All],22,FALSE)</f>
        <v>COLUMBIA UNIVERSITY TRUSTEES</v>
      </c>
      <c r="H913" s="8">
        <f>VLOOKUP(A913,[1]!Table1[#All],32,FALSE)</f>
        <v>43405</v>
      </c>
      <c r="I913" s="8">
        <f>VLOOKUP(A913,[1]!Table1[#All],33,FALSE)</f>
        <v>45198</v>
      </c>
      <c r="J913" t="str">
        <f t="shared" ca="1" si="14"/>
        <v>UDO</v>
      </c>
    </row>
    <row r="914" spans="1:10" x14ac:dyDescent="0.35">
      <c r="A914" s="5" t="s">
        <v>31</v>
      </c>
      <c r="B914" s="6">
        <v>44440</v>
      </c>
      <c r="C914" s="7">
        <v>15771228</v>
      </c>
      <c r="D914" s="7">
        <v>11899923.300000001</v>
      </c>
      <c r="E914" s="7">
        <v>3871304.7</v>
      </c>
      <c r="F914" t="str">
        <f>VLOOKUP(A914,[1]!Table1[#All],17,FALSE)</f>
        <v>UNITED STATES</v>
      </c>
      <c r="G914" t="str">
        <f>VLOOKUP(A914,[1]!Table1[#All],22,FALSE)</f>
        <v>COLUMBIA UNIVERSITY TRUSTEES</v>
      </c>
      <c r="H914" s="8">
        <f>VLOOKUP(A914,[1]!Table1[#All],32,FALSE)</f>
        <v>43405</v>
      </c>
      <c r="I914" s="8">
        <f>VLOOKUP(A914,[1]!Table1[#All],33,FALSE)</f>
        <v>45198</v>
      </c>
      <c r="J914" t="str">
        <f t="shared" ca="1" si="14"/>
        <v>UDO</v>
      </c>
    </row>
    <row r="915" spans="1:10" x14ac:dyDescent="0.35">
      <c r="A915" s="9" t="s">
        <v>31</v>
      </c>
      <c r="B915" s="10">
        <v>44470</v>
      </c>
      <c r="C915" s="11">
        <v>15771228</v>
      </c>
      <c r="D915" s="11">
        <v>12014800.57</v>
      </c>
      <c r="E915" s="11">
        <v>3756427.4299999997</v>
      </c>
      <c r="F915" t="str">
        <f>VLOOKUP(A915,[1]!Table1[#All],17,FALSE)</f>
        <v>UNITED STATES</v>
      </c>
      <c r="G915" t="str">
        <f>VLOOKUP(A915,[1]!Table1[#All],22,FALSE)</f>
        <v>COLUMBIA UNIVERSITY TRUSTEES</v>
      </c>
      <c r="H915" s="8">
        <f>VLOOKUP(A915,[1]!Table1[#All],32,FALSE)</f>
        <v>43405</v>
      </c>
      <c r="I915" s="8">
        <f>VLOOKUP(A915,[1]!Table1[#All],33,FALSE)</f>
        <v>45198</v>
      </c>
      <c r="J915" t="str">
        <f t="shared" ca="1" si="14"/>
        <v>UDO</v>
      </c>
    </row>
    <row r="916" spans="1:10" x14ac:dyDescent="0.35">
      <c r="A916" s="5" t="s">
        <v>31</v>
      </c>
      <c r="B916" s="6">
        <v>44501</v>
      </c>
      <c r="C916" s="7">
        <v>15771228</v>
      </c>
      <c r="D916" s="7">
        <v>12261757.690000001</v>
      </c>
      <c r="E916" s="7">
        <v>3509470.3100000005</v>
      </c>
      <c r="F916" t="str">
        <f>VLOOKUP(A916,[1]!Table1[#All],17,FALSE)</f>
        <v>UNITED STATES</v>
      </c>
      <c r="G916" t="str">
        <f>VLOOKUP(A916,[1]!Table1[#All],22,FALSE)</f>
        <v>COLUMBIA UNIVERSITY TRUSTEES</v>
      </c>
      <c r="H916" s="8">
        <f>VLOOKUP(A916,[1]!Table1[#All],32,FALSE)</f>
        <v>43405</v>
      </c>
      <c r="I916" s="8">
        <f>VLOOKUP(A916,[1]!Table1[#All],33,FALSE)</f>
        <v>45198</v>
      </c>
      <c r="J916" t="str">
        <f t="shared" ca="1" si="14"/>
        <v>UDO</v>
      </c>
    </row>
    <row r="917" spans="1:10" x14ac:dyDescent="0.35">
      <c r="A917" s="9" t="s">
        <v>31</v>
      </c>
      <c r="B917" s="10">
        <v>44531</v>
      </c>
      <c r="C917" s="11">
        <v>15771228</v>
      </c>
      <c r="D917" s="11">
        <v>12641642.280000001</v>
      </c>
      <c r="E917" s="11">
        <v>3129585.72</v>
      </c>
      <c r="F917" t="str">
        <f>VLOOKUP(A917,[1]!Table1[#All],17,FALSE)</f>
        <v>UNITED STATES</v>
      </c>
      <c r="G917" t="str">
        <f>VLOOKUP(A917,[1]!Table1[#All],22,FALSE)</f>
        <v>COLUMBIA UNIVERSITY TRUSTEES</v>
      </c>
      <c r="H917" s="8">
        <f>VLOOKUP(A917,[1]!Table1[#All],32,FALSE)</f>
        <v>43405</v>
      </c>
      <c r="I917" s="8">
        <f>VLOOKUP(A917,[1]!Table1[#All],33,FALSE)</f>
        <v>45198</v>
      </c>
      <c r="J917" t="str">
        <f t="shared" ca="1" si="14"/>
        <v>UDO</v>
      </c>
    </row>
    <row r="918" spans="1:10" x14ac:dyDescent="0.35">
      <c r="A918" s="5" t="s">
        <v>31</v>
      </c>
      <c r="B918" s="6">
        <v>44562</v>
      </c>
      <c r="C918" s="7">
        <v>15771228</v>
      </c>
      <c r="D918" s="7">
        <v>13222529.83</v>
      </c>
      <c r="E918" s="7">
        <v>2548698.17</v>
      </c>
      <c r="F918" t="str">
        <f>VLOOKUP(A918,[1]!Table1[#All],17,FALSE)</f>
        <v>UNITED STATES</v>
      </c>
      <c r="G918" t="str">
        <f>VLOOKUP(A918,[1]!Table1[#All],22,FALSE)</f>
        <v>COLUMBIA UNIVERSITY TRUSTEES</v>
      </c>
      <c r="H918" s="8">
        <f>VLOOKUP(A918,[1]!Table1[#All],32,FALSE)</f>
        <v>43405</v>
      </c>
      <c r="I918" s="8">
        <f>VLOOKUP(A918,[1]!Table1[#All],33,FALSE)</f>
        <v>45198</v>
      </c>
      <c r="J918" t="str">
        <f t="shared" ca="1" si="14"/>
        <v>UDO</v>
      </c>
    </row>
    <row r="919" spans="1:10" x14ac:dyDescent="0.35">
      <c r="A919" s="9" t="s">
        <v>31</v>
      </c>
      <c r="B919" s="10">
        <v>44593</v>
      </c>
      <c r="C919" s="11">
        <v>15771228</v>
      </c>
      <c r="D919" s="11">
        <v>13512234.98</v>
      </c>
      <c r="E919" s="11">
        <v>2258993.02</v>
      </c>
      <c r="F919" t="str">
        <f>VLOOKUP(A919,[1]!Table1[#All],17,FALSE)</f>
        <v>UNITED STATES</v>
      </c>
      <c r="G919" t="str">
        <f>VLOOKUP(A919,[1]!Table1[#All],22,FALSE)</f>
        <v>COLUMBIA UNIVERSITY TRUSTEES</v>
      </c>
      <c r="H919" s="8">
        <f>VLOOKUP(A919,[1]!Table1[#All],32,FALSE)</f>
        <v>43405</v>
      </c>
      <c r="I919" s="8">
        <f>VLOOKUP(A919,[1]!Table1[#All],33,FALSE)</f>
        <v>45198</v>
      </c>
      <c r="J919" t="str">
        <f t="shared" ca="1" si="14"/>
        <v>UDO</v>
      </c>
    </row>
    <row r="920" spans="1:10" x14ac:dyDescent="0.35">
      <c r="A920" s="5" t="s">
        <v>31</v>
      </c>
      <c r="B920" s="6">
        <v>44621</v>
      </c>
      <c r="C920" s="7">
        <v>15771228</v>
      </c>
      <c r="D920" s="7">
        <v>13856637.09</v>
      </c>
      <c r="E920" s="7">
        <v>1914590.9100000001</v>
      </c>
      <c r="F920" t="str">
        <f>VLOOKUP(A920,[1]!Table1[#All],17,FALSE)</f>
        <v>UNITED STATES</v>
      </c>
      <c r="G920" t="str">
        <f>VLOOKUP(A920,[1]!Table1[#All],22,FALSE)</f>
        <v>COLUMBIA UNIVERSITY TRUSTEES</v>
      </c>
      <c r="H920" s="8">
        <f>VLOOKUP(A920,[1]!Table1[#All],32,FALSE)</f>
        <v>43405</v>
      </c>
      <c r="I920" s="8">
        <f>VLOOKUP(A920,[1]!Table1[#All],33,FALSE)</f>
        <v>45198</v>
      </c>
      <c r="J920" t="str">
        <f t="shared" ca="1" si="14"/>
        <v>UDO</v>
      </c>
    </row>
    <row r="921" spans="1:10" x14ac:dyDescent="0.35">
      <c r="A921" s="9" t="s">
        <v>31</v>
      </c>
      <c r="B921" s="10">
        <v>44652</v>
      </c>
      <c r="C921" s="11">
        <v>15771228</v>
      </c>
      <c r="D921" s="11">
        <v>14231123.029999999</v>
      </c>
      <c r="E921" s="11">
        <v>1540104.97</v>
      </c>
      <c r="F921" t="str">
        <f>VLOOKUP(A921,[1]!Table1[#All],17,FALSE)</f>
        <v>UNITED STATES</v>
      </c>
      <c r="G921" t="str">
        <f>VLOOKUP(A921,[1]!Table1[#All],22,FALSE)</f>
        <v>COLUMBIA UNIVERSITY TRUSTEES</v>
      </c>
      <c r="H921" s="8">
        <f>VLOOKUP(A921,[1]!Table1[#All],32,FALSE)</f>
        <v>43405</v>
      </c>
      <c r="I921" s="8">
        <f>VLOOKUP(A921,[1]!Table1[#All],33,FALSE)</f>
        <v>45198</v>
      </c>
      <c r="J921" t="str">
        <f t="shared" ca="1" si="14"/>
        <v>UDO</v>
      </c>
    </row>
    <row r="922" spans="1:10" x14ac:dyDescent="0.35">
      <c r="A922" s="5" t="s">
        <v>31</v>
      </c>
      <c r="B922" s="6">
        <v>44682</v>
      </c>
      <c r="C922" s="7">
        <v>15771228</v>
      </c>
      <c r="D922" s="7">
        <v>14589441.789999999</v>
      </c>
      <c r="E922" s="7">
        <v>1181786.21</v>
      </c>
      <c r="F922" t="str">
        <f>VLOOKUP(A922,[1]!Table1[#All],17,FALSE)</f>
        <v>UNITED STATES</v>
      </c>
      <c r="G922" t="str">
        <f>VLOOKUP(A922,[1]!Table1[#All],22,FALSE)</f>
        <v>COLUMBIA UNIVERSITY TRUSTEES</v>
      </c>
      <c r="H922" s="8">
        <f>VLOOKUP(A922,[1]!Table1[#All],32,FALSE)</f>
        <v>43405</v>
      </c>
      <c r="I922" s="8">
        <f>VLOOKUP(A922,[1]!Table1[#All],33,FALSE)</f>
        <v>45198</v>
      </c>
      <c r="J922" t="str">
        <f t="shared" ca="1" si="14"/>
        <v>UDO</v>
      </c>
    </row>
    <row r="923" spans="1:10" x14ac:dyDescent="0.35">
      <c r="A923" s="9" t="s">
        <v>31</v>
      </c>
      <c r="B923" s="10">
        <v>44713</v>
      </c>
      <c r="C923" s="11">
        <v>15771228</v>
      </c>
      <c r="D923" s="11">
        <v>14343648.600000001</v>
      </c>
      <c r="E923" s="11">
        <v>1427579.4</v>
      </c>
      <c r="F923" t="str">
        <f>VLOOKUP(A923,[1]!Table1[#All],17,FALSE)</f>
        <v>UNITED STATES</v>
      </c>
      <c r="G923" t="str">
        <f>VLOOKUP(A923,[1]!Table1[#All],22,FALSE)</f>
        <v>COLUMBIA UNIVERSITY TRUSTEES</v>
      </c>
      <c r="H923" s="8">
        <f>VLOOKUP(A923,[1]!Table1[#All],32,FALSE)</f>
        <v>43405</v>
      </c>
      <c r="I923" s="8">
        <f>VLOOKUP(A923,[1]!Table1[#All],33,FALSE)</f>
        <v>45198</v>
      </c>
      <c r="J923" t="str">
        <f t="shared" ca="1" si="14"/>
        <v>UDO</v>
      </c>
    </row>
    <row r="924" spans="1:10" x14ac:dyDescent="0.35">
      <c r="A924" s="5" t="s">
        <v>31</v>
      </c>
      <c r="B924" s="6">
        <v>44743</v>
      </c>
      <c r="C924" s="7">
        <v>15771228</v>
      </c>
      <c r="D924" s="7">
        <v>14949283.550000001</v>
      </c>
      <c r="E924" s="7">
        <v>821944.45</v>
      </c>
      <c r="F924" t="str">
        <f>VLOOKUP(A924,[1]!Table1[#All],17,FALSE)</f>
        <v>UNITED STATES</v>
      </c>
      <c r="G924" t="str">
        <f>VLOOKUP(A924,[1]!Table1[#All],22,FALSE)</f>
        <v>COLUMBIA UNIVERSITY TRUSTEES</v>
      </c>
      <c r="H924" s="8">
        <f>VLOOKUP(A924,[1]!Table1[#All],32,FALSE)</f>
        <v>43405</v>
      </c>
      <c r="I924" s="8">
        <f>VLOOKUP(A924,[1]!Table1[#All],33,FALSE)</f>
        <v>45198</v>
      </c>
      <c r="J924" t="str">
        <f t="shared" ca="1" si="14"/>
        <v>UDO</v>
      </c>
    </row>
    <row r="925" spans="1:10" x14ac:dyDescent="0.35">
      <c r="A925" s="9" t="s">
        <v>31</v>
      </c>
      <c r="B925" s="10">
        <v>44774</v>
      </c>
      <c r="C925" s="11">
        <v>15771228</v>
      </c>
      <c r="D925" s="11">
        <v>15238728.25</v>
      </c>
      <c r="E925" s="11">
        <v>532499.75</v>
      </c>
      <c r="F925" t="str">
        <f>VLOOKUP(A925,[1]!Table1[#All],17,FALSE)</f>
        <v>UNITED STATES</v>
      </c>
      <c r="G925" t="str">
        <f>VLOOKUP(A925,[1]!Table1[#All],22,FALSE)</f>
        <v>COLUMBIA UNIVERSITY TRUSTEES</v>
      </c>
      <c r="H925" s="8">
        <f>VLOOKUP(A925,[1]!Table1[#All],32,FALSE)</f>
        <v>43405</v>
      </c>
      <c r="I925" s="8">
        <f>VLOOKUP(A925,[1]!Table1[#All],33,FALSE)</f>
        <v>45198</v>
      </c>
      <c r="J925" t="str">
        <f t="shared" ca="1" si="14"/>
        <v>UDO</v>
      </c>
    </row>
    <row r="926" spans="1:10" x14ac:dyDescent="0.35">
      <c r="A926" s="5" t="s">
        <v>31</v>
      </c>
      <c r="B926" s="6">
        <v>44805</v>
      </c>
      <c r="C926" s="7">
        <v>15771228</v>
      </c>
      <c r="D926" s="7">
        <v>15354131.57</v>
      </c>
      <c r="E926" s="7">
        <v>417096.43000000005</v>
      </c>
      <c r="F926" t="str">
        <f>VLOOKUP(A926,[1]!Table1[#All],17,FALSE)</f>
        <v>UNITED STATES</v>
      </c>
      <c r="G926" t="str">
        <f>VLOOKUP(A926,[1]!Table1[#All],22,FALSE)</f>
        <v>COLUMBIA UNIVERSITY TRUSTEES</v>
      </c>
      <c r="H926" s="8">
        <f>VLOOKUP(A926,[1]!Table1[#All],32,FALSE)</f>
        <v>43405</v>
      </c>
      <c r="I926" s="8">
        <f>VLOOKUP(A926,[1]!Table1[#All],33,FALSE)</f>
        <v>45198</v>
      </c>
      <c r="J926" t="str">
        <f t="shared" ca="1" si="14"/>
        <v>UDO</v>
      </c>
    </row>
    <row r="927" spans="1:10" x14ac:dyDescent="0.35">
      <c r="A927" s="9" t="s">
        <v>31</v>
      </c>
      <c r="B927" s="10">
        <v>44835</v>
      </c>
      <c r="C927" s="11">
        <v>15771228</v>
      </c>
      <c r="D927" s="11">
        <v>15377982.219999999</v>
      </c>
      <c r="E927" s="11">
        <v>393245.77999999997</v>
      </c>
      <c r="F927" t="str">
        <f>VLOOKUP(A927,[1]!Table1[#All],17,FALSE)</f>
        <v>UNITED STATES</v>
      </c>
      <c r="G927" t="str">
        <f>VLOOKUP(A927,[1]!Table1[#All],22,FALSE)</f>
        <v>COLUMBIA UNIVERSITY TRUSTEES</v>
      </c>
      <c r="H927" s="8">
        <f>VLOOKUP(A927,[1]!Table1[#All],32,FALSE)</f>
        <v>43405</v>
      </c>
      <c r="I927" s="8">
        <f>VLOOKUP(A927,[1]!Table1[#All],33,FALSE)</f>
        <v>45198</v>
      </c>
      <c r="J927" t="str">
        <f t="shared" ca="1" si="14"/>
        <v>UDO</v>
      </c>
    </row>
    <row r="928" spans="1:10" x14ac:dyDescent="0.35">
      <c r="A928" s="5" t="s">
        <v>31</v>
      </c>
      <c r="B928" s="6">
        <v>44866</v>
      </c>
      <c r="C928" s="7">
        <v>15771228</v>
      </c>
      <c r="D928" s="7">
        <v>15378546.68</v>
      </c>
      <c r="E928" s="7">
        <v>392681.32</v>
      </c>
      <c r="F928" t="str">
        <f>VLOOKUP(A928,[1]!Table1[#All],17,FALSE)</f>
        <v>UNITED STATES</v>
      </c>
      <c r="G928" t="str">
        <f>VLOOKUP(A928,[1]!Table1[#All],22,FALSE)</f>
        <v>COLUMBIA UNIVERSITY TRUSTEES</v>
      </c>
      <c r="H928" s="8">
        <f>VLOOKUP(A928,[1]!Table1[#All],32,FALSE)</f>
        <v>43405</v>
      </c>
      <c r="I928" s="8">
        <f>VLOOKUP(A928,[1]!Table1[#All],33,FALSE)</f>
        <v>45198</v>
      </c>
      <c r="J928" t="str">
        <f t="shared" ca="1" si="14"/>
        <v>UDO</v>
      </c>
    </row>
    <row r="929" spans="1:10" x14ac:dyDescent="0.35">
      <c r="A929" s="9" t="s">
        <v>31</v>
      </c>
      <c r="B929" s="10">
        <v>44896</v>
      </c>
      <c r="C929" s="11">
        <v>15771228</v>
      </c>
      <c r="D929" s="11">
        <v>15377597.120000001</v>
      </c>
      <c r="E929" s="11">
        <v>393630.88</v>
      </c>
      <c r="F929" t="str">
        <f>VLOOKUP(A929,[1]!Table1[#All],17,FALSE)</f>
        <v>UNITED STATES</v>
      </c>
      <c r="G929" t="str">
        <f>VLOOKUP(A929,[1]!Table1[#All],22,FALSE)</f>
        <v>COLUMBIA UNIVERSITY TRUSTEES</v>
      </c>
      <c r="H929" s="8">
        <f>VLOOKUP(A929,[1]!Table1[#All],32,FALSE)</f>
        <v>43405</v>
      </c>
      <c r="I929" s="8">
        <f>VLOOKUP(A929,[1]!Table1[#All],33,FALSE)</f>
        <v>45198</v>
      </c>
      <c r="J929" t="str">
        <f t="shared" ca="1" si="14"/>
        <v>UDO</v>
      </c>
    </row>
    <row r="930" spans="1:10" x14ac:dyDescent="0.35">
      <c r="A930" s="5" t="s">
        <v>31</v>
      </c>
      <c r="B930" s="6">
        <v>44927</v>
      </c>
      <c r="C930" s="7">
        <v>15771228</v>
      </c>
      <c r="D930" s="7">
        <v>15377484.32</v>
      </c>
      <c r="E930" s="7">
        <v>393743.68</v>
      </c>
      <c r="F930" t="str">
        <f>VLOOKUP(A930,[1]!Table1[#All],17,FALSE)</f>
        <v>UNITED STATES</v>
      </c>
      <c r="G930" t="str">
        <f>VLOOKUP(A930,[1]!Table1[#All],22,FALSE)</f>
        <v>COLUMBIA UNIVERSITY TRUSTEES</v>
      </c>
      <c r="H930" s="8">
        <f>VLOOKUP(A930,[1]!Table1[#All],32,FALSE)</f>
        <v>43405</v>
      </c>
      <c r="I930" s="8">
        <f>VLOOKUP(A930,[1]!Table1[#All],33,FALSE)</f>
        <v>45198</v>
      </c>
      <c r="J930" t="str">
        <f t="shared" ca="1" si="14"/>
        <v>UDO</v>
      </c>
    </row>
    <row r="931" spans="1:10" x14ac:dyDescent="0.35">
      <c r="A931" s="9" t="s">
        <v>31</v>
      </c>
      <c r="B931" s="10">
        <v>44958</v>
      </c>
      <c r="C931" s="11">
        <v>15771228</v>
      </c>
      <c r="D931" s="11">
        <v>15376685.629999999</v>
      </c>
      <c r="E931" s="11">
        <v>394542.37</v>
      </c>
      <c r="F931" t="str">
        <f>VLOOKUP(A931,[1]!Table1[#All],17,FALSE)</f>
        <v>UNITED STATES</v>
      </c>
      <c r="G931" t="str">
        <f>VLOOKUP(A931,[1]!Table1[#All],22,FALSE)</f>
        <v>COLUMBIA UNIVERSITY TRUSTEES</v>
      </c>
      <c r="H931" s="8">
        <f>VLOOKUP(A931,[1]!Table1[#All],32,FALSE)</f>
        <v>43405</v>
      </c>
      <c r="I931" s="8">
        <f>VLOOKUP(A931,[1]!Table1[#All],33,FALSE)</f>
        <v>45198</v>
      </c>
      <c r="J931" t="str">
        <f t="shared" ca="1" si="14"/>
        <v>UDO</v>
      </c>
    </row>
    <row r="932" spans="1:10" x14ac:dyDescent="0.35">
      <c r="A932" s="5" t="s">
        <v>31</v>
      </c>
      <c r="B932" s="6">
        <v>44986</v>
      </c>
      <c r="C932" s="7">
        <v>15771228</v>
      </c>
      <c r="D932" s="7">
        <v>15375490.23</v>
      </c>
      <c r="E932" s="7">
        <v>395737.76999999996</v>
      </c>
      <c r="F932" t="str">
        <f>VLOOKUP(A932,[1]!Table1[#All],17,FALSE)</f>
        <v>UNITED STATES</v>
      </c>
      <c r="G932" t="str">
        <f>VLOOKUP(A932,[1]!Table1[#All],22,FALSE)</f>
        <v>COLUMBIA UNIVERSITY TRUSTEES</v>
      </c>
      <c r="H932" s="8">
        <f>VLOOKUP(A932,[1]!Table1[#All],32,FALSE)</f>
        <v>43405</v>
      </c>
      <c r="I932" s="8">
        <f>VLOOKUP(A932,[1]!Table1[#All],33,FALSE)</f>
        <v>45198</v>
      </c>
      <c r="J932" t="str">
        <f t="shared" ca="1" si="14"/>
        <v>UDO</v>
      </c>
    </row>
    <row r="933" spans="1:10" x14ac:dyDescent="0.35">
      <c r="A933" s="9" t="s">
        <v>31</v>
      </c>
      <c r="B933" s="10">
        <v>45017</v>
      </c>
      <c r="C933" s="11">
        <v>15771228</v>
      </c>
      <c r="D933" s="11">
        <v>15382157.84</v>
      </c>
      <c r="E933" s="11">
        <v>389070.16</v>
      </c>
      <c r="F933" t="str">
        <f>VLOOKUP(A933,[1]!Table1[#All],17,FALSE)</f>
        <v>UNITED STATES</v>
      </c>
      <c r="G933" t="str">
        <f>VLOOKUP(A933,[1]!Table1[#All],22,FALSE)</f>
        <v>COLUMBIA UNIVERSITY TRUSTEES</v>
      </c>
      <c r="H933" s="8">
        <f>VLOOKUP(A933,[1]!Table1[#All],32,FALSE)</f>
        <v>43405</v>
      </c>
      <c r="I933" s="8">
        <f>VLOOKUP(A933,[1]!Table1[#All],33,FALSE)</f>
        <v>45198</v>
      </c>
      <c r="J933" t="str">
        <f t="shared" ca="1" si="14"/>
        <v>UDO</v>
      </c>
    </row>
    <row r="934" spans="1:10" x14ac:dyDescent="0.35">
      <c r="A934" s="5" t="s">
        <v>31</v>
      </c>
      <c r="B934" s="6">
        <v>45047</v>
      </c>
      <c r="C934" s="7">
        <v>15771228</v>
      </c>
      <c r="D934" s="7">
        <v>15401614.210000001</v>
      </c>
      <c r="E934" s="7">
        <v>369613.79000000004</v>
      </c>
      <c r="F934" t="str">
        <f>VLOOKUP(A934,[1]!Table1[#All],17,FALSE)</f>
        <v>UNITED STATES</v>
      </c>
      <c r="G934" t="str">
        <f>VLOOKUP(A934,[1]!Table1[#All],22,FALSE)</f>
        <v>COLUMBIA UNIVERSITY TRUSTEES</v>
      </c>
      <c r="H934" s="8">
        <f>VLOOKUP(A934,[1]!Table1[#All],32,FALSE)</f>
        <v>43405</v>
      </c>
      <c r="I934" s="8">
        <f>VLOOKUP(A934,[1]!Table1[#All],33,FALSE)</f>
        <v>45198</v>
      </c>
      <c r="J934" t="str">
        <f t="shared" ca="1" si="14"/>
        <v>UDO</v>
      </c>
    </row>
    <row r="935" spans="1:10" x14ac:dyDescent="0.35">
      <c r="A935" s="9" t="s">
        <v>31</v>
      </c>
      <c r="B935" s="10">
        <v>45078</v>
      </c>
      <c r="C935" s="11">
        <v>15771228</v>
      </c>
      <c r="D935" s="11">
        <v>15415185.41</v>
      </c>
      <c r="E935" s="11">
        <v>356042.58999999997</v>
      </c>
      <c r="F935" t="str">
        <f>VLOOKUP(A935,[1]!Table1[#All],17,FALSE)</f>
        <v>UNITED STATES</v>
      </c>
      <c r="G935" t="str">
        <f>VLOOKUP(A935,[1]!Table1[#All],22,FALSE)</f>
        <v>COLUMBIA UNIVERSITY TRUSTEES</v>
      </c>
      <c r="H935" s="8">
        <f>VLOOKUP(A935,[1]!Table1[#All],32,FALSE)</f>
        <v>43405</v>
      </c>
      <c r="I935" s="8">
        <f>VLOOKUP(A935,[1]!Table1[#All],33,FALSE)</f>
        <v>45198</v>
      </c>
      <c r="J935" t="str">
        <f t="shared" ca="1" si="14"/>
        <v>UDO</v>
      </c>
    </row>
    <row r="936" spans="1:10" x14ac:dyDescent="0.35">
      <c r="A936" s="5" t="s">
        <v>31</v>
      </c>
      <c r="B936" s="6">
        <v>45108</v>
      </c>
      <c r="C936" s="7">
        <v>15771228</v>
      </c>
      <c r="D936" s="7">
        <v>15460629.24</v>
      </c>
      <c r="E936" s="7">
        <v>310598.76</v>
      </c>
      <c r="F936" t="str">
        <f>VLOOKUP(A936,[1]!Table1[#All],17,FALSE)</f>
        <v>UNITED STATES</v>
      </c>
      <c r="G936" t="str">
        <f>VLOOKUP(A936,[1]!Table1[#All],22,FALSE)</f>
        <v>COLUMBIA UNIVERSITY TRUSTEES</v>
      </c>
      <c r="H936" s="8">
        <f>VLOOKUP(A936,[1]!Table1[#All],32,FALSE)</f>
        <v>43405</v>
      </c>
      <c r="I936" s="8">
        <f>VLOOKUP(A936,[1]!Table1[#All],33,FALSE)</f>
        <v>45198</v>
      </c>
      <c r="J936" t="str">
        <f t="shared" ca="1" si="14"/>
        <v>UDO</v>
      </c>
    </row>
    <row r="937" spans="1:10" x14ac:dyDescent="0.35">
      <c r="A937" s="9" t="s">
        <v>31</v>
      </c>
      <c r="B937" s="10">
        <v>45139</v>
      </c>
      <c r="C937" s="11">
        <v>15771228</v>
      </c>
      <c r="D937" s="11">
        <v>15467608.16</v>
      </c>
      <c r="E937" s="11">
        <v>303619.83999999997</v>
      </c>
      <c r="F937" t="str">
        <f>VLOOKUP(A937,[1]!Table1[#All],17,FALSE)</f>
        <v>UNITED STATES</v>
      </c>
      <c r="G937" t="str">
        <f>VLOOKUP(A937,[1]!Table1[#All],22,FALSE)</f>
        <v>COLUMBIA UNIVERSITY TRUSTEES</v>
      </c>
      <c r="H937" s="8">
        <f>VLOOKUP(A937,[1]!Table1[#All],32,FALSE)</f>
        <v>43405</v>
      </c>
      <c r="I937" s="8">
        <f>VLOOKUP(A937,[1]!Table1[#All],33,FALSE)</f>
        <v>45198</v>
      </c>
      <c r="J937" t="str">
        <f t="shared" ca="1" si="14"/>
        <v>UDO</v>
      </c>
    </row>
    <row r="938" spans="1:10" x14ac:dyDescent="0.35">
      <c r="A938" s="5" t="s">
        <v>31</v>
      </c>
      <c r="B938" s="6">
        <v>45170</v>
      </c>
      <c r="C938" s="7">
        <v>15771228</v>
      </c>
      <c r="D938" s="7">
        <v>15530092.58</v>
      </c>
      <c r="E938" s="7">
        <v>241135.41999999998</v>
      </c>
      <c r="F938" t="str">
        <f>VLOOKUP(A938,[1]!Table1[#All],17,FALSE)</f>
        <v>UNITED STATES</v>
      </c>
      <c r="G938" t="str">
        <f>VLOOKUP(A938,[1]!Table1[#All],22,FALSE)</f>
        <v>COLUMBIA UNIVERSITY TRUSTEES</v>
      </c>
      <c r="H938" s="8">
        <f>VLOOKUP(A938,[1]!Table1[#All],32,FALSE)</f>
        <v>43405</v>
      </c>
      <c r="I938" s="8">
        <f>VLOOKUP(A938,[1]!Table1[#All],33,FALSE)</f>
        <v>45198</v>
      </c>
      <c r="J938" t="str">
        <f t="shared" ca="1" si="14"/>
        <v>UDO</v>
      </c>
    </row>
    <row r="939" spans="1:10" x14ac:dyDescent="0.35">
      <c r="A939" s="9" t="s">
        <v>32</v>
      </c>
      <c r="B939" s="10">
        <v>44409</v>
      </c>
      <c r="C939" s="11">
        <v>4980896</v>
      </c>
      <c r="D939" s="11">
        <v>0</v>
      </c>
      <c r="E939" s="11">
        <v>4980896</v>
      </c>
      <c r="F939" t="str">
        <f>VLOOKUP(A939,[1]!Table1[#All],17,FALSE)</f>
        <v>UNITED STATES</v>
      </c>
      <c r="G939" t="str">
        <f>VLOOKUP(A939,[1]!Table1[#All],22,FALSE)</f>
        <v>COLUMBIA UNIVERSITY TRUSTEES</v>
      </c>
      <c r="H939" s="8">
        <f>VLOOKUP(A939,[1]!Table1[#All],32,FALSE)</f>
        <v>43405</v>
      </c>
      <c r="I939" s="8">
        <f>VLOOKUP(A939,[1]!Table1[#All],33,FALSE)</f>
        <v>45198</v>
      </c>
      <c r="J939" t="str">
        <f t="shared" ca="1" si="14"/>
        <v>UDO</v>
      </c>
    </row>
    <row r="940" spans="1:10" x14ac:dyDescent="0.35">
      <c r="A940" s="5" t="s">
        <v>32</v>
      </c>
      <c r="B940" s="6">
        <v>44440</v>
      </c>
      <c r="C940" s="7">
        <v>4980896</v>
      </c>
      <c r="D940" s="7">
        <v>0</v>
      </c>
      <c r="E940" s="7">
        <v>4980896</v>
      </c>
      <c r="F940" t="str">
        <f>VLOOKUP(A940,[1]!Table1[#All],17,FALSE)</f>
        <v>UNITED STATES</v>
      </c>
      <c r="G940" t="str">
        <f>VLOOKUP(A940,[1]!Table1[#All],22,FALSE)</f>
        <v>COLUMBIA UNIVERSITY TRUSTEES</v>
      </c>
      <c r="H940" s="8">
        <f>VLOOKUP(A940,[1]!Table1[#All],32,FALSE)</f>
        <v>43405</v>
      </c>
      <c r="I940" s="8">
        <f>VLOOKUP(A940,[1]!Table1[#All],33,FALSE)</f>
        <v>45198</v>
      </c>
      <c r="J940" t="str">
        <f t="shared" ca="1" si="14"/>
        <v>UDO</v>
      </c>
    </row>
    <row r="941" spans="1:10" x14ac:dyDescent="0.35">
      <c r="A941" s="9" t="s">
        <v>32</v>
      </c>
      <c r="B941" s="10">
        <v>44470</v>
      </c>
      <c r="C941" s="11">
        <v>4980896</v>
      </c>
      <c r="D941" s="11">
        <v>17406.53</v>
      </c>
      <c r="E941" s="11">
        <v>4963489.47</v>
      </c>
      <c r="F941" t="str">
        <f>VLOOKUP(A941,[1]!Table1[#All],17,FALSE)</f>
        <v>UNITED STATES</v>
      </c>
      <c r="G941" t="str">
        <f>VLOOKUP(A941,[1]!Table1[#All],22,FALSE)</f>
        <v>COLUMBIA UNIVERSITY TRUSTEES</v>
      </c>
      <c r="H941" s="8">
        <f>VLOOKUP(A941,[1]!Table1[#All],32,FALSE)</f>
        <v>43405</v>
      </c>
      <c r="I941" s="8">
        <f>VLOOKUP(A941,[1]!Table1[#All],33,FALSE)</f>
        <v>45198</v>
      </c>
      <c r="J941" t="str">
        <f t="shared" ca="1" si="14"/>
        <v>UDO</v>
      </c>
    </row>
    <row r="942" spans="1:10" x14ac:dyDescent="0.35">
      <c r="A942" s="5" t="s">
        <v>32</v>
      </c>
      <c r="B942" s="6">
        <v>44501</v>
      </c>
      <c r="C942" s="7">
        <v>4980896</v>
      </c>
      <c r="D942" s="7">
        <v>55963.71</v>
      </c>
      <c r="E942" s="7">
        <v>4924932.29</v>
      </c>
      <c r="F942" t="str">
        <f>VLOOKUP(A942,[1]!Table1[#All],17,FALSE)</f>
        <v>UNITED STATES</v>
      </c>
      <c r="G942" t="str">
        <f>VLOOKUP(A942,[1]!Table1[#All],22,FALSE)</f>
        <v>COLUMBIA UNIVERSITY TRUSTEES</v>
      </c>
      <c r="H942" s="8">
        <f>VLOOKUP(A942,[1]!Table1[#All],32,FALSE)</f>
        <v>43405</v>
      </c>
      <c r="I942" s="8">
        <f>VLOOKUP(A942,[1]!Table1[#All],33,FALSE)</f>
        <v>45198</v>
      </c>
      <c r="J942" t="str">
        <f t="shared" ca="1" si="14"/>
        <v>UDO</v>
      </c>
    </row>
    <row r="943" spans="1:10" x14ac:dyDescent="0.35">
      <c r="A943" s="9" t="s">
        <v>32</v>
      </c>
      <c r="B943" s="10">
        <v>44531</v>
      </c>
      <c r="C943" s="11">
        <v>4980896</v>
      </c>
      <c r="D943" s="11">
        <v>93964.49</v>
      </c>
      <c r="E943" s="11">
        <v>4886931.51</v>
      </c>
      <c r="F943" t="str">
        <f>VLOOKUP(A943,[1]!Table1[#All],17,FALSE)</f>
        <v>UNITED STATES</v>
      </c>
      <c r="G943" t="str">
        <f>VLOOKUP(A943,[1]!Table1[#All],22,FALSE)</f>
        <v>COLUMBIA UNIVERSITY TRUSTEES</v>
      </c>
      <c r="H943" s="8">
        <f>VLOOKUP(A943,[1]!Table1[#All],32,FALSE)</f>
        <v>43405</v>
      </c>
      <c r="I943" s="8">
        <f>VLOOKUP(A943,[1]!Table1[#All],33,FALSE)</f>
        <v>45198</v>
      </c>
      <c r="J943" t="str">
        <f t="shared" ca="1" si="14"/>
        <v>UDO</v>
      </c>
    </row>
    <row r="944" spans="1:10" x14ac:dyDescent="0.35">
      <c r="A944" s="5" t="s">
        <v>32</v>
      </c>
      <c r="B944" s="6">
        <v>44562</v>
      </c>
      <c r="C944" s="7">
        <v>4980896</v>
      </c>
      <c r="D944" s="7">
        <v>133788.04999999999</v>
      </c>
      <c r="E944" s="7">
        <v>4847107.95</v>
      </c>
      <c r="F944" t="str">
        <f>VLOOKUP(A944,[1]!Table1[#All],17,FALSE)</f>
        <v>UNITED STATES</v>
      </c>
      <c r="G944" t="str">
        <f>VLOOKUP(A944,[1]!Table1[#All],22,FALSE)</f>
        <v>COLUMBIA UNIVERSITY TRUSTEES</v>
      </c>
      <c r="H944" s="8">
        <f>VLOOKUP(A944,[1]!Table1[#All],32,FALSE)</f>
        <v>43405</v>
      </c>
      <c r="I944" s="8">
        <f>VLOOKUP(A944,[1]!Table1[#All],33,FALSE)</f>
        <v>45198</v>
      </c>
      <c r="J944" t="str">
        <f t="shared" ca="1" si="14"/>
        <v>UDO</v>
      </c>
    </row>
    <row r="945" spans="1:10" x14ac:dyDescent="0.35">
      <c r="A945" s="9" t="s">
        <v>32</v>
      </c>
      <c r="B945" s="10">
        <v>44593</v>
      </c>
      <c r="C945" s="11">
        <v>4980896</v>
      </c>
      <c r="D945" s="11">
        <v>233144.9</v>
      </c>
      <c r="E945" s="11">
        <v>4747751.0999999996</v>
      </c>
      <c r="F945" t="str">
        <f>VLOOKUP(A945,[1]!Table1[#All],17,FALSE)</f>
        <v>UNITED STATES</v>
      </c>
      <c r="G945" t="str">
        <f>VLOOKUP(A945,[1]!Table1[#All],22,FALSE)</f>
        <v>COLUMBIA UNIVERSITY TRUSTEES</v>
      </c>
      <c r="H945" s="8">
        <f>VLOOKUP(A945,[1]!Table1[#All],32,FALSE)</f>
        <v>43405</v>
      </c>
      <c r="I945" s="8">
        <f>VLOOKUP(A945,[1]!Table1[#All],33,FALSE)</f>
        <v>45198</v>
      </c>
      <c r="J945" t="str">
        <f t="shared" ca="1" si="14"/>
        <v>UDO</v>
      </c>
    </row>
    <row r="946" spans="1:10" x14ac:dyDescent="0.35">
      <c r="A946" s="5" t="s">
        <v>32</v>
      </c>
      <c r="B946" s="6">
        <v>44621</v>
      </c>
      <c r="C946" s="7">
        <v>4980896</v>
      </c>
      <c r="D946" s="7">
        <v>237751.61</v>
      </c>
      <c r="E946" s="7">
        <v>4743144.3899999997</v>
      </c>
      <c r="F946" t="str">
        <f>VLOOKUP(A946,[1]!Table1[#All],17,FALSE)</f>
        <v>UNITED STATES</v>
      </c>
      <c r="G946" t="str">
        <f>VLOOKUP(A946,[1]!Table1[#All],22,FALSE)</f>
        <v>COLUMBIA UNIVERSITY TRUSTEES</v>
      </c>
      <c r="H946" s="8">
        <f>VLOOKUP(A946,[1]!Table1[#All],32,FALSE)</f>
        <v>43405</v>
      </c>
      <c r="I946" s="8">
        <f>VLOOKUP(A946,[1]!Table1[#All],33,FALSE)</f>
        <v>45198</v>
      </c>
      <c r="J946" t="str">
        <f t="shared" ca="1" si="14"/>
        <v>UDO</v>
      </c>
    </row>
    <row r="947" spans="1:10" x14ac:dyDescent="0.35">
      <c r="A947" s="9" t="s">
        <v>32</v>
      </c>
      <c r="B947" s="10">
        <v>44652</v>
      </c>
      <c r="C947" s="11">
        <v>4980896</v>
      </c>
      <c r="D947" s="11">
        <v>253569.48</v>
      </c>
      <c r="E947" s="11">
        <v>4727326.5199999996</v>
      </c>
      <c r="F947" t="str">
        <f>VLOOKUP(A947,[1]!Table1[#All],17,FALSE)</f>
        <v>UNITED STATES</v>
      </c>
      <c r="G947" t="str">
        <f>VLOOKUP(A947,[1]!Table1[#All],22,FALSE)</f>
        <v>COLUMBIA UNIVERSITY TRUSTEES</v>
      </c>
      <c r="H947" s="8">
        <f>VLOOKUP(A947,[1]!Table1[#All],32,FALSE)</f>
        <v>43405</v>
      </c>
      <c r="I947" s="8">
        <f>VLOOKUP(A947,[1]!Table1[#All],33,FALSE)</f>
        <v>45198</v>
      </c>
      <c r="J947" t="str">
        <f t="shared" ca="1" si="14"/>
        <v>UDO</v>
      </c>
    </row>
    <row r="948" spans="1:10" x14ac:dyDescent="0.35">
      <c r="A948" s="5" t="s">
        <v>32</v>
      </c>
      <c r="B948" s="6">
        <v>44682</v>
      </c>
      <c r="C948" s="7">
        <v>4980896</v>
      </c>
      <c r="D948" s="7">
        <v>322863.21999999997</v>
      </c>
      <c r="E948" s="7">
        <v>4658032.78</v>
      </c>
      <c r="F948" t="str">
        <f>VLOOKUP(A948,[1]!Table1[#All],17,FALSE)</f>
        <v>UNITED STATES</v>
      </c>
      <c r="G948" t="str">
        <f>VLOOKUP(A948,[1]!Table1[#All],22,FALSE)</f>
        <v>COLUMBIA UNIVERSITY TRUSTEES</v>
      </c>
      <c r="H948" s="8">
        <f>VLOOKUP(A948,[1]!Table1[#All],32,FALSE)</f>
        <v>43405</v>
      </c>
      <c r="I948" s="8">
        <f>VLOOKUP(A948,[1]!Table1[#All],33,FALSE)</f>
        <v>45198</v>
      </c>
      <c r="J948" t="str">
        <f t="shared" ca="1" si="14"/>
        <v>UDO</v>
      </c>
    </row>
    <row r="949" spans="1:10" x14ac:dyDescent="0.35">
      <c r="A949" s="9" t="s">
        <v>32</v>
      </c>
      <c r="B949" s="10">
        <v>44713</v>
      </c>
      <c r="C949" s="11">
        <v>4980896</v>
      </c>
      <c r="D949" s="11">
        <v>607613.33000000007</v>
      </c>
      <c r="E949" s="11">
        <v>4373282.67</v>
      </c>
      <c r="F949" t="str">
        <f>VLOOKUP(A949,[1]!Table1[#All],17,FALSE)</f>
        <v>UNITED STATES</v>
      </c>
      <c r="G949" t="str">
        <f>VLOOKUP(A949,[1]!Table1[#All],22,FALSE)</f>
        <v>COLUMBIA UNIVERSITY TRUSTEES</v>
      </c>
      <c r="H949" s="8">
        <f>VLOOKUP(A949,[1]!Table1[#All],32,FALSE)</f>
        <v>43405</v>
      </c>
      <c r="I949" s="8">
        <f>VLOOKUP(A949,[1]!Table1[#All],33,FALSE)</f>
        <v>45198</v>
      </c>
      <c r="J949" t="str">
        <f t="shared" ca="1" si="14"/>
        <v>UDO</v>
      </c>
    </row>
    <row r="950" spans="1:10" x14ac:dyDescent="0.35">
      <c r="A950" s="5" t="s">
        <v>32</v>
      </c>
      <c r="B950" s="6">
        <v>44743</v>
      </c>
      <c r="C950" s="7">
        <v>4980896</v>
      </c>
      <c r="D950" s="7">
        <v>833578.92999999993</v>
      </c>
      <c r="E950" s="7">
        <v>4147317.0700000003</v>
      </c>
      <c r="F950" t="str">
        <f>VLOOKUP(A950,[1]!Table1[#All],17,FALSE)</f>
        <v>UNITED STATES</v>
      </c>
      <c r="G950" t="str">
        <f>VLOOKUP(A950,[1]!Table1[#All],22,FALSE)</f>
        <v>COLUMBIA UNIVERSITY TRUSTEES</v>
      </c>
      <c r="H950" s="8">
        <f>VLOOKUP(A950,[1]!Table1[#All],32,FALSE)</f>
        <v>43405</v>
      </c>
      <c r="I950" s="8">
        <f>VLOOKUP(A950,[1]!Table1[#All],33,FALSE)</f>
        <v>45198</v>
      </c>
      <c r="J950" t="str">
        <f t="shared" ca="1" si="14"/>
        <v>UDO</v>
      </c>
    </row>
    <row r="951" spans="1:10" x14ac:dyDescent="0.35">
      <c r="A951" s="9" t="s">
        <v>32</v>
      </c>
      <c r="B951" s="10">
        <v>44774</v>
      </c>
      <c r="C951" s="11">
        <v>4980896</v>
      </c>
      <c r="D951" s="11">
        <v>1016872.12</v>
      </c>
      <c r="E951" s="11">
        <v>3964023.88</v>
      </c>
      <c r="F951" t="str">
        <f>VLOOKUP(A951,[1]!Table1[#All],17,FALSE)</f>
        <v>UNITED STATES</v>
      </c>
      <c r="G951" t="str">
        <f>VLOOKUP(A951,[1]!Table1[#All],22,FALSE)</f>
        <v>COLUMBIA UNIVERSITY TRUSTEES</v>
      </c>
      <c r="H951" s="8">
        <f>VLOOKUP(A951,[1]!Table1[#All],32,FALSE)</f>
        <v>43405</v>
      </c>
      <c r="I951" s="8">
        <f>VLOOKUP(A951,[1]!Table1[#All],33,FALSE)</f>
        <v>45198</v>
      </c>
      <c r="J951" t="str">
        <f t="shared" ca="1" si="14"/>
        <v>UDO</v>
      </c>
    </row>
    <row r="952" spans="1:10" x14ac:dyDescent="0.35">
      <c r="A952" s="5" t="s">
        <v>32</v>
      </c>
      <c r="B952" s="6">
        <v>44805</v>
      </c>
      <c r="C952" s="7">
        <v>4980896</v>
      </c>
      <c r="D952" s="7">
        <v>1806694.31</v>
      </c>
      <c r="E952" s="7">
        <v>3174201.69</v>
      </c>
      <c r="F952" t="str">
        <f>VLOOKUP(A952,[1]!Table1[#All],17,FALSE)</f>
        <v>UNITED STATES</v>
      </c>
      <c r="G952" t="str">
        <f>VLOOKUP(A952,[1]!Table1[#All],22,FALSE)</f>
        <v>COLUMBIA UNIVERSITY TRUSTEES</v>
      </c>
      <c r="H952" s="8">
        <f>VLOOKUP(A952,[1]!Table1[#All],32,FALSE)</f>
        <v>43405</v>
      </c>
      <c r="I952" s="8">
        <f>VLOOKUP(A952,[1]!Table1[#All],33,FALSE)</f>
        <v>45198</v>
      </c>
      <c r="J952" t="str">
        <f t="shared" ca="1" si="14"/>
        <v>UDO</v>
      </c>
    </row>
    <row r="953" spans="1:10" x14ac:dyDescent="0.35">
      <c r="A953" s="9" t="s">
        <v>32</v>
      </c>
      <c r="B953" s="10">
        <v>44835</v>
      </c>
      <c r="C953" s="11">
        <v>4980896</v>
      </c>
      <c r="D953" s="11">
        <v>1845044.4300000002</v>
      </c>
      <c r="E953" s="11">
        <v>3135851.57</v>
      </c>
      <c r="F953" t="str">
        <f>VLOOKUP(A953,[1]!Table1[#All],17,FALSE)</f>
        <v>UNITED STATES</v>
      </c>
      <c r="G953" t="str">
        <f>VLOOKUP(A953,[1]!Table1[#All],22,FALSE)</f>
        <v>COLUMBIA UNIVERSITY TRUSTEES</v>
      </c>
      <c r="H953" s="8">
        <f>VLOOKUP(A953,[1]!Table1[#All],32,FALSE)</f>
        <v>43405</v>
      </c>
      <c r="I953" s="8">
        <f>VLOOKUP(A953,[1]!Table1[#All],33,FALSE)</f>
        <v>45198</v>
      </c>
      <c r="J953" t="str">
        <f t="shared" ca="1" si="14"/>
        <v>UDO</v>
      </c>
    </row>
    <row r="954" spans="1:10" x14ac:dyDescent="0.35">
      <c r="A954" s="5" t="s">
        <v>32</v>
      </c>
      <c r="B954" s="6">
        <v>44866</v>
      </c>
      <c r="C954" s="7">
        <v>4980896</v>
      </c>
      <c r="D954" s="7">
        <v>1901661.16</v>
      </c>
      <c r="E954" s="7">
        <v>3079234.84</v>
      </c>
      <c r="F954" t="str">
        <f>VLOOKUP(A954,[1]!Table1[#All],17,FALSE)</f>
        <v>UNITED STATES</v>
      </c>
      <c r="G954" t="str">
        <f>VLOOKUP(A954,[1]!Table1[#All],22,FALSE)</f>
        <v>COLUMBIA UNIVERSITY TRUSTEES</v>
      </c>
      <c r="H954" s="8">
        <f>VLOOKUP(A954,[1]!Table1[#All],32,FALSE)</f>
        <v>43405</v>
      </c>
      <c r="I954" s="8">
        <f>VLOOKUP(A954,[1]!Table1[#All],33,FALSE)</f>
        <v>45198</v>
      </c>
      <c r="J954" t="str">
        <f t="shared" ca="1" si="14"/>
        <v>UDO</v>
      </c>
    </row>
    <row r="955" spans="1:10" x14ac:dyDescent="0.35">
      <c r="A955" s="9" t="s">
        <v>32</v>
      </c>
      <c r="B955" s="10">
        <v>44896</v>
      </c>
      <c r="C955" s="11">
        <v>4980896</v>
      </c>
      <c r="D955" s="11">
        <v>1956850</v>
      </c>
      <c r="E955" s="11">
        <v>3024046</v>
      </c>
      <c r="F955" t="str">
        <f>VLOOKUP(A955,[1]!Table1[#All],17,FALSE)</f>
        <v>UNITED STATES</v>
      </c>
      <c r="G955" t="str">
        <f>VLOOKUP(A955,[1]!Table1[#All],22,FALSE)</f>
        <v>COLUMBIA UNIVERSITY TRUSTEES</v>
      </c>
      <c r="H955" s="8">
        <f>VLOOKUP(A955,[1]!Table1[#All],32,FALSE)</f>
        <v>43405</v>
      </c>
      <c r="I955" s="8">
        <f>VLOOKUP(A955,[1]!Table1[#All],33,FALSE)</f>
        <v>45198</v>
      </c>
      <c r="J955" t="str">
        <f t="shared" ca="1" si="14"/>
        <v>UDO</v>
      </c>
    </row>
    <row r="956" spans="1:10" x14ac:dyDescent="0.35">
      <c r="A956" s="5" t="s">
        <v>32</v>
      </c>
      <c r="B956" s="6">
        <v>44927</v>
      </c>
      <c r="C956" s="7">
        <v>4980896</v>
      </c>
      <c r="D956" s="7">
        <v>1956850</v>
      </c>
      <c r="E956" s="7">
        <v>3024046</v>
      </c>
      <c r="F956" t="str">
        <f>VLOOKUP(A956,[1]!Table1[#All],17,FALSE)</f>
        <v>UNITED STATES</v>
      </c>
      <c r="G956" t="str">
        <f>VLOOKUP(A956,[1]!Table1[#All],22,FALSE)</f>
        <v>COLUMBIA UNIVERSITY TRUSTEES</v>
      </c>
      <c r="H956" s="8">
        <f>VLOOKUP(A956,[1]!Table1[#All],32,FALSE)</f>
        <v>43405</v>
      </c>
      <c r="I956" s="8">
        <f>VLOOKUP(A956,[1]!Table1[#All],33,FALSE)</f>
        <v>45198</v>
      </c>
      <c r="J956" t="str">
        <f t="shared" ca="1" si="14"/>
        <v>UDO</v>
      </c>
    </row>
    <row r="957" spans="1:10" x14ac:dyDescent="0.35">
      <c r="A957" s="9" t="s">
        <v>32</v>
      </c>
      <c r="B957" s="10">
        <v>44958</v>
      </c>
      <c r="C957" s="11">
        <v>4980896</v>
      </c>
      <c r="D957" s="11">
        <v>2729964.2199999997</v>
      </c>
      <c r="E957" s="11">
        <v>2250931.7799999998</v>
      </c>
      <c r="F957" t="str">
        <f>VLOOKUP(A957,[1]!Table1[#All],17,FALSE)</f>
        <v>UNITED STATES</v>
      </c>
      <c r="G957" t="str">
        <f>VLOOKUP(A957,[1]!Table1[#All],22,FALSE)</f>
        <v>COLUMBIA UNIVERSITY TRUSTEES</v>
      </c>
      <c r="H957" s="8">
        <f>VLOOKUP(A957,[1]!Table1[#All],32,FALSE)</f>
        <v>43405</v>
      </c>
      <c r="I957" s="8">
        <f>VLOOKUP(A957,[1]!Table1[#All],33,FALSE)</f>
        <v>45198</v>
      </c>
      <c r="J957" t="str">
        <f t="shared" ca="1" si="14"/>
        <v>UDO</v>
      </c>
    </row>
    <row r="958" spans="1:10" x14ac:dyDescent="0.35">
      <c r="A958" s="5" t="s">
        <v>32</v>
      </c>
      <c r="B958" s="6">
        <v>44986</v>
      </c>
      <c r="C958" s="7">
        <v>4980896</v>
      </c>
      <c r="D958" s="7">
        <v>2967798.21</v>
      </c>
      <c r="E958" s="7">
        <v>2013097.79</v>
      </c>
      <c r="F958" t="str">
        <f>VLOOKUP(A958,[1]!Table1[#All],17,FALSE)</f>
        <v>UNITED STATES</v>
      </c>
      <c r="G958" t="str">
        <f>VLOOKUP(A958,[1]!Table1[#All],22,FALSE)</f>
        <v>COLUMBIA UNIVERSITY TRUSTEES</v>
      </c>
      <c r="H958" s="8">
        <f>VLOOKUP(A958,[1]!Table1[#All],32,FALSE)</f>
        <v>43405</v>
      </c>
      <c r="I958" s="8">
        <f>VLOOKUP(A958,[1]!Table1[#All],33,FALSE)</f>
        <v>45198</v>
      </c>
      <c r="J958" t="str">
        <f t="shared" ca="1" si="14"/>
        <v>UDO</v>
      </c>
    </row>
    <row r="959" spans="1:10" x14ac:dyDescent="0.35">
      <c r="A959" s="9" t="s">
        <v>32</v>
      </c>
      <c r="B959" s="10">
        <v>45017</v>
      </c>
      <c r="C959" s="11">
        <v>4980896</v>
      </c>
      <c r="D959" s="11">
        <v>3145207.63</v>
      </c>
      <c r="E959" s="11">
        <v>1835688.37</v>
      </c>
      <c r="F959" t="str">
        <f>VLOOKUP(A959,[1]!Table1[#All],17,FALSE)</f>
        <v>UNITED STATES</v>
      </c>
      <c r="G959" t="str">
        <f>VLOOKUP(A959,[1]!Table1[#All],22,FALSE)</f>
        <v>COLUMBIA UNIVERSITY TRUSTEES</v>
      </c>
      <c r="H959" s="8">
        <f>VLOOKUP(A959,[1]!Table1[#All],32,FALSE)</f>
        <v>43405</v>
      </c>
      <c r="I959" s="8">
        <f>VLOOKUP(A959,[1]!Table1[#All],33,FALSE)</f>
        <v>45198</v>
      </c>
      <c r="J959" t="str">
        <f t="shared" ca="1" si="14"/>
        <v>UDO</v>
      </c>
    </row>
    <row r="960" spans="1:10" x14ac:dyDescent="0.35">
      <c r="A960" s="5" t="s">
        <v>32</v>
      </c>
      <c r="B960" s="6">
        <v>45047</v>
      </c>
      <c r="C960" s="7">
        <v>4980896</v>
      </c>
      <c r="D960" s="7">
        <v>3365099.43</v>
      </c>
      <c r="E960" s="7">
        <v>1615796.57</v>
      </c>
      <c r="F960" t="str">
        <f>VLOOKUP(A960,[1]!Table1[#All],17,FALSE)</f>
        <v>UNITED STATES</v>
      </c>
      <c r="G960" t="str">
        <f>VLOOKUP(A960,[1]!Table1[#All],22,FALSE)</f>
        <v>COLUMBIA UNIVERSITY TRUSTEES</v>
      </c>
      <c r="H960" s="8">
        <f>VLOOKUP(A960,[1]!Table1[#All],32,FALSE)</f>
        <v>43405</v>
      </c>
      <c r="I960" s="8">
        <f>VLOOKUP(A960,[1]!Table1[#All],33,FALSE)</f>
        <v>45198</v>
      </c>
      <c r="J960" t="str">
        <f t="shared" ca="1" si="14"/>
        <v>UDO</v>
      </c>
    </row>
    <row r="961" spans="1:10" x14ac:dyDescent="0.35">
      <c r="A961" s="9" t="s">
        <v>32</v>
      </c>
      <c r="B961" s="10">
        <v>45078</v>
      </c>
      <c r="C961" s="11">
        <v>4980896</v>
      </c>
      <c r="D961" s="11">
        <v>3623903.4</v>
      </c>
      <c r="E961" s="11">
        <v>1356992.6</v>
      </c>
      <c r="F961" t="str">
        <f>VLOOKUP(A961,[1]!Table1[#All],17,FALSE)</f>
        <v>UNITED STATES</v>
      </c>
      <c r="G961" t="str">
        <f>VLOOKUP(A961,[1]!Table1[#All],22,FALSE)</f>
        <v>COLUMBIA UNIVERSITY TRUSTEES</v>
      </c>
      <c r="H961" s="8">
        <f>VLOOKUP(A961,[1]!Table1[#All],32,FALSE)</f>
        <v>43405</v>
      </c>
      <c r="I961" s="8">
        <f>VLOOKUP(A961,[1]!Table1[#All],33,FALSE)</f>
        <v>45198</v>
      </c>
      <c r="J961" t="str">
        <f t="shared" ca="1" si="14"/>
        <v>UDO</v>
      </c>
    </row>
    <row r="962" spans="1:10" x14ac:dyDescent="0.35">
      <c r="A962" s="5" t="s">
        <v>32</v>
      </c>
      <c r="B962" s="6">
        <v>45108</v>
      </c>
      <c r="C962" s="7">
        <v>4980896</v>
      </c>
      <c r="D962" s="7">
        <v>3726511.18</v>
      </c>
      <c r="E962" s="7">
        <v>1254384.82</v>
      </c>
      <c r="F962" t="str">
        <f>VLOOKUP(A962,[1]!Table1[#All],17,FALSE)</f>
        <v>UNITED STATES</v>
      </c>
      <c r="G962" t="str">
        <f>VLOOKUP(A962,[1]!Table1[#All],22,FALSE)</f>
        <v>COLUMBIA UNIVERSITY TRUSTEES</v>
      </c>
      <c r="H962" s="8">
        <f>VLOOKUP(A962,[1]!Table1[#All],32,FALSE)</f>
        <v>43405</v>
      </c>
      <c r="I962" s="8">
        <f>VLOOKUP(A962,[1]!Table1[#All],33,FALSE)</f>
        <v>45198</v>
      </c>
      <c r="J962" t="str">
        <f t="shared" ca="1" si="14"/>
        <v>UDO</v>
      </c>
    </row>
    <row r="963" spans="1:10" x14ac:dyDescent="0.35">
      <c r="A963" s="9" t="s">
        <v>32</v>
      </c>
      <c r="B963" s="10">
        <v>45139</v>
      </c>
      <c r="C963" s="11">
        <v>4980896</v>
      </c>
      <c r="D963" s="11">
        <v>3883087.51</v>
      </c>
      <c r="E963" s="11">
        <v>1097808.49</v>
      </c>
      <c r="F963" t="str">
        <f>VLOOKUP(A963,[1]!Table1[#All],17,FALSE)</f>
        <v>UNITED STATES</v>
      </c>
      <c r="G963" t="str">
        <f>VLOOKUP(A963,[1]!Table1[#All],22,FALSE)</f>
        <v>COLUMBIA UNIVERSITY TRUSTEES</v>
      </c>
      <c r="H963" s="8">
        <f>VLOOKUP(A963,[1]!Table1[#All],32,FALSE)</f>
        <v>43405</v>
      </c>
      <c r="I963" s="8">
        <f>VLOOKUP(A963,[1]!Table1[#All],33,FALSE)</f>
        <v>45198</v>
      </c>
      <c r="J963" t="str">
        <f t="shared" ref="J963:J1026" ca="1" si="15">IF(AND( E963&gt;0,TODAY()&gt;I963),"UDO","Non UDO")</f>
        <v>UDO</v>
      </c>
    </row>
    <row r="964" spans="1:10" x14ac:dyDescent="0.35">
      <c r="A964" s="5" t="s">
        <v>32</v>
      </c>
      <c r="B964" s="6">
        <v>45170</v>
      </c>
      <c r="C964" s="7">
        <v>4980896</v>
      </c>
      <c r="D964" s="7">
        <v>4158291.01</v>
      </c>
      <c r="E964" s="7">
        <v>822604.99</v>
      </c>
      <c r="F964" t="str">
        <f>VLOOKUP(A964,[1]!Table1[#All],17,FALSE)</f>
        <v>UNITED STATES</v>
      </c>
      <c r="G964" t="str">
        <f>VLOOKUP(A964,[1]!Table1[#All],22,FALSE)</f>
        <v>COLUMBIA UNIVERSITY TRUSTEES</v>
      </c>
      <c r="H964" s="8">
        <f>VLOOKUP(A964,[1]!Table1[#All],32,FALSE)</f>
        <v>43405</v>
      </c>
      <c r="I964" s="8">
        <f>VLOOKUP(A964,[1]!Table1[#All],33,FALSE)</f>
        <v>45198</v>
      </c>
      <c r="J964" t="str">
        <f t="shared" ca="1" si="15"/>
        <v>UDO</v>
      </c>
    </row>
    <row r="965" spans="1:10" x14ac:dyDescent="0.35">
      <c r="A965" s="9" t="s">
        <v>33</v>
      </c>
      <c r="B965" s="10">
        <v>44105</v>
      </c>
      <c r="C965" s="11">
        <v>43561799</v>
      </c>
      <c r="D965" s="11">
        <v>13875946.16</v>
      </c>
      <c r="E965" s="11">
        <v>29685852.84</v>
      </c>
      <c r="F965" t="str">
        <f>VLOOKUP(A965,[1]!Table1[#All],17,FALSE)</f>
        <v>UNITED STATES</v>
      </c>
      <c r="G965" t="str">
        <f>VLOOKUP(A965,[1]!Table1[#All],22,FALSE)</f>
        <v>UNIVERSITY OF MARYLAND BALTIMORE PROFESSIONAL SCHO</v>
      </c>
      <c r="H965" s="8">
        <f>VLOOKUP(A965,[1]!Table1[#All],32,FALSE)</f>
        <v>43586</v>
      </c>
      <c r="I965" s="8">
        <f>VLOOKUP(A965,[1]!Table1[#All],33,FALSE)</f>
        <v>45929</v>
      </c>
      <c r="J965" t="str">
        <f t="shared" ca="1" si="15"/>
        <v>Non UDO</v>
      </c>
    </row>
    <row r="966" spans="1:10" x14ac:dyDescent="0.35">
      <c r="A966" s="5" t="s">
        <v>33</v>
      </c>
      <c r="B966" s="6">
        <v>44136</v>
      </c>
      <c r="C966" s="7">
        <v>43561799</v>
      </c>
      <c r="D966" s="7">
        <v>14100618.42</v>
      </c>
      <c r="E966" s="7">
        <v>29461180.579999998</v>
      </c>
      <c r="F966" t="str">
        <f>VLOOKUP(A966,[1]!Table1[#All],17,FALSE)</f>
        <v>UNITED STATES</v>
      </c>
      <c r="G966" t="str">
        <f>VLOOKUP(A966,[1]!Table1[#All],22,FALSE)</f>
        <v>UNIVERSITY OF MARYLAND BALTIMORE PROFESSIONAL SCHO</v>
      </c>
      <c r="H966" s="8">
        <f>VLOOKUP(A966,[1]!Table1[#All],32,FALSE)</f>
        <v>43586</v>
      </c>
      <c r="I966" s="8">
        <f>VLOOKUP(A966,[1]!Table1[#All],33,FALSE)</f>
        <v>45929</v>
      </c>
      <c r="J966" t="str">
        <f t="shared" ca="1" si="15"/>
        <v>Non UDO</v>
      </c>
    </row>
    <row r="967" spans="1:10" x14ac:dyDescent="0.35">
      <c r="A967" s="9" t="s">
        <v>33</v>
      </c>
      <c r="B967" s="10">
        <v>44166</v>
      </c>
      <c r="C967" s="11">
        <v>43561799</v>
      </c>
      <c r="D967" s="11">
        <v>16202053.15</v>
      </c>
      <c r="E967" s="11">
        <v>27359745.850000001</v>
      </c>
      <c r="F967" t="str">
        <f>VLOOKUP(A967,[1]!Table1[#All],17,FALSE)</f>
        <v>UNITED STATES</v>
      </c>
      <c r="G967" t="str">
        <f>VLOOKUP(A967,[1]!Table1[#All],22,FALSE)</f>
        <v>UNIVERSITY OF MARYLAND BALTIMORE PROFESSIONAL SCHO</v>
      </c>
      <c r="H967" s="8">
        <f>VLOOKUP(A967,[1]!Table1[#All],32,FALSE)</f>
        <v>43586</v>
      </c>
      <c r="I967" s="8">
        <f>VLOOKUP(A967,[1]!Table1[#All],33,FALSE)</f>
        <v>45929</v>
      </c>
      <c r="J967" t="str">
        <f t="shared" ca="1" si="15"/>
        <v>Non UDO</v>
      </c>
    </row>
    <row r="968" spans="1:10" x14ac:dyDescent="0.35">
      <c r="A968" s="5" t="s">
        <v>33</v>
      </c>
      <c r="B968" s="6">
        <v>44197</v>
      </c>
      <c r="C968" s="7">
        <v>43561799</v>
      </c>
      <c r="D968" s="7">
        <v>17575781.600000001</v>
      </c>
      <c r="E968" s="7">
        <v>25986017.399999999</v>
      </c>
      <c r="F968" t="str">
        <f>VLOOKUP(A968,[1]!Table1[#All],17,FALSE)</f>
        <v>UNITED STATES</v>
      </c>
      <c r="G968" t="str">
        <f>VLOOKUP(A968,[1]!Table1[#All],22,FALSE)</f>
        <v>UNIVERSITY OF MARYLAND BALTIMORE PROFESSIONAL SCHO</v>
      </c>
      <c r="H968" s="8">
        <f>VLOOKUP(A968,[1]!Table1[#All],32,FALSE)</f>
        <v>43586</v>
      </c>
      <c r="I968" s="8">
        <f>VLOOKUP(A968,[1]!Table1[#All],33,FALSE)</f>
        <v>45929</v>
      </c>
      <c r="J968" t="str">
        <f t="shared" ca="1" si="15"/>
        <v>Non UDO</v>
      </c>
    </row>
    <row r="969" spans="1:10" x14ac:dyDescent="0.35">
      <c r="A969" s="9" t="s">
        <v>33</v>
      </c>
      <c r="B969" s="10">
        <v>44228</v>
      </c>
      <c r="C969" s="11">
        <v>43561799</v>
      </c>
      <c r="D969" s="11">
        <v>17927824.719999999</v>
      </c>
      <c r="E969" s="11">
        <v>25633974.280000001</v>
      </c>
      <c r="F969" t="str">
        <f>VLOOKUP(A969,[1]!Table1[#All],17,FALSE)</f>
        <v>UNITED STATES</v>
      </c>
      <c r="G969" t="str">
        <f>VLOOKUP(A969,[1]!Table1[#All],22,FALSE)</f>
        <v>UNIVERSITY OF MARYLAND BALTIMORE PROFESSIONAL SCHO</v>
      </c>
      <c r="H969" s="8">
        <f>VLOOKUP(A969,[1]!Table1[#All],32,FALSE)</f>
        <v>43586</v>
      </c>
      <c r="I969" s="8">
        <f>VLOOKUP(A969,[1]!Table1[#All],33,FALSE)</f>
        <v>45929</v>
      </c>
      <c r="J969" t="str">
        <f t="shared" ca="1" si="15"/>
        <v>Non UDO</v>
      </c>
    </row>
    <row r="970" spans="1:10" x14ac:dyDescent="0.35">
      <c r="A970" s="5" t="s">
        <v>33</v>
      </c>
      <c r="B970" s="6">
        <v>44256</v>
      </c>
      <c r="C970" s="7">
        <v>43561799</v>
      </c>
      <c r="D970" s="7">
        <v>19463265.190000001</v>
      </c>
      <c r="E970" s="7">
        <v>24098533.809999999</v>
      </c>
      <c r="F970" t="str">
        <f>VLOOKUP(A970,[1]!Table1[#All],17,FALSE)</f>
        <v>UNITED STATES</v>
      </c>
      <c r="G970" t="str">
        <f>VLOOKUP(A970,[1]!Table1[#All],22,FALSE)</f>
        <v>UNIVERSITY OF MARYLAND BALTIMORE PROFESSIONAL SCHO</v>
      </c>
      <c r="H970" s="8">
        <f>VLOOKUP(A970,[1]!Table1[#All],32,FALSE)</f>
        <v>43586</v>
      </c>
      <c r="I970" s="8">
        <f>VLOOKUP(A970,[1]!Table1[#All],33,FALSE)</f>
        <v>45929</v>
      </c>
      <c r="J970" t="str">
        <f t="shared" ca="1" si="15"/>
        <v>Non UDO</v>
      </c>
    </row>
    <row r="971" spans="1:10" x14ac:dyDescent="0.35">
      <c r="A971" s="9" t="s">
        <v>33</v>
      </c>
      <c r="B971" s="10">
        <v>44317</v>
      </c>
      <c r="C971" s="11">
        <v>43561799</v>
      </c>
      <c r="D971" s="11">
        <v>21841373.32</v>
      </c>
      <c r="E971" s="11">
        <v>21720425.68</v>
      </c>
      <c r="F971" t="str">
        <f>VLOOKUP(A971,[1]!Table1[#All],17,FALSE)</f>
        <v>UNITED STATES</v>
      </c>
      <c r="G971" t="str">
        <f>VLOOKUP(A971,[1]!Table1[#All],22,FALSE)</f>
        <v>UNIVERSITY OF MARYLAND BALTIMORE PROFESSIONAL SCHO</v>
      </c>
      <c r="H971" s="8">
        <f>VLOOKUP(A971,[1]!Table1[#All],32,FALSE)</f>
        <v>43586</v>
      </c>
      <c r="I971" s="8">
        <f>VLOOKUP(A971,[1]!Table1[#All],33,FALSE)</f>
        <v>45929</v>
      </c>
      <c r="J971" t="str">
        <f t="shared" ca="1" si="15"/>
        <v>Non UDO</v>
      </c>
    </row>
    <row r="972" spans="1:10" x14ac:dyDescent="0.35">
      <c r="A972" s="5" t="s">
        <v>33</v>
      </c>
      <c r="B972" s="6">
        <v>44348</v>
      </c>
      <c r="C972" s="7">
        <v>43561799</v>
      </c>
      <c r="D972" s="7">
        <v>24840196.989999998</v>
      </c>
      <c r="E972" s="7">
        <v>18721602.010000002</v>
      </c>
      <c r="F972" t="str">
        <f>VLOOKUP(A972,[1]!Table1[#All],17,FALSE)</f>
        <v>UNITED STATES</v>
      </c>
      <c r="G972" t="str">
        <f>VLOOKUP(A972,[1]!Table1[#All],22,FALSE)</f>
        <v>UNIVERSITY OF MARYLAND BALTIMORE PROFESSIONAL SCHO</v>
      </c>
      <c r="H972" s="8">
        <f>VLOOKUP(A972,[1]!Table1[#All],32,FALSE)</f>
        <v>43586</v>
      </c>
      <c r="I972" s="8">
        <f>VLOOKUP(A972,[1]!Table1[#All],33,FALSE)</f>
        <v>45929</v>
      </c>
      <c r="J972" t="str">
        <f t="shared" ca="1" si="15"/>
        <v>Non UDO</v>
      </c>
    </row>
    <row r="973" spans="1:10" x14ac:dyDescent="0.35">
      <c r="A973" s="9" t="s">
        <v>33</v>
      </c>
      <c r="B973" s="10">
        <v>44378</v>
      </c>
      <c r="C973" s="11">
        <v>43561799</v>
      </c>
      <c r="D973" s="11">
        <v>28434315.170000002</v>
      </c>
      <c r="E973" s="11">
        <v>15127483.83</v>
      </c>
      <c r="F973" t="str">
        <f>VLOOKUP(A973,[1]!Table1[#All],17,FALSE)</f>
        <v>UNITED STATES</v>
      </c>
      <c r="G973" t="str">
        <f>VLOOKUP(A973,[1]!Table1[#All],22,FALSE)</f>
        <v>UNIVERSITY OF MARYLAND BALTIMORE PROFESSIONAL SCHO</v>
      </c>
      <c r="H973" s="8">
        <f>VLOOKUP(A973,[1]!Table1[#All],32,FALSE)</f>
        <v>43586</v>
      </c>
      <c r="I973" s="8">
        <f>VLOOKUP(A973,[1]!Table1[#All],33,FALSE)</f>
        <v>45929</v>
      </c>
      <c r="J973" t="str">
        <f t="shared" ca="1" si="15"/>
        <v>Non UDO</v>
      </c>
    </row>
    <row r="974" spans="1:10" x14ac:dyDescent="0.35">
      <c r="A974" s="5" t="s">
        <v>33</v>
      </c>
      <c r="B974" s="6">
        <v>44409</v>
      </c>
      <c r="C974" s="7">
        <v>43561799</v>
      </c>
      <c r="D974" s="7">
        <v>32892441.940000001</v>
      </c>
      <c r="E974" s="7">
        <v>10669357.060000001</v>
      </c>
      <c r="F974" t="str">
        <f>VLOOKUP(A974,[1]!Table1[#All],17,FALSE)</f>
        <v>UNITED STATES</v>
      </c>
      <c r="G974" t="str">
        <f>VLOOKUP(A974,[1]!Table1[#All],22,FALSE)</f>
        <v>UNIVERSITY OF MARYLAND BALTIMORE PROFESSIONAL SCHO</v>
      </c>
      <c r="H974" s="8">
        <f>VLOOKUP(A974,[1]!Table1[#All],32,FALSE)</f>
        <v>43586</v>
      </c>
      <c r="I974" s="8">
        <f>VLOOKUP(A974,[1]!Table1[#All],33,FALSE)</f>
        <v>45929</v>
      </c>
      <c r="J974" t="str">
        <f t="shared" ca="1" si="15"/>
        <v>Non UDO</v>
      </c>
    </row>
    <row r="975" spans="1:10" x14ac:dyDescent="0.35">
      <c r="A975" s="9" t="s">
        <v>33</v>
      </c>
      <c r="B975" s="10">
        <v>44440</v>
      </c>
      <c r="C975" s="11">
        <v>43561799</v>
      </c>
      <c r="D975" s="11">
        <v>32965911.329999998</v>
      </c>
      <c r="E975" s="11">
        <v>10595887.67</v>
      </c>
      <c r="F975" t="str">
        <f>VLOOKUP(A975,[1]!Table1[#All],17,FALSE)</f>
        <v>UNITED STATES</v>
      </c>
      <c r="G975" t="str">
        <f>VLOOKUP(A975,[1]!Table1[#All],22,FALSE)</f>
        <v>UNIVERSITY OF MARYLAND BALTIMORE PROFESSIONAL SCHO</v>
      </c>
      <c r="H975" s="8">
        <f>VLOOKUP(A975,[1]!Table1[#All],32,FALSE)</f>
        <v>43586</v>
      </c>
      <c r="I975" s="8">
        <f>VLOOKUP(A975,[1]!Table1[#All],33,FALSE)</f>
        <v>45929</v>
      </c>
      <c r="J975" t="str">
        <f t="shared" ca="1" si="15"/>
        <v>Non UDO</v>
      </c>
    </row>
    <row r="976" spans="1:10" x14ac:dyDescent="0.35">
      <c r="A976" s="5" t="s">
        <v>33</v>
      </c>
      <c r="B976" s="6">
        <v>44470</v>
      </c>
      <c r="C976" s="7">
        <v>43561799</v>
      </c>
      <c r="D976" s="7">
        <v>42120437.32</v>
      </c>
      <c r="E976" s="7">
        <v>1441361.68</v>
      </c>
      <c r="F976" t="str">
        <f>VLOOKUP(A976,[1]!Table1[#All],17,FALSE)</f>
        <v>UNITED STATES</v>
      </c>
      <c r="G976" t="str">
        <f>VLOOKUP(A976,[1]!Table1[#All],22,FALSE)</f>
        <v>UNIVERSITY OF MARYLAND BALTIMORE PROFESSIONAL SCHO</v>
      </c>
      <c r="H976" s="8">
        <f>VLOOKUP(A976,[1]!Table1[#All],32,FALSE)</f>
        <v>43586</v>
      </c>
      <c r="I976" s="8">
        <f>VLOOKUP(A976,[1]!Table1[#All],33,FALSE)</f>
        <v>45929</v>
      </c>
      <c r="J976" t="str">
        <f t="shared" ca="1" si="15"/>
        <v>Non UDO</v>
      </c>
    </row>
    <row r="977" spans="1:10" x14ac:dyDescent="0.35">
      <c r="A977" s="9" t="s">
        <v>33</v>
      </c>
      <c r="B977" s="10">
        <v>44501</v>
      </c>
      <c r="C977" s="11">
        <v>43561799</v>
      </c>
      <c r="D977" s="11">
        <v>43561799</v>
      </c>
      <c r="E977" s="11">
        <v>0</v>
      </c>
      <c r="F977" t="str">
        <f>VLOOKUP(A977,[1]!Table1[#All],17,FALSE)</f>
        <v>UNITED STATES</v>
      </c>
      <c r="G977" t="str">
        <f>VLOOKUP(A977,[1]!Table1[#All],22,FALSE)</f>
        <v>UNIVERSITY OF MARYLAND BALTIMORE PROFESSIONAL SCHO</v>
      </c>
      <c r="H977" s="8">
        <f>VLOOKUP(A977,[1]!Table1[#All],32,FALSE)</f>
        <v>43586</v>
      </c>
      <c r="I977" s="8">
        <f>VLOOKUP(A977,[1]!Table1[#All],33,FALSE)</f>
        <v>45929</v>
      </c>
      <c r="J977" t="str">
        <f t="shared" ca="1" si="15"/>
        <v>Non UDO</v>
      </c>
    </row>
    <row r="978" spans="1:10" x14ac:dyDescent="0.35">
      <c r="A978" s="5" t="s">
        <v>33</v>
      </c>
      <c r="B978" s="6">
        <v>44531</v>
      </c>
      <c r="C978" s="7">
        <v>43561799</v>
      </c>
      <c r="D978" s="7">
        <v>43561799</v>
      </c>
      <c r="E978" s="7">
        <v>0</v>
      </c>
      <c r="F978" t="str">
        <f>VLOOKUP(A978,[1]!Table1[#All],17,FALSE)</f>
        <v>UNITED STATES</v>
      </c>
      <c r="G978" t="str">
        <f>VLOOKUP(A978,[1]!Table1[#All],22,FALSE)</f>
        <v>UNIVERSITY OF MARYLAND BALTIMORE PROFESSIONAL SCHO</v>
      </c>
      <c r="H978" s="8">
        <f>VLOOKUP(A978,[1]!Table1[#All],32,FALSE)</f>
        <v>43586</v>
      </c>
      <c r="I978" s="8">
        <f>VLOOKUP(A978,[1]!Table1[#All],33,FALSE)</f>
        <v>45929</v>
      </c>
      <c r="J978" t="str">
        <f t="shared" ca="1" si="15"/>
        <v>Non UDO</v>
      </c>
    </row>
    <row r="979" spans="1:10" x14ac:dyDescent="0.35">
      <c r="A979" s="9" t="s">
        <v>33</v>
      </c>
      <c r="B979" s="10">
        <v>44562</v>
      </c>
      <c r="C979" s="11">
        <v>43561799</v>
      </c>
      <c r="D979" s="11">
        <v>43561799</v>
      </c>
      <c r="E979" s="11">
        <v>0</v>
      </c>
      <c r="F979" t="str">
        <f>VLOOKUP(A979,[1]!Table1[#All],17,FALSE)</f>
        <v>UNITED STATES</v>
      </c>
      <c r="G979" t="str">
        <f>VLOOKUP(A979,[1]!Table1[#All],22,FALSE)</f>
        <v>UNIVERSITY OF MARYLAND BALTIMORE PROFESSIONAL SCHO</v>
      </c>
      <c r="H979" s="8">
        <f>VLOOKUP(A979,[1]!Table1[#All],32,FALSE)</f>
        <v>43586</v>
      </c>
      <c r="I979" s="8">
        <f>VLOOKUP(A979,[1]!Table1[#All],33,FALSE)</f>
        <v>45929</v>
      </c>
      <c r="J979" t="str">
        <f t="shared" ca="1" si="15"/>
        <v>Non UDO</v>
      </c>
    </row>
    <row r="980" spans="1:10" x14ac:dyDescent="0.35">
      <c r="A980" s="5" t="s">
        <v>33</v>
      </c>
      <c r="B980" s="6">
        <v>44593</v>
      </c>
      <c r="C980" s="7">
        <v>43561799</v>
      </c>
      <c r="D980" s="7">
        <v>43561799</v>
      </c>
      <c r="E980" s="7">
        <v>0</v>
      </c>
      <c r="F980" t="str">
        <f>VLOOKUP(A980,[1]!Table1[#All],17,FALSE)</f>
        <v>UNITED STATES</v>
      </c>
      <c r="G980" t="str">
        <f>VLOOKUP(A980,[1]!Table1[#All],22,FALSE)</f>
        <v>UNIVERSITY OF MARYLAND BALTIMORE PROFESSIONAL SCHO</v>
      </c>
      <c r="H980" s="8">
        <f>VLOOKUP(A980,[1]!Table1[#All],32,FALSE)</f>
        <v>43586</v>
      </c>
      <c r="I980" s="8">
        <f>VLOOKUP(A980,[1]!Table1[#All],33,FALSE)</f>
        <v>45929</v>
      </c>
      <c r="J980" t="str">
        <f t="shared" ca="1" si="15"/>
        <v>Non UDO</v>
      </c>
    </row>
    <row r="981" spans="1:10" x14ac:dyDescent="0.35">
      <c r="A981" s="9" t="s">
        <v>33</v>
      </c>
      <c r="B981" s="10">
        <v>44621</v>
      </c>
      <c r="C981" s="11">
        <v>43561799</v>
      </c>
      <c r="D981" s="11">
        <v>43561799</v>
      </c>
      <c r="E981" s="11">
        <v>0</v>
      </c>
      <c r="F981" t="str">
        <f>VLOOKUP(A981,[1]!Table1[#All],17,FALSE)</f>
        <v>UNITED STATES</v>
      </c>
      <c r="G981" t="str">
        <f>VLOOKUP(A981,[1]!Table1[#All],22,FALSE)</f>
        <v>UNIVERSITY OF MARYLAND BALTIMORE PROFESSIONAL SCHO</v>
      </c>
      <c r="H981" s="8">
        <f>VLOOKUP(A981,[1]!Table1[#All],32,FALSE)</f>
        <v>43586</v>
      </c>
      <c r="I981" s="8">
        <f>VLOOKUP(A981,[1]!Table1[#All],33,FALSE)</f>
        <v>45929</v>
      </c>
      <c r="J981" t="str">
        <f t="shared" ca="1" si="15"/>
        <v>Non UDO</v>
      </c>
    </row>
    <row r="982" spans="1:10" x14ac:dyDescent="0.35">
      <c r="A982" s="5" t="s">
        <v>33</v>
      </c>
      <c r="B982" s="6">
        <v>44652</v>
      </c>
      <c r="C982" s="7">
        <v>43561799</v>
      </c>
      <c r="D982" s="7">
        <v>43561799</v>
      </c>
      <c r="E982" s="7">
        <v>0</v>
      </c>
      <c r="F982" t="str">
        <f>VLOOKUP(A982,[1]!Table1[#All],17,FALSE)</f>
        <v>UNITED STATES</v>
      </c>
      <c r="G982" t="str">
        <f>VLOOKUP(A982,[1]!Table1[#All],22,FALSE)</f>
        <v>UNIVERSITY OF MARYLAND BALTIMORE PROFESSIONAL SCHO</v>
      </c>
      <c r="H982" s="8">
        <f>VLOOKUP(A982,[1]!Table1[#All],32,FALSE)</f>
        <v>43586</v>
      </c>
      <c r="I982" s="8">
        <f>VLOOKUP(A982,[1]!Table1[#All],33,FALSE)</f>
        <v>45929</v>
      </c>
      <c r="J982" t="str">
        <f t="shared" ca="1" si="15"/>
        <v>Non UDO</v>
      </c>
    </row>
    <row r="983" spans="1:10" x14ac:dyDescent="0.35">
      <c r="A983" s="9" t="s">
        <v>33</v>
      </c>
      <c r="B983" s="10">
        <v>44682</v>
      </c>
      <c r="C983" s="11">
        <v>43561799</v>
      </c>
      <c r="D983" s="11">
        <v>43561799</v>
      </c>
      <c r="E983" s="11">
        <v>0</v>
      </c>
      <c r="F983" t="str">
        <f>VLOOKUP(A983,[1]!Table1[#All],17,FALSE)</f>
        <v>UNITED STATES</v>
      </c>
      <c r="G983" t="str">
        <f>VLOOKUP(A983,[1]!Table1[#All],22,FALSE)</f>
        <v>UNIVERSITY OF MARYLAND BALTIMORE PROFESSIONAL SCHO</v>
      </c>
      <c r="H983" s="8">
        <f>VLOOKUP(A983,[1]!Table1[#All],32,FALSE)</f>
        <v>43586</v>
      </c>
      <c r="I983" s="8">
        <f>VLOOKUP(A983,[1]!Table1[#All],33,FALSE)</f>
        <v>45929</v>
      </c>
      <c r="J983" t="str">
        <f t="shared" ca="1" si="15"/>
        <v>Non UDO</v>
      </c>
    </row>
    <row r="984" spans="1:10" x14ac:dyDescent="0.35">
      <c r="A984" s="5" t="s">
        <v>33</v>
      </c>
      <c r="B984" s="6">
        <v>44713</v>
      </c>
      <c r="C984" s="7">
        <v>43561799</v>
      </c>
      <c r="D984" s="7">
        <v>43561799</v>
      </c>
      <c r="E984" s="7">
        <v>0</v>
      </c>
      <c r="F984" t="str">
        <f>VLOOKUP(A984,[1]!Table1[#All],17,FALSE)</f>
        <v>UNITED STATES</v>
      </c>
      <c r="G984" t="str">
        <f>VLOOKUP(A984,[1]!Table1[#All],22,FALSE)</f>
        <v>UNIVERSITY OF MARYLAND BALTIMORE PROFESSIONAL SCHO</v>
      </c>
      <c r="H984" s="8">
        <f>VLOOKUP(A984,[1]!Table1[#All],32,FALSE)</f>
        <v>43586</v>
      </c>
      <c r="I984" s="8">
        <f>VLOOKUP(A984,[1]!Table1[#All],33,FALSE)</f>
        <v>45929</v>
      </c>
      <c r="J984" t="str">
        <f t="shared" ca="1" si="15"/>
        <v>Non UDO</v>
      </c>
    </row>
    <row r="985" spans="1:10" x14ac:dyDescent="0.35">
      <c r="A985" s="9" t="s">
        <v>33</v>
      </c>
      <c r="B985" s="10">
        <v>44743</v>
      </c>
      <c r="C985" s="11">
        <v>43561799</v>
      </c>
      <c r="D985" s="11">
        <v>43561799</v>
      </c>
      <c r="E985" s="11">
        <v>0</v>
      </c>
      <c r="F985" t="str">
        <f>VLOOKUP(A985,[1]!Table1[#All],17,FALSE)</f>
        <v>UNITED STATES</v>
      </c>
      <c r="G985" t="str">
        <f>VLOOKUP(A985,[1]!Table1[#All],22,FALSE)</f>
        <v>UNIVERSITY OF MARYLAND BALTIMORE PROFESSIONAL SCHO</v>
      </c>
      <c r="H985" s="8">
        <f>VLOOKUP(A985,[1]!Table1[#All],32,FALSE)</f>
        <v>43586</v>
      </c>
      <c r="I985" s="8">
        <f>VLOOKUP(A985,[1]!Table1[#All],33,FALSE)</f>
        <v>45929</v>
      </c>
      <c r="J985" t="str">
        <f t="shared" ca="1" si="15"/>
        <v>Non UDO</v>
      </c>
    </row>
    <row r="986" spans="1:10" x14ac:dyDescent="0.35">
      <c r="A986" s="5" t="s">
        <v>33</v>
      </c>
      <c r="B986" s="6">
        <v>44774</v>
      </c>
      <c r="C986" s="7">
        <v>43561799</v>
      </c>
      <c r="D986" s="7">
        <v>43561799</v>
      </c>
      <c r="E986" s="7">
        <v>0</v>
      </c>
      <c r="F986" t="str">
        <f>VLOOKUP(A986,[1]!Table1[#All],17,FALSE)</f>
        <v>UNITED STATES</v>
      </c>
      <c r="G986" t="str">
        <f>VLOOKUP(A986,[1]!Table1[#All],22,FALSE)</f>
        <v>UNIVERSITY OF MARYLAND BALTIMORE PROFESSIONAL SCHO</v>
      </c>
      <c r="H986" s="8">
        <f>VLOOKUP(A986,[1]!Table1[#All],32,FALSE)</f>
        <v>43586</v>
      </c>
      <c r="I986" s="8">
        <f>VLOOKUP(A986,[1]!Table1[#All],33,FALSE)</f>
        <v>45929</v>
      </c>
      <c r="J986" t="str">
        <f t="shared" ca="1" si="15"/>
        <v>Non UDO</v>
      </c>
    </row>
    <row r="987" spans="1:10" x14ac:dyDescent="0.35">
      <c r="A987" s="9" t="s">
        <v>33</v>
      </c>
      <c r="B987" s="10">
        <v>44805</v>
      </c>
      <c r="C987" s="11">
        <v>43561799</v>
      </c>
      <c r="D987" s="11">
        <v>43561799</v>
      </c>
      <c r="E987" s="11">
        <v>0</v>
      </c>
      <c r="F987" t="str">
        <f>VLOOKUP(A987,[1]!Table1[#All],17,FALSE)</f>
        <v>UNITED STATES</v>
      </c>
      <c r="G987" t="str">
        <f>VLOOKUP(A987,[1]!Table1[#All],22,FALSE)</f>
        <v>UNIVERSITY OF MARYLAND BALTIMORE PROFESSIONAL SCHO</v>
      </c>
      <c r="H987" s="8">
        <f>VLOOKUP(A987,[1]!Table1[#All],32,FALSE)</f>
        <v>43586</v>
      </c>
      <c r="I987" s="8">
        <f>VLOOKUP(A987,[1]!Table1[#All],33,FALSE)</f>
        <v>45929</v>
      </c>
      <c r="J987" t="str">
        <f t="shared" ca="1" si="15"/>
        <v>Non UDO</v>
      </c>
    </row>
    <row r="988" spans="1:10" x14ac:dyDescent="0.35">
      <c r="A988" s="5" t="s">
        <v>33</v>
      </c>
      <c r="B988" s="6">
        <v>44835</v>
      </c>
      <c r="C988" s="7">
        <v>43561799</v>
      </c>
      <c r="D988" s="7">
        <v>43561799</v>
      </c>
      <c r="E988" s="7">
        <v>0</v>
      </c>
      <c r="F988" t="str">
        <f>VLOOKUP(A988,[1]!Table1[#All],17,FALSE)</f>
        <v>UNITED STATES</v>
      </c>
      <c r="G988" t="str">
        <f>VLOOKUP(A988,[1]!Table1[#All],22,FALSE)</f>
        <v>UNIVERSITY OF MARYLAND BALTIMORE PROFESSIONAL SCHO</v>
      </c>
      <c r="H988" s="8">
        <f>VLOOKUP(A988,[1]!Table1[#All],32,FALSE)</f>
        <v>43586</v>
      </c>
      <c r="I988" s="8">
        <f>VLOOKUP(A988,[1]!Table1[#All],33,FALSE)</f>
        <v>45929</v>
      </c>
      <c r="J988" t="str">
        <f t="shared" ca="1" si="15"/>
        <v>Non UDO</v>
      </c>
    </row>
    <row r="989" spans="1:10" x14ac:dyDescent="0.35">
      <c r="A989" s="9" t="s">
        <v>33</v>
      </c>
      <c r="B989" s="10">
        <v>44866</v>
      </c>
      <c r="C989" s="11">
        <v>43561799</v>
      </c>
      <c r="D989" s="11">
        <v>43561799</v>
      </c>
      <c r="E989" s="11">
        <v>0</v>
      </c>
      <c r="F989" t="str">
        <f>VLOOKUP(A989,[1]!Table1[#All],17,FALSE)</f>
        <v>UNITED STATES</v>
      </c>
      <c r="G989" t="str">
        <f>VLOOKUP(A989,[1]!Table1[#All],22,FALSE)</f>
        <v>UNIVERSITY OF MARYLAND BALTIMORE PROFESSIONAL SCHO</v>
      </c>
      <c r="H989" s="8">
        <f>VLOOKUP(A989,[1]!Table1[#All],32,FALSE)</f>
        <v>43586</v>
      </c>
      <c r="I989" s="8">
        <f>VLOOKUP(A989,[1]!Table1[#All],33,FALSE)</f>
        <v>45929</v>
      </c>
      <c r="J989" t="str">
        <f t="shared" ca="1" si="15"/>
        <v>Non UDO</v>
      </c>
    </row>
    <row r="990" spans="1:10" x14ac:dyDescent="0.35">
      <c r="A990" s="5" t="s">
        <v>33</v>
      </c>
      <c r="B990" s="6">
        <v>44896</v>
      </c>
      <c r="C990" s="7">
        <v>43561799</v>
      </c>
      <c r="D990" s="7">
        <v>43561799</v>
      </c>
      <c r="E990" s="7">
        <v>0</v>
      </c>
      <c r="F990" t="str">
        <f>VLOOKUP(A990,[1]!Table1[#All],17,FALSE)</f>
        <v>UNITED STATES</v>
      </c>
      <c r="G990" t="str">
        <f>VLOOKUP(A990,[1]!Table1[#All],22,FALSE)</f>
        <v>UNIVERSITY OF MARYLAND BALTIMORE PROFESSIONAL SCHO</v>
      </c>
      <c r="H990" s="8">
        <f>VLOOKUP(A990,[1]!Table1[#All],32,FALSE)</f>
        <v>43586</v>
      </c>
      <c r="I990" s="8">
        <f>VLOOKUP(A990,[1]!Table1[#All],33,FALSE)</f>
        <v>45929</v>
      </c>
      <c r="J990" t="str">
        <f t="shared" ca="1" si="15"/>
        <v>Non UDO</v>
      </c>
    </row>
    <row r="991" spans="1:10" x14ac:dyDescent="0.35">
      <c r="A991" s="9" t="s">
        <v>33</v>
      </c>
      <c r="B991" s="10">
        <v>44927</v>
      </c>
      <c r="C991" s="11">
        <v>43561799</v>
      </c>
      <c r="D991" s="11">
        <v>43561799</v>
      </c>
      <c r="E991" s="11">
        <v>0</v>
      </c>
      <c r="F991" t="str">
        <f>VLOOKUP(A991,[1]!Table1[#All],17,FALSE)</f>
        <v>UNITED STATES</v>
      </c>
      <c r="G991" t="str">
        <f>VLOOKUP(A991,[1]!Table1[#All],22,FALSE)</f>
        <v>UNIVERSITY OF MARYLAND BALTIMORE PROFESSIONAL SCHO</v>
      </c>
      <c r="H991" s="8">
        <f>VLOOKUP(A991,[1]!Table1[#All],32,FALSE)</f>
        <v>43586</v>
      </c>
      <c r="I991" s="8">
        <f>VLOOKUP(A991,[1]!Table1[#All],33,FALSE)</f>
        <v>45929</v>
      </c>
      <c r="J991" t="str">
        <f t="shared" ca="1" si="15"/>
        <v>Non UDO</v>
      </c>
    </row>
    <row r="992" spans="1:10" x14ac:dyDescent="0.35">
      <c r="A992" s="5" t="s">
        <v>33</v>
      </c>
      <c r="B992" s="6">
        <v>44958</v>
      </c>
      <c r="C992" s="7">
        <v>43561799</v>
      </c>
      <c r="D992" s="7">
        <v>43561799</v>
      </c>
      <c r="E992" s="7">
        <v>0</v>
      </c>
      <c r="F992" t="str">
        <f>VLOOKUP(A992,[1]!Table1[#All],17,FALSE)</f>
        <v>UNITED STATES</v>
      </c>
      <c r="G992" t="str">
        <f>VLOOKUP(A992,[1]!Table1[#All],22,FALSE)</f>
        <v>UNIVERSITY OF MARYLAND BALTIMORE PROFESSIONAL SCHO</v>
      </c>
      <c r="H992" s="8">
        <f>VLOOKUP(A992,[1]!Table1[#All],32,FALSE)</f>
        <v>43586</v>
      </c>
      <c r="I992" s="8">
        <f>VLOOKUP(A992,[1]!Table1[#All],33,FALSE)</f>
        <v>45929</v>
      </c>
      <c r="J992" t="str">
        <f t="shared" ca="1" si="15"/>
        <v>Non UDO</v>
      </c>
    </row>
    <row r="993" spans="1:10" x14ac:dyDescent="0.35">
      <c r="A993" s="9" t="s">
        <v>33</v>
      </c>
      <c r="B993" s="10">
        <v>44986</v>
      </c>
      <c r="C993" s="11">
        <v>43561799</v>
      </c>
      <c r="D993" s="11">
        <v>43561799</v>
      </c>
      <c r="E993" s="11">
        <v>0</v>
      </c>
      <c r="F993" t="str">
        <f>VLOOKUP(A993,[1]!Table1[#All],17,FALSE)</f>
        <v>UNITED STATES</v>
      </c>
      <c r="G993" t="str">
        <f>VLOOKUP(A993,[1]!Table1[#All],22,FALSE)</f>
        <v>UNIVERSITY OF MARYLAND BALTIMORE PROFESSIONAL SCHO</v>
      </c>
      <c r="H993" s="8">
        <f>VLOOKUP(A993,[1]!Table1[#All],32,FALSE)</f>
        <v>43586</v>
      </c>
      <c r="I993" s="8">
        <f>VLOOKUP(A993,[1]!Table1[#All],33,FALSE)</f>
        <v>45929</v>
      </c>
      <c r="J993" t="str">
        <f t="shared" ca="1" si="15"/>
        <v>Non UDO</v>
      </c>
    </row>
    <row r="994" spans="1:10" x14ac:dyDescent="0.35">
      <c r="A994" s="5" t="s">
        <v>33</v>
      </c>
      <c r="B994" s="6">
        <v>45017</v>
      </c>
      <c r="C994" s="7">
        <v>43561799</v>
      </c>
      <c r="D994" s="7">
        <v>43561799</v>
      </c>
      <c r="E994" s="7">
        <v>0</v>
      </c>
      <c r="F994" t="str">
        <f>VLOOKUP(A994,[1]!Table1[#All],17,FALSE)</f>
        <v>UNITED STATES</v>
      </c>
      <c r="G994" t="str">
        <f>VLOOKUP(A994,[1]!Table1[#All],22,FALSE)</f>
        <v>UNIVERSITY OF MARYLAND BALTIMORE PROFESSIONAL SCHO</v>
      </c>
      <c r="H994" s="8">
        <f>VLOOKUP(A994,[1]!Table1[#All],32,FALSE)</f>
        <v>43586</v>
      </c>
      <c r="I994" s="8">
        <f>VLOOKUP(A994,[1]!Table1[#All],33,FALSE)</f>
        <v>45929</v>
      </c>
      <c r="J994" t="str">
        <f t="shared" ca="1" si="15"/>
        <v>Non UDO</v>
      </c>
    </row>
    <row r="995" spans="1:10" x14ac:dyDescent="0.35">
      <c r="A995" s="9" t="s">
        <v>33</v>
      </c>
      <c r="B995" s="10">
        <v>45047</v>
      </c>
      <c r="C995" s="11">
        <v>43561799</v>
      </c>
      <c r="D995" s="11">
        <v>43561799</v>
      </c>
      <c r="E995" s="11">
        <v>0</v>
      </c>
      <c r="F995" t="str">
        <f>VLOOKUP(A995,[1]!Table1[#All],17,FALSE)</f>
        <v>UNITED STATES</v>
      </c>
      <c r="G995" t="str">
        <f>VLOOKUP(A995,[1]!Table1[#All],22,FALSE)</f>
        <v>UNIVERSITY OF MARYLAND BALTIMORE PROFESSIONAL SCHO</v>
      </c>
      <c r="H995" s="8">
        <f>VLOOKUP(A995,[1]!Table1[#All],32,FALSE)</f>
        <v>43586</v>
      </c>
      <c r="I995" s="8">
        <f>VLOOKUP(A995,[1]!Table1[#All],33,FALSE)</f>
        <v>45929</v>
      </c>
      <c r="J995" t="str">
        <f t="shared" ca="1" si="15"/>
        <v>Non UDO</v>
      </c>
    </row>
    <row r="996" spans="1:10" x14ac:dyDescent="0.35">
      <c r="A996" s="5" t="s">
        <v>33</v>
      </c>
      <c r="B996" s="6">
        <v>45078</v>
      </c>
      <c r="C996" s="7">
        <v>43561799</v>
      </c>
      <c r="D996" s="7">
        <v>43561799</v>
      </c>
      <c r="E996" s="7">
        <v>0</v>
      </c>
      <c r="F996" t="str">
        <f>VLOOKUP(A996,[1]!Table1[#All],17,FALSE)</f>
        <v>UNITED STATES</v>
      </c>
      <c r="G996" t="str">
        <f>VLOOKUP(A996,[1]!Table1[#All],22,FALSE)</f>
        <v>UNIVERSITY OF MARYLAND BALTIMORE PROFESSIONAL SCHO</v>
      </c>
      <c r="H996" s="8">
        <f>VLOOKUP(A996,[1]!Table1[#All],32,FALSE)</f>
        <v>43586</v>
      </c>
      <c r="I996" s="8">
        <f>VLOOKUP(A996,[1]!Table1[#All],33,FALSE)</f>
        <v>45929</v>
      </c>
      <c r="J996" t="str">
        <f t="shared" ca="1" si="15"/>
        <v>Non UDO</v>
      </c>
    </row>
    <row r="997" spans="1:10" x14ac:dyDescent="0.35">
      <c r="A997" s="9" t="s">
        <v>33</v>
      </c>
      <c r="B997" s="10">
        <v>45108</v>
      </c>
      <c r="C997" s="11">
        <v>43561799</v>
      </c>
      <c r="D997" s="11">
        <v>43561799</v>
      </c>
      <c r="E997" s="11">
        <v>0</v>
      </c>
      <c r="F997" t="str">
        <f>VLOOKUP(A997,[1]!Table1[#All],17,FALSE)</f>
        <v>UNITED STATES</v>
      </c>
      <c r="G997" t="str">
        <f>VLOOKUP(A997,[1]!Table1[#All],22,FALSE)</f>
        <v>UNIVERSITY OF MARYLAND BALTIMORE PROFESSIONAL SCHO</v>
      </c>
      <c r="H997" s="8">
        <f>VLOOKUP(A997,[1]!Table1[#All],32,FALSE)</f>
        <v>43586</v>
      </c>
      <c r="I997" s="8">
        <f>VLOOKUP(A997,[1]!Table1[#All],33,FALSE)</f>
        <v>45929</v>
      </c>
      <c r="J997" t="str">
        <f t="shared" ca="1" si="15"/>
        <v>Non UDO</v>
      </c>
    </row>
    <row r="998" spans="1:10" x14ac:dyDescent="0.35">
      <c r="A998" s="5" t="s">
        <v>33</v>
      </c>
      <c r="B998" s="6">
        <v>45139</v>
      </c>
      <c r="C998" s="7">
        <v>43561799</v>
      </c>
      <c r="D998" s="7">
        <v>43561799</v>
      </c>
      <c r="E998" s="7">
        <v>0</v>
      </c>
      <c r="F998" t="str">
        <f>VLOOKUP(A998,[1]!Table1[#All],17,FALSE)</f>
        <v>UNITED STATES</v>
      </c>
      <c r="G998" t="str">
        <f>VLOOKUP(A998,[1]!Table1[#All],22,FALSE)</f>
        <v>UNIVERSITY OF MARYLAND BALTIMORE PROFESSIONAL SCHO</v>
      </c>
      <c r="H998" s="8">
        <f>VLOOKUP(A998,[1]!Table1[#All],32,FALSE)</f>
        <v>43586</v>
      </c>
      <c r="I998" s="8">
        <f>VLOOKUP(A998,[1]!Table1[#All],33,FALSE)</f>
        <v>45929</v>
      </c>
      <c r="J998" t="str">
        <f t="shared" ca="1" si="15"/>
        <v>Non UDO</v>
      </c>
    </row>
    <row r="999" spans="1:10" x14ac:dyDescent="0.35">
      <c r="A999" s="9" t="s">
        <v>33</v>
      </c>
      <c r="B999" s="10">
        <v>45170</v>
      </c>
      <c r="C999" s="11">
        <v>43561799</v>
      </c>
      <c r="D999" s="11">
        <v>43561799</v>
      </c>
      <c r="E999" s="11">
        <v>0</v>
      </c>
      <c r="F999" t="str">
        <f>VLOOKUP(A999,[1]!Table1[#All],17,FALSE)</f>
        <v>UNITED STATES</v>
      </c>
      <c r="G999" t="str">
        <f>VLOOKUP(A999,[1]!Table1[#All],22,FALSE)</f>
        <v>UNIVERSITY OF MARYLAND BALTIMORE PROFESSIONAL SCHO</v>
      </c>
      <c r="H999" s="8">
        <f>VLOOKUP(A999,[1]!Table1[#All],32,FALSE)</f>
        <v>43586</v>
      </c>
      <c r="I999" s="8">
        <f>VLOOKUP(A999,[1]!Table1[#All],33,FALSE)</f>
        <v>45929</v>
      </c>
      <c r="J999" t="str">
        <f t="shared" ca="1" si="15"/>
        <v>Non UDO</v>
      </c>
    </row>
    <row r="1000" spans="1:10" x14ac:dyDescent="0.35">
      <c r="A1000" s="5" t="s">
        <v>34</v>
      </c>
      <c r="B1000" s="6">
        <v>44105</v>
      </c>
      <c r="C1000" s="7">
        <v>85587484</v>
      </c>
      <c r="D1000" s="7">
        <v>36987087.789999999</v>
      </c>
      <c r="E1000" s="7">
        <v>48600396.210000001</v>
      </c>
      <c r="F1000" t="str">
        <f>VLOOKUP(A1000,[1]!Table1[#All],17,FALSE)</f>
        <v>UNITED STATES</v>
      </c>
      <c r="G1000" t="str">
        <f>VLOOKUP(A1000,[1]!Table1[#All],22,FALSE)</f>
        <v>Trustees Of Columbia University In The City Of New</v>
      </c>
      <c r="H1000" s="8">
        <f>VLOOKUP(A1000,[1]!Table1[#All],32,FALSE)</f>
        <v>43465</v>
      </c>
      <c r="I1000" s="8">
        <f>VLOOKUP(A1000,[1]!Table1[#All],33,FALSE)</f>
        <v>45564</v>
      </c>
      <c r="J1000" t="str">
        <f t="shared" ca="1" si="15"/>
        <v>UDO</v>
      </c>
    </row>
    <row r="1001" spans="1:10" x14ac:dyDescent="0.35">
      <c r="A1001" s="9" t="s">
        <v>34</v>
      </c>
      <c r="B1001" s="10">
        <v>44136</v>
      </c>
      <c r="C1001" s="11">
        <v>85587484</v>
      </c>
      <c r="D1001" s="11">
        <v>38064223.670000002</v>
      </c>
      <c r="E1001" s="11">
        <v>47523260.329999998</v>
      </c>
      <c r="F1001" t="str">
        <f>VLOOKUP(A1001,[1]!Table1[#All],17,FALSE)</f>
        <v>UNITED STATES</v>
      </c>
      <c r="G1001" t="str">
        <f>VLOOKUP(A1001,[1]!Table1[#All],22,FALSE)</f>
        <v>Trustees Of Columbia University In The City Of New</v>
      </c>
      <c r="H1001" s="8">
        <f>VLOOKUP(A1001,[1]!Table1[#All],32,FALSE)</f>
        <v>43465</v>
      </c>
      <c r="I1001" s="8">
        <f>VLOOKUP(A1001,[1]!Table1[#All],33,FALSE)</f>
        <v>45564</v>
      </c>
      <c r="J1001" t="str">
        <f t="shared" ca="1" si="15"/>
        <v>UDO</v>
      </c>
    </row>
    <row r="1002" spans="1:10" x14ac:dyDescent="0.35">
      <c r="A1002" s="5" t="s">
        <v>34</v>
      </c>
      <c r="B1002" s="6">
        <v>44166</v>
      </c>
      <c r="C1002" s="7">
        <v>85587484</v>
      </c>
      <c r="D1002" s="7">
        <v>39328089.649999999</v>
      </c>
      <c r="E1002" s="7">
        <v>46259394.350000001</v>
      </c>
      <c r="F1002" t="str">
        <f>VLOOKUP(A1002,[1]!Table1[#All],17,FALSE)</f>
        <v>UNITED STATES</v>
      </c>
      <c r="G1002" t="str">
        <f>VLOOKUP(A1002,[1]!Table1[#All],22,FALSE)</f>
        <v>Trustees Of Columbia University In The City Of New</v>
      </c>
      <c r="H1002" s="8">
        <f>VLOOKUP(A1002,[1]!Table1[#All],32,FALSE)</f>
        <v>43465</v>
      </c>
      <c r="I1002" s="8">
        <f>VLOOKUP(A1002,[1]!Table1[#All],33,FALSE)</f>
        <v>45564</v>
      </c>
      <c r="J1002" t="str">
        <f t="shared" ca="1" si="15"/>
        <v>UDO</v>
      </c>
    </row>
    <row r="1003" spans="1:10" x14ac:dyDescent="0.35">
      <c r="A1003" s="9" t="s">
        <v>34</v>
      </c>
      <c r="B1003" s="10">
        <v>44197</v>
      </c>
      <c r="C1003" s="11">
        <v>85587484</v>
      </c>
      <c r="D1003" s="11">
        <v>43813119.700000003</v>
      </c>
      <c r="E1003" s="11">
        <v>41774364.299999997</v>
      </c>
      <c r="F1003" t="str">
        <f>VLOOKUP(A1003,[1]!Table1[#All],17,FALSE)</f>
        <v>UNITED STATES</v>
      </c>
      <c r="G1003" t="str">
        <f>VLOOKUP(A1003,[1]!Table1[#All],22,FALSE)</f>
        <v>Trustees Of Columbia University In The City Of New</v>
      </c>
      <c r="H1003" s="8">
        <f>VLOOKUP(A1003,[1]!Table1[#All],32,FALSE)</f>
        <v>43465</v>
      </c>
      <c r="I1003" s="8">
        <f>VLOOKUP(A1003,[1]!Table1[#All],33,FALSE)</f>
        <v>45564</v>
      </c>
      <c r="J1003" t="str">
        <f t="shared" ca="1" si="15"/>
        <v>UDO</v>
      </c>
    </row>
    <row r="1004" spans="1:10" x14ac:dyDescent="0.35">
      <c r="A1004" s="5" t="s">
        <v>34</v>
      </c>
      <c r="B1004" s="6">
        <v>44228</v>
      </c>
      <c r="C1004" s="7">
        <v>85587484</v>
      </c>
      <c r="D1004" s="7">
        <v>47658597.539999999</v>
      </c>
      <c r="E1004" s="7">
        <v>37928886.460000001</v>
      </c>
      <c r="F1004" t="str">
        <f>VLOOKUP(A1004,[1]!Table1[#All],17,FALSE)</f>
        <v>UNITED STATES</v>
      </c>
      <c r="G1004" t="str">
        <f>VLOOKUP(A1004,[1]!Table1[#All],22,FALSE)</f>
        <v>Trustees Of Columbia University In The City Of New</v>
      </c>
      <c r="H1004" s="8">
        <f>VLOOKUP(A1004,[1]!Table1[#All],32,FALSE)</f>
        <v>43465</v>
      </c>
      <c r="I1004" s="8">
        <f>VLOOKUP(A1004,[1]!Table1[#All],33,FALSE)</f>
        <v>45564</v>
      </c>
      <c r="J1004" t="str">
        <f t="shared" ca="1" si="15"/>
        <v>UDO</v>
      </c>
    </row>
    <row r="1005" spans="1:10" x14ac:dyDescent="0.35">
      <c r="A1005" s="9" t="s">
        <v>34</v>
      </c>
      <c r="B1005" s="10">
        <v>44256</v>
      </c>
      <c r="C1005" s="11">
        <v>85587484</v>
      </c>
      <c r="D1005" s="11">
        <v>52016518.049999997</v>
      </c>
      <c r="E1005" s="11">
        <v>33570965.950000003</v>
      </c>
      <c r="F1005" t="str">
        <f>VLOOKUP(A1005,[1]!Table1[#All],17,FALSE)</f>
        <v>UNITED STATES</v>
      </c>
      <c r="G1005" t="str">
        <f>VLOOKUP(A1005,[1]!Table1[#All],22,FALSE)</f>
        <v>Trustees Of Columbia University In The City Of New</v>
      </c>
      <c r="H1005" s="8">
        <f>VLOOKUP(A1005,[1]!Table1[#All],32,FALSE)</f>
        <v>43465</v>
      </c>
      <c r="I1005" s="8">
        <f>VLOOKUP(A1005,[1]!Table1[#All],33,FALSE)</f>
        <v>45564</v>
      </c>
      <c r="J1005" t="str">
        <f t="shared" ca="1" si="15"/>
        <v>UDO</v>
      </c>
    </row>
    <row r="1006" spans="1:10" x14ac:dyDescent="0.35">
      <c r="A1006" s="5" t="s">
        <v>34</v>
      </c>
      <c r="B1006" s="6">
        <v>44317</v>
      </c>
      <c r="C1006" s="7">
        <v>85587484</v>
      </c>
      <c r="D1006" s="7">
        <v>60064446.600000001</v>
      </c>
      <c r="E1006" s="7">
        <v>25523037.399999999</v>
      </c>
      <c r="F1006" t="str">
        <f>VLOOKUP(A1006,[1]!Table1[#All],17,FALSE)</f>
        <v>UNITED STATES</v>
      </c>
      <c r="G1006" t="str">
        <f>VLOOKUP(A1006,[1]!Table1[#All],22,FALSE)</f>
        <v>Trustees Of Columbia University In The City Of New</v>
      </c>
      <c r="H1006" s="8">
        <f>VLOOKUP(A1006,[1]!Table1[#All],32,FALSE)</f>
        <v>43465</v>
      </c>
      <c r="I1006" s="8">
        <f>VLOOKUP(A1006,[1]!Table1[#All],33,FALSE)</f>
        <v>45564</v>
      </c>
      <c r="J1006" t="str">
        <f t="shared" ca="1" si="15"/>
        <v>UDO</v>
      </c>
    </row>
    <row r="1007" spans="1:10" x14ac:dyDescent="0.35">
      <c r="A1007" s="9" t="s">
        <v>34</v>
      </c>
      <c r="B1007" s="10">
        <v>44348</v>
      </c>
      <c r="C1007" s="11">
        <v>85587484</v>
      </c>
      <c r="D1007" s="11">
        <v>65357966.469999999</v>
      </c>
      <c r="E1007" s="11">
        <v>20229517.529999997</v>
      </c>
      <c r="F1007" t="str">
        <f>VLOOKUP(A1007,[1]!Table1[#All],17,FALSE)</f>
        <v>UNITED STATES</v>
      </c>
      <c r="G1007" t="str">
        <f>VLOOKUP(A1007,[1]!Table1[#All],22,FALSE)</f>
        <v>Trustees Of Columbia University In The City Of New</v>
      </c>
      <c r="H1007" s="8">
        <f>VLOOKUP(A1007,[1]!Table1[#All],32,FALSE)</f>
        <v>43465</v>
      </c>
      <c r="I1007" s="8">
        <f>VLOOKUP(A1007,[1]!Table1[#All],33,FALSE)</f>
        <v>45564</v>
      </c>
      <c r="J1007" t="str">
        <f t="shared" ca="1" si="15"/>
        <v>UDO</v>
      </c>
    </row>
    <row r="1008" spans="1:10" x14ac:dyDescent="0.35">
      <c r="A1008" s="5" t="s">
        <v>34</v>
      </c>
      <c r="B1008" s="6">
        <v>44378</v>
      </c>
      <c r="C1008" s="7">
        <v>85587484</v>
      </c>
      <c r="D1008" s="7">
        <v>69677193.109999999</v>
      </c>
      <c r="E1008" s="7">
        <v>15910290.890000001</v>
      </c>
      <c r="F1008" t="str">
        <f>VLOOKUP(A1008,[1]!Table1[#All],17,FALSE)</f>
        <v>UNITED STATES</v>
      </c>
      <c r="G1008" t="str">
        <f>VLOOKUP(A1008,[1]!Table1[#All],22,FALSE)</f>
        <v>Trustees Of Columbia University In The City Of New</v>
      </c>
      <c r="H1008" s="8">
        <f>VLOOKUP(A1008,[1]!Table1[#All],32,FALSE)</f>
        <v>43465</v>
      </c>
      <c r="I1008" s="8">
        <f>VLOOKUP(A1008,[1]!Table1[#All],33,FALSE)</f>
        <v>45564</v>
      </c>
      <c r="J1008" t="str">
        <f t="shared" ca="1" si="15"/>
        <v>UDO</v>
      </c>
    </row>
    <row r="1009" spans="1:10" x14ac:dyDescent="0.35">
      <c r="A1009" s="9" t="s">
        <v>34</v>
      </c>
      <c r="B1009" s="10">
        <v>44409</v>
      </c>
      <c r="C1009" s="11">
        <v>85587484</v>
      </c>
      <c r="D1009" s="11">
        <v>72099875.299999997</v>
      </c>
      <c r="E1009" s="11">
        <v>13487608.699999999</v>
      </c>
      <c r="F1009" t="str">
        <f>VLOOKUP(A1009,[1]!Table1[#All],17,FALSE)</f>
        <v>UNITED STATES</v>
      </c>
      <c r="G1009" t="str">
        <f>VLOOKUP(A1009,[1]!Table1[#All],22,FALSE)</f>
        <v>Trustees Of Columbia University In The City Of New</v>
      </c>
      <c r="H1009" s="8">
        <f>VLOOKUP(A1009,[1]!Table1[#All],32,FALSE)</f>
        <v>43465</v>
      </c>
      <c r="I1009" s="8">
        <f>VLOOKUP(A1009,[1]!Table1[#All],33,FALSE)</f>
        <v>45564</v>
      </c>
      <c r="J1009" t="str">
        <f t="shared" ca="1" si="15"/>
        <v>UDO</v>
      </c>
    </row>
    <row r="1010" spans="1:10" x14ac:dyDescent="0.35">
      <c r="A1010" s="5" t="s">
        <v>34</v>
      </c>
      <c r="B1010" s="6">
        <v>44440</v>
      </c>
      <c r="C1010" s="7">
        <v>85587484</v>
      </c>
      <c r="D1010" s="7">
        <v>79488787.570000008</v>
      </c>
      <c r="E1010" s="7">
        <v>6098696.4299999997</v>
      </c>
      <c r="F1010" t="str">
        <f>VLOOKUP(A1010,[1]!Table1[#All],17,FALSE)</f>
        <v>UNITED STATES</v>
      </c>
      <c r="G1010" t="str">
        <f>VLOOKUP(A1010,[1]!Table1[#All],22,FALSE)</f>
        <v>Trustees Of Columbia University In The City Of New</v>
      </c>
      <c r="H1010" s="8">
        <f>VLOOKUP(A1010,[1]!Table1[#All],32,FALSE)</f>
        <v>43465</v>
      </c>
      <c r="I1010" s="8">
        <f>VLOOKUP(A1010,[1]!Table1[#All],33,FALSE)</f>
        <v>45564</v>
      </c>
      <c r="J1010" t="str">
        <f t="shared" ca="1" si="15"/>
        <v>UDO</v>
      </c>
    </row>
    <row r="1011" spans="1:10" x14ac:dyDescent="0.35">
      <c r="A1011" s="9" t="s">
        <v>34</v>
      </c>
      <c r="B1011" s="10">
        <v>44470</v>
      </c>
      <c r="C1011" s="11">
        <v>85587484</v>
      </c>
      <c r="D1011" s="11">
        <v>80860306.140000001</v>
      </c>
      <c r="E1011" s="11">
        <v>4727177.8599999994</v>
      </c>
      <c r="F1011" t="str">
        <f>VLOOKUP(A1011,[1]!Table1[#All],17,FALSE)</f>
        <v>UNITED STATES</v>
      </c>
      <c r="G1011" t="str">
        <f>VLOOKUP(A1011,[1]!Table1[#All],22,FALSE)</f>
        <v>Trustees Of Columbia University In The City Of New</v>
      </c>
      <c r="H1011" s="8">
        <f>VLOOKUP(A1011,[1]!Table1[#All],32,FALSE)</f>
        <v>43465</v>
      </c>
      <c r="I1011" s="8">
        <f>VLOOKUP(A1011,[1]!Table1[#All],33,FALSE)</f>
        <v>45564</v>
      </c>
      <c r="J1011" t="str">
        <f t="shared" ca="1" si="15"/>
        <v>UDO</v>
      </c>
    </row>
    <row r="1012" spans="1:10" x14ac:dyDescent="0.35">
      <c r="A1012" s="5" t="s">
        <v>34</v>
      </c>
      <c r="B1012" s="6">
        <v>44501</v>
      </c>
      <c r="C1012" s="7">
        <v>85587484</v>
      </c>
      <c r="D1012" s="7">
        <v>83359359.200000003</v>
      </c>
      <c r="E1012" s="7">
        <v>2228124.7999999998</v>
      </c>
      <c r="F1012" t="str">
        <f>VLOOKUP(A1012,[1]!Table1[#All],17,FALSE)</f>
        <v>UNITED STATES</v>
      </c>
      <c r="G1012" t="str">
        <f>VLOOKUP(A1012,[1]!Table1[#All],22,FALSE)</f>
        <v>Trustees Of Columbia University In The City Of New</v>
      </c>
      <c r="H1012" s="8">
        <f>VLOOKUP(A1012,[1]!Table1[#All],32,FALSE)</f>
        <v>43465</v>
      </c>
      <c r="I1012" s="8">
        <f>VLOOKUP(A1012,[1]!Table1[#All],33,FALSE)</f>
        <v>45564</v>
      </c>
      <c r="J1012" t="str">
        <f t="shared" ca="1" si="15"/>
        <v>UDO</v>
      </c>
    </row>
    <row r="1013" spans="1:10" x14ac:dyDescent="0.35">
      <c r="A1013" s="9" t="s">
        <v>34</v>
      </c>
      <c r="B1013" s="10">
        <v>44531</v>
      </c>
      <c r="C1013" s="11">
        <v>85587484</v>
      </c>
      <c r="D1013" s="11">
        <v>84914242.090000004</v>
      </c>
      <c r="E1013" s="11">
        <v>673241.91</v>
      </c>
      <c r="F1013" t="str">
        <f>VLOOKUP(A1013,[1]!Table1[#All],17,FALSE)</f>
        <v>UNITED STATES</v>
      </c>
      <c r="G1013" t="str">
        <f>VLOOKUP(A1013,[1]!Table1[#All],22,FALSE)</f>
        <v>Trustees Of Columbia University In The City Of New</v>
      </c>
      <c r="H1013" s="8">
        <f>VLOOKUP(A1013,[1]!Table1[#All],32,FALSE)</f>
        <v>43465</v>
      </c>
      <c r="I1013" s="8">
        <f>VLOOKUP(A1013,[1]!Table1[#All],33,FALSE)</f>
        <v>45564</v>
      </c>
      <c r="J1013" t="str">
        <f t="shared" ca="1" si="15"/>
        <v>UDO</v>
      </c>
    </row>
    <row r="1014" spans="1:10" x14ac:dyDescent="0.35">
      <c r="A1014" s="5" t="s">
        <v>34</v>
      </c>
      <c r="B1014" s="6">
        <v>44562</v>
      </c>
      <c r="C1014" s="7">
        <v>85587484</v>
      </c>
      <c r="D1014" s="7">
        <v>84938354.140000001</v>
      </c>
      <c r="E1014" s="7">
        <v>649129.86</v>
      </c>
      <c r="F1014" t="str">
        <f>VLOOKUP(A1014,[1]!Table1[#All],17,FALSE)</f>
        <v>UNITED STATES</v>
      </c>
      <c r="G1014" t="str">
        <f>VLOOKUP(A1014,[1]!Table1[#All],22,FALSE)</f>
        <v>Trustees Of Columbia University In The City Of New</v>
      </c>
      <c r="H1014" s="8">
        <f>VLOOKUP(A1014,[1]!Table1[#All],32,FALSE)</f>
        <v>43465</v>
      </c>
      <c r="I1014" s="8">
        <f>VLOOKUP(A1014,[1]!Table1[#All],33,FALSE)</f>
        <v>45564</v>
      </c>
      <c r="J1014" t="str">
        <f t="shared" ca="1" si="15"/>
        <v>UDO</v>
      </c>
    </row>
    <row r="1015" spans="1:10" x14ac:dyDescent="0.35">
      <c r="A1015" s="9" t="s">
        <v>34</v>
      </c>
      <c r="B1015" s="10">
        <v>44593</v>
      </c>
      <c r="C1015" s="11">
        <v>85587484</v>
      </c>
      <c r="D1015" s="11">
        <v>84950495.209999993</v>
      </c>
      <c r="E1015" s="11">
        <v>636988.79</v>
      </c>
      <c r="F1015" t="str">
        <f>VLOOKUP(A1015,[1]!Table1[#All],17,FALSE)</f>
        <v>UNITED STATES</v>
      </c>
      <c r="G1015" t="str">
        <f>VLOOKUP(A1015,[1]!Table1[#All],22,FALSE)</f>
        <v>Trustees Of Columbia University In The City Of New</v>
      </c>
      <c r="H1015" s="8">
        <f>VLOOKUP(A1015,[1]!Table1[#All],32,FALSE)</f>
        <v>43465</v>
      </c>
      <c r="I1015" s="8">
        <f>VLOOKUP(A1015,[1]!Table1[#All],33,FALSE)</f>
        <v>45564</v>
      </c>
      <c r="J1015" t="str">
        <f t="shared" ca="1" si="15"/>
        <v>UDO</v>
      </c>
    </row>
    <row r="1016" spans="1:10" x14ac:dyDescent="0.35">
      <c r="A1016" s="5" t="s">
        <v>34</v>
      </c>
      <c r="B1016" s="6">
        <v>44621</v>
      </c>
      <c r="C1016" s="7">
        <v>85587484</v>
      </c>
      <c r="D1016" s="7">
        <v>85181267.469999999</v>
      </c>
      <c r="E1016" s="7">
        <v>406216.53</v>
      </c>
      <c r="F1016" t="str">
        <f>VLOOKUP(A1016,[1]!Table1[#All],17,FALSE)</f>
        <v>UNITED STATES</v>
      </c>
      <c r="G1016" t="str">
        <f>VLOOKUP(A1016,[1]!Table1[#All],22,FALSE)</f>
        <v>Trustees Of Columbia University In The City Of New</v>
      </c>
      <c r="H1016" s="8">
        <f>VLOOKUP(A1016,[1]!Table1[#All],32,FALSE)</f>
        <v>43465</v>
      </c>
      <c r="I1016" s="8">
        <f>VLOOKUP(A1016,[1]!Table1[#All],33,FALSE)</f>
        <v>45564</v>
      </c>
      <c r="J1016" t="str">
        <f t="shared" ca="1" si="15"/>
        <v>UDO</v>
      </c>
    </row>
    <row r="1017" spans="1:10" x14ac:dyDescent="0.35">
      <c r="A1017" s="9" t="s">
        <v>34</v>
      </c>
      <c r="B1017" s="10">
        <v>44652</v>
      </c>
      <c r="C1017" s="11">
        <v>85587484</v>
      </c>
      <c r="D1017" s="11">
        <v>85489734.189999998</v>
      </c>
      <c r="E1017" s="11">
        <v>97749.81</v>
      </c>
      <c r="F1017" t="str">
        <f>VLOOKUP(A1017,[1]!Table1[#All],17,FALSE)</f>
        <v>UNITED STATES</v>
      </c>
      <c r="G1017" t="str">
        <f>VLOOKUP(A1017,[1]!Table1[#All],22,FALSE)</f>
        <v>Trustees Of Columbia University In The City Of New</v>
      </c>
      <c r="H1017" s="8">
        <f>VLOOKUP(A1017,[1]!Table1[#All],32,FALSE)</f>
        <v>43465</v>
      </c>
      <c r="I1017" s="8">
        <f>VLOOKUP(A1017,[1]!Table1[#All],33,FALSE)</f>
        <v>45564</v>
      </c>
      <c r="J1017" t="str">
        <f t="shared" ca="1" si="15"/>
        <v>UDO</v>
      </c>
    </row>
    <row r="1018" spans="1:10" x14ac:dyDescent="0.35">
      <c r="A1018" s="5" t="s">
        <v>34</v>
      </c>
      <c r="B1018" s="6">
        <v>44682</v>
      </c>
      <c r="C1018" s="7">
        <v>85587484</v>
      </c>
      <c r="D1018" s="7">
        <v>85482827.549999997</v>
      </c>
      <c r="E1018" s="7">
        <v>104656.45</v>
      </c>
      <c r="F1018" t="str">
        <f>VLOOKUP(A1018,[1]!Table1[#All],17,FALSE)</f>
        <v>UNITED STATES</v>
      </c>
      <c r="G1018" t="str">
        <f>VLOOKUP(A1018,[1]!Table1[#All],22,FALSE)</f>
        <v>Trustees Of Columbia University In The City Of New</v>
      </c>
      <c r="H1018" s="8">
        <f>VLOOKUP(A1018,[1]!Table1[#All],32,FALSE)</f>
        <v>43465</v>
      </c>
      <c r="I1018" s="8">
        <f>VLOOKUP(A1018,[1]!Table1[#All],33,FALSE)</f>
        <v>45564</v>
      </c>
      <c r="J1018" t="str">
        <f t="shared" ca="1" si="15"/>
        <v>UDO</v>
      </c>
    </row>
    <row r="1019" spans="1:10" x14ac:dyDescent="0.35">
      <c r="A1019" s="9" t="s">
        <v>34</v>
      </c>
      <c r="B1019" s="10">
        <v>44713</v>
      </c>
      <c r="C1019" s="11">
        <v>85587484</v>
      </c>
      <c r="D1019" s="11">
        <v>85486812.459999993</v>
      </c>
      <c r="E1019" s="11">
        <v>100671.54</v>
      </c>
      <c r="F1019" t="str">
        <f>VLOOKUP(A1019,[1]!Table1[#All],17,FALSE)</f>
        <v>UNITED STATES</v>
      </c>
      <c r="G1019" t="str">
        <f>VLOOKUP(A1019,[1]!Table1[#All],22,FALSE)</f>
        <v>Trustees Of Columbia University In The City Of New</v>
      </c>
      <c r="H1019" s="8">
        <f>VLOOKUP(A1019,[1]!Table1[#All],32,FALSE)</f>
        <v>43465</v>
      </c>
      <c r="I1019" s="8">
        <f>VLOOKUP(A1019,[1]!Table1[#All],33,FALSE)</f>
        <v>45564</v>
      </c>
      <c r="J1019" t="str">
        <f t="shared" ca="1" si="15"/>
        <v>UDO</v>
      </c>
    </row>
    <row r="1020" spans="1:10" x14ac:dyDescent="0.35">
      <c r="A1020" s="5" t="s">
        <v>34</v>
      </c>
      <c r="B1020" s="6">
        <v>44743</v>
      </c>
      <c r="C1020" s="7">
        <v>85587484</v>
      </c>
      <c r="D1020" s="7">
        <v>85486812.459999993</v>
      </c>
      <c r="E1020" s="7">
        <v>100671.54</v>
      </c>
      <c r="F1020" t="str">
        <f>VLOOKUP(A1020,[1]!Table1[#All],17,FALSE)</f>
        <v>UNITED STATES</v>
      </c>
      <c r="G1020" t="str">
        <f>VLOOKUP(A1020,[1]!Table1[#All],22,FALSE)</f>
        <v>Trustees Of Columbia University In The City Of New</v>
      </c>
      <c r="H1020" s="8">
        <f>VLOOKUP(A1020,[1]!Table1[#All],32,FALSE)</f>
        <v>43465</v>
      </c>
      <c r="I1020" s="8">
        <f>VLOOKUP(A1020,[1]!Table1[#All],33,FALSE)</f>
        <v>45564</v>
      </c>
      <c r="J1020" t="str">
        <f t="shared" ca="1" si="15"/>
        <v>UDO</v>
      </c>
    </row>
    <row r="1021" spans="1:10" x14ac:dyDescent="0.35">
      <c r="A1021" s="9" t="s">
        <v>34</v>
      </c>
      <c r="B1021" s="10">
        <v>44774</v>
      </c>
      <c r="C1021" s="11">
        <v>85587484</v>
      </c>
      <c r="D1021" s="11">
        <v>85587484</v>
      </c>
      <c r="E1021" s="11">
        <v>0</v>
      </c>
      <c r="F1021" t="str">
        <f>VLOOKUP(A1021,[1]!Table1[#All],17,FALSE)</f>
        <v>UNITED STATES</v>
      </c>
      <c r="G1021" t="str">
        <f>VLOOKUP(A1021,[1]!Table1[#All],22,FALSE)</f>
        <v>Trustees Of Columbia University In The City Of New</v>
      </c>
      <c r="H1021" s="8">
        <f>VLOOKUP(A1021,[1]!Table1[#All],32,FALSE)</f>
        <v>43465</v>
      </c>
      <c r="I1021" s="8">
        <f>VLOOKUP(A1021,[1]!Table1[#All],33,FALSE)</f>
        <v>45564</v>
      </c>
      <c r="J1021" t="str">
        <f t="shared" ca="1" si="15"/>
        <v>Non UDO</v>
      </c>
    </row>
    <row r="1022" spans="1:10" x14ac:dyDescent="0.35">
      <c r="A1022" s="5" t="s">
        <v>34</v>
      </c>
      <c r="B1022" s="6">
        <v>44805</v>
      </c>
      <c r="C1022" s="7">
        <v>85587484</v>
      </c>
      <c r="D1022" s="7">
        <v>85587484</v>
      </c>
      <c r="E1022" s="7">
        <v>0</v>
      </c>
      <c r="F1022" t="str">
        <f>VLOOKUP(A1022,[1]!Table1[#All],17,FALSE)</f>
        <v>UNITED STATES</v>
      </c>
      <c r="G1022" t="str">
        <f>VLOOKUP(A1022,[1]!Table1[#All],22,FALSE)</f>
        <v>Trustees Of Columbia University In The City Of New</v>
      </c>
      <c r="H1022" s="8">
        <f>VLOOKUP(A1022,[1]!Table1[#All],32,FALSE)</f>
        <v>43465</v>
      </c>
      <c r="I1022" s="8">
        <f>VLOOKUP(A1022,[1]!Table1[#All],33,FALSE)</f>
        <v>45564</v>
      </c>
      <c r="J1022" t="str">
        <f t="shared" ca="1" si="15"/>
        <v>Non UDO</v>
      </c>
    </row>
    <row r="1023" spans="1:10" x14ac:dyDescent="0.35">
      <c r="A1023" s="9" t="s">
        <v>34</v>
      </c>
      <c r="B1023" s="10">
        <v>44835</v>
      </c>
      <c r="C1023" s="11">
        <v>85587484</v>
      </c>
      <c r="D1023" s="11">
        <v>85587484</v>
      </c>
      <c r="E1023" s="11">
        <v>0</v>
      </c>
      <c r="F1023" t="str">
        <f>VLOOKUP(A1023,[1]!Table1[#All],17,FALSE)</f>
        <v>UNITED STATES</v>
      </c>
      <c r="G1023" t="str">
        <f>VLOOKUP(A1023,[1]!Table1[#All],22,FALSE)</f>
        <v>Trustees Of Columbia University In The City Of New</v>
      </c>
      <c r="H1023" s="8">
        <f>VLOOKUP(A1023,[1]!Table1[#All],32,FALSE)</f>
        <v>43465</v>
      </c>
      <c r="I1023" s="8">
        <f>VLOOKUP(A1023,[1]!Table1[#All],33,FALSE)</f>
        <v>45564</v>
      </c>
      <c r="J1023" t="str">
        <f t="shared" ca="1" si="15"/>
        <v>Non UDO</v>
      </c>
    </row>
    <row r="1024" spans="1:10" x14ac:dyDescent="0.35">
      <c r="A1024" s="5" t="s">
        <v>34</v>
      </c>
      <c r="B1024" s="6">
        <v>44866</v>
      </c>
      <c r="C1024" s="7">
        <v>85587484</v>
      </c>
      <c r="D1024" s="7">
        <v>85587484</v>
      </c>
      <c r="E1024" s="7">
        <v>0</v>
      </c>
      <c r="F1024" t="str">
        <f>VLOOKUP(A1024,[1]!Table1[#All],17,FALSE)</f>
        <v>UNITED STATES</v>
      </c>
      <c r="G1024" t="str">
        <f>VLOOKUP(A1024,[1]!Table1[#All],22,FALSE)</f>
        <v>Trustees Of Columbia University In The City Of New</v>
      </c>
      <c r="H1024" s="8">
        <f>VLOOKUP(A1024,[1]!Table1[#All],32,FALSE)</f>
        <v>43465</v>
      </c>
      <c r="I1024" s="8">
        <f>VLOOKUP(A1024,[1]!Table1[#All],33,FALSE)</f>
        <v>45564</v>
      </c>
      <c r="J1024" t="str">
        <f t="shared" ca="1" si="15"/>
        <v>Non UDO</v>
      </c>
    </row>
    <row r="1025" spans="1:10" x14ac:dyDescent="0.35">
      <c r="A1025" s="9" t="s">
        <v>34</v>
      </c>
      <c r="B1025" s="10">
        <v>44896</v>
      </c>
      <c r="C1025" s="11">
        <v>85587484</v>
      </c>
      <c r="D1025" s="11">
        <v>85587484</v>
      </c>
      <c r="E1025" s="11">
        <v>0</v>
      </c>
      <c r="F1025" t="str">
        <f>VLOOKUP(A1025,[1]!Table1[#All],17,FALSE)</f>
        <v>UNITED STATES</v>
      </c>
      <c r="G1025" t="str">
        <f>VLOOKUP(A1025,[1]!Table1[#All],22,FALSE)</f>
        <v>Trustees Of Columbia University In The City Of New</v>
      </c>
      <c r="H1025" s="8">
        <f>VLOOKUP(A1025,[1]!Table1[#All],32,FALSE)</f>
        <v>43465</v>
      </c>
      <c r="I1025" s="8">
        <f>VLOOKUP(A1025,[1]!Table1[#All],33,FALSE)</f>
        <v>45564</v>
      </c>
      <c r="J1025" t="str">
        <f t="shared" ca="1" si="15"/>
        <v>Non UDO</v>
      </c>
    </row>
    <row r="1026" spans="1:10" x14ac:dyDescent="0.35">
      <c r="A1026" s="5" t="s">
        <v>34</v>
      </c>
      <c r="B1026" s="6">
        <v>44927</v>
      </c>
      <c r="C1026" s="7">
        <v>85587484</v>
      </c>
      <c r="D1026" s="7">
        <v>85587484</v>
      </c>
      <c r="E1026" s="7">
        <v>0</v>
      </c>
      <c r="F1026" t="str">
        <f>VLOOKUP(A1026,[1]!Table1[#All],17,FALSE)</f>
        <v>UNITED STATES</v>
      </c>
      <c r="G1026" t="str">
        <f>VLOOKUP(A1026,[1]!Table1[#All],22,FALSE)</f>
        <v>Trustees Of Columbia University In The City Of New</v>
      </c>
      <c r="H1026" s="8">
        <f>VLOOKUP(A1026,[1]!Table1[#All],32,FALSE)</f>
        <v>43465</v>
      </c>
      <c r="I1026" s="8">
        <f>VLOOKUP(A1026,[1]!Table1[#All],33,FALSE)</f>
        <v>45564</v>
      </c>
      <c r="J1026" t="str">
        <f t="shared" ca="1" si="15"/>
        <v>Non UDO</v>
      </c>
    </row>
    <row r="1027" spans="1:10" x14ac:dyDescent="0.35">
      <c r="A1027" s="9" t="s">
        <v>34</v>
      </c>
      <c r="B1027" s="10">
        <v>44958</v>
      </c>
      <c r="C1027" s="11">
        <v>85587484</v>
      </c>
      <c r="D1027" s="11">
        <v>85587484</v>
      </c>
      <c r="E1027" s="11">
        <v>0</v>
      </c>
      <c r="F1027" t="str">
        <f>VLOOKUP(A1027,[1]!Table1[#All],17,FALSE)</f>
        <v>UNITED STATES</v>
      </c>
      <c r="G1027" t="str">
        <f>VLOOKUP(A1027,[1]!Table1[#All],22,FALSE)</f>
        <v>Trustees Of Columbia University In The City Of New</v>
      </c>
      <c r="H1027" s="8">
        <f>VLOOKUP(A1027,[1]!Table1[#All],32,FALSE)</f>
        <v>43465</v>
      </c>
      <c r="I1027" s="8">
        <f>VLOOKUP(A1027,[1]!Table1[#All],33,FALSE)</f>
        <v>45564</v>
      </c>
      <c r="J1027" t="str">
        <f t="shared" ref="J1027:J1090" ca="1" si="16">IF(AND( E1027&gt;0,TODAY()&gt;I1027),"UDO","Non UDO")</f>
        <v>Non UDO</v>
      </c>
    </row>
    <row r="1028" spans="1:10" x14ac:dyDescent="0.35">
      <c r="A1028" s="5" t="s">
        <v>34</v>
      </c>
      <c r="B1028" s="6">
        <v>44986</v>
      </c>
      <c r="C1028" s="7">
        <v>85587484</v>
      </c>
      <c r="D1028" s="7">
        <v>85587484</v>
      </c>
      <c r="E1028" s="7">
        <v>0</v>
      </c>
      <c r="F1028" t="str">
        <f>VLOOKUP(A1028,[1]!Table1[#All],17,FALSE)</f>
        <v>UNITED STATES</v>
      </c>
      <c r="G1028" t="str">
        <f>VLOOKUP(A1028,[1]!Table1[#All],22,FALSE)</f>
        <v>Trustees Of Columbia University In The City Of New</v>
      </c>
      <c r="H1028" s="8">
        <f>VLOOKUP(A1028,[1]!Table1[#All],32,FALSE)</f>
        <v>43465</v>
      </c>
      <c r="I1028" s="8">
        <f>VLOOKUP(A1028,[1]!Table1[#All],33,FALSE)</f>
        <v>45564</v>
      </c>
      <c r="J1028" t="str">
        <f t="shared" ca="1" si="16"/>
        <v>Non UDO</v>
      </c>
    </row>
    <row r="1029" spans="1:10" x14ac:dyDescent="0.35">
      <c r="A1029" s="9" t="s">
        <v>34</v>
      </c>
      <c r="B1029" s="10">
        <v>45017</v>
      </c>
      <c r="C1029" s="11">
        <v>85587484</v>
      </c>
      <c r="D1029" s="11">
        <v>85587484</v>
      </c>
      <c r="E1029" s="11">
        <v>0</v>
      </c>
      <c r="F1029" t="str">
        <f>VLOOKUP(A1029,[1]!Table1[#All],17,FALSE)</f>
        <v>UNITED STATES</v>
      </c>
      <c r="G1029" t="str">
        <f>VLOOKUP(A1029,[1]!Table1[#All],22,FALSE)</f>
        <v>Trustees Of Columbia University In The City Of New</v>
      </c>
      <c r="H1029" s="8">
        <f>VLOOKUP(A1029,[1]!Table1[#All],32,FALSE)</f>
        <v>43465</v>
      </c>
      <c r="I1029" s="8">
        <f>VLOOKUP(A1029,[1]!Table1[#All],33,FALSE)</f>
        <v>45564</v>
      </c>
      <c r="J1029" t="str">
        <f t="shared" ca="1" si="16"/>
        <v>Non UDO</v>
      </c>
    </row>
    <row r="1030" spans="1:10" x14ac:dyDescent="0.35">
      <c r="A1030" s="5" t="s">
        <v>34</v>
      </c>
      <c r="B1030" s="6">
        <v>45047</v>
      </c>
      <c r="C1030" s="7">
        <v>85587484</v>
      </c>
      <c r="D1030" s="7">
        <v>85587484</v>
      </c>
      <c r="E1030" s="7">
        <v>0</v>
      </c>
      <c r="F1030" t="str">
        <f>VLOOKUP(A1030,[1]!Table1[#All],17,FALSE)</f>
        <v>UNITED STATES</v>
      </c>
      <c r="G1030" t="str">
        <f>VLOOKUP(A1030,[1]!Table1[#All],22,FALSE)</f>
        <v>Trustees Of Columbia University In The City Of New</v>
      </c>
      <c r="H1030" s="8">
        <f>VLOOKUP(A1030,[1]!Table1[#All],32,FALSE)</f>
        <v>43465</v>
      </c>
      <c r="I1030" s="8">
        <f>VLOOKUP(A1030,[1]!Table1[#All],33,FALSE)</f>
        <v>45564</v>
      </c>
      <c r="J1030" t="str">
        <f t="shared" ca="1" si="16"/>
        <v>Non UDO</v>
      </c>
    </row>
    <row r="1031" spans="1:10" x14ac:dyDescent="0.35">
      <c r="A1031" s="9" t="s">
        <v>34</v>
      </c>
      <c r="B1031" s="10">
        <v>45078</v>
      </c>
      <c r="C1031" s="11">
        <v>85587484</v>
      </c>
      <c r="D1031" s="11">
        <v>85587484</v>
      </c>
      <c r="E1031" s="11">
        <v>0</v>
      </c>
      <c r="F1031" t="str">
        <f>VLOOKUP(A1031,[1]!Table1[#All],17,FALSE)</f>
        <v>UNITED STATES</v>
      </c>
      <c r="G1031" t="str">
        <f>VLOOKUP(A1031,[1]!Table1[#All],22,FALSE)</f>
        <v>Trustees Of Columbia University In The City Of New</v>
      </c>
      <c r="H1031" s="8">
        <f>VLOOKUP(A1031,[1]!Table1[#All],32,FALSE)</f>
        <v>43465</v>
      </c>
      <c r="I1031" s="8">
        <f>VLOOKUP(A1031,[1]!Table1[#All],33,FALSE)</f>
        <v>45564</v>
      </c>
      <c r="J1031" t="str">
        <f t="shared" ca="1" si="16"/>
        <v>Non UDO</v>
      </c>
    </row>
    <row r="1032" spans="1:10" x14ac:dyDescent="0.35">
      <c r="A1032" s="5" t="s">
        <v>34</v>
      </c>
      <c r="B1032" s="6">
        <v>45108</v>
      </c>
      <c r="C1032" s="7">
        <v>85587484</v>
      </c>
      <c r="D1032" s="7">
        <v>85587484</v>
      </c>
      <c r="E1032" s="7">
        <v>0</v>
      </c>
      <c r="F1032" t="str">
        <f>VLOOKUP(A1032,[1]!Table1[#All],17,FALSE)</f>
        <v>UNITED STATES</v>
      </c>
      <c r="G1032" t="str">
        <f>VLOOKUP(A1032,[1]!Table1[#All],22,FALSE)</f>
        <v>Trustees Of Columbia University In The City Of New</v>
      </c>
      <c r="H1032" s="8">
        <f>VLOOKUP(A1032,[1]!Table1[#All],32,FALSE)</f>
        <v>43465</v>
      </c>
      <c r="I1032" s="8">
        <f>VLOOKUP(A1032,[1]!Table1[#All],33,FALSE)</f>
        <v>45564</v>
      </c>
      <c r="J1032" t="str">
        <f t="shared" ca="1" si="16"/>
        <v>Non UDO</v>
      </c>
    </row>
    <row r="1033" spans="1:10" x14ac:dyDescent="0.35">
      <c r="A1033" s="9" t="s">
        <v>34</v>
      </c>
      <c r="B1033" s="10">
        <v>45139</v>
      </c>
      <c r="C1033" s="11">
        <v>85587484</v>
      </c>
      <c r="D1033" s="11">
        <v>85587484</v>
      </c>
      <c r="E1033" s="11">
        <v>0</v>
      </c>
      <c r="F1033" t="str">
        <f>VLOOKUP(A1033,[1]!Table1[#All],17,FALSE)</f>
        <v>UNITED STATES</v>
      </c>
      <c r="G1033" t="str">
        <f>VLOOKUP(A1033,[1]!Table1[#All],22,FALSE)</f>
        <v>Trustees Of Columbia University In The City Of New</v>
      </c>
      <c r="H1033" s="8">
        <f>VLOOKUP(A1033,[1]!Table1[#All],32,FALSE)</f>
        <v>43465</v>
      </c>
      <c r="I1033" s="8">
        <f>VLOOKUP(A1033,[1]!Table1[#All],33,FALSE)</f>
        <v>45564</v>
      </c>
      <c r="J1033" t="str">
        <f t="shared" ca="1" si="16"/>
        <v>Non UDO</v>
      </c>
    </row>
    <row r="1034" spans="1:10" x14ac:dyDescent="0.35">
      <c r="A1034" s="5" t="s">
        <v>34</v>
      </c>
      <c r="B1034" s="6">
        <v>45170</v>
      </c>
      <c r="C1034" s="7">
        <v>85587484</v>
      </c>
      <c r="D1034" s="7">
        <v>85587484</v>
      </c>
      <c r="E1034" s="7">
        <v>0</v>
      </c>
      <c r="F1034" t="str">
        <f>VLOOKUP(A1034,[1]!Table1[#All],17,FALSE)</f>
        <v>UNITED STATES</v>
      </c>
      <c r="G1034" t="str">
        <f>VLOOKUP(A1034,[1]!Table1[#All],22,FALSE)</f>
        <v>Trustees Of Columbia University In The City Of New</v>
      </c>
      <c r="H1034" s="8">
        <f>VLOOKUP(A1034,[1]!Table1[#All],32,FALSE)</f>
        <v>43465</v>
      </c>
      <c r="I1034" s="8">
        <f>VLOOKUP(A1034,[1]!Table1[#All],33,FALSE)</f>
        <v>45564</v>
      </c>
      <c r="J1034" t="str">
        <f t="shared" ca="1" si="16"/>
        <v>Non UDO</v>
      </c>
    </row>
    <row r="1035" spans="1:10" x14ac:dyDescent="0.35">
      <c r="A1035" s="9" t="s">
        <v>35</v>
      </c>
      <c r="B1035" s="10">
        <v>44105</v>
      </c>
      <c r="C1035" s="11">
        <v>5682053</v>
      </c>
      <c r="D1035" s="11">
        <v>2237525.33</v>
      </c>
      <c r="E1035" s="11">
        <v>3444527.67</v>
      </c>
      <c r="F1035" t="str">
        <f>VLOOKUP(A1035,[1]!Table1[#All],17,FALSE)</f>
        <v>NAMIBIA</v>
      </c>
      <c r="G1035" t="str">
        <f>VLOOKUP(A1035,[1]!Table1[#All],22,FALSE)</f>
        <v>Ministry of Health &amp; Social Services</v>
      </c>
      <c r="H1035" s="8">
        <f>VLOOKUP(A1035,[1]!Table1[#All],32,FALSE)</f>
        <v>43556</v>
      </c>
      <c r="I1035" s="8">
        <f>VLOOKUP(A1035,[1]!Table1[#All],33,FALSE)</f>
        <v>45564</v>
      </c>
      <c r="J1035" t="str">
        <f t="shared" ca="1" si="16"/>
        <v>UDO</v>
      </c>
    </row>
    <row r="1036" spans="1:10" x14ac:dyDescent="0.35">
      <c r="A1036" s="5" t="s">
        <v>35</v>
      </c>
      <c r="B1036" s="6">
        <v>44136</v>
      </c>
      <c r="C1036" s="7">
        <v>5682053</v>
      </c>
      <c r="D1036" s="7">
        <v>2237525.33</v>
      </c>
      <c r="E1036" s="7">
        <v>3444527.67</v>
      </c>
      <c r="F1036" t="str">
        <f>VLOOKUP(A1036,[1]!Table1[#All],17,FALSE)</f>
        <v>NAMIBIA</v>
      </c>
      <c r="G1036" t="str">
        <f>VLOOKUP(A1036,[1]!Table1[#All],22,FALSE)</f>
        <v>Ministry of Health &amp; Social Services</v>
      </c>
      <c r="H1036" s="8">
        <f>VLOOKUP(A1036,[1]!Table1[#All],32,FALSE)</f>
        <v>43556</v>
      </c>
      <c r="I1036" s="8">
        <f>VLOOKUP(A1036,[1]!Table1[#All],33,FALSE)</f>
        <v>45564</v>
      </c>
      <c r="J1036" t="str">
        <f t="shared" ca="1" si="16"/>
        <v>UDO</v>
      </c>
    </row>
    <row r="1037" spans="1:10" x14ac:dyDescent="0.35">
      <c r="A1037" s="9" t="s">
        <v>35</v>
      </c>
      <c r="B1037" s="10">
        <v>44166</v>
      </c>
      <c r="C1037" s="11">
        <v>5682053</v>
      </c>
      <c r="D1037" s="11">
        <v>2461360.5100000002</v>
      </c>
      <c r="E1037" s="11">
        <v>3220692.4899999998</v>
      </c>
      <c r="F1037" t="str">
        <f>VLOOKUP(A1037,[1]!Table1[#All],17,FALSE)</f>
        <v>NAMIBIA</v>
      </c>
      <c r="G1037" t="str">
        <f>VLOOKUP(A1037,[1]!Table1[#All],22,FALSE)</f>
        <v>Ministry of Health &amp; Social Services</v>
      </c>
      <c r="H1037" s="8">
        <f>VLOOKUP(A1037,[1]!Table1[#All],32,FALSE)</f>
        <v>43556</v>
      </c>
      <c r="I1037" s="8">
        <f>VLOOKUP(A1037,[1]!Table1[#All],33,FALSE)</f>
        <v>45564</v>
      </c>
      <c r="J1037" t="str">
        <f t="shared" ca="1" si="16"/>
        <v>UDO</v>
      </c>
    </row>
    <row r="1038" spans="1:10" x14ac:dyDescent="0.35">
      <c r="A1038" s="5" t="s">
        <v>35</v>
      </c>
      <c r="B1038" s="6">
        <v>44197</v>
      </c>
      <c r="C1038" s="7">
        <v>5682053</v>
      </c>
      <c r="D1038" s="7">
        <v>3097524.48</v>
      </c>
      <c r="E1038" s="7">
        <v>2584528.52</v>
      </c>
      <c r="F1038" t="str">
        <f>VLOOKUP(A1038,[1]!Table1[#All],17,FALSE)</f>
        <v>NAMIBIA</v>
      </c>
      <c r="G1038" t="str">
        <f>VLOOKUP(A1038,[1]!Table1[#All],22,FALSE)</f>
        <v>Ministry of Health &amp; Social Services</v>
      </c>
      <c r="H1038" s="8">
        <f>VLOOKUP(A1038,[1]!Table1[#All],32,FALSE)</f>
        <v>43556</v>
      </c>
      <c r="I1038" s="8">
        <f>VLOOKUP(A1038,[1]!Table1[#All],33,FALSE)</f>
        <v>45564</v>
      </c>
      <c r="J1038" t="str">
        <f t="shared" ca="1" si="16"/>
        <v>UDO</v>
      </c>
    </row>
    <row r="1039" spans="1:10" x14ac:dyDescent="0.35">
      <c r="A1039" s="9" t="s">
        <v>35</v>
      </c>
      <c r="B1039" s="10">
        <v>44228</v>
      </c>
      <c r="C1039" s="11">
        <v>5682053</v>
      </c>
      <c r="D1039" s="11">
        <v>3104967.9699999997</v>
      </c>
      <c r="E1039" s="11">
        <v>2577085.0300000003</v>
      </c>
      <c r="F1039" t="str">
        <f>VLOOKUP(A1039,[1]!Table1[#All],17,FALSE)</f>
        <v>NAMIBIA</v>
      </c>
      <c r="G1039" t="str">
        <f>VLOOKUP(A1039,[1]!Table1[#All],22,FALSE)</f>
        <v>Ministry of Health &amp; Social Services</v>
      </c>
      <c r="H1039" s="8">
        <f>VLOOKUP(A1039,[1]!Table1[#All],32,FALSE)</f>
        <v>43556</v>
      </c>
      <c r="I1039" s="8">
        <f>VLOOKUP(A1039,[1]!Table1[#All],33,FALSE)</f>
        <v>45564</v>
      </c>
      <c r="J1039" t="str">
        <f t="shared" ca="1" si="16"/>
        <v>UDO</v>
      </c>
    </row>
    <row r="1040" spans="1:10" x14ac:dyDescent="0.35">
      <c r="A1040" s="5" t="s">
        <v>35</v>
      </c>
      <c r="B1040" s="6">
        <v>44256</v>
      </c>
      <c r="C1040" s="7">
        <v>5682053</v>
      </c>
      <c r="D1040" s="7">
        <v>3273901.37</v>
      </c>
      <c r="E1040" s="7">
        <v>2408151.63</v>
      </c>
      <c r="F1040" t="str">
        <f>VLOOKUP(A1040,[1]!Table1[#All],17,FALSE)</f>
        <v>NAMIBIA</v>
      </c>
      <c r="G1040" t="str">
        <f>VLOOKUP(A1040,[1]!Table1[#All],22,FALSE)</f>
        <v>Ministry of Health &amp; Social Services</v>
      </c>
      <c r="H1040" s="8">
        <f>VLOOKUP(A1040,[1]!Table1[#All],32,FALSE)</f>
        <v>43556</v>
      </c>
      <c r="I1040" s="8">
        <f>VLOOKUP(A1040,[1]!Table1[#All],33,FALSE)</f>
        <v>45564</v>
      </c>
      <c r="J1040" t="str">
        <f t="shared" ca="1" si="16"/>
        <v>UDO</v>
      </c>
    </row>
    <row r="1041" spans="1:10" x14ac:dyDescent="0.35">
      <c r="A1041" s="9" t="s">
        <v>35</v>
      </c>
      <c r="B1041" s="10">
        <v>44287</v>
      </c>
      <c r="C1041" s="11">
        <v>919205</v>
      </c>
      <c r="D1041" s="11">
        <v>338323.44</v>
      </c>
      <c r="E1041" s="11">
        <v>580881.56000000006</v>
      </c>
      <c r="F1041" t="str">
        <f>VLOOKUP(A1041,[1]!Table1[#All],17,FALSE)</f>
        <v>NAMIBIA</v>
      </c>
      <c r="G1041" t="str">
        <f>VLOOKUP(A1041,[1]!Table1[#All],22,FALSE)</f>
        <v>Ministry of Health &amp; Social Services</v>
      </c>
      <c r="H1041" s="8">
        <f>VLOOKUP(A1041,[1]!Table1[#All],32,FALSE)</f>
        <v>43556</v>
      </c>
      <c r="I1041" s="8">
        <f>VLOOKUP(A1041,[1]!Table1[#All],33,FALSE)</f>
        <v>45564</v>
      </c>
      <c r="J1041" t="str">
        <f t="shared" ca="1" si="16"/>
        <v>UDO</v>
      </c>
    </row>
    <row r="1042" spans="1:10" x14ac:dyDescent="0.35">
      <c r="A1042" s="5" t="s">
        <v>35</v>
      </c>
      <c r="B1042" s="6">
        <v>44317</v>
      </c>
      <c r="C1042" s="7">
        <v>5682053</v>
      </c>
      <c r="D1042" s="7">
        <v>4088415.0500000003</v>
      </c>
      <c r="E1042" s="7">
        <v>1593637.9500000002</v>
      </c>
      <c r="F1042" t="str">
        <f>VLOOKUP(A1042,[1]!Table1[#All],17,FALSE)</f>
        <v>NAMIBIA</v>
      </c>
      <c r="G1042" t="str">
        <f>VLOOKUP(A1042,[1]!Table1[#All],22,FALSE)</f>
        <v>Ministry of Health &amp; Social Services</v>
      </c>
      <c r="H1042" s="8">
        <f>VLOOKUP(A1042,[1]!Table1[#All],32,FALSE)</f>
        <v>43556</v>
      </c>
      <c r="I1042" s="8">
        <f>VLOOKUP(A1042,[1]!Table1[#All],33,FALSE)</f>
        <v>45564</v>
      </c>
      <c r="J1042" t="str">
        <f t="shared" ca="1" si="16"/>
        <v>UDO</v>
      </c>
    </row>
    <row r="1043" spans="1:10" x14ac:dyDescent="0.35">
      <c r="A1043" s="9" t="s">
        <v>35</v>
      </c>
      <c r="B1043" s="10">
        <v>44348</v>
      </c>
      <c r="C1043" s="11">
        <v>5682053</v>
      </c>
      <c r="D1043" s="11">
        <v>4729803.46</v>
      </c>
      <c r="E1043" s="11">
        <v>952249.54</v>
      </c>
      <c r="F1043" t="str">
        <f>VLOOKUP(A1043,[1]!Table1[#All],17,FALSE)</f>
        <v>NAMIBIA</v>
      </c>
      <c r="G1043" t="str">
        <f>VLOOKUP(A1043,[1]!Table1[#All],22,FALSE)</f>
        <v>Ministry of Health &amp; Social Services</v>
      </c>
      <c r="H1043" s="8">
        <f>VLOOKUP(A1043,[1]!Table1[#All],32,FALSE)</f>
        <v>43556</v>
      </c>
      <c r="I1043" s="8">
        <f>VLOOKUP(A1043,[1]!Table1[#All],33,FALSE)</f>
        <v>45564</v>
      </c>
      <c r="J1043" t="str">
        <f t="shared" ca="1" si="16"/>
        <v>UDO</v>
      </c>
    </row>
    <row r="1044" spans="1:10" x14ac:dyDescent="0.35">
      <c r="A1044" s="5" t="s">
        <v>35</v>
      </c>
      <c r="B1044" s="6">
        <v>44378</v>
      </c>
      <c r="C1044" s="7">
        <v>5682053</v>
      </c>
      <c r="D1044" s="7">
        <v>5127228.6900000004</v>
      </c>
      <c r="E1044" s="7">
        <v>554824.31000000006</v>
      </c>
      <c r="F1044" t="str">
        <f>VLOOKUP(A1044,[1]!Table1[#All],17,FALSE)</f>
        <v>NAMIBIA</v>
      </c>
      <c r="G1044" t="str">
        <f>VLOOKUP(A1044,[1]!Table1[#All],22,FALSE)</f>
        <v>Ministry of Health &amp; Social Services</v>
      </c>
      <c r="H1044" s="8">
        <f>VLOOKUP(A1044,[1]!Table1[#All],32,FALSE)</f>
        <v>43556</v>
      </c>
      <c r="I1044" s="8">
        <f>VLOOKUP(A1044,[1]!Table1[#All],33,FALSE)</f>
        <v>45564</v>
      </c>
      <c r="J1044" t="str">
        <f t="shared" ca="1" si="16"/>
        <v>UDO</v>
      </c>
    </row>
    <row r="1045" spans="1:10" x14ac:dyDescent="0.35">
      <c r="A1045" s="9" t="s">
        <v>35</v>
      </c>
      <c r="B1045" s="10">
        <v>44409</v>
      </c>
      <c r="C1045" s="11">
        <v>5682053</v>
      </c>
      <c r="D1045" s="11">
        <v>5127228.6900000004</v>
      </c>
      <c r="E1045" s="11">
        <v>554824.31000000006</v>
      </c>
      <c r="F1045" t="str">
        <f>VLOOKUP(A1045,[1]!Table1[#All],17,FALSE)</f>
        <v>NAMIBIA</v>
      </c>
      <c r="G1045" t="str">
        <f>VLOOKUP(A1045,[1]!Table1[#All],22,FALSE)</f>
        <v>Ministry of Health &amp; Social Services</v>
      </c>
      <c r="H1045" s="8">
        <f>VLOOKUP(A1045,[1]!Table1[#All],32,FALSE)</f>
        <v>43556</v>
      </c>
      <c r="I1045" s="8">
        <f>VLOOKUP(A1045,[1]!Table1[#All],33,FALSE)</f>
        <v>45564</v>
      </c>
      <c r="J1045" t="str">
        <f t="shared" ca="1" si="16"/>
        <v>UDO</v>
      </c>
    </row>
    <row r="1046" spans="1:10" x14ac:dyDescent="0.35">
      <c r="A1046" s="5" t="s">
        <v>35</v>
      </c>
      <c r="B1046" s="6">
        <v>44440</v>
      </c>
      <c r="C1046" s="7">
        <v>5682053</v>
      </c>
      <c r="D1046" s="7">
        <v>5127228.6900000004</v>
      </c>
      <c r="E1046" s="7">
        <v>554824.31000000006</v>
      </c>
      <c r="F1046" t="str">
        <f>VLOOKUP(A1046,[1]!Table1[#All],17,FALSE)</f>
        <v>NAMIBIA</v>
      </c>
      <c r="G1046" t="str">
        <f>VLOOKUP(A1046,[1]!Table1[#All],22,FALSE)</f>
        <v>Ministry of Health &amp; Social Services</v>
      </c>
      <c r="H1046" s="8">
        <f>VLOOKUP(A1046,[1]!Table1[#All],32,FALSE)</f>
        <v>43556</v>
      </c>
      <c r="I1046" s="8">
        <f>VLOOKUP(A1046,[1]!Table1[#All],33,FALSE)</f>
        <v>45564</v>
      </c>
      <c r="J1046" t="str">
        <f t="shared" ca="1" si="16"/>
        <v>UDO</v>
      </c>
    </row>
    <row r="1047" spans="1:10" x14ac:dyDescent="0.35">
      <c r="A1047" s="9" t="s">
        <v>35</v>
      </c>
      <c r="B1047" s="10">
        <v>44470</v>
      </c>
      <c r="C1047" s="11">
        <v>5682053</v>
      </c>
      <c r="D1047" s="11">
        <v>5129385.76</v>
      </c>
      <c r="E1047" s="11">
        <v>552667.24</v>
      </c>
      <c r="F1047" t="str">
        <f>VLOOKUP(A1047,[1]!Table1[#All],17,FALSE)</f>
        <v>NAMIBIA</v>
      </c>
      <c r="G1047" t="str">
        <f>VLOOKUP(A1047,[1]!Table1[#All],22,FALSE)</f>
        <v>Ministry of Health &amp; Social Services</v>
      </c>
      <c r="H1047" s="8">
        <f>VLOOKUP(A1047,[1]!Table1[#All],32,FALSE)</f>
        <v>43556</v>
      </c>
      <c r="I1047" s="8">
        <f>VLOOKUP(A1047,[1]!Table1[#All],33,FALSE)</f>
        <v>45564</v>
      </c>
      <c r="J1047" t="str">
        <f t="shared" ca="1" si="16"/>
        <v>UDO</v>
      </c>
    </row>
    <row r="1048" spans="1:10" x14ac:dyDescent="0.35">
      <c r="A1048" s="5" t="s">
        <v>35</v>
      </c>
      <c r="B1048" s="6">
        <v>44501</v>
      </c>
      <c r="C1048" s="7">
        <v>5682053</v>
      </c>
      <c r="D1048" s="7">
        <v>5129385.76</v>
      </c>
      <c r="E1048" s="7">
        <v>552667.24</v>
      </c>
      <c r="F1048" t="str">
        <f>VLOOKUP(A1048,[1]!Table1[#All],17,FALSE)</f>
        <v>NAMIBIA</v>
      </c>
      <c r="G1048" t="str">
        <f>VLOOKUP(A1048,[1]!Table1[#All],22,FALSE)</f>
        <v>Ministry of Health &amp; Social Services</v>
      </c>
      <c r="H1048" s="8">
        <f>VLOOKUP(A1048,[1]!Table1[#All],32,FALSE)</f>
        <v>43556</v>
      </c>
      <c r="I1048" s="8">
        <f>VLOOKUP(A1048,[1]!Table1[#All],33,FALSE)</f>
        <v>45564</v>
      </c>
      <c r="J1048" t="str">
        <f t="shared" ca="1" si="16"/>
        <v>UDO</v>
      </c>
    </row>
    <row r="1049" spans="1:10" x14ac:dyDescent="0.35">
      <c r="A1049" s="9" t="s">
        <v>35</v>
      </c>
      <c r="B1049" s="10">
        <v>44531</v>
      </c>
      <c r="C1049" s="11">
        <v>5682053</v>
      </c>
      <c r="D1049" s="11">
        <v>5353469.3</v>
      </c>
      <c r="E1049" s="11">
        <v>328583.7</v>
      </c>
      <c r="F1049" t="str">
        <f>VLOOKUP(A1049,[1]!Table1[#All],17,FALSE)</f>
        <v>NAMIBIA</v>
      </c>
      <c r="G1049" t="str">
        <f>VLOOKUP(A1049,[1]!Table1[#All],22,FALSE)</f>
        <v>Ministry of Health &amp; Social Services</v>
      </c>
      <c r="H1049" s="8">
        <f>VLOOKUP(A1049,[1]!Table1[#All],32,FALSE)</f>
        <v>43556</v>
      </c>
      <c r="I1049" s="8">
        <f>VLOOKUP(A1049,[1]!Table1[#All],33,FALSE)</f>
        <v>45564</v>
      </c>
      <c r="J1049" t="str">
        <f t="shared" ca="1" si="16"/>
        <v>UDO</v>
      </c>
    </row>
    <row r="1050" spans="1:10" x14ac:dyDescent="0.35">
      <c r="A1050" s="5" t="s">
        <v>35</v>
      </c>
      <c r="B1050" s="6">
        <v>44562</v>
      </c>
      <c r="C1050" s="7">
        <v>5682053</v>
      </c>
      <c r="D1050" s="7">
        <v>5353469.3</v>
      </c>
      <c r="E1050" s="7">
        <v>328583.7</v>
      </c>
      <c r="F1050" t="str">
        <f>VLOOKUP(A1050,[1]!Table1[#All],17,FALSE)</f>
        <v>NAMIBIA</v>
      </c>
      <c r="G1050" t="str">
        <f>VLOOKUP(A1050,[1]!Table1[#All],22,FALSE)</f>
        <v>Ministry of Health &amp; Social Services</v>
      </c>
      <c r="H1050" s="8">
        <f>VLOOKUP(A1050,[1]!Table1[#All],32,FALSE)</f>
        <v>43556</v>
      </c>
      <c r="I1050" s="8">
        <f>VLOOKUP(A1050,[1]!Table1[#All],33,FALSE)</f>
        <v>45564</v>
      </c>
      <c r="J1050" t="str">
        <f t="shared" ca="1" si="16"/>
        <v>UDO</v>
      </c>
    </row>
    <row r="1051" spans="1:10" x14ac:dyDescent="0.35">
      <c r="A1051" s="9" t="s">
        <v>35</v>
      </c>
      <c r="B1051" s="10">
        <v>44593</v>
      </c>
      <c r="C1051" s="11">
        <v>5682053</v>
      </c>
      <c r="D1051" s="11">
        <v>5353469.3</v>
      </c>
      <c r="E1051" s="11">
        <v>328583.7</v>
      </c>
      <c r="F1051" t="str">
        <f>VLOOKUP(A1051,[1]!Table1[#All],17,FALSE)</f>
        <v>NAMIBIA</v>
      </c>
      <c r="G1051" t="str">
        <f>VLOOKUP(A1051,[1]!Table1[#All],22,FALSE)</f>
        <v>Ministry of Health &amp; Social Services</v>
      </c>
      <c r="H1051" s="8">
        <f>VLOOKUP(A1051,[1]!Table1[#All],32,FALSE)</f>
        <v>43556</v>
      </c>
      <c r="I1051" s="8">
        <f>VLOOKUP(A1051,[1]!Table1[#All],33,FALSE)</f>
        <v>45564</v>
      </c>
      <c r="J1051" t="str">
        <f t="shared" ca="1" si="16"/>
        <v>UDO</v>
      </c>
    </row>
    <row r="1052" spans="1:10" x14ac:dyDescent="0.35">
      <c r="A1052" s="5" t="s">
        <v>35</v>
      </c>
      <c r="B1052" s="6">
        <v>44621</v>
      </c>
      <c r="C1052" s="7">
        <v>5682053</v>
      </c>
      <c r="D1052" s="7">
        <v>5353469.3</v>
      </c>
      <c r="E1052" s="7">
        <v>328583.7</v>
      </c>
      <c r="F1052" t="str">
        <f>VLOOKUP(A1052,[1]!Table1[#All],17,FALSE)</f>
        <v>NAMIBIA</v>
      </c>
      <c r="G1052" t="str">
        <f>VLOOKUP(A1052,[1]!Table1[#All],22,FALSE)</f>
        <v>Ministry of Health &amp; Social Services</v>
      </c>
      <c r="H1052" s="8">
        <f>VLOOKUP(A1052,[1]!Table1[#All],32,FALSE)</f>
        <v>43556</v>
      </c>
      <c r="I1052" s="8">
        <f>VLOOKUP(A1052,[1]!Table1[#All],33,FALSE)</f>
        <v>45564</v>
      </c>
      <c r="J1052" t="str">
        <f t="shared" ca="1" si="16"/>
        <v>UDO</v>
      </c>
    </row>
    <row r="1053" spans="1:10" x14ac:dyDescent="0.35">
      <c r="A1053" s="9" t="s">
        <v>35</v>
      </c>
      <c r="B1053" s="10">
        <v>44652</v>
      </c>
      <c r="C1053" s="11">
        <v>5682053</v>
      </c>
      <c r="D1053" s="11">
        <v>5353469.3</v>
      </c>
      <c r="E1053" s="11">
        <v>328583.7</v>
      </c>
      <c r="F1053" t="str">
        <f>VLOOKUP(A1053,[1]!Table1[#All],17,FALSE)</f>
        <v>NAMIBIA</v>
      </c>
      <c r="G1053" t="str">
        <f>VLOOKUP(A1053,[1]!Table1[#All],22,FALSE)</f>
        <v>Ministry of Health &amp; Social Services</v>
      </c>
      <c r="H1053" s="8">
        <f>VLOOKUP(A1053,[1]!Table1[#All],32,FALSE)</f>
        <v>43556</v>
      </c>
      <c r="I1053" s="8">
        <f>VLOOKUP(A1053,[1]!Table1[#All],33,FALSE)</f>
        <v>45564</v>
      </c>
      <c r="J1053" t="str">
        <f t="shared" ca="1" si="16"/>
        <v>UDO</v>
      </c>
    </row>
    <row r="1054" spans="1:10" x14ac:dyDescent="0.35">
      <c r="A1054" s="5" t="s">
        <v>35</v>
      </c>
      <c r="B1054" s="6">
        <v>44682</v>
      </c>
      <c r="C1054" s="7">
        <v>5682053</v>
      </c>
      <c r="D1054" s="7">
        <v>5361700.1100000003</v>
      </c>
      <c r="E1054" s="7">
        <v>320352.89</v>
      </c>
      <c r="F1054" t="str">
        <f>VLOOKUP(A1054,[1]!Table1[#All],17,FALSE)</f>
        <v>NAMIBIA</v>
      </c>
      <c r="G1054" t="str">
        <f>VLOOKUP(A1054,[1]!Table1[#All],22,FALSE)</f>
        <v>Ministry of Health &amp; Social Services</v>
      </c>
      <c r="H1054" s="8">
        <f>VLOOKUP(A1054,[1]!Table1[#All],32,FALSE)</f>
        <v>43556</v>
      </c>
      <c r="I1054" s="8">
        <f>VLOOKUP(A1054,[1]!Table1[#All],33,FALSE)</f>
        <v>45564</v>
      </c>
      <c r="J1054" t="str">
        <f t="shared" ca="1" si="16"/>
        <v>UDO</v>
      </c>
    </row>
    <row r="1055" spans="1:10" x14ac:dyDescent="0.35">
      <c r="A1055" s="9" t="s">
        <v>35</v>
      </c>
      <c r="B1055" s="10">
        <v>44713</v>
      </c>
      <c r="C1055" s="11">
        <v>5682053</v>
      </c>
      <c r="D1055" s="11">
        <v>5364275.5600000005</v>
      </c>
      <c r="E1055" s="11">
        <v>317777.44</v>
      </c>
      <c r="F1055" t="str">
        <f>VLOOKUP(A1055,[1]!Table1[#All],17,FALSE)</f>
        <v>NAMIBIA</v>
      </c>
      <c r="G1055" t="str">
        <f>VLOOKUP(A1055,[1]!Table1[#All],22,FALSE)</f>
        <v>Ministry of Health &amp; Social Services</v>
      </c>
      <c r="H1055" s="8">
        <f>VLOOKUP(A1055,[1]!Table1[#All],32,FALSE)</f>
        <v>43556</v>
      </c>
      <c r="I1055" s="8">
        <f>VLOOKUP(A1055,[1]!Table1[#All],33,FALSE)</f>
        <v>45564</v>
      </c>
      <c r="J1055" t="str">
        <f t="shared" ca="1" si="16"/>
        <v>UDO</v>
      </c>
    </row>
    <row r="1056" spans="1:10" x14ac:dyDescent="0.35">
      <c r="A1056" s="5" t="s">
        <v>35</v>
      </c>
      <c r="B1056" s="6">
        <v>44743</v>
      </c>
      <c r="C1056" s="7">
        <v>5682053</v>
      </c>
      <c r="D1056" s="7">
        <v>5364275.5600000005</v>
      </c>
      <c r="E1056" s="7">
        <v>317777.44</v>
      </c>
      <c r="F1056" t="str">
        <f>VLOOKUP(A1056,[1]!Table1[#All],17,FALSE)</f>
        <v>NAMIBIA</v>
      </c>
      <c r="G1056" t="str">
        <f>VLOOKUP(A1056,[1]!Table1[#All],22,FALSE)</f>
        <v>Ministry of Health &amp; Social Services</v>
      </c>
      <c r="H1056" s="8">
        <f>VLOOKUP(A1056,[1]!Table1[#All],32,FALSE)</f>
        <v>43556</v>
      </c>
      <c r="I1056" s="8">
        <f>VLOOKUP(A1056,[1]!Table1[#All],33,FALSE)</f>
        <v>45564</v>
      </c>
      <c r="J1056" t="str">
        <f t="shared" ca="1" si="16"/>
        <v>UDO</v>
      </c>
    </row>
    <row r="1057" spans="1:10" x14ac:dyDescent="0.35">
      <c r="A1057" s="9" t="s">
        <v>35</v>
      </c>
      <c r="B1057" s="10">
        <v>44774</v>
      </c>
      <c r="C1057" s="11">
        <v>5682053</v>
      </c>
      <c r="D1057" s="11">
        <v>5391659.3899999997</v>
      </c>
      <c r="E1057" s="11">
        <v>290393.61</v>
      </c>
      <c r="F1057" t="str">
        <f>VLOOKUP(A1057,[1]!Table1[#All],17,FALSE)</f>
        <v>NAMIBIA</v>
      </c>
      <c r="G1057" t="str">
        <f>VLOOKUP(A1057,[1]!Table1[#All],22,FALSE)</f>
        <v>Ministry of Health &amp; Social Services</v>
      </c>
      <c r="H1057" s="8">
        <f>VLOOKUP(A1057,[1]!Table1[#All],32,FALSE)</f>
        <v>43556</v>
      </c>
      <c r="I1057" s="8">
        <f>VLOOKUP(A1057,[1]!Table1[#All],33,FALSE)</f>
        <v>45564</v>
      </c>
      <c r="J1057" t="str">
        <f t="shared" ca="1" si="16"/>
        <v>UDO</v>
      </c>
    </row>
    <row r="1058" spans="1:10" x14ac:dyDescent="0.35">
      <c r="A1058" s="5" t="s">
        <v>35</v>
      </c>
      <c r="B1058" s="6">
        <v>44805</v>
      </c>
      <c r="C1058" s="7">
        <v>5682053</v>
      </c>
      <c r="D1058" s="7">
        <v>5407646.46</v>
      </c>
      <c r="E1058" s="7">
        <v>274406.53999999998</v>
      </c>
      <c r="F1058" t="str">
        <f>VLOOKUP(A1058,[1]!Table1[#All],17,FALSE)</f>
        <v>NAMIBIA</v>
      </c>
      <c r="G1058" t="str">
        <f>VLOOKUP(A1058,[1]!Table1[#All],22,FALSE)</f>
        <v>Ministry of Health &amp; Social Services</v>
      </c>
      <c r="H1058" s="8">
        <f>VLOOKUP(A1058,[1]!Table1[#All],32,FALSE)</f>
        <v>43556</v>
      </c>
      <c r="I1058" s="8">
        <f>VLOOKUP(A1058,[1]!Table1[#All],33,FALSE)</f>
        <v>45564</v>
      </c>
      <c r="J1058" t="str">
        <f t="shared" ca="1" si="16"/>
        <v>UDO</v>
      </c>
    </row>
    <row r="1059" spans="1:10" x14ac:dyDescent="0.35">
      <c r="A1059" s="9" t="s">
        <v>35</v>
      </c>
      <c r="B1059" s="10">
        <v>44835</v>
      </c>
      <c r="C1059" s="11">
        <v>5682053</v>
      </c>
      <c r="D1059" s="11">
        <v>5409727.3100000005</v>
      </c>
      <c r="E1059" s="11">
        <v>272325.69</v>
      </c>
      <c r="F1059" t="str">
        <f>VLOOKUP(A1059,[1]!Table1[#All],17,FALSE)</f>
        <v>NAMIBIA</v>
      </c>
      <c r="G1059" t="str">
        <f>VLOOKUP(A1059,[1]!Table1[#All],22,FALSE)</f>
        <v>Ministry of Health &amp; Social Services</v>
      </c>
      <c r="H1059" s="8">
        <f>VLOOKUP(A1059,[1]!Table1[#All],32,FALSE)</f>
        <v>43556</v>
      </c>
      <c r="I1059" s="8">
        <f>VLOOKUP(A1059,[1]!Table1[#All],33,FALSE)</f>
        <v>45564</v>
      </c>
      <c r="J1059" t="str">
        <f t="shared" ca="1" si="16"/>
        <v>UDO</v>
      </c>
    </row>
    <row r="1060" spans="1:10" x14ac:dyDescent="0.35">
      <c r="A1060" s="5" t="s">
        <v>35</v>
      </c>
      <c r="B1060" s="6">
        <v>44866</v>
      </c>
      <c r="C1060" s="7">
        <v>5682053</v>
      </c>
      <c r="D1060" s="7">
        <v>5464271.2800000003</v>
      </c>
      <c r="E1060" s="7">
        <v>217781.72</v>
      </c>
      <c r="F1060" t="str">
        <f>VLOOKUP(A1060,[1]!Table1[#All],17,FALSE)</f>
        <v>NAMIBIA</v>
      </c>
      <c r="G1060" t="str">
        <f>VLOOKUP(A1060,[1]!Table1[#All],22,FALSE)</f>
        <v>Ministry of Health &amp; Social Services</v>
      </c>
      <c r="H1060" s="8">
        <f>VLOOKUP(A1060,[1]!Table1[#All],32,FALSE)</f>
        <v>43556</v>
      </c>
      <c r="I1060" s="8">
        <f>VLOOKUP(A1060,[1]!Table1[#All],33,FALSE)</f>
        <v>45564</v>
      </c>
      <c r="J1060" t="str">
        <f t="shared" ca="1" si="16"/>
        <v>UDO</v>
      </c>
    </row>
    <row r="1061" spans="1:10" x14ac:dyDescent="0.35">
      <c r="A1061" s="9" t="s">
        <v>35</v>
      </c>
      <c r="B1061" s="10">
        <v>44896</v>
      </c>
      <c r="C1061" s="11">
        <v>5682053</v>
      </c>
      <c r="D1061" s="11">
        <v>5471958.25</v>
      </c>
      <c r="E1061" s="11">
        <v>210094.75</v>
      </c>
      <c r="F1061" t="str">
        <f>VLOOKUP(A1061,[1]!Table1[#All],17,FALSE)</f>
        <v>NAMIBIA</v>
      </c>
      <c r="G1061" t="str">
        <f>VLOOKUP(A1061,[1]!Table1[#All],22,FALSE)</f>
        <v>Ministry of Health &amp; Social Services</v>
      </c>
      <c r="H1061" s="8">
        <f>VLOOKUP(A1061,[1]!Table1[#All],32,FALSE)</f>
        <v>43556</v>
      </c>
      <c r="I1061" s="8">
        <f>VLOOKUP(A1061,[1]!Table1[#All],33,FALSE)</f>
        <v>45564</v>
      </c>
      <c r="J1061" t="str">
        <f t="shared" ca="1" si="16"/>
        <v>UDO</v>
      </c>
    </row>
    <row r="1062" spans="1:10" x14ac:dyDescent="0.35">
      <c r="A1062" s="5" t="s">
        <v>35</v>
      </c>
      <c r="B1062" s="6">
        <v>44927</v>
      </c>
      <c r="C1062" s="7">
        <v>5682053</v>
      </c>
      <c r="D1062" s="7">
        <v>5471958.25</v>
      </c>
      <c r="E1062" s="7">
        <v>210094.75</v>
      </c>
      <c r="F1062" t="str">
        <f>VLOOKUP(A1062,[1]!Table1[#All],17,FALSE)</f>
        <v>NAMIBIA</v>
      </c>
      <c r="G1062" t="str">
        <f>VLOOKUP(A1062,[1]!Table1[#All],22,FALSE)</f>
        <v>Ministry of Health &amp; Social Services</v>
      </c>
      <c r="H1062" s="8">
        <f>VLOOKUP(A1062,[1]!Table1[#All],32,FALSE)</f>
        <v>43556</v>
      </c>
      <c r="I1062" s="8">
        <f>VLOOKUP(A1062,[1]!Table1[#All],33,FALSE)</f>
        <v>45564</v>
      </c>
      <c r="J1062" t="str">
        <f t="shared" ca="1" si="16"/>
        <v>UDO</v>
      </c>
    </row>
    <row r="1063" spans="1:10" x14ac:dyDescent="0.35">
      <c r="A1063" s="9" t="s">
        <v>35</v>
      </c>
      <c r="B1063" s="10">
        <v>44958</v>
      </c>
      <c r="C1063" s="11">
        <v>5682053</v>
      </c>
      <c r="D1063" s="11">
        <v>5544575.7199999997</v>
      </c>
      <c r="E1063" s="11">
        <v>137477.28</v>
      </c>
      <c r="F1063" t="str">
        <f>VLOOKUP(A1063,[1]!Table1[#All],17,FALSE)</f>
        <v>NAMIBIA</v>
      </c>
      <c r="G1063" t="str">
        <f>VLOOKUP(A1063,[1]!Table1[#All],22,FALSE)</f>
        <v>Ministry of Health &amp; Social Services</v>
      </c>
      <c r="H1063" s="8">
        <f>VLOOKUP(A1063,[1]!Table1[#All],32,FALSE)</f>
        <v>43556</v>
      </c>
      <c r="I1063" s="8">
        <f>VLOOKUP(A1063,[1]!Table1[#All],33,FALSE)</f>
        <v>45564</v>
      </c>
      <c r="J1063" t="str">
        <f t="shared" ca="1" si="16"/>
        <v>UDO</v>
      </c>
    </row>
    <row r="1064" spans="1:10" x14ac:dyDescent="0.35">
      <c r="A1064" s="5" t="s">
        <v>35</v>
      </c>
      <c r="B1064" s="6">
        <v>44986</v>
      </c>
      <c r="C1064" s="7">
        <v>5682053</v>
      </c>
      <c r="D1064" s="7">
        <v>5544575.7199999997</v>
      </c>
      <c r="E1064" s="7">
        <v>137477.28</v>
      </c>
      <c r="F1064" t="str">
        <f>VLOOKUP(A1064,[1]!Table1[#All],17,FALSE)</f>
        <v>NAMIBIA</v>
      </c>
      <c r="G1064" t="str">
        <f>VLOOKUP(A1064,[1]!Table1[#All],22,FALSE)</f>
        <v>Ministry of Health &amp; Social Services</v>
      </c>
      <c r="H1064" s="8">
        <f>VLOOKUP(A1064,[1]!Table1[#All],32,FALSE)</f>
        <v>43556</v>
      </c>
      <c r="I1064" s="8">
        <f>VLOOKUP(A1064,[1]!Table1[#All],33,FALSE)</f>
        <v>45564</v>
      </c>
      <c r="J1064" t="str">
        <f t="shared" ca="1" si="16"/>
        <v>UDO</v>
      </c>
    </row>
    <row r="1065" spans="1:10" x14ac:dyDescent="0.35">
      <c r="A1065" s="9" t="s">
        <v>35</v>
      </c>
      <c r="B1065" s="10">
        <v>45017</v>
      </c>
      <c r="C1065" s="11">
        <v>5682053</v>
      </c>
      <c r="D1065" s="11">
        <v>5551101.3600000003</v>
      </c>
      <c r="E1065" s="11">
        <v>130951.64</v>
      </c>
      <c r="F1065" t="str">
        <f>VLOOKUP(A1065,[1]!Table1[#All],17,FALSE)</f>
        <v>NAMIBIA</v>
      </c>
      <c r="G1065" t="str">
        <f>VLOOKUP(A1065,[1]!Table1[#All],22,FALSE)</f>
        <v>Ministry of Health &amp; Social Services</v>
      </c>
      <c r="H1065" s="8">
        <f>VLOOKUP(A1065,[1]!Table1[#All],32,FALSE)</f>
        <v>43556</v>
      </c>
      <c r="I1065" s="8">
        <f>VLOOKUP(A1065,[1]!Table1[#All],33,FALSE)</f>
        <v>45564</v>
      </c>
      <c r="J1065" t="str">
        <f t="shared" ca="1" si="16"/>
        <v>UDO</v>
      </c>
    </row>
    <row r="1066" spans="1:10" x14ac:dyDescent="0.35">
      <c r="A1066" s="5" t="s">
        <v>35</v>
      </c>
      <c r="B1066" s="6">
        <v>45047</v>
      </c>
      <c r="C1066" s="7">
        <v>5682053</v>
      </c>
      <c r="D1066" s="7">
        <v>5551101.3600000003</v>
      </c>
      <c r="E1066" s="7">
        <v>130951.64</v>
      </c>
      <c r="F1066" t="str">
        <f>VLOOKUP(A1066,[1]!Table1[#All],17,FALSE)</f>
        <v>NAMIBIA</v>
      </c>
      <c r="G1066" t="str">
        <f>VLOOKUP(A1066,[1]!Table1[#All],22,FALSE)</f>
        <v>Ministry of Health &amp; Social Services</v>
      </c>
      <c r="H1066" s="8">
        <f>VLOOKUP(A1066,[1]!Table1[#All],32,FALSE)</f>
        <v>43556</v>
      </c>
      <c r="I1066" s="8">
        <f>VLOOKUP(A1066,[1]!Table1[#All],33,FALSE)</f>
        <v>45564</v>
      </c>
      <c r="J1066" t="str">
        <f t="shared" ca="1" si="16"/>
        <v>UDO</v>
      </c>
    </row>
    <row r="1067" spans="1:10" x14ac:dyDescent="0.35">
      <c r="A1067" s="9" t="s">
        <v>35</v>
      </c>
      <c r="B1067" s="10">
        <v>45078</v>
      </c>
      <c r="C1067" s="11">
        <v>5682053</v>
      </c>
      <c r="D1067" s="11">
        <v>5579010.5999999996</v>
      </c>
      <c r="E1067" s="11">
        <v>103042.4</v>
      </c>
      <c r="F1067" t="str">
        <f>VLOOKUP(A1067,[1]!Table1[#All],17,FALSE)</f>
        <v>NAMIBIA</v>
      </c>
      <c r="G1067" t="str">
        <f>VLOOKUP(A1067,[1]!Table1[#All],22,FALSE)</f>
        <v>Ministry of Health &amp; Social Services</v>
      </c>
      <c r="H1067" s="8">
        <f>VLOOKUP(A1067,[1]!Table1[#All],32,FALSE)</f>
        <v>43556</v>
      </c>
      <c r="I1067" s="8">
        <f>VLOOKUP(A1067,[1]!Table1[#All],33,FALSE)</f>
        <v>45564</v>
      </c>
      <c r="J1067" t="str">
        <f t="shared" ca="1" si="16"/>
        <v>UDO</v>
      </c>
    </row>
    <row r="1068" spans="1:10" x14ac:dyDescent="0.35">
      <c r="A1068" s="5" t="s">
        <v>35</v>
      </c>
      <c r="B1068" s="6">
        <v>45108</v>
      </c>
      <c r="C1068" s="7">
        <v>5682053</v>
      </c>
      <c r="D1068" s="7">
        <v>5579010.5999999996</v>
      </c>
      <c r="E1068" s="7">
        <v>103042.4</v>
      </c>
      <c r="F1068" t="str">
        <f>VLOOKUP(A1068,[1]!Table1[#All],17,FALSE)</f>
        <v>NAMIBIA</v>
      </c>
      <c r="G1068" t="str">
        <f>VLOOKUP(A1068,[1]!Table1[#All],22,FALSE)</f>
        <v>Ministry of Health &amp; Social Services</v>
      </c>
      <c r="H1068" s="8">
        <f>VLOOKUP(A1068,[1]!Table1[#All],32,FALSE)</f>
        <v>43556</v>
      </c>
      <c r="I1068" s="8">
        <f>VLOOKUP(A1068,[1]!Table1[#All],33,FALSE)</f>
        <v>45564</v>
      </c>
      <c r="J1068" t="str">
        <f t="shared" ca="1" si="16"/>
        <v>UDO</v>
      </c>
    </row>
    <row r="1069" spans="1:10" x14ac:dyDescent="0.35">
      <c r="A1069" s="9" t="s">
        <v>35</v>
      </c>
      <c r="B1069" s="10">
        <v>45139</v>
      </c>
      <c r="C1069" s="11">
        <v>5682053</v>
      </c>
      <c r="D1069" s="11">
        <v>5579010.5999999996</v>
      </c>
      <c r="E1069" s="11">
        <v>103042.4</v>
      </c>
      <c r="F1069" t="str">
        <f>VLOOKUP(A1069,[1]!Table1[#All],17,FALSE)</f>
        <v>NAMIBIA</v>
      </c>
      <c r="G1069" t="str">
        <f>VLOOKUP(A1069,[1]!Table1[#All],22,FALSE)</f>
        <v>Ministry of Health &amp; Social Services</v>
      </c>
      <c r="H1069" s="8">
        <f>VLOOKUP(A1069,[1]!Table1[#All],32,FALSE)</f>
        <v>43556</v>
      </c>
      <c r="I1069" s="8">
        <f>VLOOKUP(A1069,[1]!Table1[#All],33,FALSE)</f>
        <v>45564</v>
      </c>
      <c r="J1069" t="str">
        <f t="shared" ca="1" si="16"/>
        <v>UDO</v>
      </c>
    </row>
    <row r="1070" spans="1:10" x14ac:dyDescent="0.35">
      <c r="A1070" s="5" t="s">
        <v>35</v>
      </c>
      <c r="B1070" s="6">
        <v>45170</v>
      </c>
      <c r="C1070" s="7">
        <v>5682053</v>
      </c>
      <c r="D1070" s="7">
        <v>5579010.5999999996</v>
      </c>
      <c r="E1070" s="7">
        <v>103042.4</v>
      </c>
      <c r="F1070" t="str">
        <f>VLOOKUP(A1070,[1]!Table1[#All],17,FALSE)</f>
        <v>NAMIBIA</v>
      </c>
      <c r="G1070" t="str">
        <f>VLOOKUP(A1070,[1]!Table1[#All],22,FALSE)</f>
        <v>Ministry of Health &amp; Social Services</v>
      </c>
      <c r="H1070" s="8">
        <f>VLOOKUP(A1070,[1]!Table1[#All],32,FALSE)</f>
        <v>43556</v>
      </c>
      <c r="I1070" s="8">
        <f>VLOOKUP(A1070,[1]!Table1[#All],33,FALSE)</f>
        <v>45564</v>
      </c>
      <c r="J1070" t="str">
        <f t="shared" ca="1" si="16"/>
        <v>UDO</v>
      </c>
    </row>
    <row r="1071" spans="1:10" x14ac:dyDescent="0.35">
      <c r="A1071" s="9" t="s">
        <v>36</v>
      </c>
      <c r="B1071" s="10">
        <v>44105</v>
      </c>
      <c r="C1071" s="11">
        <v>1413516</v>
      </c>
      <c r="D1071" s="11">
        <v>171165</v>
      </c>
      <c r="E1071" s="11">
        <v>1242351</v>
      </c>
      <c r="F1071" t="str">
        <f>VLOOKUP(A1071,[1]!Table1[#All],17,FALSE)</f>
        <v>CAMEROON</v>
      </c>
      <c r="G1071" t="str">
        <f>VLOOKUP(A1071,[1]!Table1[#All],22,FALSE)</f>
        <v>GLOBAL HEALTH SYSTEMS SOLUTIONS</v>
      </c>
      <c r="H1071" s="8">
        <f>VLOOKUP(A1071,[1]!Table1[#All],32,FALSE)</f>
        <v>43556</v>
      </c>
      <c r="I1071" s="8">
        <f>VLOOKUP(A1071,[1]!Table1[#All],33,FALSE)</f>
        <v>45564</v>
      </c>
      <c r="J1071" t="str">
        <f t="shared" ca="1" si="16"/>
        <v>UDO</v>
      </c>
    </row>
    <row r="1072" spans="1:10" x14ac:dyDescent="0.35">
      <c r="A1072" s="5" t="s">
        <v>36</v>
      </c>
      <c r="B1072" s="6">
        <v>44136</v>
      </c>
      <c r="C1072" s="7">
        <v>1413516</v>
      </c>
      <c r="D1072" s="7">
        <v>171165</v>
      </c>
      <c r="E1072" s="7">
        <v>1242351</v>
      </c>
      <c r="F1072" t="str">
        <f>VLOOKUP(A1072,[1]!Table1[#All],17,FALSE)</f>
        <v>CAMEROON</v>
      </c>
      <c r="G1072" t="str">
        <f>VLOOKUP(A1072,[1]!Table1[#All],22,FALSE)</f>
        <v>GLOBAL HEALTH SYSTEMS SOLUTIONS</v>
      </c>
      <c r="H1072" s="8">
        <f>VLOOKUP(A1072,[1]!Table1[#All],32,FALSE)</f>
        <v>43556</v>
      </c>
      <c r="I1072" s="8">
        <f>VLOOKUP(A1072,[1]!Table1[#All],33,FALSE)</f>
        <v>45564</v>
      </c>
      <c r="J1072" t="str">
        <f t="shared" ca="1" si="16"/>
        <v>UDO</v>
      </c>
    </row>
    <row r="1073" spans="1:10" x14ac:dyDescent="0.35">
      <c r="A1073" s="9" t="s">
        <v>36</v>
      </c>
      <c r="B1073" s="10">
        <v>44166</v>
      </c>
      <c r="C1073" s="11">
        <v>1413516</v>
      </c>
      <c r="D1073" s="11">
        <v>235157</v>
      </c>
      <c r="E1073" s="11">
        <v>1178359</v>
      </c>
      <c r="F1073" t="str">
        <f>VLOOKUP(A1073,[1]!Table1[#All],17,FALSE)</f>
        <v>CAMEROON</v>
      </c>
      <c r="G1073" t="str">
        <f>VLOOKUP(A1073,[1]!Table1[#All],22,FALSE)</f>
        <v>GLOBAL HEALTH SYSTEMS SOLUTIONS</v>
      </c>
      <c r="H1073" s="8">
        <f>VLOOKUP(A1073,[1]!Table1[#All],32,FALSE)</f>
        <v>43556</v>
      </c>
      <c r="I1073" s="8">
        <f>VLOOKUP(A1073,[1]!Table1[#All],33,FALSE)</f>
        <v>45564</v>
      </c>
      <c r="J1073" t="str">
        <f t="shared" ca="1" si="16"/>
        <v>UDO</v>
      </c>
    </row>
    <row r="1074" spans="1:10" x14ac:dyDescent="0.35">
      <c r="A1074" s="5" t="s">
        <v>36</v>
      </c>
      <c r="B1074" s="6">
        <v>44197</v>
      </c>
      <c r="C1074" s="7">
        <v>1413516</v>
      </c>
      <c r="D1074" s="7">
        <v>583490.59</v>
      </c>
      <c r="E1074" s="7">
        <v>830025.40999999992</v>
      </c>
      <c r="F1074" t="str">
        <f>VLOOKUP(A1074,[1]!Table1[#All],17,FALSE)</f>
        <v>CAMEROON</v>
      </c>
      <c r="G1074" t="str">
        <f>VLOOKUP(A1074,[1]!Table1[#All],22,FALSE)</f>
        <v>GLOBAL HEALTH SYSTEMS SOLUTIONS</v>
      </c>
      <c r="H1074" s="8">
        <f>VLOOKUP(A1074,[1]!Table1[#All],32,FALSE)</f>
        <v>43556</v>
      </c>
      <c r="I1074" s="8">
        <f>VLOOKUP(A1074,[1]!Table1[#All],33,FALSE)</f>
        <v>45564</v>
      </c>
      <c r="J1074" t="str">
        <f t="shared" ca="1" si="16"/>
        <v>UDO</v>
      </c>
    </row>
    <row r="1075" spans="1:10" x14ac:dyDescent="0.35">
      <c r="A1075" s="9" t="s">
        <v>36</v>
      </c>
      <c r="B1075" s="10">
        <v>44228</v>
      </c>
      <c r="C1075" s="11">
        <v>1413516</v>
      </c>
      <c r="D1075" s="11">
        <v>666953.59000000008</v>
      </c>
      <c r="E1075" s="11">
        <v>746562.41</v>
      </c>
      <c r="F1075" t="str">
        <f>VLOOKUP(A1075,[1]!Table1[#All],17,FALSE)</f>
        <v>CAMEROON</v>
      </c>
      <c r="G1075" t="str">
        <f>VLOOKUP(A1075,[1]!Table1[#All],22,FALSE)</f>
        <v>GLOBAL HEALTH SYSTEMS SOLUTIONS</v>
      </c>
      <c r="H1075" s="8">
        <f>VLOOKUP(A1075,[1]!Table1[#All],32,FALSE)</f>
        <v>43556</v>
      </c>
      <c r="I1075" s="8">
        <f>VLOOKUP(A1075,[1]!Table1[#All],33,FALSE)</f>
        <v>45564</v>
      </c>
      <c r="J1075" t="str">
        <f t="shared" ca="1" si="16"/>
        <v>UDO</v>
      </c>
    </row>
    <row r="1076" spans="1:10" x14ac:dyDescent="0.35">
      <c r="A1076" s="5" t="s">
        <v>36</v>
      </c>
      <c r="B1076" s="6">
        <v>44256</v>
      </c>
      <c r="C1076" s="7">
        <v>1413516</v>
      </c>
      <c r="D1076" s="7">
        <v>712772.59000000008</v>
      </c>
      <c r="E1076" s="7">
        <v>700743.41</v>
      </c>
      <c r="F1076" t="str">
        <f>VLOOKUP(A1076,[1]!Table1[#All],17,FALSE)</f>
        <v>CAMEROON</v>
      </c>
      <c r="G1076" t="str">
        <f>VLOOKUP(A1076,[1]!Table1[#All],22,FALSE)</f>
        <v>GLOBAL HEALTH SYSTEMS SOLUTIONS</v>
      </c>
      <c r="H1076" s="8">
        <f>VLOOKUP(A1076,[1]!Table1[#All],32,FALSE)</f>
        <v>43556</v>
      </c>
      <c r="I1076" s="8">
        <f>VLOOKUP(A1076,[1]!Table1[#All],33,FALSE)</f>
        <v>45564</v>
      </c>
      <c r="J1076" t="str">
        <f t="shared" ca="1" si="16"/>
        <v>UDO</v>
      </c>
    </row>
    <row r="1077" spans="1:10" x14ac:dyDescent="0.35">
      <c r="A1077" s="9" t="s">
        <v>36</v>
      </c>
      <c r="B1077" s="10">
        <v>44287</v>
      </c>
      <c r="C1077" s="11">
        <v>1413516</v>
      </c>
      <c r="D1077" s="11">
        <v>712772.59000000008</v>
      </c>
      <c r="E1077" s="11">
        <v>700743.41</v>
      </c>
      <c r="F1077" t="str">
        <f>VLOOKUP(A1077,[1]!Table1[#All],17,FALSE)</f>
        <v>CAMEROON</v>
      </c>
      <c r="G1077" t="str">
        <f>VLOOKUP(A1077,[1]!Table1[#All],22,FALSE)</f>
        <v>GLOBAL HEALTH SYSTEMS SOLUTIONS</v>
      </c>
      <c r="H1077" s="8">
        <f>VLOOKUP(A1077,[1]!Table1[#All],32,FALSE)</f>
        <v>43556</v>
      </c>
      <c r="I1077" s="8">
        <f>VLOOKUP(A1077,[1]!Table1[#All],33,FALSE)</f>
        <v>45564</v>
      </c>
      <c r="J1077" t="str">
        <f t="shared" ca="1" si="16"/>
        <v>UDO</v>
      </c>
    </row>
    <row r="1078" spans="1:10" x14ac:dyDescent="0.35">
      <c r="A1078" s="5" t="s">
        <v>36</v>
      </c>
      <c r="B1078" s="6">
        <v>44317</v>
      </c>
      <c r="C1078" s="7">
        <v>1413516</v>
      </c>
      <c r="D1078" s="7">
        <v>712772.59000000008</v>
      </c>
      <c r="E1078" s="7">
        <v>700743.41</v>
      </c>
      <c r="F1078" t="str">
        <f>VLOOKUP(A1078,[1]!Table1[#All],17,FALSE)</f>
        <v>CAMEROON</v>
      </c>
      <c r="G1078" t="str">
        <f>VLOOKUP(A1078,[1]!Table1[#All],22,FALSE)</f>
        <v>GLOBAL HEALTH SYSTEMS SOLUTIONS</v>
      </c>
      <c r="H1078" s="8">
        <f>VLOOKUP(A1078,[1]!Table1[#All],32,FALSE)</f>
        <v>43556</v>
      </c>
      <c r="I1078" s="8">
        <f>VLOOKUP(A1078,[1]!Table1[#All],33,FALSE)</f>
        <v>45564</v>
      </c>
      <c r="J1078" t="str">
        <f t="shared" ca="1" si="16"/>
        <v>UDO</v>
      </c>
    </row>
    <row r="1079" spans="1:10" x14ac:dyDescent="0.35">
      <c r="A1079" s="9" t="s">
        <v>36</v>
      </c>
      <c r="B1079" s="10">
        <v>44348</v>
      </c>
      <c r="C1079" s="11">
        <v>1413516</v>
      </c>
      <c r="D1079" s="11">
        <v>969918.59000000008</v>
      </c>
      <c r="E1079" s="11">
        <v>443597.41</v>
      </c>
      <c r="F1079" t="str">
        <f>VLOOKUP(A1079,[1]!Table1[#All],17,FALSE)</f>
        <v>CAMEROON</v>
      </c>
      <c r="G1079" t="str">
        <f>VLOOKUP(A1079,[1]!Table1[#All],22,FALSE)</f>
        <v>GLOBAL HEALTH SYSTEMS SOLUTIONS</v>
      </c>
      <c r="H1079" s="8">
        <f>VLOOKUP(A1079,[1]!Table1[#All],32,FALSE)</f>
        <v>43556</v>
      </c>
      <c r="I1079" s="8">
        <f>VLOOKUP(A1079,[1]!Table1[#All],33,FALSE)</f>
        <v>45564</v>
      </c>
      <c r="J1079" t="str">
        <f t="shared" ca="1" si="16"/>
        <v>UDO</v>
      </c>
    </row>
    <row r="1080" spans="1:10" x14ac:dyDescent="0.35">
      <c r="A1080" s="5" t="s">
        <v>36</v>
      </c>
      <c r="B1080" s="6">
        <v>44378</v>
      </c>
      <c r="C1080" s="7">
        <v>1413516</v>
      </c>
      <c r="D1080" s="7">
        <v>969918.59000000008</v>
      </c>
      <c r="E1080" s="7">
        <v>443597.41</v>
      </c>
      <c r="F1080" t="str">
        <f>VLOOKUP(A1080,[1]!Table1[#All],17,FALSE)</f>
        <v>CAMEROON</v>
      </c>
      <c r="G1080" t="str">
        <f>VLOOKUP(A1080,[1]!Table1[#All],22,FALSE)</f>
        <v>GLOBAL HEALTH SYSTEMS SOLUTIONS</v>
      </c>
      <c r="H1080" s="8">
        <f>VLOOKUP(A1080,[1]!Table1[#All],32,FALSE)</f>
        <v>43556</v>
      </c>
      <c r="I1080" s="8">
        <f>VLOOKUP(A1080,[1]!Table1[#All],33,FALSE)</f>
        <v>45564</v>
      </c>
      <c r="J1080" t="str">
        <f t="shared" ca="1" si="16"/>
        <v>UDO</v>
      </c>
    </row>
    <row r="1081" spans="1:10" x14ac:dyDescent="0.35">
      <c r="A1081" s="9" t="s">
        <v>36</v>
      </c>
      <c r="B1081" s="10">
        <v>44409</v>
      </c>
      <c r="C1081" s="11">
        <v>1413516</v>
      </c>
      <c r="D1081" s="11">
        <v>969918.59000000008</v>
      </c>
      <c r="E1081" s="11">
        <v>443597.41</v>
      </c>
      <c r="F1081" t="str">
        <f>VLOOKUP(A1081,[1]!Table1[#All],17,FALSE)</f>
        <v>CAMEROON</v>
      </c>
      <c r="G1081" t="str">
        <f>VLOOKUP(A1081,[1]!Table1[#All],22,FALSE)</f>
        <v>GLOBAL HEALTH SYSTEMS SOLUTIONS</v>
      </c>
      <c r="H1081" s="8">
        <f>VLOOKUP(A1081,[1]!Table1[#All],32,FALSE)</f>
        <v>43556</v>
      </c>
      <c r="I1081" s="8">
        <f>VLOOKUP(A1081,[1]!Table1[#All],33,FALSE)</f>
        <v>45564</v>
      </c>
      <c r="J1081" t="str">
        <f t="shared" ca="1" si="16"/>
        <v>UDO</v>
      </c>
    </row>
    <row r="1082" spans="1:10" x14ac:dyDescent="0.35">
      <c r="A1082" s="5" t="s">
        <v>36</v>
      </c>
      <c r="B1082" s="6">
        <v>44440</v>
      </c>
      <c r="C1082" s="7">
        <v>1413516</v>
      </c>
      <c r="D1082" s="7">
        <v>1259706.5900000001</v>
      </c>
      <c r="E1082" s="7">
        <v>153809.41</v>
      </c>
      <c r="F1082" t="str">
        <f>VLOOKUP(A1082,[1]!Table1[#All],17,FALSE)</f>
        <v>CAMEROON</v>
      </c>
      <c r="G1082" t="str">
        <f>VLOOKUP(A1082,[1]!Table1[#All],22,FALSE)</f>
        <v>GLOBAL HEALTH SYSTEMS SOLUTIONS</v>
      </c>
      <c r="H1082" s="8">
        <f>VLOOKUP(A1082,[1]!Table1[#All],32,FALSE)</f>
        <v>43556</v>
      </c>
      <c r="I1082" s="8">
        <f>VLOOKUP(A1082,[1]!Table1[#All],33,FALSE)</f>
        <v>45564</v>
      </c>
      <c r="J1082" t="str">
        <f t="shared" ca="1" si="16"/>
        <v>UDO</v>
      </c>
    </row>
    <row r="1083" spans="1:10" x14ac:dyDescent="0.35">
      <c r="A1083" s="9" t="s">
        <v>36</v>
      </c>
      <c r="B1083" s="10">
        <v>44470</v>
      </c>
      <c r="C1083" s="11">
        <v>1413516</v>
      </c>
      <c r="D1083" s="11">
        <v>1413044</v>
      </c>
      <c r="E1083" s="11">
        <v>472</v>
      </c>
      <c r="F1083" t="str">
        <f>VLOOKUP(A1083,[1]!Table1[#All],17,FALSE)</f>
        <v>CAMEROON</v>
      </c>
      <c r="G1083" t="str">
        <f>VLOOKUP(A1083,[1]!Table1[#All],22,FALSE)</f>
        <v>GLOBAL HEALTH SYSTEMS SOLUTIONS</v>
      </c>
      <c r="H1083" s="8">
        <f>VLOOKUP(A1083,[1]!Table1[#All],32,FALSE)</f>
        <v>43556</v>
      </c>
      <c r="I1083" s="8">
        <f>VLOOKUP(A1083,[1]!Table1[#All],33,FALSE)</f>
        <v>45564</v>
      </c>
      <c r="J1083" t="str">
        <f t="shared" ca="1" si="16"/>
        <v>UDO</v>
      </c>
    </row>
    <row r="1084" spans="1:10" x14ac:dyDescent="0.35">
      <c r="A1084" s="5" t="s">
        <v>36</v>
      </c>
      <c r="B1084" s="6">
        <v>44501</v>
      </c>
      <c r="C1084" s="7">
        <v>1413516</v>
      </c>
      <c r="D1084" s="7">
        <v>1413044</v>
      </c>
      <c r="E1084" s="7">
        <v>472</v>
      </c>
      <c r="F1084" t="str">
        <f>VLOOKUP(A1084,[1]!Table1[#All],17,FALSE)</f>
        <v>CAMEROON</v>
      </c>
      <c r="G1084" t="str">
        <f>VLOOKUP(A1084,[1]!Table1[#All],22,FALSE)</f>
        <v>GLOBAL HEALTH SYSTEMS SOLUTIONS</v>
      </c>
      <c r="H1084" s="8">
        <f>VLOOKUP(A1084,[1]!Table1[#All],32,FALSE)</f>
        <v>43556</v>
      </c>
      <c r="I1084" s="8">
        <f>VLOOKUP(A1084,[1]!Table1[#All],33,FALSE)</f>
        <v>45564</v>
      </c>
      <c r="J1084" t="str">
        <f t="shared" ca="1" si="16"/>
        <v>UDO</v>
      </c>
    </row>
    <row r="1085" spans="1:10" x14ac:dyDescent="0.35">
      <c r="A1085" s="9" t="s">
        <v>36</v>
      </c>
      <c r="B1085" s="10">
        <v>44531</v>
      </c>
      <c r="C1085" s="11">
        <v>1413516</v>
      </c>
      <c r="D1085" s="11">
        <v>1413044</v>
      </c>
      <c r="E1085" s="11">
        <v>472</v>
      </c>
      <c r="F1085" t="str">
        <f>VLOOKUP(A1085,[1]!Table1[#All],17,FALSE)</f>
        <v>CAMEROON</v>
      </c>
      <c r="G1085" t="str">
        <f>VLOOKUP(A1085,[1]!Table1[#All],22,FALSE)</f>
        <v>GLOBAL HEALTH SYSTEMS SOLUTIONS</v>
      </c>
      <c r="H1085" s="8">
        <f>VLOOKUP(A1085,[1]!Table1[#All],32,FALSE)</f>
        <v>43556</v>
      </c>
      <c r="I1085" s="8">
        <f>VLOOKUP(A1085,[1]!Table1[#All],33,FALSE)</f>
        <v>45564</v>
      </c>
      <c r="J1085" t="str">
        <f t="shared" ca="1" si="16"/>
        <v>UDO</v>
      </c>
    </row>
    <row r="1086" spans="1:10" x14ac:dyDescent="0.35">
      <c r="A1086" s="5" t="s">
        <v>36</v>
      </c>
      <c r="B1086" s="6">
        <v>44562</v>
      </c>
      <c r="C1086" s="7">
        <v>1413516</v>
      </c>
      <c r="D1086" s="7">
        <v>1413044</v>
      </c>
      <c r="E1086" s="7">
        <v>472</v>
      </c>
      <c r="F1086" t="str">
        <f>VLOOKUP(A1086,[1]!Table1[#All],17,FALSE)</f>
        <v>CAMEROON</v>
      </c>
      <c r="G1086" t="str">
        <f>VLOOKUP(A1086,[1]!Table1[#All],22,FALSE)</f>
        <v>GLOBAL HEALTH SYSTEMS SOLUTIONS</v>
      </c>
      <c r="H1086" s="8">
        <f>VLOOKUP(A1086,[1]!Table1[#All],32,FALSE)</f>
        <v>43556</v>
      </c>
      <c r="I1086" s="8">
        <f>VLOOKUP(A1086,[1]!Table1[#All],33,FALSE)</f>
        <v>45564</v>
      </c>
      <c r="J1086" t="str">
        <f t="shared" ca="1" si="16"/>
        <v>UDO</v>
      </c>
    </row>
    <row r="1087" spans="1:10" x14ac:dyDescent="0.35">
      <c r="A1087" s="9" t="s">
        <v>36</v>
      </c>
      <c r="B1087" s="10">
        <v>44593</v>
      </c>
      <c r="C1087" s="11">
        <v>1413516</v>
      </c>
      <c r="D1087" s="11">
        <v>1413044</v>
      </c>
      <c r="E1087" s="11">
        <v>472</v>
      </c>
      <c r="F1087" t="str">
        <f>VLOOKUP(A1087,[1]!Table1[#All],17,FALSE)</f>
        <v>CAMEROON</v>
      </c>
      <c r="G1087" t="str">
        <f>VLOOKUP(A1087,[1]!Table1[#All],22,FALSE)</f>
        <v>GLOBAL HEALTH SYSTEMS SOLUTIONS</v>
      </c>
      <c r="H1087" s="8">
        <f>VLOOKUP(A1087,[1]!Table1[#All],32,FALSE)</f>
        <v>43556</v>
      </c>
      <c r="I1087" s="8">
        <f>VLOOKUP(A1087,[1]!Table1[#All],33,FALSE)</f>
        <v>45564</v>
      </c>
      <c r="J1087" t="str">
        <f t="shared" ca="1" si="16"/>
        <v>UDO</v>
      </c>
    </row>
    <row r="1088" spans="1:10" x14ac:dyDescent="0.35">
      <c r="A1088" s="5" t="s">
        <v>36</v>
      </c>
      <c r="B1088" s="6">
        <v>44621</v>
      </c>
      <c r="C1088" s="7">
        <v>1413516</v>
      </c>
      <c r="D1088" s="7">
        <v>1204643.06</v>
      </c>
      <c r="E1088" s="7">
        <v>208872.94</v>
      </c>
      <c r="F1088" t="str">
        <f>VLOOKUP(A1088,[1]!Table1[#All],17,FALSE)</f>
        <v>CAMEROON</v>
      </c>
      <c r="G1088" t="str">
        <f>VLOOKUP(A1088,[1]!Table1[#All],22,FALSE)</f>
        <v>GLOBAL HEALTH SYSTEMS SOLUTIONS</v>
      </c>
      <c r="H1088" s="8">
        <f>VLOOKUP(A1088,[1]!Table1[#All],32,FALSE)</f>
        <v>43556</v>
      </c>
      <c r="I1088" s="8">
        <f>VLOOKUP(A1088,[1]!Table1[#All],33,FALSE)</f>
        <v>45564</v>
      </c>
      <c r="J1088" t="str">
        <f t="shared" ca="1" si="16"/>
        <v>UDO</v>
      </c>
    </row>
    <row r="1089" spans="1:10" x14ac:dyDescent="0.35">
      <c r="A1089" s="9" t="s">
        <v>36</v>
      </c>
      <c r="B1089" s="10">
        <v>44652</v>
      </c>
      <c r="C1089" s="11">
        <v>1413516</v>
      </c>
      <c r="D1089" s="11">
        <v>1204643.06</v>
      </c>
      <c r="E1089" s="11">
        <v>208872.94</v>
      </c>
      <c r="F1089" t="str">
        <f>VLOOKUP(A1089,[1]!Table1[#All],17,FALSE)</f>
        <v>CAMEROON</v>
      </c>
      <c r="G1089" t="str">
        <f>VLOOKUP(A1089,[1]!Table1[#All],22,FALSE)</f>
        <v>GLOBAL HEALTH SYSTEMS SOLUTIONS</v>
      </c>
      <c r="H1089" s="8">
        <f>VLOOKUP(A1089,[1]!Table1[#All],32,FALSE)</f>
        <v>43556</v>
      </c>
      <c r="I1089" s="8">
        <f>VLOOKUP(A1089,[1]!Table1[#All],33,FALSE)</f>
        <v>45564</v>
      </c>
      <c r="J1089" t="str">
        <f t="shared" ca="1" si="16"/>
        <v>UDO</v>
      </c>
    </row>
    <row r="1090" spans="1:10" x14ac:dyDescent="0.35">
      <c r="A1090" s="5" t="s">
        <v>36</v>
      </c>
      <c r="B1090" s="6">
        <v>44682</v>
      </c>
      <c r="C1090" s="7">
        <v>1413516</v>
      </c>
      <c r="D1090" s="7">
        <v>1204643.06</v>
      </c>
      <c r="E1090" s="7">
        <v>208872.94</v>
      </c>
      <c r="F1090" t="str">
        <f>VLOOKUP(A1090,[1]!Table1[#All],17,FALSE)</f>
        <v>CAMEROON</v>
      </c>
      <c r="G1090" t="str">
        <f>VLOOKUP(A1090,[1]!Table1[#All],22,FALSE)</f>
        <v>GLOBAL HEALTH SYSTEMS SOLUTIONS</v>
      </c>
      <c r="H1090" s="8">
        <f>VLOOKUP(A1090,[1]!Table1[#All],32,FALSE)</f>
        <v>43556</v>
      </c>
      <c r="I1090" s="8">
        <f>VLOOKUP(A1090,[1]!Table1[#All],33,FALSE)</f>
        <v>45564</v>
      </c>
      <c r="J1090" t="str">
        <f t="shared" ca="1" si="16"/>
        <v>UDO</v>
      </c>
    </row>
    <row r="1091" spans="1:10" x14ac:dyDescent="0.35">
      <c r="A1091" s="9" t="s">
        <v>36</v>
      </c>
      <c r="B1091" s="10">
        <v>44713</v>
      </c>
      <c r="C1091" s="11">
        <v>1413516</v>
      </c>
      <c r="D1091" s="11">
        <v>1204643.06</v>
      </c>
      <c r="E1091" s="11">
        <v>208872.94</v>
      </c>
      <c r="F1091" t="str">
        <f>VLOOKUP(A1091,[1]!Table1[#All],17,FALSE)</f>
        <v>CAMEROON</v>
      </c>
      <c r="G1091" t="str">
        <f>VLOOKUP(A1091,[1]!Table1[#All],22,FALSE)</f>
        <v>GLOBAL HEALTH SYSTEMS SOLUTIONS</v>
      </c>
      <c r="H1091" s="8">
        <f>VLOOKUP(A1091,[1]!Table1[#All],32,FALSE)</f>
        <v>43556</v>
      </c>
      <c r="I1091" s="8">
        <f>VLOOKUP(A1091,[1]!Table1[#All],33,FALSE)</f>
        <v>45564</v>
      </c>
      <c r="J1091" t="str">
        <f t="shared" ref="J1091:J1154" ca="1" si="17">IF(AND( E1091&gt;0,TODAY()&gt;I1091),"UDO","Non UDO")</f>
        <v>UDO</v>
      </c>
    </row>
    <row r="1092" spans="1:10" x14ac:dyDescent="0.35">
      <c r="A1092" s="5" t="s">
        <v>36</v>
      </c>
      <c r="B1092" s="6">
        <v>44743</v>
      </c>
      <c r="C1092" s="7">
        <v>1413516</v>
      </c>
      <c r="D1092" s="7">
        <v>1266328.06</v>
      </c>
      <c r="E1092" s="7">
        <v>147187.94</v>
      </c>
      <c r="F1092" t="str">
        <f>VLOOKUP(A1092,[1]!Table1[#All],17,FALSE)</f>
        <v>CAMEROON</v>
      </c>
      <c r="G1092" t="str">
        <f>VLOOKUP(A1092,[1]!Table1[#All],22,FALSE)</f>
        <v>GLOBAL HEALTH SYSTEMS SOLUTIONS</v>
      </c>
      <c r="H1092" s="8">
        <f>VLOOKUP(A1092,[1]!Table1[#All],32,FALSE)</f>
        <v>43556</v>
      </c>
      <c r="I1092" s="8">
        <f>VLOOKUP(A1092,[1]!Table1[#All],33,FALSE)</f>
        <v>45564</v>
      </c>
      <c r="J1092" t="str">
        <f t="shared" ca="1" si="17"/>
        <v>UDO</v>
      </c>
    </row>
    <row r="1093" spans="1:10" x14ac:dyDescent="0.35">
      <c r="A1093" s="9" t="s">
        <v>36</v>
      </c>
      <c r="B1093" s="10">
        <v>44774</v>
      </c>
      <c r="C1093" s="11">
        <v>1413516</v>
      </c>
      <c r="D1093" s="11">
        <v>1266328.06</v>
      </c>
      <c r="E1093" s="11">
        <v>147187.94</v>
      </c>
      <c r="F1093" t="str">
        <f>VLOOKUP(A1093,[1]!Table1[#All],17,FALSE)</f>
        <v>CAMEROON</v>
      </c>
      <c r="G1093" t="str">
        <f>VLOOKUP(A1093,[1]!Table1[#All],22,FALSE)</f>
        <v>GLOBAL HEALTH SYSTEMS SOLUTIONS</v>
      </c>
      <c r="H1093" s="8">
        <f>VLOOKUP(A1093,[1]!Table1[#All],32,FALSE)</f>
        <v>43556</v>
      </c>
      <c r="I1093" s="8">
        <f>VLOOKUP(A1093,[1]!Table1[#All],33,FALSE)</f>
        <v>45564</v>
      </c>
      <c r="J1093" t="str">
        <f t="shared" ca="1" si="17"/>
        <v>UDO</v>
      </c>
    </row>
    <row r="1094" spans="1:10" x14ac:dyDescent="0.35">
      <c r="A1094" s="5" t="s">
        <v>36</v>
      </c>
      <c r="B1094" s="6">
        <v>44805</v>
      </c>
      <c r="C1094" s="7">
        <v>1413516</v>
      </c>
      <c r="D1094" s="7">
        <v>1340781.06</v>
      </c>
      <c r="E1094" s="7">
        <v>72734.94</v>
      </c>
      <c r="F1094" t="str">
        <f>VLOOKUP(A1094,[1]!Table1[#All],17,FALSE)</f>
        <v>CAMEROON</v>
      </c>
      <c r="G1094" t="str">
        <f>VLOOKUP(A1094,[1]!Table1[#All],22,FALSE)</f>
        <v>GLOBAL HEALTH SYSTEMS SOLUTIONS</v>
      </c>
      <c r="H1094" s="8">
        <f>VLOOKUP(A1094,[1]!Table1[#All],32,FALSE)</f>
        <v>43556</v>
      </c>
      <c r="I1094" s="8">
        <f>VLOOKUP(A1094,[1]!Table1[#All],33,FALSE)</f>
        <v>45564</v>
      </c>
      <c r="J1094" t="str">
        <f t="shared" ca="1" si="17"/>
        <v>UDO</v>
      </c>
    </row>
    <row r="1095" spans="1:10" x14ac:dyDescent="0.35">
      <c r="A1095" s="9" t="s">
        <v>36</v>
      </c>
      <c r="B1095" s="10">
        <v>44835</v>
      </c>
      <c r="C1095" s="11">
        <v>1413516</v>
      </c>
      <c r="D1095" s="11">
        <v>1340781.06</v>
      </c>
      <c r="E1095" s="11">
        <v>72734.94</v>
      </c>
      <c r="F1095" t="str">
        <f>VLOOKUP(A1095,[1]!Table1[#All],17,FALSE)</f>
        <v>CAMEROON</v>
      </c>
      <c r="G1095" t="str">
        <f>VLOOKUP(A1095,[1]!Table1[#All],22,FALSE)</f>
        <v>GLOBAL HEALTH SYSTEMS SOLUTIONS</v>
      </c>
      <c r="H1095" s="8">
        <f>VLOOKUP(A1095,[1]!Table1[#All],32,FALSE)</f>
        <v>43556</v>
      </c>
      <c r="I1095" s="8">
        <f>VLOOKUP(A1095,[1]!Table1[#All],33,FALSE)</f>
        <v>45564</v>
      </c>
      <c r="J1095" t="str">
        <f t="shared" ca="1" si="17"/>
        <v>UDO</v>
      </c>
    </row>
    <row r="1096" spans="1:10" x14ac:dyDescent="0.35">
      <c r="A1096" s="5" t="s">
        <v>36</v>
      </c>
      <c r="B1096" s="6">
        <v>44866</v>
      </c>
      <c r="C1096" s="7">
        <v>1413516</v>
      </c>
      <c r="D1096" s="7">
        <v>1340781.06</v>
      </c>
      <c r="E1096" s="7">
        <v>72734.94</v>
      </c>
      <c r="F1096" t="str">
        <f>VLOOKUP(A1096,[1]!Table1[#All],17,FALSE)</f>
        <v>CAMEROON</v>
      </c>
      <c r="G1096" t="str">
        <f>VLOOKUP(A1096,[1]!Table1[#All],22,FALSE)</f>
        <v>GLOBAL HEALTH SYSTEMS SOLUTIONS</v>
      </c>
      <c r="H1096" s="8">
        <f>VLOOKUP(A1096,[1]!Table1[#All],32,FALSE)</f>
        <v>43556</v>
      </c>
      <c r="I1096" s="8">
        <f>VLOOKUP(A1096,[1]!Table1[#All],33,FALSE)</f>
        <v>45564</v>
      </c>
      <c r="J1096" t="str">
        <f t="shared" ca="1" si="17"/>
        <v>UDO</v>
      </c>
    </row>
    <row r="1097" spans="1:10" x14ac:dyDescent="0.35">
      <c r="A1097" s="9" t="s">
        <v>36</v>
      </c>
      <c r="B1097" s="10">
        <v>44896</v>
      </c>
      <c r="C1097" s="11">
        <v>1413516</v>
      </c>
      <c r="D1097" s="11">
        <v>1340781.06</v>
      </c>
      <c r="E1097" s="11">
        <v>72734.94</v>
      </c>
      <c r="F1097" t="str">
        <f>VLOOKUP(A1097,[1]!Table1[#All],17,FALSE)</f>
        <v>CAMEROON</v>
      </c>
      <c r="G1097" t="str">
        <f>VLOOKUP(A1097,[1]!Table1[#All],22,FALSE)</f>
        <v>GLOBAL HEALTH SYSTEMS SOLUTIONS</v>
      </c>
      <c r="H1097" s="8">
        <f>VLOOKUP(A1097,[1]!Table1[#All],32,FALSE)</f>
        <v>43556</v>
      </c>
      <c r="I1097" s="8">
        <f>VLOOKUP(A1097,[1]!Table1[#All],33,FALSE)</f>
        <v>45564</v>
      </c>
      <c r="J1097" t="str">
        <f t="shared" ca="1" si="17"/>
        <v>UDO</v>
      </c>
    </row>
    <row r="1098" spans="1:10" x14ac:dyDescent="0.35">
      <c r="A1098" s="5" t="s">
        <v>36</v>
      </c>
      <c r="B1098" s="6">
        <v>44927</v>
      </c>
      <c r="C1098" s="7">
        <v>1413516</v>
      </c>
      <c r="D1098" s="7">
        <v>1340781.06</v>
      </c>
      <c r="E1098" s="7">
        <v>72734.94</v>
      </c>
      <c r="F1098" t="str">
        <f>VLOOKUP(A1098,[1]!Table1[#All],17,FALSE)</f>
        <v>CAMEROON</v>
      </c>
      <c r="G1098" t="str">
        <f>VLOOKUP(A1098,[1]!Table1[#All],22,FALSE)</f>
        <v>GLOBAL HEALTH SYSTEMS SOLUTIONS</v>
      </c>
      <c r="H1098" s="8">
        <f>VLOOKUP(A1098,[1]!Table1[#All],32,FALSE)</f>
        <v>43556</v>
      </c>
      <c r="I1098" s="8">
        <f>VLOOKUP(A1098,[1]!Table1[#All],33,FALSE)</f>
        <v>45564</v>
      </c>
      <c r="J1098" t="str">
        <f t="shared" ca="1" si="17"/>
        <v>UDO</v>
      </c>
    </row>
    <row r="1099" spans="1:10" x14ac:dyDescent="0.35">
      <c r="A1099" s="9" t="s">
        <v>36</v>
      </c>
      <c r="B1099" s="10">
        <v>44958</v>
      </c>
      <c r="C1099" s="11">
        <v>1413516</v>
      </c>
      <c r="D1099" s="11">
        <v>1340781.06</v>
      </c>
      <c r="E1099" s="11">
        <v>72734.94</v>
      </c>
      <c r="F1099" t="str">
        <f>VLOOKUP(A1099,[1]!Table1[#All],17,FALSE)</f>
        <v>CAMEROON</v>
      </c>
      <c r="G1099" t="str">
        <f>VLOOKUP(A1099,[1]!Table1[#All],22,FALSE)</f>
        <v>GLOBAL HEALTH SYSTEMS SOLUTIONS</v>
      </c>
      <c r="H1099" s="8">
        <f>VLOOKUP(A1099,[1]!Table1[#All],32,FALSE)</f>
        <v>43556</v>
      </c>
      <c r="I1099" s="8">
        <f>VLOOKUP(A1099,[1]!Table1[#All],33,FALSE)</f>
        <v>45564</v>
      </c>
      <c r="J1099" t="str">
        <f t="shared" ca="1" si="17"/>
        <v>UDO</v>
      </c>
    </row>
    <row r="1100" spans="1:10" x14ac:dyDescent="0.35">
      <c r="A1100" s="5" t="s">
        <v>36</v>
      </c>
      <c r="B1100" s="6">
        <v>44986</v>
      </c>
      <c r="C1100" s="7">
        <v>1413516</v>
      </c>
      <c r="D1100" s="7">
        <v>1340781.06</v>
      </c>
      <c r="E1100" s="7">
        <v>72734.94</v>
      </c>
      <c r="F1100" t="str">
        <f>VLOOKUP(A1100,[1]!Table1[#All],17,FALSE)</f>
        <v>CAMEROON</v>
      </c>
      <c r="G1100" t="str">
        <f>VLOOKUP(A1100,[1]!Table1[#All],22,FALSE)</f>
        <v>GLOBAL HEALTH SYSTEMS SOLUTIONS</v>
      </c>
      <c r="H1100" s="8">
        <f>VLOOKUP(A1100,[1]!Table1[#All],32,FALSE)</f>
        <v>43556</v>
      </c>
      <c r="I1100" s="8">
        <f>VLOOKUP(A1100,[1]!Table1[#All],33,FALSE)</f>
        <v>45564</v>
      </c>
      <c r="J1100" t="str">
        <f t="shared" ca="1" si="17"/>
        <v>UDO</v>
      </c>
    </row>
    <row r="1101" spans="1:10" x14ac:dyDescent="0.35">
      <c r="A1101" s="9" t="s">
        <v>36</v>
      </c>
      <c r="B1101" s="10">
        <v>45017</v>
      </c>
      <c r="C1101" s="11">
        <v>1413516</v>
      </c>
      <c r="D1101" s="11">
        <v>1353366.06</v>
      </c>
      <c r="E1101" s="11">
        <v>60149.94</v>
      </c>
      <c r="F1101" t="str">
        <f>VLOOKUP(A1101,[1]!Table1[#All],17,FALSE)</f>
        <v>CAMEROON</v>
      </c>
      <c r="G1101" t="str">
        <f>VLOOKUP(A1101,[1]!Table1[#All],22,FALSE)</f>
        <v>GLOBAL HEALTH SYSTEMS SOLUTIONS</v>
      </c>
      <c r="H1101" s="8">
        <f>VLOOKUP(A1101,[1]!Table1[#All],32,FALSE)</f>
        <v>43556</v>
      </c>
      <c r="I1101" s="8">
        <f>VLOOKUP(A1101,[1]!Table1[#All],33,FALSE)</f>
        <v>45564</v>
      </c>
      <c r="J1101" t="str">
        <f t="shared" ca="1" si="17"/>
        <v>UDO</v>
      </c>
    </row>
    <row r="1102" spans="1:10" x14ac:dyDescent="0.35">
      <c r="A1102" s="5" t="s">
        <v>36</v>
      </c>
      <c r="B1102" s="6">
        <v>45047</v>
      </c>
      <c r="C1102" s="7">
        <v>1413516</v>
      </c>
      <c r="D1102" s="7">
        <v>1353366.06</v>
      </c>
      <c r="E1102" s="7">
        <v>60149.94</v>
      </c>
      <c r="F1102" t="str">
        <f>VLOOKUP(A1102,[1]!Table1[#All],17,FALSE)</f>
        <v>CAMEROON</v>
      </c>
      <c r="G1102" t="str">
        <f>VLOOKUP(A1102,[1]!Table1[#All],22,FALSE)</f>
        <v>GLOBAL HEALTH SYSTEMS SOLUTIONS</v>
      </c>
      <c r="H1102" s="8">
        <f>VLOOKUP(A1102,[1]!Table1[#All],32,FALSE)</f>
        <v>43556</v>
      </c>
      <c r="I1102" s="8">
        <f>VLOOKUP(A1102,[1]!Table1[#All],33,FALSE)</f>
        <v>45564</v>
      </c>
      <c r="J1102" t="str">
        <f t="shared" ca="1" si="17"/>
        <v>UDO</v>
      </c>
    </row>
    <row r="1103" spans="1:10" x14ac:dyDescent="0.35">
      <c r="A1103" s="9" t="s">
        <v>36</v>
      </c>
      <c r="B1103" s="10">
        <v>45078</v>
      </c>
      <c r="C1103" s="11">
        <v>1413516</v>
      </c>
      <c r="D1103" s="11">
        <v>1367016.06</v>
      </c>
      <c r="E1103" s="11">
        <v>46499.94</v>
      </c>
      <c r="F1103" t="str">
        <f>VLOOKUP(A1103,[1]!Table1[#All],17,FALSE)</f>
        <v>CAMEROON</v>
      </c>
      <c r="G1103" t="str">
        <f>VLOOKUP(A1103,[1]!Table1[#All],22,FALSE)</f>
        <v>GLOBAL HEALTH SYSTEMS SOLUTIONS</v>
      </c>
      <c r="H1103" s="8">
        <f>VLOOKUP(A1103,[1]!Table1[#All],32,FALSE)</f>
        <v>43556</v>
      </c>
      <c r="I1103" s="8">
        <f>VLOOKUP(A1103,[1]!Table1[#All],33,FALSE)</f>
        <v>45564</v>
      </c>
      <c r="J1103" t="str">
        <f t="shared" ca="1" si="17"/>
        <v>UDO</v>
      </c>
    </row>
    <row r="1104" spans="1:10" x14ac:dyDescent="0.35">
      <c r="A1104" s="5" t="s">
        <v>36</v>
      </c>
      <c r="B1104" s="6">
        <v>45108</v>
      </c>
      <c r="C1104" s="7">
        <v>1413516</v>
      </c>
      <c r="D1104" s="7">
        <v>1367016.06</v>
      </c>
      <c r="E1104" s="7">
        <v>46499.94</v>
      </c>
      <c r="F1104" t="str">
        <f>VLOOKUP(A1104,[1]!Table1[#All],17,FALSE)</f>
        <v>CAMEROON</v>
      </c>
      <c r="G1104" t="str">
        <f>VLOOKUP(A1104,[1]!Table1[#All],22,FALSE)</f>
        <v>GLOBAL HEALTH SYSTEMS SOLUTIONS</v>
      </c>
      <c r="H1104" s="8">
        <f>VLOOKUP(A1104,[1]!Table1[#All],32,FALSE)</f>
        <v>43556</v>
      </c>
      <c r="I1104" s="8">
        <f>VLOOKUP(A1104,[1]!Table1[#All],33,FALSE)</f>
        <v>45564</v>
      </c>
      <c r="J1104" t="str">
        <f t="shared" ca="1" si="17"/>
        <v>UDO</v>
      </c>
    </row>
    <row r="1105" spans="1:10" x14ac:dyDescent="0.35">
      <c r="A1105" s="9" t="s">
        <v>36</v>
      </c>
      <c r="B1105" s="10">
        <v>45139</v>
      </c>
      <c r="C1105" s="11">
        <v>1413516</v>
      </c>
      <c r="D1105" s="11">
        <v>1367016.06</v>
      </c>
      <c r="E1105" s="11">
        <v>46499.94</v>
      </c>
      <c r="F1105" t="str">
        <f>VLOOKUP(A1105,[1]!Table1[#All],17,FALSE)</f>
        <v>CAMEROON</v>
      </c>
      <c r="G1105" t="str">
        <f>VLOOKUP(A1105,[1]!Table1[#All],22,FALSE)</f>
        <v>GLOBAL HEALTH SYSTEMS SOLUTIONS</v>
      </c>
      <c r="H1105" s="8">
        <f>VLOOKUP(A1105,[1]!Table1[#All],32,FALSE)</f>
        <v>43556</v>
      </c>
      <c r="I1105" s="8">
        <f>VLOOKUP(A1105,[1]!Table1[#All],33,FALSE)</f>
        <v>45564</v>
      </c>
      <c r="J1105" t="str">
        <f t="shared" ca="1" si="17"/>
        <v>UDO</v>
      </c>
    </row>
    <row r="1106" spans="1:10" x14ac:dyDescent="0.35">
      <c r="A1106" s="5" t="s">
        <v>36</v>
      </c>
      <c r="B1106" s="6">
        <v>45170</v>
      </c>
      <c r="C1106" s="7">
        <v>1413516</v>
      </c>
      <c r="D1106" s="7">
        <v>1370534.06</v>
      </c>
      <c r="E1106" s="7">
        <v>42981.94</v>
      </c>
      <c r="F1106" t="str">
        <f>VLOOKUP(A1106,[1]!Table1[#All],17,FALSE)</f>
        <v>CAMEROON</v>
      </c>
      <c r="G1106" t="str">
        <f>VLOOKUP(A1106,[1]!Table1[#All],22,FALSE)</f>
        <v>GLOBAL HEALTH SYSTEMS SOLUTIONS</v>
      </c>
      <c r="H1106" s="8">
        <f>VLOOKUP(A1106,[1]!Table1[#All],32,FALSE)</f>
        <v>43556</v>
      </c>
      <c r="I1106" s="8">
        <f>VLOOKUP(A1106,[1]!Table1[#All],33,FALSE)</f>
        <v>45564</v>
      </c>
      <c r="J1106" t="str">
        <f t="shared" ca="1" si="17"/>
        <v>UDO</v>
      </c>
    </row>
    <row r="1107" spans="1:10" x14ac:dyDescent="0.35">
      <c r="A1107" s="9" t="s">
        <v>37</v>
      </c>
      <c r="B1107" s="10">
        <v>44105</v>
      </c>
      <c r="C1107" s="11">
        <v>5848848</v>
      </c>
      <c r="D1107" s="11">
        <v>2327184.09</v>
      </c>
      <c r="E1107" s="11">
        <v>3521663.91</v>
      </c>
      <c r="F1107" t="str">
        <f>VLOOKUP(A1107,[1]!Table1[#All],17,FALSE)</f>
        <v>UNITED STATES</v>
      </c>
      <c r="G1107" t="str">
        <f>VLOOKUP(A1107,[1]!Table1[#All],22,FALSE)</f>
        <v>UNIVERSITY OF CALIFORNIA-SAN FRANCISCO</v>
      </c>
      <c r="H1107" s="8">
        <f>VLOOKUP(A1107,[1]!Table1[#All],32,FALSE)</f>
        <v>43738</v>
      </c>
      <c r="I1107" s="8">
        <f>VLOOKUP(A1107,[1]!Table1[#All],33,FALSE)</f>
        <v>45564</v>
      </c>
      <c r="J1107" t="str">
        <f t="shared" ca="1" si="17"/>
        <v>UDO</v>
      </c>
    </row>
    <row r="1108" spans="1:10" x14ac:dyDescent="0.35">
      <c r="A1108" s="5" t="s">
        <v>37</v>
      </c>
      <c r="B1108" s="6">
        <v>44136</v>
      </c>
      <c r="C1108" s="7">
        <v>5848848</v>
      </c>
      <c r="D1108" s="7">
        <v>2327184.0900000003</v>
      </c>
      <c r="E1108" s="7">
        <v>3521663.91</v>
      </c>
      <c r="F1108" t="str">
        <f>VLOOKUP(A1108,[1]!Table1[#All],17,FALSE)</f>
        <v>UNITED STATES</v>
      </c>
      <c r="G1108" t="str">
        <f>VLOOKUP(A1108,[1]!Table1[#All],22,FALSE)</f>
        <v>UNIVERSITY OF CALIFORNIA-SAN FRANCISCO</v>
      </c>
      <c r="H1108" s="8">
        <f>VLOOKUP(A1108,[1]!Table1[#All],32,FALSE)</f>
        <v>43738</v>
      </c>
      <c r="I1108" s="8">
        <f>VLOOKUP(A1108,[1]!Table1[#All],33,FALSE)</f>
        <v>45564</v>
      </c>
      <c r="J1108" t="str">
        <f t="shared" ca="1" si="17"/>
        <v>UDO</v>
      </c>
    </row>
    <row r="1109" spans="1:10" x14ac:dyDescent="0.35">
      <c r="A1109" s="9" t="s">
        <v>37</v>
      </c>
      <c r="B1109" s="10">
        <v>44166</v>
      </c>
      <c r="C1109" s="11">
        <v>5848848</v>
      </c>
      <c r="D1109" s="11">
        <v>2327184.0900000003</v>
      </c>
      <c r="E1109" s="11">
        <v>3521663.91</v>
      </c>
      <c r="F1109" t="str">
        <f>VLOOKUP(A1109,[1]!Table1[#All],17,FALSE)</f>
        <v>UNITED STATES</v>
      </c>
      <c r="G1109" t="str">
        <f>VLOOKUP(A1109,[1]!Table1[#All],22,FALSE)</f>
        <v>UNIVERSITY OF CALIFORNIA-SAN FRANCISCO</v>
      </c>
      <c r="H1109" s="8">
        <f>VLOOKUP(A1109,[1]!Table1[#All],32,FALSE)</f>
        <v>43738</v>
      </c>
      <c r="I1109" s="8">
        <f>VLOOKUP(A1109,[1]!Table1[#All],33,FALSE)</f>
        <v>45564</v>
      </c>
      <c r="J1109" t="str">
        <f t="shared" ca="1" si="17"/>
        <v>UDO</v>
      </c>
    </row>
    <row r="1110" spans="1:10" x14ac:dyDescent="0.35">
      <c r="A1110" s="5" t="s">
        <v>37</v>
      </c>
      <c r="B1110" s="6">
        <v>44197</v>
      </c>
      <c r="C1110" s="7">
        <v>5848848</v>
      </c>
      <c r="D1110" s="7">
        <v>2712618.81</v>
      </c>
      <c r="E1110" s="7">
        <v>3136229.19</v>
      </c>
      <c r="F1110" t="str">
        <f>VLOOKUP(A1110,[1]!Table1[#All],17,FALSE)</f>
        <v>UNITED STATES</v>
      </c>
      <c r="G1110" t="str">
        <f>VLOOKUP(A1110,[1]!Table1[#All],22,FALSE)</f>
        <v>UNIVERSITY OF CALIFORNIA-SAN FRANCISCO</v>
      </c>
      <c r="H1110" s="8">
        <f>VLOOKUP(A1110,[1]!Table1[#All],32,FALSE)</f>
        <v>43738</v>
      </c>
      <c r="I1110" s="8">
        <f>VLOOKUP(A1110,[1]!Table1[#All],33,FALSE)</f>
        <v>45564</v>
      </c>
      <c r="J1110" t="str">
        <f t="shared" ca="1" si="17"/>
        <v>UDO</v>
      </c>
    </row>
    <row r="1111" spans="1:10" x14ac:dyDescent="0.35">
      <c r="A1111" s="9" t="s">
        <v>37</v>
      </c>
      <c r="B1111" s="10">
        <v>44228</v>
      </c>
      <c r="C1111" s="11">
        <v>5848848</v>
      </c>
      <c r="D1111" s="11">
        <v>3049570.81</v>
      </c>
      <c r="E1111" s="11">
        <v>2799277.19</v>
      </c>
      <c r="F1111" t="str">
        <f>VLOOKUP(A1111,[1]!Table1[#All],17,FALSE)</f>
        <v>UNITED STATES</v>
      </c>
      <c r="G1111" t="str">
        <f>VLOOKUP(A1111,[1]!Table1[#All],22,FALSE)</f>
        <v>UNIVERSITY OF CALIFORNIA-SAN FRANCISCO</v>
      </c>
      <c r="H1111" s="8">
        <f>VLOOKUP(A1111,[1]!Table1[#All],32,FALSE)</f>
        <v>43738</v>
      </c>
      <c r="I1111" s="8">
        <f>VLOOKUP(A1111,[1]!Table1[#All],33,FALSE)</f>
        <v>45564</v>
      </c>
      <c r="J1111" t="str">
        <f t="shared" ca="1" si="17"/>
        <v>UDO</v>
      </c>
    </row>
    <row r="1112" spans="1:10" x14ac:dyDescent="0.35">
      <c r="A1112" s="5" t="s">
        <v>37</v>
      </c>
      <c r="B1112" s="6">
        <v>44256</v>
      </c>
      <c r="C1112" s="7">
        <v>5848848</v>
      </c>
      <c r="D1112" s="7">
        <v>3052942.07</v>
      </c>
      <c r="E1112" s="7">
        <v>2795905.9299999997</v>
      </c>
      <c r="F1112" t="str">
        <f>VLOOKUP(A1112,[1]!Table1[#All],17,FALSE)</f>
        <v>UNITED STATES</v>
      </c>
      <c r="G1112" t="str">
        <f>VLOOKUP(A1112,[1]!Table1[#All],22,FALSE)</f>
        <v>UNIVERSITY OF CALIFORNIA-SAN FRANCISCO</v>
      </c>
      <c r="H1112" s="8">
        <f>VLOOKUP(A1112,[1]!Table1[#All],32,FALSE)</f>
        <v>43738</v>
      </c>
      <c r="I1112" s="8">
        <f>VLOOKUP(A1112,[1]!Table1[#All],33,FALSE)</f>
        <v>45564</v>
      </c>
      <c r="J1112" t="str">
        <f t="shared" ca="1" si="17"/>
        <v>UDO</v>
      </c>
    </row>
    <row r="1113" spans="1:10" x14ac:dyDescent="0.35">
      <c r="A1113" s="9" t="s">
        <v>37</v>
      </c>
      <c r="B1113" s="10">
        <v>44317</v>
      </c>
      <c r="C1113" s="11">
        <v>5848848</v>
      </c>
      <c r="D1113" s="11">
        <v>3858458.0999999996</v>
      </c>
      <c r="E1113" s="11">
        <v>1990389.9</v>
      </c>
      <c r="F1113" t="str">
        <f>VLOOKUP(A1113,[1]!Table1[#All],17,FALSE)</f>
        <v>UNITED STATES</v>
      </c>
      <c r="G1113" t="str">
        <f>VLOOKUP(A1113,[1]!Table1[#All],22,FALSE)</f>
        <v>UNIVERSITY OF CALIFORNIA-SAN FRANCISCO</v>
      </c>
      <c r="H1113" s="8">
        <f>VLOOKUP(A1113,[1]!Table1[#All],32,FALSE)</f>
        <v>43738</v>
      </c>
      <c r="I1113" s="8">
        <f>VLOOKUP(A1113,[1]!Table1[#All],33,FALSE)</f>
        <v>45564</v>
      </c>
      <c r="J1113" t="str">
        <f t="shared" ca="1" si="17"/>
        <v>UDO</v>
      </c>
    </row>
    <row r="1114" spans="1:10" x14ac:dyDescent="0.35">
      <c r="A1114" s="5" t="s">
        <v>37</v>
      </c>
      <c r="B1114" s="6">
        <v>44348</v>
      </c>
      <c r="C1114" s="7">
        <v>5848848</v>
      </c>
      <c r="D1114" s="7">
        <v>4252700.59</v>
      </c>
      <c r="E1114" s="7">
        <v>1596147.4100000001</v>
      </c>
      <c r="F1114" t="str">
        <f>VLOOKUP(A1114,[1]!Table1[#All],17,FALSE)</f>
        <v>UNITED STATES</v>
      </c>
      <c r="G1114" t="str">
        <f>VLOOKUP(A1114,[1]!Table1[#All],22,FALSE)</f>
        <v>UNIVERSITY OF CALIFORNIA-SAN FRANCISCO</v>
      </c>
      <c r="H1114" s="8">
        <f>VLOOKUP(A1114,[1]!Table1[#All],32,FALSE)</f>
        <v>43738</v>
      </c>
      <c r="I1114" s="8">
        <f>VLOOKUP(A1114,[1]!Table1[#All],33,FALSE)</f>
        <v>45564</v>
      </c>
      <c r="J1114" t="str">
        <f t="shared" ca="1" si="17"/>
        <v>UDO</v>
      </c>
    </row>
    <row r="1115" spans="1:10" x14ac:dyDescent="0.35">
      <c r="A1115" s="9" t="s">
        <v>37</v>
      </c>
      <c r="B1115" s="10">
        <v>44378</v>
      </c>
      <c r="C1115" s="11">
        <v>5848848</v>
      </c>
      <c r="D1115" s="11">
        <v>4513817.7</v>
      </c>
      <c r="E1115" s="11">
        <v>1335030.3</v>
      </c>
      <c r="F1115" t="str">
        <f>VLOOKUP(A1115,[1]!Table1[#All],17,FALSE)</f>
        <v>UNITED STATES</v>
      </c>
      <c r="G1115" t="str">
        <f>VLOOKUP(A1115,[1]!Table1[#All],22,FALSE)</f>
        <v>UNIVERSITY OF CALIFORNIA-SAN FRANCISCO</v>
      </c>
      <c r="H1115" s="8">
        <f>VLOOKUP(A1115,[1]!Table1[#All],32,FALSE)</f>
        <v>43738</v>
      </c>
      <c r="I1115" s="8">
        <f>VLOOKUP(A1115,[1]!Table1[#All],33,FALSE)</f>
        <v>45564</v>
      </c>
      <c r="J1115" t="str">
        <f t="shared" ca="1" si="17"/>
        <v>UDO</v>
      </c>
    </row>
    <row r="1116" spans="1:10" x14ac:dyDescent="0.35">
      <c r="A1116" s="5" t="s">
        <v>37</v>
      </c>
      <c r="B1116" s="6">
        <v>44409</v>
      </c>
      <c r="C1116" s="7">
        <v>5848848</v>
      </c>
      <c r="D1116" s="7">
        <v>4708312.7699999996</v>
      </c>
      <c r="E1116" s="7">
        <v>1140535.23</v>
      </c>
      <c r="F1116" t="str">
        <f>VLOOKUP(A1116,[1]!Table1[#All],17,FALSE)</f>
        <v>UNITED STATES</v>
      </c>
      <c r="G1116" t="str">
        <f>VLOOKUP(A1116,[1]!Table1[#All],22,FALSE)</f>
        <v>UNIVERSITY OF CALIFORNIA-SAN FRANCISCO</v>
      </c>
      <c r="H1116" s="8">
        <f>VLOOKUP(A1116,[1]!Table1[#All],32,FALSE)</f>
        <v>43738</v>
      </c>
      <c r="I1116" s="8">
        <f>VLOOKUP(A1116,[1]!Table1[#All],33,FALSE)</f>
        <v>45564</v>
      </c>
      <c r="J1116" t="str">
        <f t="shared" ca="1" si="17"/>
        <v>UDO</v>
      </c>
    </row>
    <row r="1117" spans="1:10" x14ac:dyDescent="0.35">
      <c r="A1117" s="9" t="s">
        <v>37</v>
      </c>
      <c r="B1117" s="10">
        <v>44440</v>
      </c>
      <c r="C1117" s="11">
        <v>5848848</v>
      </c>
      <c r="D1117" s="11">
        <v>5442705.8000000007</v>
      </c>
      <c r="E1117" s="11">
        <v>406142.2</v>
      </c>
      <c r="F1117" t="str">
        <f>VLOOKUP(A1117,[1]!Table1[#All],17,FALSE)</f>
        <v>UNITED STATES</v>
      </c>
      <c r="G1117" t="str">
        <f>VLOOKUP(A1117,[1]!Table1[#All],22,FALSE)</f>
        <v>UNIVERSITY OF CALIFORNIA-SAN FRANCISCO</v>
      </c>
      <c r="H1117" s="8">
        <f>VLOOKUP(A1117,[1]!Table1[#All],32,FALSE)</f>
        <v>43738</v>
      </c>
      <c r="I1117" s="8">
        <f>VLOOKUP(A1117,[1]!Table1[#All],33,FALSE)</f>
        <v>45564</v>
      </c>
      <c r="J1117" t="str">
        <f t="shared" ca="1" si="17"/>
        <v>UDO</v>
      </c>
    </row>
    <row r="1118" spans="1:10" x14ac:dyDescent="0.35">
      <c r="A1118" s="5" t="s">
        <v>37</v>
      </c>
      <c r="B1118" s="6">
        <v>44470</v>
      </c>
      <c r="C1118" s="7">
        <v>5848848</v>
      </c>
      <c r="D1118" s="7">
        <v>5442705.8000000007</v>
      </c>
      <c r="E1118" s="7">
        <v>406142.2</v>
      </c>
      <c r="F1118" t="str">
        <f>VLOOKUP(A1118,[1]!Table1[#All],17,FALSE)</f>
        <v>UNITED STATES</v>
      </c>
      <c r="G1118" t="str">
        <f>VLOOKUP(A1118,[1]!Table1[#All],22,FALSE)</f>
        <v>UNIVERSITY OF CALIFORNIA-SAN FRANCISCO</v>
      </c>
      <c r="H1118" s="8">
        <f>VLOOKUP(A1118,[1]!Table1[#All],32,FALSE)</f>
        <v>43738</v>
      </c>
      <c r="I1118" s="8">
        <f>VLOOKUP(A1118,[1]!Table1[#All],33,FALSE)</f>
        <v>45564</v>
      </c>
      <c r="J1118" t="str">
        <f t="shared" ca="1" si="17"/>
        <v>UDO</v>
      </c>
    </row>
    <row r="1119" spans="1:10" x14ac:dyDescent="0.35">
      <c r="A1119" s="9" t="s">
        <v>37</v>
      </c>
      <c r="B1119" s="10">
        <v>44501</v>
      </c>
      <c r="C1119" s="11">
        <v>5848848</v>
      </c>
      <c r="D1119" s="11">
        <v>5442705.8000000007</v>
      </c>
      <c r="E1119" s="11">
        <v>406142.2</v>
      </c>
      <c r="F1119" t="str">
        <f>VLOOKUP(A1119,[1]!Table1[#All],17,FALSE)</f>
        <v>UNITED STATES</v>
      </c>
      <c r="G1119" t="str">
        <f>VLOOKUP(A1119,[1]!Table1[#All],22,FALSE)</f>
        <v>UNIVERSITY OF CALIFORNIA-SAN FRANCISCO</v>
      </c>
      <c r="H1119" s="8">
        <f>VLOOKUP(A1119,[1]!Table1[#All],32,FALSE)</f>
        <v>43738</v>
      </c>
      <c r="I1119" s="8">
        <f>VLOOKUP(A1119,[1]!Table1[#All],33,FALSE)</f>
        <v>45564</v>
      </c>
      <c r="J1119" t="str">
        <f t="shared" ca="1" si="17"/>
        <v>UDO</v>
      </c>
    </row>
    <row r="1120" spans="1:10" x14ac:dyDescent="0.35">
      <c r="A1120" s="5" t="s">
        <v>37</v>
      </c>
      <c r="B1120" s="6">
        <v>44531</v>
      </c>
      <c r="C1120" s="7">
        <v>5848848</v>
      </c>
      <c r="D1120" s="7">
        <v>5442705.8000000007</v>
      </c>
      <c r="E1120" s="7">
        <v>406142.2</v>
      </c>
      <c r="F1120" t="str">
        <f>VLOOKUP(A1120,[1]!Table1[#All],17,FALSE)</f>
        <v>UNITED STATES</v>
      </c>
      <c r="G1120" t="str">
        <f>VLOOKUP(A1120,[1]!Table1[#All],22,FALSE)</f>
        <v>UNIVERSITY OF CALIFORNIA-SAN FRANCISCO</v>
      </c>
      <c r="H1120" s="8">
        <f>VLOOKUP(A1120,[1]!Table1[#All],32,FALSE)</f>
        <v>43738</v>
      </c>
      <c r="I1120" s="8">
        <f>VLOOKUP(A1120,[1]!Table1[#All],33,FALSE)</f>
        <v>45564</v>
      </c>
      <c r="J1120" t="str">
        <f t="shared" ca="1" si="17"/>
        <v>UDO</v>
      </c>
    </row>
    <row r="1121" spans="1:10" x14ac:dyDescent="0.35">
      <c r="A1121" s="9" t="s">
        <v>37</v>
      </c>
      <c r="B1121" s="10">
        <v>44562</v>
      </c>
      <c r="C1121" s="11">
        <v>5848848</v>
      </c>
      <c r="D1121" s="11">
        <v>5442705.8000000007</v>
      </c>
      <c r="E1121" s="11">
        <v>406142.2</v>
      </c>
      <c r="F1121" t="str">
        <f>VLOOKUP(A1121,[1]!Table1[#All],17,FALSE)</f>
        <v>UNITED STATES</v>
      </c>
      <c r="G1121" t="str">
        <f>VLOOKUP(A1121,[1]!Table1[#All],22,FALSE)</f>
        <v>UNIVERSITY OF CALIFORNIA-SAN FRANCISCO</v>
      </c>
      <c r="H1121" s="8">
        <f>VLOOKUP(A1121,[1]!Table1[#All],32,FALSE)</f>
        <v>43738</v>
      </c>
      <c r="I1121" s="8">
        <f>VLOOKUP(A1121,[1]!Table1[#All],33,FALSE)</f>
        <v>45564</v>
      </c>
      <c r="J1121" t="str">
        <f t="shared" ca="1" si="17"/>
        <v>UDO</v>
      </c>
    </row>
    <row r="1122" spans="1:10" x14ac:dyDescent="0.35">
      <c r="A1122" s="5" t="s">
        <v>37</v>
      </c>
      <c r="B1122" s="6">
        <v>44593</v>
      </c>
      <c r="C1122" s="7">
        <v>5848848</v>
      </c>
      <c r="D1122" s="7">
        <v>5435294.25</v>
      </c>
      <c r="E1122" s="7">
        <v>413553.75</v>
      </c>
      <c r="F1122" t="str">
        <f>VLOOKUP(A1122,[1]!Table1[#All],17,FALSE)</f>
        <v>UNITED STATES</v>
      </c>
      <c r="G1122" t="str">
        <f>VLOOKUP(A1122,[1]!Table1[#All],22,FALSE)</f>
        <v>UNIVERSITY OF CALIFORNIA-SAN FRANCISCO</v>
      </c>
      <c r="H1122" s="8">
        <f>VLOOKUP(A1122,[1]!Table1[#All],32,FALSE)</f>
        <v>43738</v>
      </c>
      <c r="I1122" s="8">
        <f>VLOOKUP(A1122,[1]!Table1[#All],33,FALSE)</f>
        <v>45564</v>
      </c>
      <c r="J1122" t="str">
        <f t="shared" ca="1" si="17"/>
        <v>UDO</v>
      </c>
    </row>
    <row r="1123" spans="1:10" x14ac:dyDescent="0.35">
      <c r="A1123" s="9" t="s">
        <v>37</v>
      </c>
      <c r="B1123" s="10">
        <v>44621</v>
      </c>
      <c r="C1123" s="11">
        <v>5848848</v>
      </c>
      <c r="D1123" s="11">
        <v>5448916.54</v>
      </c>
      <c r="E1123" s="11">
        <v>399931.46</v>
      </c>
      <c r="F1123" t="str">
        <f>VLOOKUP(A1123,[1]!Table1[#All],17,FALSE)</f>
        <v>UNITED STATES</v>
      </c>
      <c r="G1123" t="str">
        <f>VLOOKUP(A1123,[1]!Table1[#All],22,FALSE)</f>
        <v>UNIVERSITY OF CALIFORNIA-SAN FRANCISCO</v>
      </c>
      <c r="H1123" s="8">
        <f>VLOOKUP(A1123,[1]!Table1[#All],32,FALSE)</f>
        <v>43738</v>
      </c>
      <c r="I1123" s="8">
        <f>VLOOKUP(A1123,[1]!Table1[#All],33,FALSE)</f>
        <v>45564</v>
      </c>
      <c r="J1123" t="str">
        <f t="shared" ca="1" si="17"/>
        <v>UDO</v>
      </c>
    </row>
    <row r="1124" spans="1:10" x14ac:dyDescent="0.35">
      <c r="A1124" s="5" t="s">
        <v>37</v>
      </c>
      <c r="B1124" s="6">
        <v>44652</v>
      </c>
      <c r="C1124" s="7">
        <v>5848848</v>
      </c>
      <c r="D1124" s="7">
        <v>5458480.6100000003</v>
      </c>
      <c r="E1124" s="7">
        <v>390367.39</v>
      </c>
      <c r="F1124" t="str">
        <f>VLOOKUP(A1124,[1]!Table1[#All],17,FALSE)</f>
        <v>UNITED STATES</v>
      </c>
      <c r="G1124" t="str">
        <f>VLOOKUP(A1124,[1]!Table1[#All],22,FALSE)</f>
        <v>UNIVERSITY OF CALIFORNIA-SAN FRANCISCO</v>
      </c>
      <c r="H1124" s="8">
        <f>VLOOKUP(A1124,[1]!Table1[#All],32,FALSE)</f>
        <v>43738</v>
      </c>
      <c r="I1124" s="8">
        <f>VLOOKUP(A1124,[1]!Table1[#All],33,FALSE)</f>
        <v>45564</v>
      </c>
      <c r="J1124" t="str">
        <f t="shared" ca="1" si="17"/>
        <v>UDO</v>
      </c>
    </row>
    <row r="1125" spans="1:10" x14ac:dyDescent="0.35">
      <c r="A1125" s="9" t="s">
        <v>37</v>
      </c>
      <c r="B1125" s="10">
        <v>44682</v>
      </c>
      <c r="C1125" s="11">
        <v>5848848</v>
      </c>
      <c r="D1125" s="11">
        <v>5455473.96</v>
      </c>
      <c r="E1125" s="11">
        <v>393374.04</v>
      </c>
      <c r="F1125" t="str">
        <f>VLOOKUP(A1125,[1]!Table1[#All],17,FALSE)</f>
        <v>UNITED STATES</v>
      </c>
      <c r="G1125" t="str">
        <f>VLOOKUP(A1125,[1]!Table1[#All],22,FALSE)</f>
        <v>UNIVERSITY OF CALIFORNIA-SAN FRANCISCO</v>
      </c>
      <c r="H1125" s="8">
        <f>VLOOKUP(A1125,[1]!Table1[#All],32,FALSE)</f>
        <v>43738</v>
      </c>
      <c r="I1125" s="8">
        <f>VLOOKUP(A1125,[1]!Table1[#All],33,FALSE)</f>
        <v>45564</v>
      </c>
      <c r="J1125" t="str">
        <f t="shared" ca="1" si="17"/>
        <v>UDO</v>
      </c>
    </row>
    <row r="1126" spans="1:10" x14ac:dyDescent="0.35">
      <c r="A1126" s="5" t="s">
        <v>37</v>
      </c>
      <c r="B1126" s="6">
        <v>44713</v>
      </c>
      <c r="C1126" s="7">
        <v>5848848</v>
      </c>
      <c r="D1126" s="7">
        <v>5496346.7799999993</v>
      </c>
      <c r="E1126" s="7">
        <v>352501.22000000003</v>
      </c>
      <c r="F1126" t="str">
        <f>VLOOKUP(A1126,[1]!Table1[#All],17,FALSE)</f>
        <v>UNITED STATES</v>
      </c>
      <c r="G1126" t="str">
        <f>VLOOKUP(A1126,[1]!Table1[#All],22,FALSE)</f>
        <v>UNIVERSITY OF CALIFORNIA-SAN FRANCISCO</v>
      </c>
      <c r="H1126" s="8">
        <f>VLOOKUP(A1126,[1]!Table1[#All],32,FALSE)</f>
        <v>43738</v>
      </c>
      <c r="I1126" s="8">
        <f>VLOOKUP(A1126,[1]!Table1[#All],33,FALSE)</f>
        <v>45564</v>
      </c>
      <c r="J1126" t="str">
        <f t="shared" ca="1" si="17"/>
        <v>UDO</v>
      </c>
    </row>
    <row r="1127" spans="1:10" x14ac:dyDescent="0.35">
      <c r="A1127" s="9" t="s">
        <v>37</v>
      </c>
      <c r="B1127" s="10">
        <v>44743</v>
      </c>
      <c r="C1127" s="11">
        <v>5848848</v>
      </c>
      <c r="D1127" s="11">
        <v>5513145.8300000001</v>
      </c>
      <c r="E1127" s="11">
        <v>335702.17000000004</v>
      </c>
      <c r="F1127" t="str">
        <f>VLOOKUP(A1127,[1]!Table1[#All],17,FALSE)</f>
        <v>UNITED STATES</v>
      </c>
      <c r="G1127" t="str">
        <f>VLOOKUP(A1127,[1]!Table1[#All],22,FALSE)</f>
        <v>UNIVERSITY OF CALIFORNIA-SAN FRANCISCO</v>
      </c>
      <c r="H1127" s="8">
        <f>VLOOKUP(A1127,[1]!Table1[#All],32,FALSE)</f>
        <v>43738</v>
      </c>
      <c r="I1127" s="8">
        <f>VLOOKUP(A1127,[1]!Table1[#All],33,FALSE)</f>
        <v>45564</v>
      </c>
      <c r="J1127" t="str">
        <f t="shared" ca="1" si="17"/>
        <v>UDO</v>
      </c>
    </row>
    <row r="1128" spans="1:10" x14ac:dyDescent="0.35">
      <c r="A1128" s="5" t="s">
        <v>37</v>
      </c>
      <c r="B1128" s="6">
        <v>44774</v>
      </c>
      <c r="C1128" s="7">
        <v>5848848</v>
      </c>
      <c r="D1128" s="7">
        <v>5546913.1600000001</v>
      </c>
      <c r="E1128" s="7">
        <v>301934.84000000003</v>
      </c>
      <c r="F1128" t="str">
        <f>VLOOKUP(A1128,[1]!Table1[#All],17,FALSE)</f>
        <v>UNITED STATES</v>
      </c>
      <c r="G1128" t="str">
        <f>VLOOKUP(A1128,[1]!Table1[#All],22,FALSE)</f>
        <v>UNIVERSITY OF CALIFORNIA-SAN FRANCISCO</v>
      </c>
      <c r="H1128" s="8">
        <f>VLOOKUP(A1128,[1]!Table1[#All],32,FALSE)</f>
        <v>43738</v>
      </c>
      <c r="I1128" s="8">
        <f>VLOOKUP(A1128,[1]!Table1[#All],33,FALSE)</f>
        <v>45564</v>
      </c>
      <c r="J1128" t="str">
        <f t="shared" ca="1" si="17"/>
        <v>UDO</v>
      </c>
    </row>
    <row r="1129" spans="1:10" x14ac:dyDescent="0.35">
      <c r="A1129" s="9" t="s">
        <v>37</v>
      </c>
      <c r="B1129" s="10">
        <v>44805</v>
      </c>
      <c r="C1129" s="11">
        <v>5848848</v>
      </c>
      <c r="D1129" s="11">
        <v>5580913.0600000005</v>
      </c>
      <c r="E1129" s="11">
        <v>267934.94</v>
      </c>
      <c r="F1129" t="str">
        <f>VLOOKUP(A1129,[1]!Table1[#All],17,FALSE)</f>
        <v>UNITED STATES</v>
      </c>
      <c r="G1129" t="str">
        <f>VLOOKUP(A1129,[1]!Table1[#All],22,FALSE)</f>
        <v>UNIVERSITY OF CALIFORNIA-SAN FRANCISCO</v>
      </c>
      <c r="H1129" s="8">
        <f>VLOOKUP(A1129,[1]!Table1[#All],32,FALSE)</f>
        <v>43738</v>
      </c>
      <c r="I1129" s="8">
        <f>VLOOKUP(A1129,[1]!Table1[#All],33,FALSE)</f>
        <v>45564</v>
      </c>
      <c r="J1129" t="str">
        <f t="shared" ca="1" si="17"/>
        <v>UDO</v>
      </c>
    </row>
    <row r="1130" spans="1:10" x14ac:dyDescent="0.35">
      <c r="A1130" s="5" t="s">
        <v>37</v>
      </c>
      <c r="B1130" s="6">
        <v>44835</v>
      </c>
      <c r="C1130" s="7">
        <v>5848848</v>
      </c>
      <c r="D1130" s="7">
        <v>5580913.0600000005</v>
      </c>
      <c r="E1130" s="7">
        <v>267934.94</v>
      </c>
      <c r="F1130" t="str">
        <f>VLOOKUP(A1130,[1]!Table1[#All],17,FALSE)</f>
        <v>UNITED STATES</v>
      </c>
      <c r="G1130" t="str">
        <f>VLOOKUP(A1130,[1]!Table1[#All],22,FALSE)</f>
        <v>UNIVERSITY OF CALIFORNIA-SAN FRANCISCO</v>
      </c>
      <c r="H1130" s="8">
        <f>VLOOKUP(A1130,[1]!Table1[#All],32,FALSE)</f>
        <v>43738</v>
      </c>
      <c r="I1130" s="8">
        <f>VLOOKUP(A1130,[1]!Table1[#All],33,FALSE)</f>
        <v>45564</v>
      </c>
      <c r="J1130" t="str">
        <f t="shared" ca="1" si="17"/>
        <v>UDO</v>
      </c>
    </row>
    <row r="1131" spans="1:10" x14ac:dyDescent="0.35">
      <c r="A1131" s="9" t="s">
        <v>37</v>
      </c>
      <c r="B1131" s="10">
        <v>44866</v>
      </c>
      <c r="C1131" s="11">
        <v>5848848</v>
      </c>
      <c r="D1131" s="11">
        <v>5580913.0600000005</v>
      </c>
      <c r="E1131" s="11">
        <v>267934.94</v>
      </c>
      <c r="F1131" t="str">
        <f>VLOOKUP(A1131,[1]!Table1[#All],17,FALSE)</f>
        <v>UNITED STATES</v>
      </c>
      <c r="G1131" t="str">
        <f>VLOOKUP(A1131,[1]!Table1[#All],22,FALSE)</f>
        <v>UNIVERSITY OF CALIFORNIA-SAN FRANCISCO</v>
      </c>
      <c r="H1131" s="8">
        <f>VLOOKUP(A1131,[1]!Table1[#All],32,FALSE)</f>
        <v>43738</v>
      </c>
      <c r="I1131" s="8">
        <f>VLOOKUP(A1131,[1]!Table1[#All],33,FALSE)</f>
        <v>45564</v>
      </c>
      <c r="J1131" t="str">
        <f t="shared" ca="1" si="17"/>
        <v>UDO</v>
      </c>
    </row>
    <row r="1132" spans="1:10" x14ac:dyDescent="0.35">
      <c r="A1132" s="5" t="s">
        <v>37</v>
      </c>
      <c r="B1132" s="6">
        <v>44896</v>
      </c>
      <c r="C1132" s="7">
        <v>5848848</v>
      </c>
      <c r="D1132" s="7">
        <v>5580913.0600000005</v>
      </c>
      <c r="E1132" s="7">
        <v>267934.94</v>
      </c>
      <c r="F1132" t="str">
        <f>VLOOKUP(A1132,[1]!Table1[#All],17,FALSE)</f>
        <v>UNITED STATES</v>
      </c>
      <c r="G1132" t="str">
        <f>VLOOKUP(A1132,[1]!Table1[#All],22,FALSE)</f>
        <v>UNIVERSITY OF CALIFORNIA-SAN FRANCISCO</v>
      </c>
      <c r="H1132" s="8">
        <f>VLOOKUP(A1132,[1]!Table1[#All],32,FALSE)</f>
        <v>43738</v>
      </c>
      <c r="I1132" s="8">
        <f>VLOOKUP(A1132,[1]!Table1[#All],33,FALSE)</f>
        <v>45564</v>
      </c>
      <c r="J1132" t="str">
        <f t="shared" ca="1" si="17"/>
        <v>UDO</v>
      </c>
    </row>
    <row r="1133" spans="1:10" x14ac:dyDescent="0.35">
      <c r="A1133" s="9" t="s">
        <v>37</v>
      </c>
      <c r="B1133" s="10">
        <v>44927</v>
      </c>
      <c r="C1133" s="11">
        <v>5848848</v>
      </c>
      <c r="D1133" s="11">
        <v>5580913.0600000005</v>
      </c>
      <c r="E1133" s="11">
        <v>267934.94</v>
      </c>
      <c r="F1133" t="str">
        <f>VLOOKUP(A1133,[1]!Table1[#All],17,FALSE)</f>
        <v>UNITED STATES</v>
      </c>
      <c r="G1133" t="str">
        <f>VLOOKUP(A1133,[1]!Table1[#All],22,FALSE)</f>
        <v>UNIVERSITY OF CALIFORNIA-SAN FRANCISCO</v>
      </c>
      <c r="H1133" s="8">
        <f>VLOOKUP(A1133,[1]!Table1[#All],32,FALSE)</f>
        <v>43738</v>
      </c>
      <c r="I1133" s="8">
        <f>VLOOKUP(A1133,[1]!Table1[#All],33,FALSE)</f>
        <v>45564</v>
      </c>
      <c r="J1133" t="str">
        <f t="shared" ca="1" si="17"/>
        <v>UDO</v>
      </c>
    </row>
    <row r="1134" spans="1:10" x14ac:dyDescent="0.35">
      <c r="A1134" s="5" t="s">
        <v>37</v>
      </c>
      <c r="B1134" s="6">
        <v>44958</v>
      </c>
      <c r="C1134" s="7">
        <v>5848848</v>
      </c>
      <c r="D1134" s="7">
        <v>5580913.0600000005</v>
      </c>
      <c r="E1134" s="7">
        <v>267934.94</v>
      </c>
      <c r="F1134" t="str">
        <f>VLOOKUP(A1134,[1]!Table1[#All],17,FALSE)</f>
        <v>UNITED STATES</v>
      </c>
      <c r="G1134" t="str">
        <f>VLOOKUP(A1134,[1]!Table1[#All],22,FALSE)</f>
        <v>UNIVERSITY OF CALIFORNIA-SAN FRANCISCO</v>
      </c>
      <c r="H1134" s="8">
        <f>VLOOKUP(A1134,[1]!Table1[#All],32,FALSE)</f>
        <v>43738</v>
      </c>
      <c r="I1134" s="8">
        <f>VLOOKUP(A1134,[1]!Table1[#All],33,FALSE)</f>
        <v>45564</v>
      </c>
      <c r="J1134" t="str">
        <f t="shared" ca="1" si="17"/>
        <v>UDO</v>
      </c>
    </row>
    <row r="1135" spans="1:10" x14ac:dyDescent="0.35">
      <c r="A1135" s="9" t="s">
        <v>37</v>
      </c>
      <c r="B1135" s="10">
        <v>44986</v>
      </c>
      <c r="C1135" s="11">
        <v>5848848</v>
      </c>
      <c r="D1135" s="11">
        <v>5579278.5</v>
      </c>
      <c r="E1135" s="11">
        <v>269569.5</v>
      </c>
      <c r="F1135" t="str">
        <f>VLOOKUP(A1135,[1]!Table1[#All],17,FALSE)</f>
        <v>UNITED STATES</v>
      </c>
      <c r="G1135" t="str">
        <f>VLOOKUP(A1135,[1]!Table1[#All],22,FALSE)</f>
        <v>UNIVERSITY OF CALIFORNIA-SAN FRANCISCO</v>
      </c>
      <c r="H1135" s="8">
        <f>VLOOKUP(A1135,[1]!Table1[#All],32,FALSE)</f>
        <v>43738</v>
      </c>
      <c r="I1135" s="8">
        <f>VLOOKUP(A1135,[1]!Table1[#All],33,FALSE)</f>
        <v>45564</v>
      </c>
      <c r="J1135" t="str">
        <f t="shared" ca="1" si="17"/>
        <v>UDO</v>
      </c>
    </row>
    <row r="1136" spans="1:10" x14ac:dyDescent="0.35">
      <c r="A1136" s="5" t="s">
        <v>37</v>
      </c>
      <c r="B1136" s="6">
        <v>45017</v>
      </c>
      <c r="C1136" s="7">
        <v>5848848</v>
      </c>
      <c r="D1136" s="7">
        <v>5579278.5</v>
      </c>
      <c r="E1136" s="7">
        <v>269569.5</v>
      </c>
      <c r="F1136" t="str">
        <f>VLOOKUP(A1136,[1]!Table1[#All],17,FALSE)</f>
        <v>UNITED STATES</v>
      </c>
      <c r="G1136" t="str">
        <f>VLOOKUP(A1136,[1]!Table1[#All],22,FALSE)</f>
        <v>UNIVERSITY OF CALIFORNIA-SAN FRANCISCO</v>
      </c>
      <c r="H1136" s="8">
        <f>VLOOKUP(A1136,[1]!Table1[#All],32,FALSE)</f>
        <v>43738</v>
      </c>
      <c r="I1136" s="8">
        <f>VLOOKUP(A1136,[1]!Table1[#All],33,FALSE)</f>
        <v>45564</v>
      </c>
      <c r="J1136" t="str">
        <f t="shared" ca="1" si="17"/>
        <v>UDO</v>
      </c>
    </row>
    <row r="1137" spans="1:10" x14ac:dyDescent="0.35">
      <c r="A1137" s="9" t="s">
        <v>37</v>
      </c>
      <c r="B1137" s="10">
        <v>45047</v>
      </c>
      <c r="C1137" s="11">
        <v>5848848</v>
      </c>
      <c r="D1137" s="11">
        <v>5579278.5</v>
      </c>
      <c r="E1137" s="11">
        <v>269569.5</v>
      </c>
      <c r="F1137" t="str">
        <f>VLOOKUP(A1137,[1]!Table1[#All],17,FALSE)</f>
        <v>UNITED STATES</v>
      </c>
      <c r="G1137" t="str">
        <f>VLOOKUP(A1137,[1]!Table1[#All],22,FALSE)</f>
        <v>UNIVERSITY OF CALIFORNIA-SAN FRANCISCO</v>
      </c>
      <c r="H1137" s="8">
        <f>VLOOKUP(A1137,[1]!Table1[#All],32,FALSE)</f>
        <v>43738</v>
      </c>
      <c r="I1137" s="8">
        <f>VLOOKUP(A1137,[1]!Table1[#All],33,FALSE)</f>
        <v>45564</v>
      </c>
      <c r="J1137" t="str">
        <f t="shared" ca="1" si="17"/>
        <v>UDO</v>
      </c>
    </row>
    <row r="1138" spans="1:10" x14ac:dyDescent="0.35">
      <c r="A1138" s="5" t="s">
        <v>37</v>
      </c>
      <c r="B1138" s="6">
        <v>45078</v>
      </c>
      <c r="C1138" s="7">
        <v>5848848</v>
      </c>
      <c r="D1138" s="7">
        <v>5579278.5</v>
      </c>
      <c r="E1138" s="7">
        <v>269569.5</v>
      </c>
      <c r="F1138" t="str">
        <f>VLOOKUP(A1138,[1]!Table1[#All],17,FALSE)</f>
        <v>UNITED STATES</v>
      </c>
      <c r="G1138" t="str">
        <f>VLOOKUP(A1138,[1]!Table1[#All],22,FALSE)</f>
        <v>UNIVERSITY OF CALIFORNIA-SAN FRANCISCO</v>
      </c>
      <c r="H1138" s="8">
        <f>VLOOKUP(A1138,[1]!Table1[#All],32,FALSE)</f>
        <v>43738</v>
      </c>
      <c r="I1138" s="8">
        <f>VLOOKUP(A1138,[1]!Table1[#All],33,FALSE)</f>
        <v>45564</v>
      </c>
      <c r="J1138" t="str">
        <f t="shared" ca="1" si="17"/>
        <v>UDO</v>
      </c>
    </row>
    <row r="1139" spans="1:10" x14ac:dyDescent="0.35">
      <c r="A1139" s="9" t="s">
        <v>37</v>
      </c>
      <c r="B1139" s="10">
        <v>45108</v>
      </c>
      <c r="C1139" s="11">
        <v>5848848</v>
      </c>
      <c r="D1139" s="11">
        <v>5579278.5</v>
      </c>
      <c r="E1139" s="11">
        <v>269569.5</v>
      </c>
      <c r="F1139" t="str">
        <f>VLOOKUP(A1139,[1]!Table1[#All],17,FALSE)</f>
        <v>UNITED STATES</v>
      </c>
      <c r="G1139" t="str">
        <f>VLOOKUP(A1139,[1]!Table1[#All],22,FALSE)</f>
        <v>UNIVERSITY OF CALIFORNIA-SAN FRANCISCO</v>
      </c>
      <c r="H1139" s="8">
        <f>VLOOKUP(A1139,[1]!Table1[#All],32,FALSE)</f>
        <v>43738</v>
      </c>
      <c r="I1139" s="8">
        <f>VLOOKUP(A1139,[1]!Table1[#All],33,FALSE)</f>
        <v>45564</v>
      </c>
      <c r="J1139" t="str">
        <f t="shared" ca="1" si="17"/>
        <v>UDO</v>
      </c>
    </row>
    <row r="1140" spans="1:10" x14ac:dyDescent="0.35">
      <c r="A1140" s="5" t="s">
        <v>37</v>
      </c>
      <c r="B1140" s="6">
        <v>45139</v>
      </c>
      <c r="C1140" s="7">
        <v>5848848</v>
      </c>
      <c r="D1140" s="7">
        <v>5579278.5</v>
      </c>
      <c r="E1140" s="7">
        <v>269569.5</v>
      </c>
      <c r="F1140" t="str">
        <f>VLOOKUP(A1140,[1]!Table1[#All],17,FALSE)</f>
        <v>UNITED STATES</v>
      </c>
      <c r="G1140" t="str">
        <f>VLOOKUP(A1140,[1]!Table1[#All],22,FALSE)</f>
        <v>UNIVERSITY OF CALIFORNIA-SAN FRANCISCO</v>
      </c>
      <c r="H1140" s="8">
        <f>VLOOKUP(A1140,[1]!Table1[#All],32,FALSE)</f>
        <v>43738</v>
      </c>
      <c r="I1140" s="8">
        <f>VLOOKUP(A1140,[1]!Table1[#All],33,FALSE)</f>
        <v>45564</v>
      </c>
      <c r="J1140" t="str">
        <f t="shared" ca="1" si="17"/>
        <v>UDO</v>
      </c>
    </row>
    <row r="1141" spans="1:10" x14ac:dyDescent="0.35">
      <c r="A1141" s="9" t="s">
        <v>37</v>
      </c>
      <c r="B1141" s="10">
        <v>45170</v>
      </c>
      <c r="C1141" s="11">
        <v>5848848</v>
      </c>
      <c r="D1141" s="11">
        <v>5579536.3799999999</v>
      </c>
      <c r="E1141" s="11">
        <v>269311.62</v>
      </c>
      <c r="F1141" t="str">
        <f>VLOOKUP(A1141,[1]!Table1[#All],17,FALSE)</f>
        <v>UNITED STATES</v>
      </c>
      <c r="G1141" t="str">
        <f>VLOOKUP(A1141,[1]!Table1[#All],22,FALSE)</f>
        <v>UNIVERSITY OF CALIFORNIA-SAN FRANCISCO</v>
      </c>
      <c r="H1141" s="8">
        <f>VLOOKUP(A1141,[1]!Table1[#All],32,FALSE)</f>
        <v>43738</v>
      </c>
      <c r="I1141" s="8">
        <f>VLOOKUP(A1141,[1]!Table1[#All],33,FALSE)</f>
        <v>45564</v>
      </c>
      <c r="J1141" t="str">
        <f t="shared" ca="1" si="17"/>
        <v>UDO</v>
      </c>
    </row>
    <row r="1142" spans="1:10" x14ac:dyDescent="0.35">
      <c r="A1142" s="5" t="s">
        <v>38</v>
      </c>
      <c r="B1142" s="6">
        <v>44105</v>
      </c>
      <c r="C1142" s="7">
        <v>21834669</v>
      </c>
      <c r="D1142" s="7">
        <v>5549962.2400000002</v>
      </c>
      <c r="E1142" s="7">
        <v>16284706.76</v>
      </c>
      <c r="F1142" t="str">
        <f>VLOOKUP(A1142,[1]!Table1[#All],17,FALSE)</f>
        <v>SOUTH AFRICA</v>
      </c>
      <c r="G1142" t="str">
        <f>VLOOKUP(A1142,[1]!Table1[#All],22,FALSE)</f>
        <v>TB/HIV Care</v>
      </c>
      <c r="H1142" s="8">
        <f>VLOOKUP(A1142,[1]!Table1[#All],32,FALSE)</f>
        <v>43738</v>
      </c>
      <c r="I1142" s="8">
        <f>VLOOKUP(A1142,[1]!Table1[#All],33,FALSE)</f>
        <v>45564</v>
      </c>
      <c r="J1142" t="str">
        <f t="shared" ca="1" si="17"/>
        <v>UDO</v>
      </c>
    </row>
    <row r="1143" spans="1:10" x14ac:dyDescent="0.35">
      <c r="A1143" s="9" t="s">
        <v>38</v>
      </c>
      <c r="B1143" s="10">
        <v>44136</v>
      </c>
      <c r="C1143" s="11">
        <v>21834669</v>
      </c>
      <c r="D1143" s="11">
        <v>6687456.4100000001</v>
      </c>
      <c r="E1143" s="11">
        <v>15147212.59</v>
      </c>
      <c r="F1143" t="str">
        <f>VLOOKUP(A1143,[1]!Table1[#All],17,FALSE)</f>
        <v>SOUTH AFRICA</v>
      </c>
      <c r="G1143" t="str">
        <f>VLOOKUP(A1143,[1]!Table1[#All],22,FALSE)</f>
        <v>TB/HIV Care</v>
      </c>
      <c r="H1143" s="8">
        <f>VLOOKUP(A1143,[1]!Table1[#All],32,FALSE)</f>
        <v>43738</v>
      </c>
      <c r="I1143" s="8">
        <f>VLOOKUP(A1143,[1]!Table1[#All],33,FALSE)</f>
        <v>45564</v>
      </c>
      <c r="J1143" t="str">
        <f t="shared" ca="1" si="17"/>
        <v>UDO</v>
      </c>
    </row>
    <row r="1144" spans="1:10" x14ac:dyDescent="0.35">
      <c r="A1144" s="5" t="s">
        <v>38</v>
      </c>
      <c r="B1144" s="6">
        <v>44166</v>
      </c>
      <c r="C1144" s="7">
        <v>21834669</v>
      </c>
      <c r="D1144" s="7">
        <v>7332938.7800000003</v>
      </c>
      <c r="E1144" s="7">
        <v>14501730.219999999</v>
      </c>
      <c r="F1144" t="str">
        <f>VLOOKUP(A1144,[1]!Table1[#All],17,FALSE)</f>
        <v>SOUTH AFRICA</v>
      </c>
      <c r="G1144" t="str">
        <f>VLOOKUP(A1144,[1]!Table1[#All],22,FALSE)</f>
        <v>TB/HIV Care</v>
      </c>
      <c r="H1144" s="8">
        <f>VLOOKUP(A1144,[1]!Table1[#All],32,FALSE)</f>
        <v>43738</v>
      </c>
      <c r="I1144" s="8">
        <f>VLOOKUP(A1144,[1]!Table1[#All],33,FALSE)</f>
        <v>45564</v>
      </c>
      <c r="J1144" t="str">
        <f t="shared" ca="1" si="17"/>
        <v>UDO</v>
      </c>
    </row>
    <row r="1145" spans="1:10" x14ac:dyDescent="0.35">
      <c r="A1145" s="9" t="s">
        <v>38</v>
      </c>
      <c r="B1145" s="10">
        <v>44197</v>
      </c>
      <c r="C1145" s="11">
        <v>21834669</v>
      </c>
      <c r="D1145" s="11">
        <v>9584325.8200000003</v>
      </c>
      <c r="E1145" s="11">
        <v>12250343.18</v>
      </c>
      <c r="F1145" t="str">
        <f>VLOOKUP(A1145,[1]!Table1[#All],17,FALSE)</f>
        <v>SOUTH AFRICA</v>
      </c>
      <c r="G1145" t="str">
        <f>VLOOKUP(A1145,[1]!Table1[#All],22,FALSE)</f>
        <v>TB/HIV Care</v>
      </c>
      <c r="H1145" s="8">
        <f>VLOOKUP(A1145,[1]!Table1[#All],32,FALSE)</f>
        <v>43738</v>
      </c>
      <c r="I1145" s="8">
        <f>VLOOKUP(A1145,[1]!Table1[#All],33,FALSE)</f>
        <v>45564</v>
      </c>
      <c r="J1145" t="str">
        <f t="shared" ca="1" si="17"/>
        <v>UDO</v>
      </c>
    </row>
    <row r="1146" spans="1:10" x14ac:dyDescent="0.35">
      <c r="A1146" s="5" t="s">
        <v>38</v>
      </c>
      <c r="B1146" s="6">
        <v>44228</v>
      </c>
      <c r="C1146" s="7">
        <v>21834669</v>
      </c>
      <c r="D1146" s="7">
        <v>10544670.92</v>
      </c>
      <c r="E1146" s="7">
        <v>11289998.08</v>
      </c>
      <c r="F1146" t="str">
        <f>VLOOKUP(A1146,[1]!Table1[#All],17,FALSE)</f>
        <v>SOUTH AFRICA</v>
      </c>
      <c r="G1146" t="str">
        <f>VLOOKUP(A1146,[1]!Table1[#All],22,FALSE)</f>
        <v>TB/HIV Care</v>
      </c>
      <c r="H1146" s="8">
        <f>VLOOKUP(A1146,[1]!Table1[#All],32,FALSE)</f>
        <v>43738</v>
      </c>
      <c r="I1146" s="8">
        <f>VLOOKUP(A1146,[1]!Table1[#All],33,FALSE)</f>
        <v>45564</v>
      </c>
      <c r="J1146" t="str">
        <f t="shared" ca="1" si="17"/>
        <v>UDO</v>
      </c>
    </row>
    <row r="1147" spans="1:10" x14ac:dyDescent="0.35">
      <c r="A1147" s="9" t="s">
        <v>38</v>
      </c>
      <c r="B1147" s="10">
        <v>44256</v>
      </c>
      <c r="C1147" s="11">
        <v>21834669</v>
      </c>
      <c r="D1147" s="11">
        <v>13064692.949999999</v>
      </c>
      <c r="E1147" s="11">
        <v>8769976.0500000007</v>
      </c>
      <c r="F1147" t="str">
        <f>VLOOKUP(A1147,[1]!Table1[#All],17,FALSE)</f>
        <v>SOUTH AFRICA</v>
      </c>
      <c r="G1147" t="str">
        <f>VLOOKUP(A1147,[1]!Table1[#All],22,FALSE)</f>
        <v>TB/HIV Care</v>
      </c>
      <c r="H1147" s="8">
        <f>VLOOKUP(A1147,[1]!Table1[#All],32,FALSE)</f>
        <v>43738</v>
      </c>
      <c r="I1147" s="8">
        <f>VLOOKUP(A1147,[1]!Table1[#All],33,FALSE)</f>
        <v>45564</v>
      </c>
      <c r="J1147" t="str">
        <f t="shared" ca="1" si="17"/>
        <v>UDO</v>
      </c>
    </row>
    <row r="1148" spans="1:10" x14ac:dyDescent="0.35">
      <c r="A1148" s="5" t="s">
        <v>38</v>
      </c>
      <c r="B1148" s="6">
        <v>44317</v>
      </c>
      <c r="C1148" s="7">
        <v>21834669</v>
      </c>
      <c r="D1148" s="7">
        <v>15622565.969999999</v>
      </c>
      <c r="E1148" s="7">
        <v>6212103.0300000003</v>
      </c>
      <c r="F1148" t="str">
        <f>VLOOKUP(A1148,[1]!Table1[#All],17,FALSE)</f>
        <v>SOUTH AFRICA</v>
      </c>
      <c r="G1148" t="str">
        <f>VLOOKUP(A1148,[1]!Table1[#All],22,FALSE)</f>
        <v>TB/HIV Care</v>
      </c>
      <c r="H1148" s="8">
        <f>VLOOKUP(A1148,[1]!Table1[#All],32,FALSE)</f>
        <v>43738</v>
      </c>
      <c r="I1148" s="8">
        <f>VLOOKUP(A1148,[1]!Table1[#All],33,FALSE)</f>
        <v>45564</v>
      </c>
      <c r="J1148" t="str">
        <f t="shared" ca="1" si="17"/>
        <v>UDO</v>
      </c>
    </row>
    <row r="1149" spans="1:10" x14ac:dyDescent="0.35">
      <c r="A1149" s="9" t="s">
        <v>38</v>
      </c>
      <c r="B1149" s="10">
        <v>44348</v>
      </c>
      <c r="C1149" s="11">
        <v>21834669</v>
      </c>
      <c r="D1149" s="11">
        <v>16926851.640000001</v>
      </c>
      <c r="E1149" s="11">
        <v>4907817.3599999994</v>
      </c>
      <c r="F1149" t="str">
        <f>VLOOKUP(A1149,[1]!Table1[#All],17,FALSE)</f>
        <v>SOUTH AFRICA</v>
      </c>
      <c r="G1149" t="str">
        <f>VLOOKUP(A1149,[1]!Table1[#All],22,FALSE)</f>
        <v>TB/HIV Care</v>
      </c>
      <c r="H1149" s="8">
        <f>VLOOKUP(A1149,[1]!Table1[#All],32,FALSE)</f>
        <v>43738</v>
      </c>
      <c r="I1149" s="8">
        <f>VLOOKUP(A1149,[1]!Table1[#All],33,FALSE)</f>
        <v>45564</v>
      </c>
      <c r="J1149" t="str">
        <f t="shared" ca="1" si="17"/>
        <v>UDO</v>
      </c>
    </row>
    <row r="1150" spans="1:10" x14ac:dyDescent="0.35">
      <c r="A1150" s="5" t="s">
        <v>38</v>
      </c>
      <c r="B1150" s="6">
        <v>44378</v>
      </c>
      <c r="C1150" s="7">
        <v>21834669</v>
      </c>
      <c r="D1150" s="7">
        <v>18307170.34</v>
      </c>
      <c r="E1150" s="7">
        <v>3527498.66</v>
      </c>
      <c r="F1150" t="str">
        <f>VLOOKUP(A1150,[1]!Table1[#All],17,FALSE)</f>
        <v>SOUTH AFRICA</v>
      </c>
      <c r="G1150" t="str">
        <f>VLOOKUP(A1150,[1]!Table1[#All],22,FALSE)</f>
        <v>TB/HIV Care</v>
      </c>
      <c r="H1150" s="8">
        <f>VLOOKUP(A1150,[1]!Table1[#All],32,FALSE)</f>
        <v>43738</v>
      </c>
      <c r="I1150" s="8">
        <f>VLOOKUP(A1150,[1]!Table1[#All],33,FALSE)</f>
        <v>45564</v>
      </c>
      <c r="J1150" t="str">
        <f t="shared" ca="1" si="17"/>
        <v>UDO</v>
      </c>
    </row>
    <row r="1151" spans="1:10" x14ac:dyDescent="0.35">
      <c r="A1151" s="9" t="s">
        <v>38</v>
      </c>
      <c r="B1151" s="10">
        <v>44409</v>
      </c>
      <c r="C1151" s="11">
        <v>21834669</v>
      </c>
      <c r="D1151" s="11">
        <v>19811608.07</v>
      </c>
      <c r="E1151" s="11">
        <v>2023060.9300000002</v>
      </c>
      <c r="F1151" t="str">
        <f>VLOOKUP(A1151,[1]!Table1[#All],17,FALSE)</f>
        <v>SOUTH AFRICA</v>
      </c>
      <c r="G1151" t="str">
        <f>VLOOKUP(A1151,[1]!Table1[#All],22,FALSE)</f>
        <v>TB/HIV Care</v>
      </c>
      <c r="H1151" s="8">
        <f>VLOOKUP(A1151,[1]!Table1[#All],32,FALSE)</f>
        <v>43738</v>
      </c>
      <c r="I1151" s="8">
        <f>VLOOKUP(A1151,[1]!Table1[#All],33,FALSE)</f>
        <v>45564</v>
      </c>
      <c r="J1151" t="str">
        <f t="shared" ca="1" si="17"/>
        <v>UDO</v>
      </c>
    </row>
    <row r="1152" spans="1:10" x14ac:dyDescent="0.35">
      <c r="A1152" s="5" t="s">
        <v>38</v>
      </c>
      <c r="B1152" s="6">
        <v>44440</v>
      </c>
      <c r="C1152" s="7">
        <v>21834669</v>
      </c>
      <c r="D1152" s="7">
        <v>20562317.799999997</v>
      </c>
      <c r="E1152" s="7">
        <v>1272351.2</v>
      </c>
      <c r="F1152" t="str">
        <f>VLOOKUP(A1152,[1]!Table1[#All],17,FALSE)</f>
        <v>SOUTH AFRICA</v>
      </c>
      <c r="G1152" t="str">
        <f>VLOOKUP(A1152,[1]!Table1[#All],22,FALSE)</f>
        <v>TB/HIV Care</v>
      </c>
      <c r="H1152" s="8">
        <f>VLOOKUP(A1152,[1]!Table1[#All],32,FALSE)</f>
        <v>43738</v>
      </c>
      <c r="I1152" s="8">
        <f>VLOOKUP(A1152,[1]!Table1[#All],33,FALSE)</f>
        <v>45564</v>
      </c>
      <c r="J1152" t="str">
        <f t="shared" ca="1" si="17"/>
        <v>UDO</v>
      </c>
    </row>
    <row r="1153" spans="1:10" x14ac:dyDescent="0.35">
      <c r="A1153" s="9" t="s">
        <v>38</v>
      </c>
      <c r="B1153" s="10">
        <v>44470</v>
      </c>
      <c r="C1153" s="11">
        <v>21834669</v>
      </c>
      <c r="D1153" s="11">
        <v>21455211.689999998</v>
      </c>
      <c r="E1153" s="11">
        <v>379457.31</v>
      </c>
      <c r="F1153" t="str">
        <f>VLOOKUP(A1153,[1]!Table1[#All],17,FALSE)</f>
        <v>SOUTH AFRICA</v>
      </c>
      <c r="G1153" t="str">
        <f>VLOOKUP(A1153,[1]!Table1[#All],22,FALSE)</f>
        <v>TB/HIV Care</v>
      </c>
      <c r="H1153" s="8">
        <f>VLOOKUP(A1153,[1]!Table1[#All],32,FALSE)</f>
        <v>43738</v>
      </c>
      <c r="I1153" s="8">
        <f>VLOOKUP(A1153,[1]!Table1[#All],33,FALSE)</f>
        <v>45564</v>
      </c>
      <c r="J1153" t="str">
        <f t="shared" ca="1" si="17"/>
        <v>UDO</v>
      </c>
    </row>
    <row r="1154" spans="1:10" x14ac:dyDescent="0.35">
      <c r="A1154" s="5" t="s">
        <v>38</v>
      </c>
      <c r="B1154" s="6">
        <v>44501</v>
      </c>
      <c r="C1154" s="7">
        <v>21834669</v>
      </c>
      <c r="D1154" s="7">
        <v>21834669</v>
      </c>
      <c r="E1154" s="7">
        <v>0</v>
      </c>
      <c r="F1154" t="str">
        <f>VLOOKUP(A1154,[1]!Table1[#All],17,FALSE)</f>
        <v>SOUTH AFRICA</v>
      </c>
      <c r="G1154" t="str">
        <f>VLOOKUP(A1154,[1]!Table1[#All],22,FALSE)</f>
        <v>TB/HIV Care</v>
      </c>
      <c r="H1154" s="8">
        <f>VLOOKUP(A1154,[1]!Table1[#All],32,FALSE)</f>
        <v>43738</v>
      </c>
      <c r="I1154" s="8">
        <f>VLOOKUP(A1154,[1]!Table1[#All],33,FALSE)</f>
        <v>45564</v>
      </c>
      <c r="J1154" t="str">
        <f t="shared" ca="1" si="17"/>
        <v>Non UDO</v>
      </c>
    </row>
    <row r="1155" spans="1:10" x14ac:dyDescent="0.35">
      <c r="A1155" s="9" t="s">
        <v>38</v>
      </c>
      <c r="B1155" s="10">
        <v>44531</v>
      </c>
      <c r="C1155" s="11">
        <v>21834669</v>
      </c>
      <c r="D1155" s="11">
        <v>21834669</v>
      </c>
      <c r="E1155" s="11">
        <v>0</v>
      </c>
      <c r="F1155" t="str">
        <f>VLOOKUP(A1155,[1]!Table1[#All],17,FALSE)</f>
        <v>SOUTH AFRICA</v>
      </c>
      <c r="G1155" t="str">
        <f>VLOOKUP(A1155,[1]!Table1[#All],22,FALSE)</f>
        <v>TB/HIV Care</v>
      </c>
      <c r="H1155" s="8">
        <f>VLOOKUP(A1155,[1]!Table1[#All],32,FALSE)</f>
        <v>43738</v>
      </c>
      <c r="I1155" s="8">
        <f>VLOOKUP(A1155,[1]!Table1[#All],33,FALSE)</f>
        <v>45564</v>
      </c>
      <c r="J1155" t="str">
        <f t="shared" ref="J1155:J1218" ca="1" si="18">IF(AND( E1155&gt;0,TODAY()&gt;I1155),"UDO","Non UDO")</f>
        <v>Non UDO</v>
      </c>
    </row>
    <row r="1156" spans="1:10" x14ac:dyDescent="0.35">
      <c r="A1156" s="5" t="s">
        <v>38</v>
      </c>
      <c r="B1156" s="6">
        <v>44562</v>
      </c>
      <c r="C1156" s="7">
        <v>21834669</v>
      </c>
      <c r="D1156" s="7">
        <v>21834669</v>
      </c>
      <c r="E1156" s="7">
        <v>0</v>
      </c>
      <c r="F1156" t="str">
        <f>VLOOKUP(A1156,[1]!Table1[#All],17,FALSE)</f>
        <v>SOUTH AFRICA</v>
      </c>
      <c r="G1156" t="str">
        <f>VLOOKUP(A1156,[1]!Table1[#All],22,FALSE)</f>
        <v>TB/HIV Care</v>
      </c>
      <c r="H1156" s="8">
        <f>VLOOKUP(A1156,[1]!Table1[#All],32,FALSE)</f>
        <v>43738</v>
      </c>
      <c r="I1156" s="8">
        <f>VLOOKUP(A1156,[1]!Table1[#All],33,FALSE)</f>
        <v>45564</v>
      </c>
      <c r="J1156" t="str">
        <f t="shared" ca="1" si="18"/>
        <v>Non UDO</v>
      </c>
    </row>
    <row r="1157" spans="1:10" x14ac:dyDescent="0.35">
      <c r="A1157" s="9" t="s">
        <v>38</v>
      </c>
      <c r="B1157" s="10">
        <v>44593</v>
      </c>
      <c r="C1157" s="11">
        <v>21834669</v>
      </c>
      <c r="D1157" s="11">
        <v>21834669</v>
      </c>
      <c r="E1157" s="11">
        <v>0</v>
      </c>
      <c r="F1157" t="str">
        <f>VLOOKUP(A1157,[1]!Table1[#All],17,FALSE)</f>
        <v>SOUTH AFRICA</v>
      </c>
      <c r="G1157" t="str">
        <f>VLOOKUP(A1157,[1]!Table1[#All],22,FALSE)</f>
        <v>TB/HIV Care</v>
      </c>
      <c r="H1157" s="8">
        <f>VLOOKUP(A1157,[1]!Table1[#All],32,FALSE)</f>
        <v>43738</v>
      </c>
      <c r="I1157" s="8">
        <f>VLOOKUP(A1157,[1]!Table1[#All],33,FALSE)</f>
        <v>45564</v>
      </c>
      <c r="J1157" t="str">
        <f t="shared" ca="1" si="18"/>
        <v>Non UDO</v>
      </c>
    </row>
    <row r="1158" spans="1:10" x14ac:dyDescent="0.35">
      <c r="A1158" s="5" t="s">
        <v>38</v>
      </c>
      <c r="B1158" s="6">
        <v>44621</v>
      </c>
      <c r="C1158" s="7">
        <v>21834669</v>
      </c>
      <c r="D1158" s="7">
        <v>21834669</v>
      </c>
      <c r="E1158" s="7">
        <v>0</v>
      </c>
      <c r="F1158" t="str">
        <f>VLOOKUP(A1158,[1]!Table1[#All],17,FALSE)</f>
        <v>SOUTH AFRICA</v>
      </c>
      <c r="G1158" t="str">
        <f>VLOOKUP(A1158,[1]!Table1[#All],22,FALSE)</f>
        <v>TB/HIV Care</v>
      </c>
      <c r="H1158" s="8">
        <f>VLOOKUP(A1158,[1]!Table1[#All],32,FALSE)</f>
        <v>43738</v>
      </c>
      <c r="I1158" s="8">
        <f>VLOOKUP(A1158,[1]!Table1[#All],33,FALSE)</f>
        <v>45564</v>
      </c>
      <c r="J1158" t="str">
        <f t="shared" ca="1" si="18"/>
        <v>Non UDO</v>
      </c>
    </row>
    <row r="1159" spans="1:10" x14ac:dyDescent="0.35">
      <c r="A1159" s="9" t="s">
        <v>38</v>
      </c>
      <c r="B1159" s="10">
        <v>44652</v>
      </c>
      <c r="C1159" s="11">
        <v>21834669</v>
      </c>
      <c r="D1159" s="11">
        <v>21834669</v>
      </c>
      <c r="E1159" s="11">
        <v>0</v>
      </c>
      <c r="F1159" t="str">
        <f>VLOOKUP(A1159,[1]!Table1[#All],17,FALSE)</f>
        <v>SOUTH AFRICA</v>
      </c>
      <c r="G1159" t="str">
        <f>VLOOKUP(A1159,[1]!Table1[#All],22,FALSE)</f>
        <v>TB/HIV Care</v>
      </c>
      <c r="H1159" s="8">
        <f>VLOOKUP(A1159,[1]!Table1[#All],32,FALSE)</f>
        <v>43738</v>
      </c>
      <c r="I1159" s="8">
        <f>VLOOKUP(A1159,[1]!Table1[#All],33,FALSE)</f>
        <v>45564</v>
      </c>
      <c r="J1159" t="str">
        <f t="shared" ca="1" si="18"/>
        <v>Non UDO</v>
      </c>
    </row>
    <row r="1160" spans="1:10" x14ac:dyDescent="0.35">
      <c r="A1160" s="5" t="s">
        <v>38</v>
      </c>
      <c r="B1160" s="6">
        <v>44682</v>
      </c>
      <c r="C1160" s="7">
        <v>21834669</v>
      </c>
      <c r="D1160" s="7">
        <v>21834669</v>
      </c>
      <c r="E1160" s="7">
        <v>0</v>
      </c>
      <c r="F1160" t="str">
        <f>VLOOKUP(A1160,[1]!Table1[#All],17,FALSE)</f>
        <v>SOUTH AFRICA</v>
      </c>
      <c r="G1160" t="str">
        <f>VLOOKUP(A1160,[1]!Table1[#All],22,FALSE)</f>
        <v>TB/HIV Care</v>
      </c>
      <c r="H1160" s="8">
        <f>VLOOKUP(A1160,[1]!Table1[#All],32,FALSE)</f>
        <v>43738</v>
      </c>
      <c r="I1160" s="8">
        <f>VLOOKUP(A1160,[1]!Table1[#All],33,FALSE)</f>
        <v>45564</v>
      </c>
      <c r="J1160" t="str">
        <f t="shared" ca="1" si="18"/>
        <v>Non UDO</v>
      </c>
    </row>
    <row r="1161" spans="1:10" x14ac:dyDescent="0.35">
      <c r="A1161" s="9" t="s">
        <v>38</v>
      </c>
      <c r="B1161" s="10">
        <v>44713</v>
      </c>
      <c r="C1161" s="11">
        <v>21834669</v>
      </c>
      <c r="D1161" s="11">
        <v>21834669</v>
      </c>
      <c r="E1161" s="11">
        <v>0</v>
      </c>
      <c r="F1161" t="str">
        <f>VLOOKUP(A1161,[1]!Table1[#All],17,FALSE)</f>
        <v>SOUTH AFRICA</v>
      </c>
      <c r="G1161" t="str">
        <f>VLOOKUP(A1161,[1]!Table1[#All],22,FALSE)</f>
        <v>TB/HIV Care</v>
      </c>
      <c r="H1161" s="8">
        <f>VLOOKUP(A1161,[1]!Table1[#All],32,FALSE)</f>
        <v>43738</v>
      </c>
      <c r="I1161" s="8">
        <f>VLOOKUP(A1161,[1]!Table1[#All],33,FALSE)</f>
        <v>45564</v>
      </c>
      <c r="J1161" t="str">
        <f t="shared" ca="1" si="18"/>
        <v>Non UDO</v>
      </c>
    </row>
    <row r="1162" spans="1:10" x14ac:dyDescent="0.35">
      <c r="A1162" s="5" t="s">
        <v>38</v>
      </c>
      <c r="B1162" s="6">
        <v>44743</v>
      </c>
      <c r="C1162" s="7">
        <v>21834669</v>
      </c>
      <c r="D1162" s="7">
        <v>21834669</v>
      </c>
      <c r="E1162" s="7">
        <v>0</v>
      </c>
      <c r="F1162" t="str">
        <f>VLOOKUP(A1162,[1]!Table1[#All],17,FALSE)</f>
        <v>SOUTH AFRICA</v>
      </c>
      <c r="G1162" t="str">
        <f>VLOOKUP(A1162,[1]!Table1[#All],22,FALSE)</f>
        <v>TB/HIV Care</v>
      </c>
      <c r="H1162" s="8">
        <f>VLOOKUP(A1162,[1]!Table1[#All],32,FALSE)</f>
        <v>43738</v>
      </c>
      <c r="I1162" s="8">
        <f>VLOOKUP(A1162,[1]!Table1[#All],33,FALSE)</f>
        <v>45564</v>
      </c>
      <c r="J1162" t="str">
        <f t="shared" ca="1" si="18"/>
        <v>Non UDO</v>
      </c>
    </row>
    <row r="1163" spans="1:10" x14ac:dyDescent="0.35">
      <c r="A1163" s="9" t="s">
        <v>38</v>
      </c>
      <c r="B1163" s="10">
        <v>44774</v>
      </c>
      <c r="C1163" s="11">
        <v>21834669</v>
      </c>
      <c r="D1163" s="11">
        <v>21834669</v>
      </c>
      <c r="E1163" s="11">
        <v>0</v>
      </c>
      <c r="F1163" t="str">
        <f>VLOOKUP(A1163,[1]!Table1[#All],17,FALSE)</f>
        <v>SOUTH AFRICA</v>
      </c>
      <c r="G1163" t="str">
        <f>VLOOKUP(A1163,[1]!Table1[#All],22,FALSE)</f>
        <v>TB/HIV Care</v>
      </c>
      <c r="H1163" s="8">
        <f>VLOOKUP(A1163,[1]!Table1[#All],32,FALSE)</f>
        <v>43738</v>
      </c>
      <c r="I1163" s="8">
        <f>VLOOKUP(A1163,[1]!Table1[#All],33,FALSE)</f>
        <v>45564</v>
      </c>
      <c r="J1163" t="str">
        <f t="shared" ca="1" si="18"/>
        <v>Non UDO</v>
      </c>
    </row>
    <row r="1164" spans="1:10" x14ac:dyDescent="0.35">
      <c r="A1164" s="5" t="s">
        <v>38</v>
      </c>
      <c r="B1164" s="6">
        <v>44805</v>
      </c>
      <c r="C1164" s="7">
        <v>21834669</v>
      </c>
      <c r="D1164" s="7">
        <v>21834669</v>
      </c>
      <c r="E1164" s="7">
        <v>0</v>
      </c>
      <c r="F1164" t="str">
        <f>VLOOKUP(A1164,[1]!Table1[#All],17,FALSE)</f>
        <v>SOUTH AFRICA</v>
      </c>
      <c r="G1164" t="str">
        <f>VLOOKUP(A1164,[1]!Table1[#All],22,FALSE)</f>
        <v>TB/HIV Care</v>
      </c>
      <c r="H1164" s="8">
        <f>VLOOKUP(A1164,[1]!Table1[#All],32,FALSE)</f>
        <v>43738</v>
      </c>
      <c r="I1164" s="8">
        <f>VLOOKUP(A1164,[1]!Table1[#All],33,FALSE)</f>
        <v>45564</v>
      </c>
      <c r="J1164" t="str">
        <f t="shared" ca="1" si="18"/>
        <v>Non UDO</v>
      </c>
    </row>
    <row r="1165" spans="1:10" x14ac:dyDescent="0.35">
      <c r="A1165" s="9" t="s">
        <v>38</v>
      </c>
      <c r="B1165" s="10">
        <v>44835</v>
      </c>
      <c r="C1165" s="11">
        <v>21834669</v>
      </c>
      <c r="D1165" s="11">
        <v>21834669</v>
      </c>
      <c r="E1165" s="11">
        <v>0</v>
      </c>
      <c r="F1165" t="str">
        <f>VLOOKUP(A1165,[1]!Table1[#All],17,FALSE)</f>
        <v>SOUTH AFRICA</v>
      </c>
      <c r="G1165" t="str">
        <f>VLOOKUP(A1165,[1]!Table1[#All],22,FALSE)</f>
        <v>TB/HIV Care</v>
      </c>
      <c r="H1165" s="8">
        <f>VLOOKUP(A1165,[1]!Table1[#All],32,FALSE)</f>
        <v>43738</v>
      </c>
      <c r="I1165" s="8">
        <f>VLOOKUP(A1165,[1]!Table1[#All],33,FALSE)</f>
        <v>45564</v>
      </c>
      <c r="J1165" t="str">
        <f t="shared" ca="1" si="18"/>
        <v>Non UDO</v>
      </c>
    </row>
    <row r="1166" spans="1:10" x14ac:dyDescent="0.35">
      <c r="A1166" s="5" t="s">
        <v>38</v>
      </c>
      <c r="B1166" s="6">
        <v>44866</v>
      </c>
      <c r="C1166" s="7">
        <v>21834669</v>
      </c>
      <c r="D1166" s="7">
        <v>21834669</v>
      </c>
      <c r="E1166" s="7">
        <v>0</v>
      </c>
      <c r="F1166" t="str">
        <f>VLOOKUP(A1166,[1]!Table1[#All],17,FALSE)</f>
        <v>SOUTH AFRICA</v>
      </c>
      <c r="G1166" t="str">
        <f>VLOOKUP(A1166,[1]!Table1[#All],22,FALSE)</f>
        <v>TB/HIV Care</v>
      </c>
      <c r="H1166" s="8">
        <f>VLOOKUP(A1166,[1]!Table1[#All],32,FALSE)</f>
        <v>43738</v>
      </c>
      <c r="I1166" s="8">
        <f>VLOOKUP(A1166,[1]!Table1[#All],33,FALSE)</f>
        <v>45564</v>
      </c>
      <c r="J1166" t="str">
        <f t="shared" ca="1" si="18"/>
        <v>Non UDO</v>
      </c>
    </row>
    <row r="1167" spans="1:10" x14ac:dyDescent="0.35">
      <c r="A1167" s="9" t="s">
        <v>38</v>
      </c>
      <c r="B1167" s="10">
        <v>44896</v>
      </c>
      <c r="C1167" s="11">
        <v>21834669</v>
      </c>
      <c r="D1167" s="11">
        <v>21834669</v>
      </c>
      <c r="E1167" s="11">
        <v>0</v>
      </c>
      <c r="F1167" t="str">
        <f>VLOOKUP(A1167,[1]!Table1[#All],17,FALSE)</f>
        <v>SOUTH AFRICA</v>
      </c>
      <c r="G1167" t="str">
        <f>VLOOKUP(A1167,[1]!Table1[#All],22,FALSE)</f>
        <v>TB/HIV Care</v>
      </c>
      <c r="H1167" s="8">
        <f>VLOOKUP(A1167,[1]!Table1[#All],32,FALSE)</f>
        <v>43738</v>
      </c>
      <c r="I1167" s="8">
        <f>VLOOKUP(A1167,[1]!Table1[#All],33,FALSE)</f>
        <v>45564</v>
      </c>
      <c r="J1167" t="str">
        <f t="shared" ca="1" si="18"/>
        <v>Non UDO</v>
      </c>
    </row>
    <row r="1168" spans="1:10" x14ac:dyDescent="0.35">
      <c r="A1168" s="5" t="s">
        <v>38</v>
      </c>
      <c r="B1168" s="6">
        <v>44927</v>
      </c>
      <c r="C1168" s="7">
        <v>21834669</v>
      </c>
      <c r="D1168" s="7">
        <v>21834669</v>
      </c>
      <c r="E1168" s="7">
        <v>0</v>
      </c>
      <c r="F1168" t="str">
        <f>VLOOKUP(A1168,[1]!Table1[#All],17,FALSE)</f>
        <v>SOUTH AFRICA</v>
      </c>
      <c r="G1168" t="str">
        <f>VLOOKUP(A1168,[1]!Table1[#All],22,FALSE)</f>
        <v>TB/HIV Care</v>
      </c>
      <c r="H1168" s="8">
        <f>VLOOKUP(A1168,[1]!Table1[#All],32,FALSE)</f>
        <v>43738</v>
      </c>
      <c r="I1168" s="8">
        <f>VLOOKUP(A1168,[1]!Table1[#All],33,FALSE)</f>
        <v>45564</v>
      </c>
      <c r="J1168" t="str">
        <f t="shared" ca="1" si="18"/>
        <v>Non UDO</v>
      </c>
    </row>
    <row r="1169" spans="1:10" x14ac:dyDescent="0.35">
      <c r="A1169" s="9" t="s">
        <v>38</v>
      </c>
      <c r="B1169" s="10">
        <v>44958</v>
      </c>
      <c r="C1169" s="11">
        <v>21834669</v>
      </c>
      <c r="D1169" s="11">
        <v>21834669</v>
      </c>
      <c r="E1169" s="11">
        <v>0</v>
      </c>
      <c r="F1169" t="str">
        <f>VLOOKUP(A1169,[1]!Table1[#All],17,FALSE)</f>
        <v>SOUTH AFRICA</v>
      </c>
      <c r="G1169" t="str">
        <f>VLOOKUP(A1169,[1]!Table1[#All],22,FALSE)</f>
        <v>TB/HIV Care</v>
      </c>
      <c r="H1169" s="8">
        <f>VLOOKUP(A1169,[1]!Table1[#All],32,FALSE)</f>
        <v>43738</v>
      </c>
      <c r="I1169" s="8">
        <f>VLOOKUP(A1169,[1]!Table1[#All],33,FALSE)</f>
        <v>45564</v>
      </c>
      <c r="J1169" t="str">
        <f t="shared" ca="1" si="18"/>
        <v>Non UDO</v>
      </c>
    </row>
    <row r="1170" spans="1:10" x14ac:dyDescent="0.35">
      <c r="A1170" s="5" t="s">
        <v>38</v>
      </c>
      <c r="B1170" s="6">
        <v>44986</v>
      </c>
      <c r="C1170" s="7">
        <v>21834669</v>
      </c>
      <c r="D1170" s="7">
        <v>21834669</v>
      </c>
      <c r="E1170" s="7">
        <v>0</v>
      </c>
      <c r="F1170" t="str">
        <f>VLOOKUP(A1170,[1]!Table1[#All],17,FALSE)</f>
        <v>SOUTH AFRICA</v>
      </c>
      <c r="G1170" t="str">
        <f>VLOOKUP(A1170,[1]!Table1[#All],22,FALSE)</f>
        <v>TB/HIV Care</v>
      </c>
      <c r="H1170" s="8">
        <f>VLOOKUP(A1170,[1]!Table1[#All],32,FALSE)</f>
        <v>43738</v>
      </c>
      <c r="I1170" s="8">
        <f>VLOOKUP(A1170,[1]!Table1[#All],33,FALSE)</f>
        <v>45564</v>
      </c>
      <c r="J1170" t="str">
        <f t="shared" ca="1" si="18"/>
        <v>Non UDO</v>
      </c>
    </row>
    <row r="1171" spans="1:10" x14ac:dyDescent="0.35">
      <c r="A1171" s="9" t="s">
        <v>38</v>
      </c>
      <c r="B1171" s="10">
        <v>45017</v>
      </c>
      <c r="C1171" s="11">
        <v>21834669</v>
      </c>
      <c r="D1171" s="11">
        <v>21834669</v>
      </c>
      <c r="E1171" s="11">
        <v>0</v>
      </c>
      <c r="F1171" t="str">
        <f>VLOOKUP(A1171,[1]!Table1[#All],17,FALSE)</f>
        <v>SOUTH AFRICA</v>
      </c>
      <c r="G1171" t="str">
        <f>VLOOKUP(A1171,[1]!Table1[#All],22,FALSE)</f>
        <v>TB/HIV Care</v>
      </c>
      <c r="H1171" s="8">
        <f>VLOOKUP(A1171,[1]!Table1[#All],32,FALSE)</f>
        <v>43738</v>
      </c>
      <c r="I1171" s="8">
        <f>VLOOKUP(A1171,[1]!Table1[#All],33,FALSE)</f>
        <v>45564</v>
      </c>
      <c r="J1171" t="str">
        <f t="shared" ca="1" si="18"/>
        <v>Non UDO</v>
      </c>
    </row>
    <row r="1172" spans="1:10" x14ac:dyDescent="0.35">
      <c r="A1172" s="5" t="s">
        <v>38</v>
      </c>
      <c r="B1172" s="6">
        <v>45047</v>
      </c>
      <c r="C1172" s="7">
        <v>21834669</v>
      </c>
      <c r="D1172" s="7">
        <v>21834669</v>
      </c>
      <c r="E1172" s="7">
        <v>0</v>
      </c>
      <c r="F1172" t="str">
        <f>VLOOKUP(A1172,[1]!Table1[#All],17,FALSE)</f>
        <v>SOUTH AFRICA</v>
      </c>
      <c r="G1172" t="str">
        <f>VLOOKUP(A1172,[1]!Table1[#All],22,FALSE)</f>
        <v>TB/HIV Care</v>
      </c>
      <c r="H1172" s="8">
        <f>VLOOKUP(A1172,[1]!Table1[#All],32,FALSE)</f>
        <v>43738</v>
      </c>
      <c r="I1172" s="8">
        <f>VLOOKUP(A1172,[1]!Table1[#All],33,FALSE)</f>
        <v>45564</v>
      </c>
      <c r="J1172" t="str">
        <f t="shared" ca="1" si="18"/>
        <v>Non UDO</v>
      </c>
    </row>
    <row r="1173" spans="1:10" x14ac:dyDescent="0.35">
      <c r="A1173" s="9" t="s">
        <v>38</v>
      </c>
      <c r="B1173" s="10">
        <v>45078</v>
      </c>
      <c r="C1173" s="11">
        <v>21834669</v>
      </c>
      <c r="D1173" s="11">
        <v>21834669</v>
      </c>
      <c r="E1173" s="11">
        <v>0</v>
      </c>
      <c r="F1173" t="str">
        <f>VLOOKUP(A1173,[1]!Table1[#All],17,FALSE)</f>
        <v>SOUTH AFRICA</v>
      </c>
      <c r="G1173" t="str">
        <f>VLOOKUP(A1173,[1]!Table1[#All],22,FALSE)</f>
        <v>TB/HIV Care</v>
      </c>
      <c r="H1173" s="8">
        <f>VLOOKUP(A1173,[1]!Table1[#All],32,FALSE)</f>
        <v>43738</v>
      </c>
      <c r="I1173" s="8">
        <f>VLOOKUP(A1173,[1]!Table1[#All],33,FALSE)</f>
        <v>45564</v>
      </c>
      <c r="J1173" t="str">
        <f t="shared" ca="1" si="18"/>
        <v>Non UDO</v>
      </c>
    </row>
    <row r="1174" spans="1:10" x14ac:dyDescent="0.35">
      <c r="A1174" s="5" t="s">
        <v>38</v>
      </c>
      <c r="B1174" s="6">
        <v>45108</v>
      </c>
      <c r="C1174" s="7">
        <v>21834669</v>
      </c>
      <c r="D1174" s="7">
        <v>21834669</v>
      </c>
      <c r="E1174" s="7">
        <v>0</v>
      </c>
      <c r="F1174" t="str">
        <f>VLOOKUP(A1174,[1]!Table1[#All],17,FALSE)</f>
        <v>SOUTH AFRICA</v>
      </c>
      <c r="G1174" t="str">
        <f>VLOOKUP(A1174,[1]!Table1[#All],22,FALSE)</f>
        <v>TB/HIV Care</v>
      </c>
      <c r="H1174" s="8">
        <f>VLOOKUP(A1174,[1]!Table1[#All],32,FALSE)</f>
        <v>43738</v>
      </c>
      <c r="I1174" s="8">
        <f>VLOOKUP(A1174,[1]!Table1[#All],33,FALSE)</f>
        <v>45564</v>
      </c>
      <c r="J1174" t="str">
        <f t="shared" ca="1" si="18"/>
        <v>Non UDO</v>
      </c>
    </row>
    <row r="1175" spans="1:10" x14ac:dyDescent="0.35">
      <c r="A1175" s="9" t="s">
        <v>38</v>
      </c>
      <c r="B1175" s="10">
        <v>45139</v>
      </c>
      <c r="C1175" s="11">
        <v>21834669</v>
      </c>
      <c r="D1175" s="11">
        <v>21834669</v>
      </c>
      <c r="E1175" s="11">
        <v>0</v>
      </c>
      <c r="F1175" t="str">
        <f>VLOOKUP(A1175,[1]!Table1[#All],17,FALSE)</f>
        <v>SOUTH AFRICA</v>
      </c>
      <c r="G1175" t="str">
        <f>VLOOKUP(A1175,[1]!Table1[#All],22,FALSE)</f>
        <v>TB/HIV Care</v>
      </c>
      <c r="H1175" s="8">
        <f>VLOOKUP(A1175,[1]!Table1[#All],32,FALSE)</f>
        <v>43738</v>
      </c>
      <c r="I1175" s="8">
        <f>VLOOKUP(A1175,[1]!Table1[#All],33,FALSE)</f>
        <v>45564</v>
      </c>
      <c r="J1175" t="str">
        <f t="shared" ca="1" si="18"/>
        <v>Non UDO</v>
      </c>
    </row>
    <row r="1176" spans="1:10" x14ac:dyDescent="0.35">
      <c r="A1176" s="5" t="s">
        <v>38</v>
      </c>
      <c r="B1176" s="6">
        <v>45170</v>
      </c>
      <c r="C1176" s="7">
        <v>21834669</v>
      </c>
      <c r="D1176" s="7">
        <v>21834669</v>
      </c>
      <c r="E1176" s="7">
        <v>0</v>
      </c>
      <c r="F1176" t="str">
        <f>VLOOKUP(A1176,[1]!Table1[#All],17,FALSE)</f>
        <v>SOUTH AFRICA</v>
      </c>
      <c r="G1176" t="str">
        <f>VLOOKUP(A1176,[1]!Table1[#All],22,FALSE)</f>
        <v>TB/HIV Care</v>
      </c>
      <c r="H1176" s="8">
        <f>VLOOKUP(A1176,[1]!Table1[#All],32,FALSE)</f>
        <v>43738</v>
      </c>
      <c r="I1176" s="8">
        <f>VLOOKUP(A1176,[1]!Table1[#All],33,FALSE)</f>
        <v>45564</v>
      </c>
      <c r="J1176" t="str">
        <f t="shared" ca="1" si="18"/>
        <v>Non UDO</v>
      </c>
    </row>
    <row r="1177" spans="1:10" x14ac:dyDescent="0.35">
      <c r="A1177" s="9" t="s">
        <v>39</v>
      </c>
      <c r="B1177" s="10">
        <v>44105</v>
      </c>
      <c r="C1177" s="11">
        <v>4295474</v>
      </c>
      <c r="D1177" s="11">
        <v>379875.67</v>
      </c>
      <c r="E1177" s="11">
        <v>3915598.33</v>
      </c>
      <c r="F1177" t="str">
        <f>VLOOKUP(A1177,[1]!Table1[#All],17,FALSE)</f>
        <v>SOUTH AFRICA</v>
      </c>
      <c r="G1177" t="str">
        <f>VLOOKUP(A1177,[1]!Table1[#All],22,FALSE)</f>
        <v>TB/HIV Care</v>
      </c>
      <c r="H1177" s="8">
        <f>VLOOKUP(A1177,[1]!Table1[#All],32,FALSE)</f>
        <v>43738</v>
      </c>
      <c r="I1177" s="8">
        <f>VLOOKUP(A1177,[1]!Table1[#All],33,FALSE)</f>
        <v>45564</v>
      </c>
      <c r="J1177" t="str">
        <f t="shared" ca="1" si="18"/>
        <v>UDO</v>
      </c>
    </row>
    <row r="1178" spans="1:10" x14ac:dyDescent="0.35">
      <c r="A1178" s="5" t="s">
        <v>39</v>
      </c>
      <c r="B1178" s="6">
        <v>44136</v>
      </c>
      <c r="C1178" s="7">
        <v>4295474</v>
      </c>
      <c r="D1178" s="7">
        <v>719833.63</v>
      </c>
      <c r="E1178" s="7">
        <v>3575640.3699999996</v>
      </c>
      <c r="F1178" t="str">
        <f>VLOOKUP(A1178,[1]!Table1[#All],17,FALSE)</f>
        <v>SOUTH AFRICA</v>
      </c>
      <c r="G1178" t="str">
        <f>VLOOKUP(A1178,[1]!Table1[#All],22,FALSE)</f>
        <v>TB/HIV Care</v>
      </c>
      <c r="H1178" s="8">
        <f>VLOOKUP(A1178,[1]!Table1[#All],32,FALSE)</f>
        <v>43738</v>
      </c>
      <c r="I1178" s="8">
        <f>VLOOKUP(A1178,[1]!Table1[#All],33,FALSE)</f>
        <v>45564</v>
      </c>
      <c r="J1178" t="str">
        <f t="shared" ca="1" si="18"/>
        <v>UDO</v>
      </c>
    </row>
    <row r="1179" spans="1:10" x14ac:dyDescent="0.35">
      <c r="A1179" s="9" t="s">
        <v>39</v>
      </c>
      <c r="B1179" s="10">
        <v>44166</v>
      </c>
      <c r="C1179" s="11">
        <v>4295474</v>
      </c>
      <c r="D1179" s="11">
        <v>965834.22</v>
      </c>
      <c r="E1179" s="11">
        <v>3329639.78</v>
      </c>
      <c r="F1179" t="str">
        <f>VLOOKUP(A1179,[1]!Table1[#All],17,FALSE)</f>
        <v>SOUTH AFRICA</v>
      </c>
      <c r="G1179" t="str">
        <f>VLOOKUP(A1179,[1]!Table1[#All],22,FALSE)</f>
        <v>TB/HIV Care</v>
      </c>
      <c r="H1179" s="8">
        <f>VLOOKUP(A1179,[1]!Table1[#All],32,FALSE)</f>
        <v>43738</v>
      </c>
      <c r="I1179" s="8">
        <f>VLOOKUP(A1179,[1]!Table1[#All],33,FALSE)</f>
        <v>45564</v>
      </c>
      <c r="J1179" t="str">
        <f t="shared" ca="1" si="18"/>
        <v>UDO</v>
      </c>
    </row>
    <row r="1180" spans="1:10" x14ac:dyDescent="0.35">
      <c r="A1180" s="5" t="s">
        <v>39</v>
      </c>
      <c r="B1180" s="6">
        <v>44197</v>
      </c>
      <c r="C1180" s="7">
        <v>4295474</v>
      </c>
      <c r="D1180" s="7">
        <v>1306141.47</v>
      </c>
      <c r="E1180" s="7">
        <v>2989332.5300000003</v>
      </c>
      <c r="F1180" t="str">
        <f>VLOOKUP(A1180,[1]!Table1[#All],17,FALSE)</f>
        <v>SOUTH AFRICA</v>
      </c>
      <c r="G1180" t="str">
        <f>VLOOKUP(A1180,[1]!Table1[#All],22,FALSE)</f>
        <v>TB/HIV Care</v>
      </c>
      <c r="H1180" s="8">
        <f>VLOOKUP(A1180,[1]!Table1[#All],32,FALSE)</f>
        <v>43738</v>
      </c>
      <c r="I1180" s="8">
        <f>VLOOKUP(A1180,[1]!Table1[#All],33,FALSE)</f>
        <v>45564</v>
      </c>
      <c r="J1180" t="str">
        <f t="shared" ca="1" si="18"/>
        <v>UDO</v>
      </c>
    </row>
    <row r="1181" spans="1:10" x14ac:dyDescent="0.35">
      <c r="A1181" s="9" t="s">
        <v>39</v>
      </c>
      <c r="B1181" s="10">
        <v>44228</v>
      </c>
      <c r="C1181" s="11">
        <v>4295474</v>
      </c>
      <c r="D1181" s="11">
        <v>1555525.19</v>
      </c>
      <c r="E1181" s="11">
        <v>2739948.81</v>
      </c>
      <c r="F1181" t="str">
        <f>VLOOKUP(A1181,[1]!Table1[#All],17,FALSE)</f>
        <v>SOUTH AFRICA</v>
      </c>
      <c r="G1181" t="str">
        <f>VLOOKUP(A1181,[1]!Table1[#All],22,FALSE)</f>
        <v>TB/HIV Care</v>
      </c>
      <c r="H1181" s="8">
        <f>VLOOKUP(A1181,[1]!Table1[#All],32,FALSE)</f>
        <v>43738</v>
      </c>
      <c r="I1181" s="8">
        <f>VLOOKUP(A1181,[1]!Table1[#All],33,FALSE)</f>
        <v>45564</v>
      </c>
      <c r="J1181" t="str">
        <f t="shared" ca="1" si="18"/>
        <v>UDO</v>
      </c>
    </row>
    <row r="1182" spans="1:10" x14ac:dyDescent="0.35">
      <c r="A1182" s="5" t="s">
        <v>39</v>
      </c>
      <c r="B1182" s="6">
        <v>44256</v>
      </c>
      <c r="C1182" s="7">
        <v>4295474</v>
      </c>
      <c r="D1182" s="7">
        <v>2009582.3599999999</v>
      </c>
      <c r="E1182" s="7">
        <v>2285891.64</v>
      </c>
      <c r="F1182" t="str">
        <f>VLOOKUP(A1182,[1]!Table1[#All],17,FALSE)</f>
        <v>SOUTH AFRICA</v>
      </c>
      <c r="G1182" t="str">
        <f>VLOOKUP(A1182,[1]!Table1[#All],22,FALSE)</f>
        <v>TB/HIV Care</v>
      </c>
      <c r="H1182" s="8">
        <f>VLOOKUP(A1182,[1]!Table1[#All],32,FALSE)</f>
        <v>43738</v>
      </c>
      <c r="I1182" s="8">
        <f>VLOOKUP(A1182,[1]!Table1[#All],33,FALSE)</f>
        <v>45564</v>
      </c>
      <c r="J1182" t="str">
        <f t="shared" ca="1" si="18"/>
        <v>UDO</v>
      </c>
    </row>
    <row r="1183" spans="1:10" x14ac:dyDescent="0.35">
      <c r="A1183" s="9" t="s">
        <v>39</v>
      </c>
      <c r="B1183" s="10">
        <v>44317</v>
      </c>
      <c r="C1183" s="11">
        <v>4295474</v>
      </c>
      <c r="D1183" s="11">
        <v>2510140.4</v>
      </c>
      <c r="E1183" s="11">
        <v>1785333.6</v>
      </c>
      <c r="F1183" t="str">
        <f>VLOOKUP(A1183,[1]!Table1[#All],17,FALSE)</f>
        <v>SOUTH AFRICA</v>
      </c>
      <c r="G1183" t="str">
        <f>VLOOKUP(A1183,[1]!Table1[#All],22,FALSE)</f>
        <v>TB/HIV Care</v>
      </c>
      <c r="H1183" s="8">
        <f>VLOOKUP(A1183,[1]!Table1[#All],32,FALSE)</f>
        <v>43738</v>
      </c>
      <c r="I1183" s="8">
        <f>VLOOKUP(A1183,[1]!Table1[#All],33,FALSE)</f>
        <v>45564</v>
      </c>
      <c r="J1183" t="str">
        <f t="shared" ca="1" si="18"/>
        <v>UDO</v>
      </c>
    </row>
    <row r="1184" spans="1:10" x14ac:dyDescent="0.35">
      <c r="A1184" s="5" t="s">
        <v>39</v>
      </c>
      <c r="B1184" s="6">
        <v>44348</v>
      </c>
      <c r="C1184" s="7">
        <v>4295474</v>
      </c>
      <c r="D1184" s="7">
        <v>2805321.43</v>
      </c>
      <c r="E1184" s="7">
        <v>1490152.5699999998</v>
      </c>
      <c r="F1184" t="str">
        <f>VLOOKUP(A1184,[1]!Table1[#All],17,FALSE)</f>
        <v>SOUTH AFRICA</v>
      </c>
      <c r="G1184" t="str">
        <f>VLOOKUP(A1184,[1]!Table1[#All],22,FALSE)</f>
        <v>TB/HIV Care</v>
      </c>
      <c r="H1184" s="8">
        <f>VLOOKUP(A1184,[1]!Table1[#All],32,FALSE)</f>
        <v>43738</v>
      </c>
      <c r="I1184" s="8">
        <f>VLOOKUP(A1184,[1]!Table1[#All],33,FALSE)</f>
        <v>45564</v>
      </c>
      <c r="J1184" t="str">
        <f t="shared" ca="1" si="18"/>
        <v>UDO</v>
      </c>
    </row>
    <row r="1185" spans="1:10" x14ac:dyDescent="0.35">
      <c r="A1185" s="9" t="s">
        <v>39</v>
      </c>
      <c r="B1185" s="10">
        <v>44378</v>
      </c>
      <c r="C1185" s="11">
        <v>4295474</v>
      </c>
      <c r="D1185" s="11">
        <v>3172302.54</v>
      </c>
      <c r="E1185" s="11">
        <v>1123171.46</v>
      </c>
      <c r="F1185" t="str">
        <f>VLOOKUP(A1185,[1]!Table1[#All],17,FALSE)</f>
        <v>SOUTH AFRICA</v>
      </c>
      <c r="G1185" t="str">
        <f>VLOOKUP(A1185,[1]!Table1[#All],22,FALSE)</f>
        <v>TB/HIV Care</v>
      </c>
      <c r="H1185" s="8">
        <f>VLOOKUP(A1185,[1]!Table1[#All],32,FALSE)</f>
        <v>43738</v>
      </c>
      <c r="I1185" s="8">
        <f>VLOOKUP(A1185,[1]!Table1[#All],33,FALSE)</f>
        <v>45564</v>
      </c>
      <c r="J1185" t="str">
        <f t="shared" ca="1" si="18"/>
        <v>UDO</v>
      </c>
    </row>
    <row r="1186" spans="1:10" x14ac:dyDescent="0.35">
      <c r="A1186" s="5" t="s">
        <v>39</v>
      </c>
      <c r="B1186" s="6">
        <v>44409</v>
      </c>
      <c r="C1186" s="7">
        <v>4295474</v>
      </c>
      <c r="D1186" s="7">
        <v>3462884.13</v>
      </c>
      <c r="E1186" s="7">
        <v>832589.87</v>
      </c>
      <c r="F1186" t="str">
        <f>VLOOKUP(A1186,[1]!Table1[#All],17,FALSE)</f>
        <v>SOUTH AFRICA</v>
      </c>
      <c r="G1186" t="str">
        <f>VLOOKUP(A1186,[1]!Table1[#All],22,FALSE)</f>
        <v>TB/HIV Care</v>
      </c>
      <c r="H1186" s="8">
        <f>VLOOKUP(A1186,[1]!Table1[#All],32,FALSE)</f>
        <v>43738</v>
      </c>
      <c r="I1186" s="8">
        <f>VLOOKUP(A1186,[1]!Table1[#All],33,FALSE)</f>
        <v>45564</v>
      </c>
      <c r="J1186" t="str">
        <f t="shared" ca="1" si="18"/>
        <v>UDO</v>
      </c>
    </row>
    <row r="1187" spans="1:10" x14ac:dyDescent="0.35">
      <c r="A1187" s="9" t="s">
        <v>39</v>
      </c>
      <c r="B1187" s="10">
        <v>44440</v>
      </c>
      <c r="C1187" s="11">
        <v>4295474</v>
      </c>
      <c r="D1187" s="11">
        <v>3544659.82</v>
      </c>
      <c r="E1187" s="11">
        <v>750814.18</v>
      </c>
      <c r="F1187" t="str">
        <f>VLOOKUP(A1187,[1]!Table1[#All],17,FALSE)</f>
        <v>SOUTH AFRICA</v>
      </c>
      <c r="G1187" t="str">
        <f>VLOOKUP(A1187,[1]!Table1[#All],22,FALSE)</f>
        <v>TB/HIV Care</v>
      </c>
      <c r="H1187" s="8">
        <f>VLOOKUP(A1187,[1]!Table1[#All],32,FALSE)</f>
        <v>43738</v>
      </c>
      <c r="I1187" s="8">
        <f>VLOOKUP(A1187,[1]!Table1[#All],33,FALSE)</f>
        <v>45564</v>
      </c>
      <c r="J1187" t="str">
        <f t="shared" ca="1" si="18"/>
        <v>UDO</v>
      </c>
    </row>
    <row r="1188" spans="1:10" x14ac:dyDescent="0.35">
      <c r="A1188" s="5" t="s">
        <v>39</v>
      </c>
      <c r="B1188" s="6">
        <v>44470</v>
      </c>
      <c r="C1188" s="7">
        <v>4295474</v>
      </c>
      <c r="D1188" s="7">
        <v>3964074.59</v>
      </c>
      <c r="E1188" s="7">
        <v>331399.41000000003</v>
      </c>
      <c r="F1188" t="str">
        <f>VLOOKUP(A1188,[1]!Table1[#All],17,FALSE)</f>
        <v>SOUTH AFRICA</v>
      </c>
      <c r="G1188" t="str">
        <f>VLOOKUP(A1188,[1]!Table1[#All],22,FALSE)</f>
        <v>TB/HIV Care</v>
      </c>
      <c r="H1188" s="8">
        <f>VLOOKUP(A1188,[1]!Table1[#All],32,FALSE)</f>
        <v>43738</v>
      </c>
      <c r="I1188" s="8">
        <f>VLOOKUP(A1188,[1]!Table1[#All],33,FALSE)</f>
        <v>45564</v>
      </c>
      <c r="J1188" t="str">
        <f t="shared" ca="1" si="18"/>
        <v>UDO</v>
      </c>
    </row>
    <row r="1189" spans="1:10" x14ac:dyDescent="0.35">
      <c r="A1189" s="9" t="s">
        <v>39</v>
      </c>
      <c r="B1189" s="10">
        <v>44501</v>
      </c>
      <c r="C1189" s="11">
        <v>4295474</v>
      </c>
      <c r="D1189" s="11">
        <v>4286476.66</v>
      </c>
      <c r="E1189" s="11">
        <v>8997.34</v>
      </c>
      <c r="F1189" t="str">
        <f>VLOOKUP(A1189,[1]!Table1[#All],17,FALSE)</f>
        <v>SOUTH AFRICA</v>
      </c>
      <c r="G1189" t="str">
        <f>VLOOKUP(A1189,[1]!Table1[#All],22,FALSE)</f>
        <v>TB/HIV Care</v>
      </c>
      <c r="H1189" s="8">
        <f>VLOOKUP(A1189,[1]!Table1[#All],32,FALSE)</f>
        <v>43738</v>
      </c>
      <c r="I1189" s="8">
        <f>VLOOKUP(A1189,[1]!Table1[#All],33,FALSE)</f>
        <v>45564</v>
      </c>
      <c r="J1189" t="str">
        <f t="shared" ca="1" si="18"/>
        <v>UDO</v>
      </c>
    </row>
    <row r="1190" spans="1:10" x14ac:dyDescent="0.35">
      <c r="A1190" s="5" t="s">
        <v>39</v>
      </c>
      <c r="B1190" s="6">
        <v>44531</v>
      </c>
      <c r="C1190" s="7">
        <v>4295474</v>
      </c>
      <c r="D1190" s="7">
        <v>4295474</v>
      </c>
      <c r="E1190" s="7">
        <v>0</v>
      </c>
      <c r="F1190" t="str">
        <f>VLOOKUP(A1190,[1]!Table1[#All],17,FALSE)</f>
        <v>SOUTH AFRICA</v>
      </c>
      <c r="G1190" t="str">
        <f>VLOOKUP(A1190,[1]!Table1[#All],22,FALSE)</f>
        <v>TB/HIV Care</v>
      </c>
      <c r="H1190" s="8">
        <f>VLOOKUP(A1190,[1]!Table1[#All],32,FALSE)</f>
        <v>43738</v>
      </c>
      <c r="I1190" s="8">
        <f>VLOOKUP(A1190,[1]!Table1[#All],33,FALSE)</f>
        <v>45564</v>
      </c>
      <c r="J1190" t="str">
        <f t="shared" ca="1" si="18"/>
        <v>Non UDO</v>
      </c>
    </row>
    <row r="1191" spans="1:10" x14ac:dyDescent="0.35">
      <c r="A1191" s="9" t="s">
        <v>39</v>
      </c>
      <c r="B1191" s="10">
        <v>44562</v>
      </c>
      <c r="C1191" s="11">
        <v>4295474</v>
      </c>
      <c r="D1191" s="11">
        <v>4295474</v>
      </c>
      <c r="E1191" s="11">
        <v>0</v>
      </c>
      <c r="F1191" t="str">
        <f>VLOOKUP(A1191,[1]!Table1[#All],17,FALSE)</f>
        <v>SOUTH AFRICA</v>
      </c>
      <c r="G1191" t="str">
        <f>VLOOKUP(A1191,[1]!Table1[#All],22,FALSE)</f>
        <v>TB/HIV Care</v>
      </c>
      <c r="H1191" s="8">
        <f>VLOOKUP(A1191,[1]!Table1[#All],32,FALSE)</f>
        <v>43738</v>
      </c>
      <c r="I1191" s="8">
        <f>VLOOKUP(A1191,[1]!Table1[#All],33,FALSE)</f>
        <v>45564</v>
      </c>
      <c r="J1191" t="str">
        <f t="shared" ca="1" si="18"/>
        <v>Non UDO</v>
      </c>
    </row>
    <row r="1192" spans="1:10" x14ac:dyDescent="0.35">
      <c r="A1192" s="5" t="s">
        <v>39</v>
      </c>
      <c r="B1192" s="6">
        <v>44593</v>
      </c>
      <c r="C1192" s="7">
        <v>4295474</v>
      </c>
      <c r="D1192" s="7">
        <v>4295474</v>
      </c>
      <c r="E1192" s="7">
        <v>0</v>
      </c>
      <c r="F1192" t="str">
        <f>VLOOKUP(A1192,[1]!Table1[#All],17,FALSE)</f>
        <v>SOUTH AFRICA</v>
      </c>
      <c r="G1192" t="str">
        <f>VLOOKUP(A1192,[1]!Table1[#All],22,FALSE)</f>
        <v>TB/HIV Care</v>
      </c>
      <c r="H1192" s="8">
        <f>VLOOKUP(A1192,[1]!Table1[#All],32,FALSE)</f>
        <v>43738</v>
      </c>
      <c r="I1192" s="8">
        <f>VLOOKUP(A1192,[1]!Table1[#All],33,FALSE)</f>
        <v>45564</v>
      </c>
      <c r="J1192" t="str">
        <f t="shared" ca="1" si="18"/>
        <v>Non UDO</v>
      </c>
    </row>
    <row r="1193" spans="1:10" x14ac:dyDescent="0.35">
      <c r="A1193" s="9" t="s">
        <v>39</v>
      </c>
      <c r="B1193" s="10">
        <v>44621</v>
      </c>
      <c r="C1193" s="11">
        <v>4295474</v>
      </c>
      <c r="D1193" s="11">
        <v>4295474</v>
      </c>
      <c r="E1193" s="11">
        <v>0</v>
      </c>
      <c r="F1193" t="str">
        <f>VLOOKUP(A1193,[1]!Table1[#All],17,FALSE)</f>
        <v>SOUTH AFRICA</v>
      </c>
      <c r="G1193" t="str">
        <f>VLOOKUP(A1193,[1]!Table1[#All],22,FALSE)</f>
        <v>TB/HIV Care</v>
      </c>
      <c r="H1193" s="8">
        <f>VLOOKUP(A1193,[1]!Table1[#All],32,FALSE)</f>
        <v>43738</v>
      </c>
      <c r="I1193" s="8">
        <f>VLOOKUP(A1193,[1]!Table1[#All],33,FALSE)</f>
        <v>45564</v>
      </c>
      <c r="J1193" t="str">
        <f t="shared" ca="1" si="18"/>
        <v>Non UDO</v>
      </c>
    </row>
    <row r="1194" spans="1:10" x14ac:dyDescent="0.35">
      <c r="A1194" s="5" t="s">
        <v>39</v>
      </c>
      <c r="B1194" s="6">
        <v>44652</v>
      </c>
      <c r="C1194" s="7">
        <v>4295474</v>
      </c>
      <c r="D1194" s="7">
        <v>4295474</v>
      </c>
      <c r="E1194" s="7">
        <v>0</v>
      </c>
      <c r="F1194" t="str">
        <f>VLOOKUP(A1194,[1]!Table1[#All],17,FALSE)</f>
        <v>SOUTH AFRICA</v>
      </c>
      <c r="G1194" t="str">
        <f>VLOOKUP(A1194,[1]!Table1[#All],22,FALSE)</f>
        <v>TB/HIV Care</v>
      </c>
      <c r="H1194" s="8">
        <f>VLOOKUP(A1194,[1]!Table1[#All],32,FALSE)</f>
        <v>43738</v>
      </c>
      <c r="I1194" s="8">
        <f>VLOOKUP(A1194,[1]!Table1[#All],33,FALSE)</f>
        <v>45564</v>
      </c>
      <c r="J1194" t="str">
        <f t="shared" ca="1" si="18"/>
        <v>Non UDO</v>
      </c>
    </row>
    <row r="1195" spans="1:10" x14ac:dyDescent="0.35">
      <c r="A1195" s="9" t="s">
        <v>39</v>
      </c>
      <c r="B1195" s="10">
        <v>44682</v>
      </c>
      <c r="C1195" s="11">
        <v>4295474</v>
      </c>
      <c r="D1195" s="11">
        <v>4295474</v>
      </c>
      <c r="E1195" s="11">
        <v>0</v>
      </c>
      <c r="F1195" t="str">
        <f>VLOOKUP(A1195,[1]!Table1[#All],17,FALSE)</f>
        <v>SOUTH AFRICA</v>
      </c>
      <c r="G1195" t="str">
        <f>VLOOKUP(A1195,[1]!Table1[#All],22,FALSE)</f>
        <v>TB/HIV Care</v>
      </c>
      <c r="H1195" s="8">
        <f>VLOOKUP(A1195,[1]!Table1[#All],32,FALSE)</f>
        <v>43738</v>
      </c>
      <c r="I1195" s="8">
        <f>VLOOKUP(A1195,[1]!Table1[#All],33,FALSE)</f>
        <v>45564</v>
      </c>
      <c r="J1195" t="str">
        <f t="shared" ca="1" si="18"/>
        <v>Non UDO</v>
      </c>
    </row>
    <row r="1196" spans="1:10" x14ac:dyDescent="0.35">
      <c r="A1196" s="5" t="s">
        <v>39</v>
      </c>
      <c r="B1196" s="6">
        <v>44713</v>
      </c>
      <c r="C1196" s="7">
        <v>4295474</v>
      </c>
      <c r="D1196" s="7">
        <v>4295474</v>
      </c>
      <c r="E1196" s="7">
        <v>0</v>
      </c>
      <c r="F1196" t="str">
        <f>VLOOKUP(A1196,[1]!Table1[#All],17,FALSE)</f>
        <v>SOUTH AFRICA</v>
      </c>
      <c r="G1196" t="str">
        <f>VLOOKUP(A1196,[1]!Table1[#All],22,FALSE)</f>
        <v>TB/HIV Care</v>
      </c>
      <c r="H1196" s="8">
        <f>VLOOKUP(A1196,[1]!Table1[#All],32,FALSE)</f>
        <v>43738</v>
      </c>
      <c r="I1196" s="8">
        <f>VLOOKUP(A1196,[1]!Table1[#All],33,FALSE)</f>
        <v>45564</v>
      </c>
      <c r="J1196" t="str">
        <f t="shared" ca="1" si="18"/>
        <v>Non UDO</v>
      </c>
    </row>
    <row r="1197" spans="1:10" x14ac:dyDescent="0.35">
      <c r="A1197" s="9" t="s">
        <v>39</v>
      </c>
      <c r="B1197" s="10">
        <v>44743</v>
      </c>
      <c r="C1197" s="11">
        <v>4295474</v>
      </c>
      <c r="D1197" s="11">
        <v>4295474</v>
      </c>
      <c r="E1197" s="11">
        <v>0</v>
      </c>
      <c r="F1197" t="str">
        <f>VLOOKUP(A1197,[1]!Table1[#All],17,FALSE)</f>
        <v>SOUTH AFRICA</v>
      </c>
      <c r="G1197" t="str">
        <f>VLOOKUP(A1197,[1]!Table1[#All],22,FALSE)</f>
        <v>TB/HIV Care</v>
      </c>
      <c r="H1197" s="8">
        <f>VLOOKUP(A1197,[1]!Table1[#All],32,FALSE)</f>
        <v>43738</v>
      </c>
      <c r="I1197" s="8">
        <f>VLOOKUP(A1197,[1]!Table1[#All],33,FALSE)</f>
        <v>45564</v>
      </c>
      <c r="J1197" t="str">
        <f t="shared" ca="1" si="18"/>
        <v>Non UDO</v>
      </c>
    </row>
    <row r="1198" spans="1:10" x14ac:dyDescent="0.35">
      <c r="A1198" s="5" t="s">
        <v>39</v>
      </c>
      <c r="B1198" s="6">
        <v>44774</v>
      </c>
      <c r="C1198" s="7">
        <v>4295474</v>
      </c>
      <c r="D1198" s="7">
        <v>4295474</v>
      </c>
      <c r="E1198" s="7">
        <v>0</v>
      </c>
      <c r="F1198" t="str">
        <f>VLOOKUP(A1198,[1]!Table1[#All],17,FALSE)</f>
        <v>SOUTH AFRICA</v>
      </c>
      <c r="G1198" t="str">
        <f>VLOOKUP(A1198,[1]!Table1[#All],22,FALSE)</f>
        <v>TB/HIV Care</v>
      </c>
      <c r="H1198" s="8">
        <f>VLOOKUP(A1198,[1]!Table1[#All],32,FALSE)</f>
        <v>43738</v>
      </c>
      <c r="I1198" s="8">
        <f>VLOOKUP(A1198,[1]!Table1[#All],33,FALSE)</f>
        <v>45564</v>
      </c>
      <c r="J1198" t="str">
        <f t="shared" ca="1" si="18"/>
        <v>Non UDO</v>
      </c>
    </row>
    <row r="1199" spans="1:10" x14ac:dyDescent="0.35">
      <c r="A1199" s="9" t="s">
        <v>39</v>
      </c>
      <c r="B1199" s="10">
        <v>44805</v>
      </c>
      <c r="C1199" s="11">
        <v>4295474</v>
      </c>
      <c r="D1199" s="11">
        <v>4295474</v>
      </c>
      <c r="E1199" s="11">
        <v>0</v>
      </c>
      <c r="F1199" t="str">
        <f>VLOOKUP(A1199,[1]!Table1[#All],17,FALSE)</f>
        <v>SOUTH AFRICA</v>
      </c>
      <c r="G1199" t="str">
        <f>VLOOKUP(A1199,[1]!Table1[#All],22,FALSE)</f>
        <v>TB/HIV Care</v>
      </c>
      <c r="H1199" s="8">
        <f>VLOOKUP(A1199,[1]!Table1[#All],32,FALSE)</f>
        <v>43738</v>
      </c>
      <c r="I1199" s="8">
        <f>VLOOKUP(A1199,[1]!Table1[#All],33,FALSE)</f>
        <v>45564</v>
      </c>
      <c r="J1199" t="str">
        <f t="shared" ca="1" si="18"/>
        <v>Non UDO</v>
      </c>
    </row>
    <row r="1200" spans="1:10" x14ac:dyDescent="0.35">
      <c r="A1200" s="5" t="s">
        <v>39</v>
      </c>
      <c r="B1200" s="6">
        <v>44835</v>
      </c>
      <c r="C1200" s="7">
        <v>4295474</v>
      </c>
      <c r="D1200" s="7">
        <v>4295474</v>
      </c>
      <c r="E1200" s="7">
        <v>0</v>
      </c>
      <c r="F1200" t="str">
        <f>VLOOKUP(A1200,[1]!Table1[#All],17,FALSE)</f>
        <v>SOUTH AFRICA</v>
      </c>
      <c r="G1200" t="str">
        <f>VLOOKUP(A1200,[1]!Table1[#All],22,FALSE)</f>
        <v>TB/HIV Care</v>
      </c>
      <c r="H1200" s="8">
        <f>VLOOKUP(A1200,[1]!Table1[#All],32,FALSE)</f>
        <v>43738</v>
      </c>
      <c r="I1200" s="8">
        <f>VLOOKUP(A1200,[1]!Table1[#All],33,FALSE)</f>
        <v>45564</v>
      </c>
      <c r="J1200" t="str">
        <f t="shared" ca="1" si="18"/>
        <v>Non UDO</v>
      </c>
    </row>
    <row r="1201" spans="1:10" x14ac:dyDescent="0.35">
      <c r="A1201" s="9" t="s">
        <v>39</v>
      </c>
      <c r="B1201" s="10">
        <v>44866</v>
      </c>
      <c r="C1201" s="11">
        <v>4295474</v>
      </c>
      <c r="D1201" s="11">
        <v>4295474</v>
      </c>
      <c r="E1201" s="11">
        <v>0</v>
      </c>
      <c r="F1201" t="str">
        <f>VLOOKUP(A1201,[1]!Table1[#All],17,FALSE)</f>
        <v>SOUTH AFRICA</v>
      </c>
      <c r="G1201" t="str">
        <f>VLOOKUP(A1201,[1]!Table1[#All],22,FALSE)</f>
        <v>TB/HIV Care</v>
      </c>
      <c r="H1201" s="8">
        <f>VLOOKUP(A1201,[1]!Table1[#All],32,FALSE)</f>
        <v>43738</v>
      </c>
      <c r="I1201" s="8">
        <f>VLOOKUP(A1201,[1]!Table1[#All],33,FALSE)</f>
        <v>45564</v>
      </c>
      <c r="J1201" t="str">
        <f t="shared" ca="1" si="18"/>
        <v>Non UDO</v>
      </c>
    </row>
    <row r="1202" spans="1:10" x14ac:dyDescent="0.35">
      <c r="A1202" s="5" t="s">
        <v>39</v>
      </c>
      <c r="B1202" s="6">
        <v>44896</v>
      </c>
      <c r="C1202" s="7">
        <v>4295474</v>
      </c>
      <c r="D1202" s="7">
        <v>4295474</v>
      </c>
      <c r="E1202" s="7">
        <v>0</v>
      </c>
      <c r="F1202" t="str">
        <f>VLOOKUP(A1202,[1]!Table1[#All],17,FALSE)</f>
        <v>SOUTH AFRICA</v>
      </c>
      <c r="G1202" t="str">
        <f>VLOOKUP(A1202,[1]!Table1[#All],22,FALSE)</f>
        <v>TB/HIV Care</v>
      </c>
      <c r="H1202" s="8">
        <f>VLOOKUP(A1202,[1]!Table1[#All],32,FALSE)</f>
        <v>43738</v>
      </c>
      <c r="I1202" s="8">
        <f>VLOOKUP(A1202,[1]!Table1[#All],33,FALSE)</f>
        <v>45564</v>
      </c>
      <c r="J1202" t="str">
        <f t="shared" ca="1" si="18"/>
        <v>Non UDO</v>
      </c>
    </row>
    <row r="1203" spans="1:10" x14ac:dyDescent="0.35">
      <c r="A1203" s="9" t="s">
        <v>39</v>
      </c>
      <c r="B1203" s="10">
        <v>44927</v>
      </c>
      <c r="C1203" s="11">
        <v>4295474</v>
      </c>
      <c r="D1203" s="11">
        <v>4295474</v>
      </c>
      <c r="E1203" s="11">
        <v>0</v>
      </c>
      <c r="F1203" t="str">
        <f>VLOOKUP(A1203,[1]!Table1[#All],17,FALSE)</f>
        <v>SOUTH AFRICA</v>
      </c>
      <c r="G1203" t="str">
        <f>VLOOKUP(A1203,[1]!Table1[#All],22,FALSE)</f>
        <v>TB/HIV Care</v>
      </c>
      <c r="H1203" s="8">
        <f>VLOOKUP(A1203,[1]!Table1[#All],32,FALSE)</f>
        <v>43738</v>
      </c>
      <c r="I1203" s="8">
        <f>VLOOKUP(A1203,[1]!Table1[#All],33,FALSE)</f>
        <v>45564</v>
      </c>
      <c r="J1203" t="str">
        <f t="shared" ca="1" si="18"/>
        <v>Non UDO</v>
      </c>
    </row>
    <row r="1204" spans="1:10" x14ac:dyDescent="0.35">
      <c r="A1204" s="5" t="s">
        <v>39</v>
      </c>
      <c r="B1204" s="6">
        <v>44958</v>
      </c>
      <c r="C1204" s="7">
        <v>4295474</v>
      </c>
      <c r="D1204" s="7">
        <v>4295474</v>
      </c>
      <c r="E1204" s="7">
        <v>0</v>
      </c>
      <c r="F1204" t="str">
        <f>VLOOKUP(A1204,[1]!Table1[#All],17,FALSE)</f>
        <v>SOUTH AFRICA</v>
      </c>
      <c r="G1204" t="str">
        <f>VLOOKUP(A1204,[1]!Table1[#All],22,FALSE)</f>
        <v>TB/HIV Care</v>
      </c>
      <c r="H1204" s="8">
        <f>VLOOKUP(A1204,[1]!Table1[#All],32,FALSE)</f>
        <v>43738</v>
      </c>
      <c r="I1204" s="8">
        <f>VLOOKUP(A1204,[1]!Table1[#All],33,FALSE)</f>
        <v>45564</v>
      </c>
      <c r="J1204" t="str">
        <f t="shared" ca="1" si="18"/>
        <v>Non UDO</v>
      </c>
    </row>
    <row r="1205" spans="1:10" x14ac:dyDescent="0.35">
      <c r="A1205" s="9" t="s">
        <v>39</v>
      </c>
      <c r="B1205" s="10">
        <v>44986</v>
      </c>
      <c r="C1205" s="11">
        <v>4295474</v>
      </c>
      <c r="D1205" s="11">
        <v>4295474</v>
      </c>
      <c r="E1205" s="11">
        <v>0</v>
      </c>
      <c r="F1205" t="str">
        <f>VLOOKUP(A1205,[1]!Table1[#All],17,FALSE)</f>
        <v>SOUTH AFRICA</v>
      </c>
      <c r="G1205" t="str">
        <f>VLOOKUP(A1205,[1]!Table1[#All],22,FALSE)</f>
        <v>TB/HIV Care</v>
      </c>
      <c r="H1205" s="8">
        <f>VLOOKUP(A1205,[1]!Table1[#All],32,FALSE)</f>
        <v>43738</v>
      </c>
      <c r="I1205" s="8">
        <f>VLOOKUP(A1205,[1]!Table1[#All],33,FALSE)</f>
        <v>45564</v>
      </c>
      <c r="J1205" t="str">
        <f t="shared" ca="1" si="18"/>
        <v>Non UDO</v>
      </c>
    </row>
    <row r="1206" spans="1:10" x14ac:dyDescent="0.35">
      <c r="A1206" s="5" t="s">
        <v>39</v>
      </c>
      <c r="B1206" s="6">
        <v>45017</v>
      </c>
      <c r="C1206" s="7">
        <v>4295474</v>
      </c>
      <c r="D1206" s="7">
        <v>4295474</v>
      </c>
      <c r="E1206" s="7">
        <v>0</v>
      </c>
      <c r="F1206" t="str">
        <f>VLOOKUP(A1206,[1]!Table1[#All],17,FALSE)</f>
        <v>SOUTH AFRICA</v>
      </c>
      <c r="G1206" t="str">
        <f>VLOOKUP(A1206,[1]!Table1[#All],22,FALSE)</f>
        <v>TB/HIV Care</v>
      </c>
      <c r="H1206" s="8">
        <f>VLOOKUP(A1206,[1]!Table1[#All],32,FALSE)</f>
        <v>43738</v>
      </c>
      <c r="I1206" s="8">
        <f>VLOOKUP(A1206,[1]!Table1[#All],33,FALSE)</f>
        <v>45564</v>
      </c>
      <c r="J1206" t="str">
        <f t="shared" ca="1" si="18"/>
        <v>Non UDO</v>
      </c>
    </row>
    <row r="1207" spans="1:10" x14ac:dyDescent="0.35">
      <c r="A1207" s="9" t="s">
        <v>39</v>
      </c>
      <c r="B1207" s="10">
        <v>45047</v>
      </c>
      <c r="C1207" s="11">
        <v>4295474</v>
      </c>
      <c r="D1207" s="11">
        <v>4295474</v>
      </c>
      <c r="E1207" s="11">
        <v>0</v>
      </c>
      <c r="F1207" t="str">
        <f>VLOOKUP(A1207,[1]!Table1[#All],17,FALSE)</f>
        <v>SOUTH AFRICA</v>
      </c>
      <c r="G1207" t="str">
        <f>VLOOKUP(A1207,[1]!Table1[#All],22,FALSE)</f>
        <v>TB/HIV Care</v>
      </c>
      <c r="H1207" s="8">
        <f>VLOOKUP(A1207,[1]!Table1[#All],32,FALSE)</f>
        <v>43738</v>
      </c>
      <c r="I1207" s="8">
        <f>VLOOKUP(A1207,[1]!Table1[#All],33,FALSE)</f>
        <v>45564</v>
      </c>
      <c r="J1207" t="str">
        <f t="shared" ca="1" si="18"/>
        <v>Non UDO</v>
      </c>
    </row>
    <row r="1208" spans="1:10" x14ac:dyDescent="0.35">
      <c r="A1208" s="5" t="s">
        <v>39</v>
      </c>
      <c r="B1208" s="6">
        <v>45078</v>
      </c>
      <c r="C1208" s="7">
        <v>4295474</v>
      </c>
      <c r="D1208" s="7">
        <v>4295474</v>
      </c>
      <c r="E1208" s="7">
        <v>0</v>
      </c>
      <c r="F1208" t="str">
        <f>VLOOKUP(A1208,[1]!Table1[#All],17,FALSE)</f>
        <v>SOUTH AFRICA</v>
      </c>
      <c r="G1208" t="str">
        <f>VLOOKUP(A1208,[1]!Table1[#All],22,FALSE)</f>
        <v>TB/HIV Care</v>
      </c>
      <c r="H1208" s="8">
        <f>VLOOKUP(A1208,[1]!Table1[#All],32,FALSE)</f>
        <v>43738</v>
      </c>
      <c r="I1208" s="8">
        <f>VLOOKUP(A1208,[1]!Table1[#All],33,FALSE)</f>
        <v>45564</v>
      </c>
      <c r="J1208" t="str">
        <f t="shared" ca="1" si="18"/>
        <v>Non UDO</v>
      </c>
    </row>
    <row r="1209" spans="1:10" x14ac:dyDescent="0.35">
      <c r="A1209" s="9" t="s">
        <v>39</v>
      </c>
      <c r="B1209" s="10">
        <v>45108</v>
      </c>
      <c r="C1209" s="11">
        <v>4295474</v>
      </c>
      <c r="D1209" s="11">
        <v>4295474</v>
      </c>
      <c r="E1209" s="11">
        <v>0</v>
      </c>
      <c r="F1209" t="str">
        <f>VLOOKUP(A1209,[1]!Table1[#All],17,FALSE)</f>
        <v>SOUTH AFRICA</v>
      </c>
      <c r="G1209" t="str">
        <f>VLOOKUP(A1209,[1]!Table1[#All],22,FALSE)</f>
        <v>TB/HIV Care</v>
      </c>
      <c r="H1209" s="8">
        <f>VLOOKUP(A1209,[1]!Table1[#All],32,FALSE)</f>
        <v>43738</v>
      </c>
      <c r="I1209" s="8">
        <f>VLOOKUP(A1209,[1]!Table1[#All],33,FALSE)</f>
        <v>45564</v>
      </c>
      <c r="J1209" t="str">
        <f t="shared" ca="1" si="18"/>
        <v>Non UDO</v>
      </c>
    </row>
    <row r="1210" spans="1:10" x14ac:dyDescent="0.35">
      <c r="A1210" s="5" t="s">
        <v>39</v>
      </c>
      <c r="B1210" s="6">
        <v>45139</v>
      </c>
      <c r="C1210" s="7">
        <v>4295474</v>
      </c>
      <c r="D1210" s="7">
        <v>4295474</v>
      </c>
      <c r="E1210" s="7">
        <v>0</v>
      </c>
      <c r="F1210" t="str">
        <f>VLOOKUP(A1210,[1]!Table1[#All],17,FALSE)</f>
        <v>SOUTH AFRICA</v>
      </c>
      <c r="G1210" t="str">
        <f>VLOOKUP(A1210,[1]!Table1[#All],22,FALSE)</f>
        <v>TB/HIV Care</v>
      </c>
      <c r="H1210" s="8">
        <f>VLOOKUP(A1210,[1]!Table1[#All],32,FALSE)</f>
        <v>43738</v>
      </c>
      <c r="I1210" s="8">
        <f>VLOOKUP(A1210,[1]!Table1[#All],33,FALSE)</f>
        <v>45564</v>
      </c>
      <c r="J1210" t="str">
        <f t="shared" ca="1" si="18"/>
        <v>Non UDO</v>
      </c>
    </row>
    <row r="1211" spans="1:10" x14ac:dyDescent="0.35">
      <c r="A1211" s="9" t="s">
        <v>39</v>
      </c>
      <c r="B1211" s="10">
        <v>45170</v>
      </c>
      <c r="C1211" s="11">
        <v>4295474</v>
      </c>
      <c r="D1211" s="11">
        <v>4295474</v>
      </c>
      <c r="E1211" s="11">
        <v>0</v>
      </c>
      <c r="F1211" t="str">
        <f>VLOOKUP(A1211,[1]!Table1[#All],17,FALSE)</f>
        <v>SOUTH AFRICA</v>
      </c>
      <c r="G1211" t="str">
        <f>VLOOKUP(A1211,[1]!Table1[#All],22,FALSE)</f>
        <v>TB/HIV Care</v>
      </c>
      <c r="H1211" s="8">
        <f>VLOOKUP(A1211,[1]!Table1[#All],32,FALSE)</f>
        <v>43738</v>
      </c>
      <c r="I1211" s="8">
        <f>VLOOKUP(A1211,[1]!Table1[#All],33,FALSE)</f>
        <v>45564</v>
      </c>
      <c r="J1211" t="str">
        <f t="shared" ca="1" si="18"/>
        <v>Non UDO</v>
      </c>
    </row>
    <row r="1212" spans="1:10" x14ac:dyDescent="0.35">
      <c r="A1212" s="5" t="s">
        <v>40</v>
      </c>
      <c r="B1212" s="6">
        <v>44105</v>
      </c>
      <c r="C1212" s="7">
        <v>2743890</v>
      </c>
      <c r="D1212" s="7">
        <v>1018016.3500000001</v>
      </c>
      <c r="E1212" s="7">
        <v>1725873.65</v>
      </c>
      <c r="F1212" t="str">
        <f>VLOOKUP(A1212,[1]!Table1[#All],17,FALSE)</f>
        <v>SOUTH AFRICA</v>
      </c>
      <c r="G1212" t="str">
        <f>VLOOKUP(A1212,[1]!Table1[#All],22,FALSE)</f>
        <v>South Africa Partners Inc</v>
      </c>
      <c r="H1212" s="8">
        <f>VLOOKUP(A1212,[1]!Table1[#All],32,FALSE)</f>
        <v>43738</v>
      </c>
      <c r="I1212" s="8">
        <f>VLOOKUP(A1212,[1]!Table1[#All],33,FALSE)</f>
        <v>45564</v>
      </c>
      <c r="J1212" t="str">
        <f t="shared" ca="1" si="18"/>
        <v>UDO</v>
      </c>
    </row>
    <row r="1213" spans="1:10" x14ac:dyDescent="0.35">
      <c r="A1213" s="9" t="s">
        <v>40</v>
      </c>
      <c r="B1213" s="10">
        <v>44136</v>
      </c>
      <c r="C1213" s="11">
        <v>2743890</v>
      </c>
      <c r="D1213" s="11">
        <v>1161044.21</v>
      </c>
      <c r="E1213" s="11">
        <v>1582845.79</v>
      </c>
      <c r="F1213" t="str">
        <f>VLOOKUP(A1213,[1]!Table1[#All],17,FALSE)</f>
        <v>SOUTH AFRICA</v>
      </c>
      <c r="G1213" t="str">
        <f>VLOOKUP(A1213,[1]!Table1[#All],22,FALSE)</f>
        <v>South Africa Partners Inc</v>
      </c>
      <c r="H1213" s="8">
        <f>VLOOKUP(A1213,[1]!Table1[#All],32,FALSE)</f>
        <v>43738</v>
      </c>
      <c r="I1213" s="8">
        <f>VLOOKUP(A1213,[1]!Table1[#All],33,FALSE)</f>
        <v>45564</v>
      </c>
      <c r="J1213" t="str">
        <f t="shared" ca="1" si="18"/>
        <v>UDO</v>
      </c>
    </row>
    <row r="1214" spans="1:10" x14ac:dyDescent="0.35">
      <c r="A1214" s="5" t="s">
        <v>40</v>
      </c>
      <c r="B1214" s="6">
        <v>44166</v>
      </c>
      <c r="C1214" s="7">
        <v>2743890</v>
      </c>
      <c r="D1214" s="7">
        <v>1161044.21</v>
      </c>
      <c r="E1214" s="7">
        <v>1582845.79</v>
      </c>
      <c r="F1214" t="str">
        <f>VLOOKUP(A1214,[1]!Table1[#All],17,FALSE)</f>
        <v>SOUTH AFRICA</v>
      </c>
      <c r="G1214" t="str">
        <f>VLOOKUP(A1214,[1]!Table1[#All],22,FALSE)</f>
        <v>South Africa Partners Inc</v>
      </c>
      <c r="H1214" s="8">
        <f>VLOOKUP(A1214,[1]!Table1[#All],32,FALSE)</f>
        <v>43738</v>
      </c>
      <c r="I1214" s="8">
        <f>VLOOKUP(A1214,[1]!Table1[#All],33,FALSE)</f>
        <v>45564</v>
      </c>
      <c r="J1214" t="str">
        <f t="shared" ca="1" si="18"/>
        <v>UDO</v>
      </c>
    </row>
    <row r="1215" spans="1:10" x14ac:dyDescent="0.35">
      <c r="A1215" s="9" t="s">
        <v>40</v>
      </c>
      <c r="B1215" s="10">
        <v>44197</v>
      </c>
      <c r="C1215" s="11">
        <v>2743890</v>
      </c>
      <c r="D1215" s="11">
        <v>1407640.61</v>
      </c>
      <c r="E1215" s="11">
        <v>1336249.3899999999</v>
      </c>
      <c r="F1215" t="str">
        <f>VLOOKUP(A1215,[1]!Table1[#All],17,FALSE)</f>
        <v>SOUTH AFRICA</v>
      </c>
      <c r="G1215" t="str">
        <f>VLOOKUP(A1215,[1]!Table1[#All],22,FALSE)</f>
        <v>South Africa Partners Inc</v>
      </c>
      <c r="H1215" s="8">
        <f>VLOOKUP(A1215,[1]!Table1[#All],32,FALSE)</f>
        <v>43738</v>
      </c>
      <c r="I1215" s="8">
        <f>VLOOKUP(A1215,[1]!Table1[#All],33,FALSE)</f>
        <v>45564</v>
      </c>
      <c r="J1215" t="str">
        <f t="shared" ca="1" si="18"/>
        <v>UDO</v>
      </c>
    </row>
    <row r="1216" spans="1:10" x14ac:dyDescent="0.35">
      <c r="A1216" s="5" t="s">
        <v>40</v>
      </c>
      <c r="B1216" s="6">
        <v>44228</v>
      </c>
      <c r="C1216" s="7">
        <v>2743890</v>
      </c>
      <c r="D1216" s="7">
        <v>1407640.61</v>
      </c>
      <c r="E1216" s="7">
        <v>1336249.3899999999</v>
      </c>
      <c r="F1216" t="str">
        <f>VLOOKUP(A1216,[1]!Table1[#All],17,FALSE)</f>
        <v>SOUTH AFRICA</v>
      </c>
      <c r="G1216" t="str">
        <f>VLOOKUP(A1216,[1]!Table1[#All],22,FALSE)</f>
        <v>South Africa Partners Inc</v>
      </c>
      <c r="H1216" s="8">
        <f>VLOOKUP(A1216,[1]!Table1[#All],32,FALSE)</f>
        <v>43738</v>
      </c>
      <c r="I1216" s="8">
        <f>VLOOKUP(A1216,[1]!Table1[#All],33,FALSE)</f>
        <v>45564</v>
      </c>
      <c r="J1216" t="str">
        <f t="shared" ca="1" si="18"/>
        <v>UDO</v>
      </c>
    </row>
    <row r="1217" spans="1:10" x14ac:dyDescent="0.35">
      <c r="A1217" s="9" t="s">
        <v>40</v>
      </c>
      <c r="B1217" s="10">
        <v>44256</v>
      </c>
      <c r="C1217" s="11">
        <v>2743890</v>
      </c>
      <c r="D1217" s="11">
        <v>1594497.6099999999</v>
      </c>
      <c r="E1217" s="11">
        <v>1149392.3900000001</v>
      </c>
      <c r="F1217" t="str">
        <f>VLOOKUP(A1217,[1]!Table1[#All],17,FALSE)</f>
        <v>SOUTH AFRICA</v>
      </c>
      <c r="G1217" t="str">
        <f>VLOOKUP(A1217,[1]!Table1[#All],22,FALSE)</f>
        <v>South Africa Partners Inc</v>
      </c>
      <c r="H1217" s="8">
        <f>VLOOKUP(A1217,[1]!Table1[#All],32,FALSE)</f>
        <v>43738</v>
      </c>
      <c r="I1217" s="8">
        <f>VLOOKUP(A1217,[1]!Table1[#All],33,FALSE)</f>
        <v>45564</v>
      </c>
      <c r="J1217" t="str">
        <f t="shared" ca="1" si="18"/>
        <v>UDO</v>
      </c>
    </row>
    <row r="1218" spans="1:10" x14ac:dyDescent="0.35">
      <c r="A1218" s="5" t="s">
        <v>40</v>
      </c>
      <c r="B1218" s="6">
        <v>44317</v>
      </c>
      <c r="C1218" s="7">
        <v>2743890</v>
      </c>
      <c r="D1218" s="7">
        <v>1842280.6099999999</v>
      </c>
      <c r="E1218" s="7">
        <v>901609.3899999999</v>
      </c>
      <c r="F1218" t="str">
        <f>VLOOKUP(A1218,[1]!Table1[#All],17,FALSE)</f>
        <v>SOUTH AFRICA</v>
      </c>
      <c r="G1218" t="str">
        <f>VLOOKUP(A1218,[1]!Table1[#All],22,FALSE)</f>
        <v>South Africa Partners Inc</v>
      </c>
      <c r="H1218" s="8">
        <f>VLOOKUP(A1218,[1]!Table1[#All],32,FALSE)</f>
        <v>43738</v>
      </c>
      <c r="I1218" s="8">
        <f>VLOOKUP(A1218,[1]!Table1[#All],33,FALSE)</f>
        <v>45564</v>
      </c>
      <c r="J1218" t="str">
        <f t="shared" ca="1" si="18"/>
        <v>UDO</v>
      </c>
    </row>
    <row r="1219" spans="1:10" x14ac:dyDescent="0.35">
      <c r="A1219" s="9" t="s">
        <v>40</v>
      </c>
      <c r="B1219" s="10">
        <v>44348</v>
      </c>
      <c r="C1219" s="11">
        <v>2743890</v>
      </c>
      <c r="D1219" s="11">
        <v>1959334.6099999999</v>
      </c>
      <c r="E1219" s="11">
        <v>784555.39</v>
      </c>
      <c r="F1219" t="str">
        <f>VLOOKUP(A1219,[1]!Table1[#All],17,FALSE)</f>
        <v>SOUTH AFRICA</v>
      </c>
      <c r="G1219" t="str">
        <f>VLOOKUP(A1219,[1]!Table1[#All],22,FALSE)</f>
        <v>South Africa Partners Inc</v>
      </c>
      <c r="H1219" s="8">
        <f>VLOOKUP(A1219,[1]!Table1[#All],32,FALSE)</f>
        <v>43738</v>
      </c>
      <c r="I1219" s="8">
        <f>VLOOKUP(A1219,[1]!Table1[#All],33,FALSE)</f>
        <v>45564</v>
      </c>
      <c r="J1219" t="str">
        <f t="shared" ref="J1219:J1282" ca="1" si="19">IF(AND( E1219&gt;0,TODAY()&gt;I1219),"UDO","Non UDO")</f>
        <v>UDO</v>
      </c>
    </row>
    <row r="1220" spans="1:10" x14ac:dyDescent="0.35">
      <c r="A1220" s="5" t="s">
        <v>40</v>
      </c>
      <c r="B1220" s="6">
        <v>44378</v>
      </c>
      <c r="C1220" s="7">
        <v>2743890</v>
      </c>
      <c r="D1220" s="7">
        <v>2073388.61</v>
      </c>
      <c r="E1220" s="7">
        <v>670501.39</v>
      </c>
      <c r="F1220" t="str">
        <f>VLOOKUP(A1220,[1]!Table1[#All],17,FALSE)</f>
        <v>SOUTH AFRICA</v>
      </c>
      <c r="G1220" t="str">
        <f>VLOOKUP(A1220,[1]!Table1[#All],22,FALSE)</f>
        <v>South Africa Partners Inc</v>
      </c>
      <c r="H1220" s="8">
        <f>VLOOKUP(A1220,[1]!Table1[#All],32,FALSE)</f>
        <v>43738</v>
      </c>
      <c r="I1220" s="8">
        <f>VLOOKUP(A1220,[1]!Table1[#All],33,FALSE)</f>
        <v>45564</v>
      </c>
      <c r="J1220" t="str">
        <f t="shared" ca="1" si="19"/>
        <v>UDO</v>
      </c>
    </row>
    <row r="1221" spans="1:10" x14ac:dyDescent="0.35">
      <c r="A1221" s="9" t="s">
        <v>40</v>
      </c>
      <c r="B1221" s="10">
        <v>44409</v>
      </c>
      <c r="C1221" s="11">
        <v>2743890</v>
      </c>
      <c r="D1221" s="11">
        <v>2073388.61</v>
      </c>
      <c r="E1221" s="11">
        <v>670501.39</v>
      </c>
      <c r="F1221" t="str">
        <f>VLOOKUP(A1221,[1]!Table1[#All],17,FALSE)</f>
        <v>SOUTH AFRICA</v>
      </c>
      <c r="G1221" t="str">
        <f>VLOOKUP(A1221,[1]!Table1[#All],22,FALSE)</f>
        <v>South Africa Partners Inc</v>
      </c>
      <c r="H1221" s="8">
        <f>VLOOKUP(A1221,[1]!Table1[#All],32,FALSE)</f>
        <v>43738</v>
      </c>
      <c r="I1221" s="8">
        <f>VLOOKUP(A1221,[1]!Table1[#All],33,FALSE)</f>
        <v>45564</v>
      </c>
      <c r="J1221" t="str">
        <f t="shared" ca="1" si="19"/>
        <v>UDO</v>
      </c>
    </row>
    <row r="1222" spans="1:10" x14ac:dyDescent="0.35">
      <c r="A1222" s="5" t="s">
        <v>40</v>
      </c>
      <c r="B1222" s="6">
        <v>44440</v>
      </c>
      <c r="C1222" s="7">
        <v>2743890</v>
      </c>
      <c r="D1222" s="7">
        <v>2391585.61</v>
      </c>
      <c r="E1222" s="7">
        <v>352304.39</v>
      </c>
      <c r="F1222" t="str">
        <f>VLOOKUP(A1222,[1]!Table1[#All],17,FALSE)</f>
        <v>SOUTH AFRICA</v>
      </c>
      <c r="G1222" t="str">
        <f>VLOOKUP(A1222,[1]!Table1[#All],22,FALSE)</f>
        <v>South Africa Partners Inc</v>
      </c>
      <c r="H1222" s="8">
        <f>VLOOKUP(A1222,[1]!Table1[#All],32,FALSE)</f>
        <v>43738</v>
      </c>
      <c r="I1222" s="8">
        <f>VLOOKUP(A1222,[1]!Table1[#All],33,FALSE)</f>
        <v>45564</v>
      </c>
      <c r="J1222" t="str">
        <f t="shared" ca="1" si="19"/>
        <v>UDO</v>
      </c>
    </row>
    <row r="1223" spans="1:10" x14ac:dyDescent="0.35">
      <c r="A1223" s="9" t="s">
        <v>40</v>
      </c>
      <c r="B1223" s="10">
        <v>44470</v>
      </c>
      <c r="C1223" s="11">
        <v>2743890</v>
      </c>
      <c r="D1223" s="11">
        <v>2524690.6100000003</v>
      </c>
      <c r="E1223" s="11">
        <v>219199.39</v>
      </c>
      <c r="F1223" t="str">
        <f>VLOOKUP(A1223,[1]!Table1[#All],17,FALSE)</f>
        <v>SOUTH AFRICA</v>
      </c>
      <c r="G1223" t="str">
        <f>VLOOKUP(A1223,[1]!Table1[#All],22,FALSE)</f>
        <v>South Africa Partners Inc</v>
      </c>
      <c r="H1223" s="8">
        <f>VLOOKUP(A1223,[1]!Table1[#All],32,FALSE)</f>
        <v>43738</v>
      </c>
      <c r="I1223" s="8">
        <f>VLOOKUP(A1223,[1]!Table1[#All],33,FALSE)</f>
        <v>45564</v>
      </c>
      <c r="J1223" t="str">
        <f t="shared" ca="1" si="19"/>
        <v>UDO</v>
      </c>
    </row>
    <row r="1224" spans="1:10" x14ac:dyDescent="0.35">
      <c r="A1224" s="5" t="s">
        <v>40</v>
      </c>
      <c r="B1224" s="6">
        <v>44501</v>
      </c>
      <c r="C1224" s="7">
        <v>2743890</v>
      </c>
      <c r="D1224" s="7">
        <v>2606566.61</v>
      </c>
      <c r="E1224" s="7">
        <v>137323.39000000001</v>
      </c>
      <c r="F1224" t="str">
        <f>VLOOKUP(A1224,[1]!Table1[#All],17,FALSE)</f>
        <v>SOUTH AFRICA</v>
      </c>
      <c r="G1224" t="str">
        <f>VLOOKUP(A1224,[1]!Table1[#All],22,FALSE)</f>
        <v>South Africa Partners Inc</v>
      </c>
      <c r="H1224" s="8">
        <f>VLOOKUP(A1224,[1]!Table1[#All],32,FALSE)</f>
        <v>43738</v>
      </c>
      <c r="I1224" s="8">
        <f>VLOOKUP(A1224,[1]!Table1[#All],33,FALSE)</f>
        <v>45564</v>
      </c>
      <c r="J1224" t="str">
        <f t="shared" ca="1" si="19"/>
        <v>UDO</v>
      </c>
    </row>
    <row r="1225" spans="1:10" x14ac:dyDescent="0.35">
      <c r="A1225" s="9" t="s">
        <v>40</v>
      </c>
      <c r="B1225" s="10">
        <v>44531</v>
      </c>
      <c r="C1225" s="11">
        <v>2743890</v>
      </c>
      <c r="D1225" s="11">
        <v>2730283.61</v>
      </c>
      <c r="E1225" s="11">
        <v>13606.39</v>
      </c>
      <c r="F1225" t="str">
        <f>VLOOKUP(A1225,[1]!Table1[#All],17,FALSE)</f>
        <v>SOUTH AFRICA</v>
      </c>
      <c r="G1225" t="str">
        <f>VLOOKUP(A1225,[1]!Table1[#All],22,FALSE)</f>
        <v>South Africa Partners Inc</v>
      </c>
      <c r="H1225" s="8">
        <f>VLOOKUP(A1225,[1]!Table1[#All],32,FALSE)</f>
        <v>43738</v>
      </c>
      <c r="I1225" s="8">
        <f>VLOOKUP(A1225,[1]!Table1[#All],33,FALSE)</f>
        <v>45564</v>
      </c>
      <c r="J1225" t="str">
        <f t="shared" ca="1" si="19"/>
        <v>UDO</v>
      </c>
    </row>
    <row r="1226" spans="1:10" x14ac:dyDescent="0.35">
      <c r="A1226" s="5" t="s">
        <v>40</v>
      </c>
      <c r="B1226" s="6">
        <v>44562</v>
      </c>
      <c r="C1226" s="7">
        <v>2743890</v>
      </c>
      <c r="D1226" s="7">
        <v>2743890</v>
      </c>
      <c r="E1226" s="7">
        <v>0</v>
      </c>
      <c r="F1226" t="str">
        <f>VLOOKUP(A1226,[1]!Table1[#All],17,FALSE)</f>
        <v>SOUTH AFRICA</v>
      </c>
      <c r="G1226" t="str">
        <f>VLOOKUP(A1226,[1]!Table1[#All],22,FALSE)</f>
        <v>South Africa Partners Inc</v>
      </c>
      <c r="H1226" s="8">
        <f>VLOOKUP(A1226,[1]!Table1[#All],32,FALSE)</f>
        <v>43738</v>
      </c>
      <c r="I1226" s="8">
        <f>VLOOKUP(A1226,[1]!Table1[#All],33,FALSE)</f>
        <v>45564</v>
      </c>
      <c r="J1226" t="str">
        <f t="shared" ca="1" si="19"/>
        <v>Non UDO</v>
      </c>
    </row>
    <row r="1227" spans="1:10" x14ac:dyDescent="0.35">
      <c r="A1227" s="9" t="s">
        <v>40</v>
      </c>
      <c r="B1227" s="10">
        <v>44593</v>
      </c>
      <c r="C1227" s="11">
        <v>2743890</v>
      </c>
      <c r="D1227" s="11">
        <v>2743890</v>
      </c>
      <c r="E1227" s="11">
        <v>0</v>
      </c>
      <c r="F1227" t="str">
        <f>VLOOKUP(A1227,[1]!Table1[#All],17,FALSE)</f>
        <v>SOUTH AFRICA</v>
      </c>
      <c r="G1227" t="str">
        <f>VLOOKUP(A1227,[1]!Table1[#All],22,FALSE)</f>
        <v>South Africa Partners Inc</v>
      </c>
      <c r="H1227" s="8">
        <f>VLOOKUP(A1227,[1]!Table1[#All],32,FALSE)</f>
        <v>43738</v>
      </c>
      <c r="I1227" s="8">
        <f>VLOOKUP(A1227,[1]!Table1[#All],33,FALSE)</f>
        <v>45564</v>
      </c>
      <c r="J1227" t="str">
        <f t="shared" ca="1" si="19"/>
        <v>Non UDO</v>
      </c>
    </row>
    <row r="1228" spans="1:10" x14ac:dyDescent="0.35">
      <c r="A1228" s="5" t="s">
        <v>40</v>
      </c>
      <c r="B1228" s="6">
        <v>44621</v>
      </c>
      <c r="C1228" s="7">
        <v>2743890</v>
      </c>
      <c r="D1228" s="7">
        <v>2743890</v>
      </c>
      <c r="E1228" s="7">
        <v>0</v>
      </c>
      <c r="F1228" t="str">
        <f>VLOOKUP(A1228,[1]!Table1[#All],17,FALSE)</f>
        <v>SOUTH AFRICA</v>
      </c>
      <c r="G1228" t="str">
        <f>VLOOKUP(A1228,[1]!Table1[#All],22,FALSE)</f>
        <v>South Africa Partners Inc</v>
      </c>
      <c r="H1228" s="8">
        <f>VLOOKUP(A1228,[1]!Table1[#All],32,FALSE)</f>
        <v>43738</v>
      </c>
      <c r="I1228" s="8">
        <f>VLOOKUP(A1228,[1]!Table1[#All],33,FALSE)</f>
        <v>45564</v>
      </c>
      <c r="J1228" t="str">
        <f t="shared" ca="1" si="19"/>
        <v>Non UDO</v>
      </c>
    </row>
    <row r="1229" spans="1:10" x14ac:dyDescent="0.35">
      <c r="A1229" s="9" t="s">
        <v>40</v>
      </c>
      <c r="B1229" s="10">
        <v>44652</v>
      </c>
      <c r="C1229" s="11">
        <v>2743890</v>
      </c>
      <c r="D1229" s="11">
        <v>2743890</v>
      </c>
      <c r="E1229" s="11">
        <v>0</v>
      </c>
      <c r="F1229" t="str">
        <f>VLOOKUP(A1229,[1]!Table1[#All],17,FALSE)</f>
        <v>SOUTH AFRICA</v>
      </c>
      <c r="G1229" t="str">
        <f>VLOOKUP(A1229,[1]!Table1[#All],22,FALSE)</f>
        <v>South Africa Partners Inc</v>
      </c>
      <c r="H1229" s="8">
        <f>VLOOKUP(A1229,[1]!Table1[#All],32,FALSE)</f>
        <v>43738</v>
      </c>
      <c r="I1229" s="8">
        <f>VLOOKUP(A1229,[1]!Table1[#All],33,FALSE)</f>
        <v>45564</v>
      </c>
      <c r="J1229" t="str">
        <f t="shared" ca="1" si="19"/>
        <v>Non UDO</v>
      </c>
    </row>
    <row r="1230" spans="1:10" x14ac:dyDescent="0.35">
      <c r="A1230" s="5" t="s">
        <v>40</v>
      </c>
      <c r="B1230" s="6">
        <v>44682</v>
      </c>
      <c r="C1230" s="7">
        <v>2743890</v>
      </c>
      <c r="D1230" s="7">
        <v>2743890</v>
      </c>
      <c r="E1230" s="7">
        <v>0</v>
      </c>
      <c r="F1230" t="str">
        <f>VLOOKUP(A1230,[1]!Table1[#All],17,FALSE)</f>
        <v>SOUTH AFRICA</v>
      </c>
      <c r="G1230" t="str">
        <f>VLOOKUP(A1230,[1]!Table1[#All],22,FALSE)</f>
        <v>South Africa Partners Inc</v>
      </c>
      <c r="H1230" s="8">
        <f>VLOOKUP(A1230,[1]!Table1[#All],32,FALSE)</f>
        <v>43738</v>
      </c>
      <c r="I1230" s="8">
        <f>VLOOKUP(A1230,[1]!Table1[#All],33,FALSE)</f>
        <v>45564</v>
      </c>
      <c r="J1230" t="str">
        <f t="shared" ca="1" si="19"/>
        <v>Non UDO</v>
      </c>
    </row>
    <row r="1231" spans="1:10" x14ac:dyDescent="0.35">
      <c r="A1231" s="9" t="s">
        <v>40</v>
      </c>
      <c r="B1231" s="10">
        <v>44713</v>
      </c>
      <c r="C1231" s="11">
        <v>2743890</v>
      </c>
      <c r="D1231" s="11">
        <v>2743890</v>
      </c>
      <c r="E1231" s="11">
        <v>0</v>
      </c>
      <c r="F1231" t="str">
        <f>VLOOKUP(A1231,[1]!Table1[#All],17,FALSE)</f>
        <v>SOUTH AFRICA</v>
      </c>
      <c r="G1231" t="str">
        <f>VLOOKUP(A1231,[1]!Table1[#All],22,FALSE)</f>
        <v>South Africa Partners Inc</v>
      </c>
      <c r="H1231" s="8">
        <f>VLOOKUP(A1231,[1]!Table1[#All],32,FALSE)</f>
        <v>43738</v>
      </c>
      <c r="I1231" s="8">
        <f>VLOOKUP(A1231,[1]!Table1[#All],33,FALSE)</f>
        <v>45564</v>
      </c>
      <c r="J1231" t="str">
        <f t="shared" ca="1" si="19"/>
        <v>Non UDO</v>
      </c>
    </row>
    <row r="1232" spans="1:10" x14ac:dyDescent="0.35">
      <c r="A1232" s="5" t="s">
        <v>40</v>
      </c>
      <c r="B1232" s="6">
        <v>44743</v>
      </c>
      <c r="C1232" s="7">
        <v>2743890</v>
      </c>
      <c r="D1232" s="7">
        <v>2743890</v>
      </c>
      <c r="E1232" s="7">
        <v>0</v>
      </c>
      <c r="F1232" t="str">
        <f>VLOOKUP(A1232,[1]!Table1[#All],17,FALSE)</f>
        <v>SOUTH AFRICA</v>
      </c>
      <c r="G1232" t="str">
        <f>VLOOKUP(A1232,[1]!Table1[#All],22,FALSE)</f>
        <v>South Africa Partners Inc</v>
      </c>
      <c r="H1232" s="8">
        <f>VLOOKUP(A1232,[1]!Table1[#All],32,FALSE)</f>
        <v>43738</v>
      </c>
      <c r="I1232" s="8">
        <f>VLOOKUP(A1232,[1]!Table1[#All],33,FALSE)</f>
        <v>45564</v>
      </c>
      <c r="J1232" t="str">
        <f t="shared" ca="1" si="19"/>
        <v>Non UDO</v>
      </c>
    </row>
    <row r="1233" spans="1:10" x14ac:dyDescent="0.35">
      <c r="A1233" s="9" t="s">
        <v>40</v>
      </c>
      <c r="B1233" s="10">
        <v>44774</v>
      </c>
      <c r="C1233" s="11">
        <v>2743890</v>
      </c>
      <c r="D1233" s="11">
        <v>2743890</v>
      </c>
      <c r="E1233" s="11">
        <v>0</v>
      </c>
      <c r="F1233" t="str">
        <f>VLOOKUP(A1233,[1]!Table1[#All],17,FALSE)</f>
        <v>SOUTH AFRICA</v>
      </c>
      <c r="G1233" t="str">
        <f>VLOOKUP(A1233,[1]!Table1[#All],22,FALSE)</f>
        <v>South Africa Partners Inc</v>
      </c>
      <c r="H1233" s="8">
        <f>VLOOKUP(A1233,[1]!Table1[#All],32,FALSE)</f>
        <v>43738</v>
      </c>
      <c r="I1233" s="8">
        <f>VLOOKUP(A1233,[1]!Table1[#All],33,FALSE)</f>
        <v>45564</v>
      </c>
      <c r="J1233" t="str">
        <f t="shared" ca="1" si="19"/>
        <v>Non UDO</v>
      </c>
    </row>
    <row r="1234" spans="1:10" x14ac:dyDescent="0.35">
      <c r="A1234" s="5" t="s">
        <v>40</v>
      </c>
      <c r="B1234" s="6">
        <v>44805</v>
      </c>
      <c r="C1234" s="7">
        <v>2743890</v>
      </c>
      <c r="D1234" s="7">
        <v>2743890</v>
      </c>
      <c r="E1234" s="7">
        <v>0</v>
      </c>
      <c r="F1234" t="str">
        <f>VLOOKUP(A1234,[1]!Table1[#All],17,FALSE)</f>
        <v>SOUTH AFRICA</v>
      </c>
      <c r="G1234" t="str">
        <f>VLOOKUP(A1234,[1]!Table1[#All],22,FALSE)</f>
        <v>South Africa Partners Inc</v>
      </c>
      <c r="H1234" s="8">
        <f>VLOOKUP(A1234,[1]!Table1[#All],32,FALSE)</f>
        <v>43738</v>
      </c>
      <c r="I1234" s="8">
        <f>VLOOKUP(A1234,[1]!Table1[#All],33,FALSE)</f>
        <v>45564</v>
      </c>
      <c r="J1234" t="str">
        <f t="shared" ca="1" si="19"/>
        <v>Non UDO</v>
      </c>
    </row>
    <row r="1235" spans="1:10" x14ac:dyDescent="0.35">
      <c r="A1235" s="9" t="s">
        <v>40</v>
      </c>
      <c r="B1235" s="10">
        <v>44835</v>
      </c>
      <c r="C1235" s="11">
        <v>2743890</v>
      </c>
      <c r="D1235" s="11">
        <v>2743890</v>
      </c>
      <c r="E1235" s="11">
        <v>0</v>
      </c>
      <c r="F1235" t="str">
        <f>VLOOKUP(A1235,[1]!Table1[#All],17,FALSE)</f>
        <v>SOUTH AFRICA</v>
      </c>
      <c r="G1235" t="str">
        <f>VLOOKUP(A1235,[1]!Table1[#All],22,FALSE)</f>
        <v>South Africa Partners Inc</v>
      </c>
      <c r="H1235" s="8">
        <f>VLOOKUP(A1235,[1]!Table1[#All],32,FALSE)</f>
        <v>43738</v>
      </c>
      <c r="I1235" s="8">
        <f>VLOOKUP(A1235,[1]!Table1[#All],33,FALSE)</f>
        <v>45564</v>
      </c>
      <c r="J1235" t="str">
        <f t="shared" ca="1" si="19"/>
        <v>Non UDO</v>
      </c>
    </row>
    <row r="1236" spans="1:10" x14ac:dyDescent="0.35">
      <c r="A1236" s="5" t="s">
        <v>40</v>
      </c>
      <c r="B1236" s="6">
        <v>44866</v>
      </c>
      <c r="C1236" s="7">
        <v>2743890</v>
      </c>
      <c r="D1236" s="7">
        <v>2743890</v>
      </c>
      <c r="E1236" s="7">
        <v>0</v>
      </c>
      <c r="F1236" t="str">
        <f>VLOOKUP(A1236,[1]!Table1[#All],17,FALSE)</f>
        <v>SOUTH AFRICA</v>
      </c>
      <c r="G1236" t="str">
        <f>VLOOKUP(A1236,[1]!Table1[#All],22,FALSE)</f>
        <v>South Africa Partners Inc</v>
      </c>
      <c r="H1236" s="8">
        <f>VLOOKUP(A1236,[1]!Table1[#All],32,FALSE)</f>
        <v>43738</v>
      </c>
      <c r="I1236" s="8">
        <f>VLOOKUP(A1236,[1]!Table1[#All],33,FALSE)</f>
        <v>45564</v>
      </c>
      <c r="J1236" t="str">
        <f t="shared" ca="1" si="19"/>
        <v>Non UDO</v>
      </c>
    </row>
    <row r="1237" spans="1:10" x14ac:dyDescent="0.35">
      <c r="A1237" s="9" t="s">
        <v>40</v>
      </c>
      <c r="B1237" s="10">
        <v>44896</v>
      </c>
      <c r="C1237" s="11">
        <v>2743890</v>
      </c>
      <c r="D1237" s="11">
        <v>2743890</v>
      </c>
      <c r="E1237" s="11">
        <v>0</v>
      </c>
      <c r="F1237" t="str">
        <f>VLOOKUP(A1237,[1]!Table1[#All],17,FALSE)</f>
        <v>SOUTH AFRICA</v>
      </c>
      <c r="G1237" t="str">
        <f>VLOOKUP(A1237,[1]!Table1[#All],22,FALSE)</f>
        <v>South Africa Partners Inc</v>
      </c>
      <c r="H1237" s="8">
        <f>VLOOKUP(A1237,[1]!Table1[#All],32,FALSE)</f>
        <v>43738</v>
      </c>
      <c r="I1237" s="8">
        <f>VLOOKUP(A1237,[1]!Table1[#All],33,FALSE)</f>
        <v>45564</v>
      </c>
      <c r="J1237" t="str">
        <f t="shared" ca="1" si="19"/>
        <v>Non UDO</v>
      </c>
    </row>
    <row r="1238" spans="1:10" x14ac:dyDescent="0.35">
      <c r="A1238" s="5" t="s">
        <v>40</v>
      </c>
      <c r="B1238" s="6">
        <v>44927</v>
      </c>
      <c r="C1238" s="7">
        <v>2743890</v>
      </c>
      <c r="D1238" s="7">
        <v>2743890</v>
      </c>
      <c r="E1238" s="7">
        <v>0</v>
      </c>
      <c r="F1238" t="str">
        <f>VLOOKUP(A1238,[1]!Table1[#All],17,FALSE)</f>
        <v>SOUTH AFRICA</v>
      </c>
      <c r="G1238" t="str">
        <f>VLOOKUP(A1238,[1]!Table1[#All],22,FALSE)</f>
        <v>South Africa Partners Inc</v>
      </c>
      <c r="H1238" s="8">
        <f>VLOOKUP(A1238,[1]!Table1[#All],32,FALSE)</f>
        <v>43738</v>
      </c>
      <c r="I1238" s="8">
        <f>VLOOKUP(A1238,[1]!Table1[#All],33,FALSE)</f>
        <v>45564</v>
      </c>
      <c r="J1238" t="str">
        <f t="shared" ca="1" si="19"/>
        <v>Non UDO</v>
      </c>
    </row>
    <row r="1239" spans="1:10" x14ac:dyDescent="0.35">
      <c r="A1239" s="9" t="s">
        <v>40</v>
      </c>
      <c r="B1239" s="10">
        <v>44958</v>
      </c>
      <c r="C1239" s="11">
        <v>2743890</v>
      </c>
      <c r="D1239" s="11">
        <v>2743890</v>
      </c>
      <c r="E1239" s="11">
        <v>0</v>
      </c>
      <c r="F1239" t="str">
        <f>VLOOKUP(A1239,[1]!Table1[#All],17,FALSE)</f>
        <v>SOUTH AFRICA</v>
      </c>
      <c r="G1239" t="str">
        <f>VLOOKUP(A1239,[1]!Table1[#All],22,FALSE)</f>
        <v>South Africa Partners Inc</v>
      </c>
      <c r="H1239" s="8">
        <f>VLOOKUP(A1239,[1]!Table1[#All],32,FALSE)</f>
        <v>43738</v>
      </c>
      <c r="I1239" s="8">
        <f>VLOOKUP(A1239,[1]!Table1[#All],33,FALSE)</f>
        <v>45564</v>
      </c>
      <c r="J1239" t="str">
        <f t="shared" ca="1" si="19"/>
        <v>Non UDO</v>
      </c>
    </row>
    <row r="1240" spans="1:10" x14ac:dyDescent="0.35">
      <c r="A1240" s="5" t="s">
        <v>40</v>
      </c>
      <c r="B1240" s="6">
        <v>44986</v>
      </c>
      <c r="C1240" s="7">
        <v>2743890</v>
      </c>
      <c r="D1240" s="7">
        <v>2743890</v>
      </c>
      <c r="E1240" s="7">
        <v>0</v>
      </c>
      <c r="F1240" t="str">
        <f>VLOOKUP(A1240,[1]!Table1[#All],17,FALSE)</f>
        <v>SOUTH AFRICA</v>
      </c>
      <c r="G1240" t="str">
        <f>VLOOKUP(A1240,[1]!Table1[#All],22,FALSE)</f>
        <v>South Africa Partners Inc</v>
      </c>
      <c r="H1240" s="8">
        <f>VLOOKUP(A1240,[1]!Table1[#All],32,FALSE)</f>
        <v>43738</v>
      </c>
      <c r="I1240" s="8">
        <f>VLOOKUP(A1240,[1]!Table1[#All],33,FALSE)</f>
        <v>45564</v>
      </c>
      <c r="J1240" t="str">
        <f t="shared" ca="1" si="19"/>
        <v>Non UDO</v>
      </c>
    </row>
    <row r="1241" spans="1:10" x14ac:dyDescent="0.35">
      <c r="A1241" s="9" t="s">
        <v>40</v>
      </c>
      <c r="B1241" s="10">
        <v>45017</v>
      </c>
      <c r="C1241" s="11">
        <v>2743890</v>
      </c>
      <c r="D1241" s="11">
        <v>2743890</v>
      </c>
      <c r="E1241" s="11">
        <v>0</v>
      </c>
      <c r="F1241" t="str">
        <f>VLOOKUP(A1241,[1]!Table1[#All],17,FALSE)</f>
        <v>SOUTH AFRICA</v>
      </c>
      <c r="G1241" t="str">
        <f>VLOOKUP(A1241,[1]!Table1[#All],22,FALSE)</f>
        <v>South Africa Partners Inc</v>
      </c>
      <c r="H1241" s="8">
        <f>VLOOKUP(A1241,[1]!Table1[#All],32,FALSE)</f>
        <v>43738</v>
      </c>
      <c r="I1241" s="8">
        <f>VLOOKUP(A1241,[1]!Table1[#All],33,FALSE)</f>
        <v>45564</v>
      </c>
      <c r="J1241" t="str">
        <f t="shared" ca="1" si="19"/>
        <v>Non UDO</v>
      </c>
    </row>
    <row r="1242" spans="1:10" x14ac:dyDescent="0.35">
      <c r="A1242" s="5" t="s">
        <v>40</v>
      </c>
      <c r="B1242" s="6">
        <v>45047</v>
      </c>
      <c r="C1242" s="7">
        <v>2743890</v>
      </c>
      <c r="D1242" s="7">
        <v>2743890</v>
      </c>
      <c r="E1242" s="7">
        <v>0</v>
      </c>
      <c r="F1242" t="str">
        <f>VLOOKUP(A1242,[1]!Table1[#All],17,FALSE)</f>
        <v>SOUTH AFRICA</v>
      </c>
      <c r="G1242" t="str">
        <f>VLOOKUP(A1242,[1]!Table1[#All],22,FALSE)</f>
        <v>South Africa Partners Inc</v>
      </c>
      <c r="H1242" s="8">
        <f>VLOOKUP(A1242,[1]!Table1[#All],32,FALSE)</f>
        <v>43738</v>
      </c>
      <c r="I1242" s="8">
        <f>VLOOKUP(A1242,[1]!Table1[#All],33,FALSE)</f>
        <v>45564</v>
      </c>
      <c r="J1242" t="str">
        <f t="shared" ca="1" si="19"/>
        <v>Non UDO</v>
      </c>
    </row>
    <row r="1243" spans="1:10" x14ac:dyDescent="0.35">
      <c r="A1243" s="9" t="s">
        <v>40</v>
      </c>
      <c r="B1243" s="10">
        <v>45078</v>
      </c>
      <c r="C1243" s="11">
        <v>2743890</v>
      </c>
      <c r="D1243" s="11">
        <v>2743890</v>
      </c>
      <c r="E1243" s="11">
        <v>0</v>
      </c>
      <c r="F1243" t="str">
        <f>VLOOKUP(A1243,[1]!Table1[#All],17,FALSE)</f>
        <v>SOUTH AFRICA</v>
      </c>
      <c r="G1243" t="str">
        <f>VLOOKUP(A1243,[1]!Table1[#All],22,FALSE)</f>
        <v>South Africa Partners Inc</v>
      </c>
      <c r="H1243" s="8">
        <f>VLOOKUP(A1243,[1]!Table1[#All],32,FALSE)</f>
        <v>43738</v>
      </c>
      <c r="I1243" s="8">
        <f>VLOOKUP(A1243,[1]!Table1[#All],33,FALSE)</f>
        <v>45564</v>
      </c>
      <c r="J1243" t="str">
        <f t="shared" ca="1" si="19"/>
        <v>Non UDO</v>
      </c>
    </row>
    <row r="1244" spans="1:10" x14ac:dyDescent="0.35">
      <c r="A1244" s="5" t="s">
        <v>40</v>
      </c>
      <c r="B1244" s="6">
        <v>45108</v>
      </c>
      <c r="C1244" s="7">
        <v>2743890</v>
      </c>
      <c r="D1244" s="7">
        <v>2743890</v>
      </c>
      <c r="E1244" s="7">
        <v>0</v>
      </c>
      <c r="F1244" t="str">
        <f>VLOOKUP(A1244,[1]!Table1[#All],17,FALSE)</f>
        <v>SOUTH AFRICA</v>
      </c>
      <c r="G1244" t="str">
        <f>VLOOKUP(A1244,[1]!Table1[#All],22,FALSE)</f>
        <v>South Africa Partners Inc</v>
      </c>
      <c r="H1244" s="8">
        <f>VLOOKUP(A1244,[1]!Table1[#All],32,FALSE)</f>
        <v>43738</v>
      </c>
      <c r="I1244" s="8">
        <f>VLOOKUP(A1244,[1]!Table1[#All],33,FALSE)</f>
        <v>45564</v>
      </c>
      <c r="J1244" t="str">
        <f t="shared" ca="1" si="19"/>
        <v>Non UDO</v>
      </c>
    </row>
    <row r="1245" spans="1:10" x14ac:dyDescent="0.35">
      <c r="A1245" s="9" t="s">
        <v>40</v>
      </c>
      <c r="B1245" s="10">
        <v>45139</v>
      </c>
      <c r="C1245" s="11">
        <v>2743890</v>
      </c>
      <c r="D1245" s="11">
        <v>2743890</v>
      </c>
      <c r="E1245" s="11">
        <v>0</v>
      </c>
      <c r="F1245" t="str">
        <f>VLOOKUP(A1245,[1]!Table1[#All],17,FALSE)</f>
        <v>SOUTH AFRICA</v>
      </c>
      <c r="G1245" t="str">
        <f>VLOOKUP(A1245,[1]!Table1[#All],22,FALSE)</f>
        <v>South Africa Partners Inc</v>
      </c>
      <c r="H1245" s="8">
        <f>VLOOKUP(A1245,[1]!Table1[#All],32,FALSE)</f>
        <v>43738</v>
      </c>
      <c r="I1245" s="8">
        <f>VLOOKUP(A1245,[1]!Table1[#All],33,FALSE)</f>
        <v>45564</v>
      </c>
      <c r="J1245" t="str">
        <f t="shared" ca="1" si="19"/>
        <v>Non UDO</v>
      </c>
    </row>
    <row r="1246" spans="1:10" x14ac:dyDescent="0.35">
      <c r="A1246" s="5" t="s">
        <v>40</v>
      </c>
      <c r="B1246" s="6">
        <v>45170</v>
      </c>
      <c r="C1246" s="7">
        <v>2743890</v>
      </c>
      <c r="D1246" s="7">
        <v>2743890</v>
      </c>
      <c r="E1246" s="7">
        <v>0</v>
      </c>
      <c r="F1246" t="str">
        <f>VLOOKUP(A1246,[1]!Table1[#All],17,FALSE)</f>
        <v>SOUTH AFRICA</v>
      </c>
      <c r="G1246" t="str">
        <f>VLOOKUP(A1246,[1]!Table1[#All],22,FALSE)</f>
        <v>South Africa Partners Inc</v>
      </c>
      <c r="H1246" s="8">
        <f>VLOOKUP(A1246,[1]!Table1[#All],32,FALSE)</f>
        <v>43738</v>
      </c>
      <c r="I1246" s="8">
        <f>VLOOKUP(A1246,[1]!Table1[#All],33,FALSE)</f>
        <v>45564</v>
      </c>
      <c r="J1246" t="str">
        <f t="shared" ca="1" si="19"/>
        <v>Non UDO</v>
      </c>
    </row>
    <row r="1247" spans="1:10" x14ac:dyDescent="0.35">
      <c r="A1247" s="9" t="s">
        <v>41</v>
      </c>
      <c r="B1247" s="10">
        <v>44105</v>
      </c>
      <c r="C1247" s="11">
        <v>2300000</v>
      </c>
      <c r="D1247" s="11">
        <v>413230.27</v>
      </c>
      <c r="E1247" s="11">
        <v>1886769.73</v>
      </c>
      <c r="F1247" t="str">
        <f>VLOOKUP(A1247,[1]!Table1[#All],17,FALSE)</f>
        <v>SOUTH AFRICA</v>
      </c>
      <c r="G1247" t="str">
        <f>VLOOKUP(A1247,[1]!Table1[#All],22,FALSE)</f>
        <v>MEDICAL RESEARCH COUNCIL</v>
      </c>
      <c r="H1247" s="8">
        <f>VLOOKUP(A1247,[1]!Table1[#All],32,FALSE)</f>
        <v>43738</v>
      </c>
      <c r="I1247" s="8">
        <f>VLOOKUP(A1247,[1]!Table1[#All],33,FALSE)</f>
        <v>45564</v>
      </c>
      <c r="J1247" t="str">
        <f t="shared" ca="1" si="19"/>
        <v>UDO</v>
      </c>
    </row>
    <row r="1248" spans="1:10" x14ac:dyDescent="0.35">
      <c r="A1248" s="5" t="s">
        <v>41</v>
      </c>
      <c r="B1248" s="6">
        <v>44136</v>
      </c>
      <c r="C1248" s="7">
        <v>2300000</v>
      </c>
      <c r="D1248" s="7">
        <v>413230.27</v>
      </c>
      <c r="E1248" s="7">
        <v>1886769.73</v>
      </c>
      <c r="F1248" t="str">
        <f>VLOOKUP(A1248,[1]!Table1[#All],17,FALSE)</f>
        <v>SOUTH AFRICA</v>
      </c>
      <c r="G1248" t="str">
        <f>VLOOKUP(A1248,[1]!Table1[#All],22,FALSE)</f>
        <v>MEDICAL RESEARCH COUNCIL</v>
      </c>
      <c r="H1248" s="8">
        <f>VLOOKUP(A1248,[1]!Table1[#All],32,FALSE)</f>
        <v>43738</v>
      </c>
      <c r="I1248" s="8">
        <f>VLOOKUP(A1248,[1]!Table1[#All],33,FALSE)</f>
        <v>45564</v>
      </c>
      <c r="J1248" t="str">
        <f t="shared" ca="1" si="19"/>
        <v>UDO</v>
      </c>
    </row>
    <row r="1249" spans="1:10" x14ac:dyDescent="0.35">
      <c r="A1249" s="9" t="s">
        <v>41</v>
      </c>
      <c r="B1249" s="10">
        <v>44166</v>
      </c>
      <c r="C1249" s="11">
        <v>2300000</v>
      </c>
      <c r="D1249" s="11">
        <v>413230.27</v>
      </c>
      <c r="E1249" s="11">
        <v>1886769.73</v>
      </c>
      <c r="F1249" t="str">
        <f>VLOOKUP(A1249,[1]!Table1[#All],17,FALSE)</f>
        <v>SOUTH AFRICA</v>
      </c>
      <c r="G1249" t="str">
        <f>VLOOKUP(A1249,[1]!Table1[#All],22,FALSE)</f>
        <v>MEDICAL RESEARCH COUNCIL</v>
      </c>
      <c r="H1249" s="8">
        <f>VLOOKUP(A1249,[1]!Table1[#All],32,FALSE)</f>
        <v>43738</v>
      </c>
      <c r="I1249" s="8">
        <f>VLOOKUP(A1249,[1]!Table1[#All],33,FALSE)</f>
        <v>45564</v>
      </c>
      <c r="J1249" t="str">
        <f t="shared" ca="1" si="19"/>
        <v>UDO</v>
      </c>
    </row>
    <row r="1250" spans="1:10" x14ac:dyDescent="0.35">
      <c r="A1250" s="5" t="s">
        <v>41</v>
      </c>
      <c r="B1250" s="6">
        <v>44197</v>
      </c>
      <c r="C1250" s="7">
        <v>2300000</v>
      </c>
      <c r="D1250" s="7">
        <v>572035.92999999993</v>
      </c>
      <c r="E1250" s="7">
        <v>1727964.0699999998</v>
      </c>
      <c r="F1250" t="str">
        <f>VLOOKUP(A1250,[1]!Table1[#All],17,FALSE)</f>
        <v>SOUTH AFRICA</v>
      </c>
      <c r="G1250" t="str">
        <f>VLOOKUP(A1250,[1]!Table1[#All],22,FALSE)</f>
        <v>MEDICAL RESEARCH COUNCIL</v>
      </c>
      <c r="H1250" s="8">
        <f>VLOOKUP(A1250,[1]!Table1[#All],32,FALSE)</f>
        <v>43738</v>
      </c>
      <c r="I1250" s="8">
        <f>VLOOKUP(A1250,[1]!Table1[#All],33,FALSE)</f>
        <v>45564</v>
      </c>
      <c r="J1250" t="str">
        <f t="shared" ca="1" si="19"/>
        <v>UDO</v>
      </c>
    </row>
    <row r="1251" spans="1:10" x14ac:dyDescent="0.35">
      <c r="A1251" s="9" t="s">
        <v>41</v>
      </c>
      <c r="B1251" s="10">
        <v>44228</v>
      </c>
      <c r="C1251" s="11">
        <v>2300000</v>
      </c>
      <c r="D1251" s="11">
        <v>659142.81999999995</v>
      </c>
      <c r="E1251" s="11">
        <v>1640857.18</v>
      </c>
      <c r="F1251" t="str">
        <f>VLOOKUP(A1251,[1]!Table1[#All],17,FALSE)</f>
        <v>SOUTH AFRICA</v>
      </c>
      <c r="G1251" t="str">
        <f>VLOOKUP(A1251,[1]!Table1[#All],22,FALSE)</f>
        <v>MEDICAL RESEARCH COUNCIL</v>
      </c>
      <c r="H1251" s="8">
        <f>VLOOKUP(A1251,[1]!Table1[#All],32,FALSE)</f>
        <v>43738</v>
      </c>
      <c r="I1251" s="8">
        <f>VLOOKUP(A1251,[1]!Table1[#All],33,FALSE)</f>
        <v>45564</v>
      </c>
      <c r="J1251" t="str">
        <f t="shared" ca="1" si="19"/>
        <v>UDO</v>
      </c>
    </row>
    <row r="1252" spans="1:10" x14ac:dyDescent="0.35">
      <c r="A1252" s="5" t="s">
        <v>41</v>
      </c>
      <c r="B1252" s="6">
        <v>44256</v>
      </c>
      <c r="C1252" s="7">
        <v>2300000</v>
      </c>
      <c r="D1252" s="7">
        <v>721134.71</v>
      </c>
      <c r="E1252" s="7">
        <v>1578865.29</v>
      </c>
      <c r="F1252" t="str">
        <f>VLOOKUP(A1252,[1]!Table1[#All],17,FALSE)</f>
        <v>SOUTH AFRICA</v>
      </c>
      <c r="G1252" t="str">
        <f>VLOOKUP(A1252,[1]!Table1[#All],22,FALSE)</f>
        <v>MEDICAL RESEARCH COUNCIL</v>
      </c>
      <c r="H1252" s="8">
        <f>VLOOKUP(A1252,[1]!Table1[#All],32,FALSE)</f>
        <v>43738</v>
      </c>
      <c r="I1252" s="8">
        <f>VLOOKUP(A1252,[1]!Table1[#All],33,FALSE)</f>
        <v>45564</v>
      </c>
      <c r="J1252" t="str">
        <f t="shared" ca="1" si="19"/>
        <v>UDO</v>
      </c>
    </row>
    <row r="1253" spans="1:10" x14ac:dyDescent="0.35">
      <c r="A1253" s="9" t="s">
        <v>41</v>
      </c>
      <c r="B1253" s="10">
        <v>44317</v>
      </c>
      <c r="C1253" s="11">
        <v>2300000</v>
      </c>
      <c r="D1253" s="11">
        <v>896125.10000000009</v>
      </c>
      <c r="E1253" s="11">
        <v>1403874.9</v>
      </c>
      <c r="F1253" t="str">
        <f>VLOOKUP(A1253,[1]!Table1[#All],17,FALSE)</f>
        <v>SOUTH AFRICA</v>
      </c>
      <c r="G1253" t="str">
        <f>VLOOKUP(A1253,[1]!Table1[#All],22,FALSE)</f>
        <v>MEDICAL RESEARCH COUNCIL</v>
      </c>
      <c r="H1253" s="8">
        <f>VLOOKUP(A1253,[1]!Table1[#All],32,FALSE)</f>
        <v>43738</v>
      </c>
      <c r="I1253" s="8">
        <f>VLOOKUP(A1253,[1]!Table1[#All],33,FALSE)</f>
        <v>45564</v>
      </c>
      <c r="J1253" t="str">
        <f t="shared" ca="1" si="19"/>
        <v>UDO</v>
      </c>
    </row>
    <row r="1254" spans="1:10" x14ac:dyDescent="0.35">
      <c r="A1254" s="5" t="s">
        <v>41</v>
      </c>
      <c r="B1254" s="6">
        <v>44348</v>
      </c>
      <c r="C1254" s="7">
        <v>2300000</v>
      </c>
      <c r="D1254" s="7">
        <v>1053630.06</v>
      </c>
      <c r="E1254" s="7">
        <v>1246369.94</v>
      </c>
      <c r="F1254" t="str">
        <f>VLOOKUP(A1254,[1]!Table1[#All],17,FALSE)</f>
        <v>SOUTH AFRICA</v>
      </c>
      <c r="G1254" t="str">
        <f>VLOOKUP(A1254,[1]!Table1[#All],22,FALSE)</f>
        <v>MEDICAL RESEARCH COUNCIL</v>
      </c>
      <c r="H1254" s="8">
        <f>VLOOKUP(A1254,[1]!Table1[#All],32,FALSE)</f>
        <v>43738</v>
      </c>
      <c r="I1254" s="8">
        <f>VLOOKUP(A1254,[1]!Table1[#All],33,FALSE)</f>
        <v>45564</v>
      </c>
      <c r="J1254" t="str">
        <f t="shared" ca="1" si="19"/>
        <v>UDO</v>
      </c>
    </row>
    <row r="1255" spans="1:10" x14ac:dyDescent="0.35">
      <c r="A1255" s="9" t="s">
        <v>41</v>
      </c>
      <c r="B1255" s="10">
        <v>44378</v>
      </c>
      <c r="C1255" s="11">
        <v>2300000</v>
      </c>
      <c r="D1255" s="11">
        <v>1162577.8199999998</v>
      </c>
      <c r="E1255" s="11">
        <v>1137422.1800000002</v>
      </c>
      <c r="F1255" t="str">
        <f>VLOOKUP(A1255,[1]!Table1[#All],17,FALSE)</f>
        <v>SOUTH AFRICA</v>
      </c>
      <c r="G1255" t="str">
        <f>VLOOKUP(A1255,[1]!Table1[#All],22,FALSE)</f>
        <v>MEDICAL RESEARCH COUNCIL</v>
      </c>
      <c r="H1255" s="8">
        <f>VLOOKUP(A1255,[1]!Table1[#All],32,FALSE)</f>
        <v>43738</v>
      </c>
      <c r="I1255" s="8">
        <f>VLOOKUP(A1255,[1]!Table1[#All],33,FALSE)</f>
        <v>45564</v>
      </c>
      <c r="J1255" t="str">
        <f t="shared" ca="1" si="19"/>
        <v>UDO</v>
      </c>
    </row>
    <row r="1256" spans="1:10" x14ac:dyDescent="0.35">
      <c r="A1256" s="5" t="s">
        <v>41</v>
      </c>
      <c r="B1256" s="6">
        <v>44409</v>
      </c>
      <c r="C1256" s="7">
        <v>2300000</v>
      </c>
      <c r="D1256" s="7">
        <v>1284484.75</v>
      </c>
      <c r="E1256" s="7">
        <v>1015515.25</v>
      </c>
      <c r="F1256" t="str">
        <f>VLOOKUP(A1256,[1]!Table1[#All],17,FALSE)</f>
        <v>SOUTH AFRICA</v>
      </c>
      <c r="G1256" t="str">
        <f>VLOOKUP(A1256,[1]!Table1[#All],22,FALSE)</f>
        <v>MEDICAL RESEARCH COUNCIL</v>
      </c>
      <c r="H1256" s="8">
        <f>VLOOKUP(A1256,[1]!Table1[#All],32,FALSE)</f>
        <v>43738</v>
      </c>
      <c r="I1256" s="8">
        <f>VLOOKUP(A1256,[1]!Table1[#All],33,FALSE)</f>
        <v>45564</v>
      </c>
      <c r="J1256" t="str">
        <f t="shared" ca="1" si="19"/>
        <v>UDO</v>
      </c>
    </row>
    <row r="1257" spans="1:10" x14ac:dyDescent="0.35">
      <c r="A1257" s="9" t="s">
        <v>41</v>
      </c>
      <c r="B1257" s="10">
        <v>44440</v>
      </c>
      <c r="C1257" s="11">
        <v>2300000</v>
      </c>
      <c r="D1257" s="11">
        <v>1941715.28</v>
      </c>
      <c r="E1257" s="11">
        <v>358284.72</v>
      </c>
      <c r="F1257" t="str">
        <f>VLOOKUP(A1257,[1]!Table1[#All],17,FALSE)</f>
        <v>SOUTH AFRICA</v>
      </c>
      <c r="G1257" t="str">
        <f>VLOOKUP(A1257,[1]!Table1[#All],22,FALSE)</f>
        <v>MEDICAL RESEARCH COUNCIL</v>
      </c>
      <c r="H1257" s="8">
        <f>VLOOKUP(A1257,[1]!Table1[#All],32,FALSE)</f>
        <v>43738</v>
      </c>
      <c r="I1257" s="8">
        <f>VLOOKUP(A1257,[1]!Table1[#All],33,FALSE)</f>
        <v>45564</v>
      </c>
      <c r="J1257" t="str">
        <f t="shared" ca="1" si="19"/>
        <v>UDO</v>
      </c>
    </row>
    <row r="1258" spans="1:10" x14ac:dyDescent="0.35">
      <c r="A1258" s="5" t="s">
        <v>41</v>
      </c>
      <c r="B1258" s="6">
        <v>44470</v>
      </c>
      <c r="C1258" s="7">
        <v>2300000</v>
      </c>
      <c r="D1258" s="7">
        <v>1941715.28</v>
      </c>
      <c r="E1258" s="7">
        <v>358284.72</v>
      </c>
      <c r="F1258" t="str">
        <f>VLOOKUP(A1258,[1]!Table1[#All],17,FALSE)</f>
        <v>SOUTH AFRICA</v>
      </c>
      <c r="G1258" t="str">
        <f>VLOOKUP(A1258,[1]!Table1[#All],22,FALSE)</f>
        <v>MEDICAL RESEARCH COUNCIL</v>
      </c>
      <c r="H1258" s="8">
        <f>VLOOKUP(A1258,[1]!Table1[#All],32,FALSE)</f>
        <v>43738</v>
      </c>
      <c r="I1258" s="8">
        <f>VLOOKUP(A1258,[1]!Table1[#All],33,FALSE)</f>
        <v>45564</v>
      </c>
      <c r="J1258" t="str">
        <f t="shared" ca="1" si="19"/>
        <v>UDO</v>
      </c>
    </row>
    <row r="1259" spans="1:10" x14ac:dyDescent="0.35">
      <c r="A1259" s="9" t="s">
        <v>41</v>
      </c>
      <c r="B1259" s="10">
        <v>44501</v>
      </c>
      <c r="C1259" s="11">
        <v>2300000</v>
      </c>
      <c r="D1259" s="11">
        <v>1941715.28</v>
      </c>
      <c r="E1259" s="11">
        <v>358284.72</v>
      </c>
      <c r="F1259" t="str">
        <f>VLOOKUP(A1259,[1]!Table1[#All],17,FALSE)</f>
        <v>SOUTH AFRICA</v>
      </c>
      <c r="G1259" t="str">
        <f>VLOOKUP(A1259,[1]!Table1[#All],22,FALSE)</f>
        <v>MEDICAL RESEARCH COUNCIL</v>
      </c>
      <c r="H1259" s="8">
        <f>VLOOKUP(A1259,[1]!Table1[#All],32,FALSE)</f>
        <v>43738</v>
      </c>
      <c r="I1259" s="8">
        <f>VLOOKUP(A1259,[1]!Table1[#All],33,FALSE)</f>
        <v>45564</v>
      </c>
      <c r="J1259" t="str">
        <f t="shared" ca="1" si="19"/>
        <v>UDO</v>
      </c>
    </row>
    <row r="1260" spans="1:10" x14ac:dyDescent="0.35">
      <c r="A1260" s="5" t="s">
        <v>41</v>
      </c>
      <c r="B1260" s="6">
        <v>44531</v>
      </c>
      <c r="C1260" s="7">
        <v>2300000</v>
      </c>
      <c r="D1260" s="7">
        <v>1941715.28</v>
      </c>
      <c r="E1260" s="7">
        <v>358284.72</v>
      </c>
      <c r="F1260" t="str">
        <f>VLOOKUP(A1260,[1]!Table1[#All],17,FALSE)</f>
        <v>SOUTH AFRICA</v>
      </c>
      <c r="G1260" t="str">
        <f>VLOOKUP(A1260,[1]!Table1[#All],22,FALSE)</f>
        <v>MEDICAL RESEARCH COUNCIL</v>
      </c>
      <c r="H1260" s="8">
        <f>VLOOKUP(A1260,[1]!Table1[#All],32,FALSE)</f>
        <v>43738</v>
      </c>
      <c r="I1260" s="8">
        <f>VLOOKUP(A1260,[1]!Table1[#All],33,FALSE)</f>
        <v>45564</v>
      </c>
      <c r="J1260" t="str">
        <f t="shared" ca="1" si="19"/>
        <v>UDO</v>
      </c>
    </row>
    <row r="1261" spans="1:10" x14ac:dyDescent="0.35">
      <c r="A1261" s="9" t="s">
        <v>41</v>
      </c>
      <c r="B1261" s="10">
        <v>44562</v>
      </c>
      <c r="C1261" s="11">
        <v>2300000</v>
      </c>
      <c r="D1261" s="11">
        <v>1941715.28</v>
      </c>
      <c r="E1261" s="11">
        <v>358284.72</v>
      </c>
      <c r="F1261" t="str">
        <f>VLOOKUP(A1261,[1]!Table1[#All],17,FALSE)</f>
        <v>SOUTH AFRICA</v>
      </c>
      <c r="G1261" t="str">
        <f>VLOOKUP(A1261,[1]!Table1[#All],22,FALSE)</f>
        <v>MEDICAL RESEARCH COUNCIL</v>
      </c>
      <c r="H1261" s="8">
        <f>VLOOKUP(A1261,[1]!Table1[#All],32,FALSE)</f>
        <v>43738</v>
      </c>
      <c r="I1261" s="8">
        <f>VLOOKUP(A1261,[1]!Table1[#All],33,FALSE)</f>
        <v>45564</v>
      </c>
      <c r="J1261" t="str">
        <f t="shared" ca="1" si="19"/>
        <v>UDO</v>
      </c>
    </row>
    <row r="1262" spans="1:10" x14ac:dyDescent="0.35">
      <c r="A1262" s="5" t="s">
        <v>41</v>
      </c>
      <c r="B1262" s="6">
        <v>44593</v>
      </c>
      <c r="C1262" s="7">
        <v>2300000</v>
      </c>
      <c r="D1262" s="7">
        <v>1941715.28</v>
      </c>
      <c r="E1262" s="7">
        <v>358284.72</v>
      </c>
      <c r="F1262" t="str">
        <f>VLOOKUP(A1262,[1]!Table1[#All],17,FALSE)</f>
        <v>SOUTH AFRICA</v>
      </c>
      <c r="G1262" t="str">
        <f>VLOOKUP(A1262,[1]!Table1[#All],22,FALSE)</f>
        <v>MEDICAL RESEARCH COUNCIL</v>
      </c>
      <c r="H1262" s="8">
        <f>VLOOKUP(A1262,[1]!Table1[#All],32,FALSE)</f>
        <v>43738</v>
      </c>
      <c r="I1262" s="8">
        <f>VLOOKUP(A1262,[1]!Table1[#All],33,FALSE)</f>
        <v>45564</v>
      </c>
      <c r="J1262" t="str">
        <f t="shared" ca="1" si="19"/>
        <v>UDO</v>
      </c>
    </row>
    <row r="1263" spans="1:10" x14ac:dyDescent="0.35">
      <c r="A1263" s="9" t="s">
        <v>41</v>
      </c>
      <c r="B1263" s="10">
        <v>44621</v>
      </c>
      <c r="C1263" s="11">
        <v>2300000</v>
      </c>
      <c r="D1263" s="11">
        <v>2172775.56</v>
      </c>
      <c r="E1263" s="11">
        <v>127224.44</v>
      </c>
      <c r="F1263" t="str">
        <f>VLOOKUP(A1263,[1]!Table1[#All],17,FALSE)</f>
        <v>SOUTH AFRICA</v>
      </c>
      <c r="G1263" t="str">
        <f>VLOOKUP(A1263,[1]!Table1[#All],22,FALSE)</f>
        <v>MEDICAL RESEARCH COUNCIL</v>
      </c>
      <c r="H1263" s="8">
        <f>VLOOKUP(A1263,[1]!Table1[#All],32,FALSE)</f>
        <v>43738</v>
      </c>
      <c r="I1263" s="8">
        <f>VLOOKUP(A1263,[1]!Table1[#All],33,FALSE)</f>
        <v>45564</v>
      </c>
      <c r="J1263" t="str">
        <f t="shared" ca="1" si="19"/>
        <v>UDO</v>
      </c>
    </row>
    <row r="1264" spans="1:10" x14ac:dyDescent="0.35">
      <c r="A1264" s="5" t="s">
        <v>41</v>
      </c>
      <c r="B1264" s="6">
        <v>44652</v>
      </c>
      <c r="C1264" s="7">
        <v>2300000</v>
      </c>
      <c r="D1264" s="7">
        <v>2172775.56</v>
      </c>
      <c r="E1264" s="7">
        <v>127224.44</v>
      </c>
      <c r="F1264" t="str">
        <f>VLOOKUP(A1264,[1]!Table1[#All],17,FALSE)</f>
        <v>SOUTH AFRICA</v>
      </c>
      <c r="G1264" t="str">
        <f>VLOOKUP(A1264,[1]!Table1[#All],22,FALSE)</f>
        <v>MEDICAL RESEARCH COUNCIL</v>
      </c>
      <c r="H1264" s="8">
        <f>VLOOKUP(A1264,[1]!Table1[#All],32,FALSE)</f>
        <v>43738</v>
      </c>
      <c r="I1264" s="8">
        <f>VLOOKUP(A1264,[1]!Table1[#All],33,FALSE)</f>
        <v>45564</v>
      </c>
      <c r="J1264" t="str">
        <f t="shared" ca="1" si="19"/>
        <v>UDO</v>
      </c>
    </row>
    <row r="1265" spans="1:10" x14ac:dyDescent="0.35">
      <c r="A1265" s="9" t="s">
        <v>41</v>
      </c>
      <c r="B1265" s="10">
        <v>44682</v>
      </c>
      <c r="C1265" s="11">
        <v>2300000</v>
      </c>
      <c r="D1265" s="11">
        <v>2172775.56</v>
      </c>
      <c r="E1265" s="11">
        <v>127224.44</v>
      </c>
      <c r="F1265" t="str">
        <f>VLOOKUP(A1265,[1]!Table1[#All],17,FALSE)</f>
        <v>SOUTH AFRICA</v>
      </c>
      <c r="G1265" t="str">
        <f>VLOOKUP(A1265,[1]!Table1[#All],22,FALSE)</f>
        <v>MEDICAL RESEARCH COUNCIL</v>
      </c>
      <c r="H1265" s="8">
        <f>VLOOKUP(A1265,[1]!Table1[#All],32,FALSE)</f>
        <v>43738</v>
      </c>
      <c r="I1265" s="8">
        <f>VLOOKUP(A1265,[1]!Table1[#All],33,FALSE)</f>
        <v>45564</v>
      </c>
      <c r="J1265" t="str">
        <f t="shared" ca="1" si="19"/>
        <v>UDO</v>
      </c>
    </row>
    <row r="1266" spans="1:10" x14ac:dyDescent="0.35">
      <c r="A1266" s="5" t="s">
        <v>41</v>
      </c>
      <c r="B1266" s="6">
        <v>44713</v>
      </c>
      <c r="C1266" s="7">
        <v>2300000</v>
      </c>
      <c r="D1266" s="7">
        <v>2297826.5099999998</v>
      </c>
      <c r="E1266" s="7">
        <v>2173.4899999999998</v>
      </c>
      <c r="F1266" t="str">
        <f>VLOOKUP(A1266,[1]!Table1[#All],17,FALSE)</f>
        <v>SOUTH AFRICA</v>
      </c>
      <c r="G1266" t="str">
        <f>VLOOKUP(A1266,[1]!Table1[#All],22,FALSE)</f>
        <v>MEDICAL RESEARCH COUNCIL</v>
      </c>
      <c r="H1266" s="8">
        <f>VLOOKUP(A1266,[1]!Table1[#All],32,FALSE)</f>
        <v>43738</v>
      </c>
      <c r="I1266" s="8">
        <f>VLOOKUP(A1266,[1]!Table1[#All],33,FALSE)</f>
        <v>45564</v>
      </c>
      <c r="J1266" t="str">
        <f t="shared" ca="1" si="19"/>
        <v>UDO</v>
      </c>
    </row>
    <row r="1267" spans="1:10" x14ac:dyDescent="0.35">
      <c r="A1267" s="9" t="s">
        <v>41</v>
      </c>
      <c r="B1267" s="10">
        <v>44743</v>
      </c>
      <c r="C1267" s="11">
        <v>2300000</v>
      </c>
      <c r="D1267" s="11">
        <v>2300000</v>
      </c>
      <c r="E1267" s="11">
        <v>0</v>
      </c>
      <c r="F1267" t="str">
        <f>VLOOKUP(A1267,[1]!Table1[#All],17,FALSE)</f>
        <v>SOUTH AFRICA</v>
      </c>
      <c r="G1267" t="str">
        <f>VLOOKUP(A1267,[1]!Table1[#All],22,FALSE)</f>
        <v>MEDICAL RESEARCH COUNCIL</v>
      </c>
      <c r="H1267" s="8">
        <f>VLOOKUP(A1267,[1]!Table1[#All],32,FALSE)</f>
        <v>43738</v>
      </c>
      <c r="I1267" s="8">
        <f>VLOOKUP(A1267,[1]!Table1[#All],33,FALSE)</f>
        <v>45564</v>
      </c>
      <c r="J1267" t="str">
        <f t="shared" ca="1" si="19"/>
        <v>Non UDO</v>
      </c>
    </row>
    <row r="1268" spans="1:10" x14ac:dyDescent="0.35">
      <c r="A1268" s="5" t="s">
        <v>41</v>
      </c>
      <c r="B1268" s="6">
        <v>44774</v>
      </c>
      <c r="C1268" s="7">
        <v>2300000</v>
      </c>
      <c r="D1268" s="7">
        <v>2300000</v>
      </c>
      <c r="E1268" s="7">
        <v>0</v>
      </c>
      <c r="F1268" t="str">
        <f>VLOOKUP(A1268,[1]!Table1[#All],17,FALSE)</f>
        <v>SOUTH AFRICA</v>
      </c>
      <c r="G1268" t="str">
        <f>VLOOKUP(A1268,[1]!Table1[#All],22,FALSE)</f>
        <v>MEDICAL RESEARCH COUNCIL</v>
      </c>
      <c r="H1268" s="8">
        <f>VLOOKUP(A1268,[1]!Table1[#All],32,FALSE)</f>
        <v>43738</v>
      </c>
      <c r="I1268" s="8">
        <f>VLOOKUP(A1268,[1]!Table1[#All],33,FALSE)</f>
        <v>45564</v>
      </c>
      <c r="J1268" t="str">
        <f t="shared" ca="1" si="19"/>
        <v>Non UDO</v>
      </c>
    </row>
    <row r="1269" spans="1:10" x14ac:dyDescent="0.35">
      <c r="A1269" s="9" t="s">
        <v>41</v>
      </c>
      <c r="B1269" s="10">
        <v>44805</v>
      </c>
      <c r="C1269" s="11">
        <v>2300000</v>
      </c>
      <c r="D1269" s="11">
        <v>2300000</v>
      </c>
      <c r="E1269" s="11">
        <v>0</v>
      </c>
      <c r="F1269" t="str">
        <f>VLOOKUP(A1269,[1]!Table1[#All],17,FALSE)</f>
        <v>SOUTH AFRICA</v>
      </c>
      <c r="G1269" t="str">
        <f>VLOOKUP(A1269,[1]!Table1[#All],22,FALSE)</f>
        <v>MEDICAL RESEARCH COUNCIL</v>
      </c>
      <c r="H1269" s="8">
        <f>VLOOKUP(A1269,[1]!Table1[#All],32,FALSE)</f>
        <v>43738</v>
      </c>
      <c r="I1269" s="8">
        <f>VLOOKUP(A1269,[1]!Table1[#All],33,FALSE)</f>
        <v>45564</v>
      </c>
      <c r="J1269" t="str">
        <f t="shared" ca="1" si="19"/>
        <v>Non UDO</v>
      </c>
    </row>
    <row r="1270" spans="1:10" x14ac:dyDescent="0.35">
      <c r="A1270" s="5" t="s">
        <v>41</v>
      </c>
      <c r="B1270" s="6">
        <v>44835</v>
      </c>
      <c r="C1270" s="7">
        <v>2300000</v>
      </c>
      <c r="D1270" s="7">
        <v>2300000</v>
      </c>
      <c r="E1270" s="7">
        <v>0</v>
      </c>
      <c r="F1270" t="str">
        <f>VLOOKUP(A1270,[1]!Table1[#All],17,FALSE)</f>
        <v>SOUTH AFRICA</v>
      </c>
      <c r="G1270" t="str">
        <f>VLOOKUP(A1270,[1]!Table1[#All],22,FALSE)</f>
        <v>MEDICAL RESEARCH COUNCIL</v>
      </c>
      <c r="H1270" s="8">
        <f>VLOOKUP(A1270,[1]!Table1[#All],32,FALSE)</f>
        <v>43738</v>
      </c>
      <c r="I1270" s="8">
        <f>VLOOKUP(A1270,[1]!Table1[#All],33,FALSE)</f>
        <v>45564</v>
      </c>
      <c r="J1270" t="str">
        <f t="shared" ca="1" si="19"/>
        <v>Non UDO</v>
      </c>
    </row>
    <row r="1271" spans="1:10" x14ac:dyDescent="0.35">
      <c r="A1271" s="9" t="s">
        <v>41</v>
      </c>
      <c r="B1271" s="10">
        <v>44866</v>
      </c>
      <c r="C1271" s="11">
        <v>2300000</v>
      </c>
      <c r="D1271" s="11">
        <v>2300000</v>
      </c>
      <c r="E1271" s="11">
        <v>0</v>
      </c>
      <c r="F1271" t="str">
        <f>VLOOKUP(A1271,[1]!Table1[#All],17,FALSE)</f>
        <v>SOUTH AFRICA</v>
      </c>
      <c r="G1271" t="str">
        <f>VLOOKUP(A1271,[1]!Table1[#All],22,FALSE)</f>
        <v>MEDICAL RESEARCH COUNCIL</v>
      </c>
      <c r="H1271" s="8">
        <f>VLOOKUP(A1271,[1]!Table1[#All],32,FALSE)</f>
        <v>43738</v>
      </c>
      <c r="I1271" s="8">
        <f>VLOOKUP(A1271,[1]!Table1[#All],33,FALSE)</f>
        <v>45564</v>
      </c>
      <c r="J1271" t="str">
        <f t="shared" ca="1" si="19"/>
        <v>Non UDO</v>
      </c>
    </row>
    <row r="1272" spans="1:10" x14ac:dyDescent="0.35">
      <c r="A1272" s="5" t="s">
        <v>41</v>
      </c>
      <c r="B1272" s="6">
        <v>44896</v>
      </c>
      <c r="C1272" s="7">
        <v>2300000</v>
      </c>
      <c r="D1272" s="7">
        <v>2300000</v>
      </c>
      <c r="E1272" s="7">
        <v>0</v>
      </c>
      <c r="F1272" t="str">
        <f>VLOOKUP(A1272,[1]!Table1[#All],17,FALSE)</f>
        <v>SOUTH AFRICA</v>
      </c>
      <c r="G1272" t="str">
        <f>VLOOKUP(A1272,[1]!Table1[#All],22,FALSE)</f>
        <v>MEDICAL RESEARCH COUNCIL</v>
      </c>
      <c r="H1272" s="8">
        <f>VLOOKUP(A1272,[1]!Table1[#All],32,FALSE)</f>
        <v>43738</v>
      </c>
      <c r="I1272" s="8">
        <f>VLOOKUP(A1272,[1]!Table1[#All],33,FALSE)</f>
        <v>45564</v>
      </c>
      <c r="J1272" t="str">
        <f t="shared" ca="1" si="19"/>
        <v>Non UDO</v>
      </c>
    </row>
    <row r="1273" spans="1:10" x14ac:dyDescent="0.35">
      <c r="A1273" s="9" t="s">
        <v>41</v>
      </c>
      <c r="B1273" s="10">
        <v>44927</v>
      </c>
      <c r="C1273" s="11">
        <v>2300000</v>
      </c>
      <c r="D1273" s="11">
        <v>2300000</v>
      </c>
      <c r="E1273" s="11">
        <v>0</v>
      </c>
      <c r="F1273" t="str">
        <f>VLOOKUP(A1273,[1]!Table1[#All],17,FALSE)</f>
        <v>SOUTH AFRICA</v>
      </c>
      <c r="G1273" t="str">
        <f>VLOOKUP(A1273,[1]!Table1[#All],22,FALSE)</f>
        <v>MEDICAL RESEARCH COUNCIL</v>
      </c>
      <c r="H1273" s="8">
        <f>VLOOKUP(A1273,[1]!Table1[#All],32,FALSE)</f>
        <v>43738</v>
      </c>
      <c r="I1273" s="8">
        <f>VLOOKUP(A1273,[1]!Table1[#All],33,FALSE)</f>
        <v>45564</v>
      </c>
      <c r="J1273" t="str">
        <f t="shared" ca="1" si="19"/>
        <v>Non UDO</v>
      </c>
    </row>
    <row r="1274" spans="1:10" x14ac:dyDescent="0.35">
      <c r="A1274" s="5" t="s">
        <v>41</v>
      </c>
      <c r="B1274" s="6">
        <v>44958</v>
      </c>
      <c r="C1274" s="7">
        <v>2300000</v>
      </c>
      <c r="D1274" s="7">
        <v>2300000</v>
      </c>
      <c r="E1274" s="7">
        <v>0</v>
      </c>
      <c r="F1274" t="str">
        <f>VLOOKUP(A1274,[1]!Table1[#All],17,FALSE)</f>
        <v>SOUTH AFRICA</v>
      </c>
      <c r="G1274" t="str">
        <f>VLOOKUP(A1274,[1]!Table1[#All],22,FALSE)</f>
        <v>MEDICAL RESEARCH COUNCIL</v>
      </c>
      <c r="H1274" s="8">
        <f>VLOOKUP(A1274,[1]!Table1[#All],32,FALSE)</f>
        <v>43738</v>
      </c>
      <c r="I1274" s="8">
        <f>VLOOKUP(A1274,[1]!Table1[#All],33,FALSE)</f>
        <v>45564</v>
      </c>
      <c r="J1274" t="str">
        <f t="shared" ca="1" si="19"/>
        <v>Non UDO</v>
      </c>
    </row>
    <row r="1275" spans="1:10" x14ac:dyDescent="0.35">
      <c r="A1275" s="9" t="s">
        <v>41</v>
      </c>
      <c r="B1275" s="10">
        <v>44986</v>
      </c>
      <c r="C1275" s="11">
        <v>2300000</v>
      </c>
      <c r="D1275" s="11">
        <v>2300000</v>
      </c>
      <c r="E1275" s="11">
        <v>0</v>
      </c>
      <c r="F1275" t="str">
        <f>VLOOKUP(A1275,[1]!Table1[#All],17,FALSE)</f>
        <v>SOUTH AFRICA</v>
      </c>
      <c r="G1275" t="str">
        <f>VLOOKUP(A1275,[1]!Table1[#All],22,FALSE)</f>
        <v>MEDICAL RESEARCH COUNCIL</v>
      </c>
      <c r="H1275" s="8">
        <f>VLOOKUP(A1275,[1]!Table1[#All],32,FALSE)</f>
        <v>43738</v>
      </c>
      <c r="I1275" s="8">
        <f>VLOOKUP(A1275,[1]!Table1[#All],33,FALSE)</f>
        <v>45564</v>
      </c>
      <c r="J1275" t="str">
        <f t="shared" ca="1" si="19"/>
        <v>Non UDO</v>
      </c>
    </row>
    <row r="1276" spans="1:10" x14ac:dyDescent="0.35">
      <c r="A1276" s="5" t="s">
        <v>41</v>
      </c>
      <c r="B1276" s="6">
        <v>45017</v>
      </c>
      <c r="C1276" s="7">
        <v>2300000</v>
      </c>
      <c r="D1276" s="7">
        <v>2300000</v>
      </c>
      <c r="E1276" s="7">
        <v>0</v>
      </c>
      <c r="F1276" t="str">
        <f>VLOOKUP(A1276,[1]!Table1[#All],17,FALSE)</f>
        <v>SOUTH AFRICA</v>
      </c>
      <c r="G1276" t="str">
        <f>VLOOKUP(A1276,[1]!Table1[#All],22,FALSE)</f>
        <v>MEDICAL RESEARCH COUNCIL</v>
      </c>
      <c r="H1276" s="8">
        <f>VLOOKUP(A1276,[1]!Table1[#All],32,FALSE)</f>
        <v>43738</v>
      </c>
      <c r="I1276" s="8">
        <f>VLOOKUP(A1276,[1]!Table1[#All],33,FALSE)</f>
        <v>45564</v>
      </c>
      <c r="J1276" t="str">
        <f t="shared" ca="1" si="19"/>
        <v>Non UDO</v>
      </c>
    </row>
    <row r="1277" spans="1:10" x14ac:dyDescent="0.35">
      <c r="A1277" s="9" t="s">
        <v>41</v>
      </c>
      <c r="B1277" s="10">
        <v>45047</v>
      </c>
      <c r="C1277" s="11">
        <v>2300000</v>
      </c>
      <c r="D1277" s="11">
        <v>2300000</v>
      </c>
      <c r="E1277" s="11">
        <v>0</v>
      </c>
      <c r="F1277" t="str">
        <f>VLOOKUP(A1277,[1]!Table1[#All],17,FALSE)</f>
        <v>SOUTH AFRICA</v>
      </c>
      <c r="G1277" t="str">
        <f>VLOOKUP(A1277,[1]!Table1[#All],22,FALSE)</f>
        <v>MEDICAL RESEARCH COUNCIL</v>
      </c>
      <c r="H1277" s="8">
        <f>VLOOKUP(A1277,[1]!Table1[#All],32,FALSE)</f>
        <v>43738</v>
      </c>
      <c r="I1277" s="8">
        <f>VLOOKUP(A1277,[1]!Table1[#All],33,FALSE)</f>
        <v>45564</v>
      </c>
      <c r="J1277" t="str">
        <f t="shared" ca="1" si="19"/>
        <v>Non UDO</v>
      </c>
    </row>
    <row r="1278" spans="1:10" x14ac:dyDescent="0.35">
      <c r="A1278" s="5" t="s">
        <v>41</v>
      </c>
      <c r="B1278" s="6">
        <v>45078</v>
      </c>
      <c r="C1278" s="7">
        <v>2300000</v>
      </c>
      <c r="D1278" s="7">
        <v>2300000</v>
      </c>
      <c r="E1278" s="7">
        <v>0</v>
      </c>
      <c r="F1278" t="str">
        <f>VLOOKUP(A1278,[1]!Table1[#All],17,FALSE)</f>
        <v>SOUTH AFRICA</v>
      </c>
      <c r="G1278" t="str">
        <f>VLOOKUP(A1278,[1]!Table1[#All],22,FALSE)</f>
        <v>MEDICAL RESEARCH COUNCIL</v>
      </c>
      <c r="H1278" s="8">
        <f>VLOOKUP(A1278,[1]!Table1[#All],32,FALSE)</f>
        <v>43738</v>
      </c>
      <c r="I1278" s="8">
        <f>VLOOKUP(A1278,[1]!Table1[#All],33,FALSE)</f>
        <v>45564</v>
      </c>
      <c r="J1278" t="str">
        <f t="shared" ca="1" si="19"/>
        <v>Non UDO</v>
      </c>
    </row>
    <row r="1279" spans="1:10" x14ac:dyDescent="0.35">
      <c r="A1279" s="9" t="s">
        <v>41</v>
      </c>
      <c r="B1279" s="10">
        <v>45108</v>
      </c>
      <c r="C1279" s="11">
        <v>2300000</v>
      </c>
      <c r="D1279" s="11">
        <v>2300000</v>
      </c>
      <c r="E1279" s="11">
        <v>0</v>
      </c>
      <c r="F1279" t="str">
        <f>VLOOKUP(A1279,[1]!Table1[#All],17,FALSE)</f>
        <v>SOUTH AFRICA</v>
      </c>
      <c r="G1279" t="str">
        <f>VLOOKUP(A1279,[1]!Table1[#All],22,FALSE)</f>
        <v>MEDICAL RESEARCH COUNCIL</v>
      </c>
      <c r="H1279" s="8">
        <f>VLOOKUP(A1279,[1]!Table1[#All],32,FALSE)</f>
        <v>43738</v>
      </c>
      <c r="I1279" s="8">
        <f>VLOOKUP(A1279,[1]!Table1[#All],33,FALSE)</f>
        <v>45564</v>
      </c>
      <c r="J1279" t="str">
        <f t="shared" ca="1" si="19"/>
        <v>Non UDO</v>
      </c>
    </row>
    <row r="1280" spans="1:10" x14ac:dyDescent="0.35">
      <c r="A1280" s="5" t="s">
        <v>41</v>
      </c>
      <c r="B1280" s="6">
        <v>45139</v>
      </c>
      <c r="C1280" s="7">
        <v>2300000</v>
      </c>
      <c r="D1280" s="7">
        <v>2300000</v>
      </c>
      <c r="E1280" s="7">
        <v>0</v>
      </c>
      <c r="F1280" t="str">
        <f>VLOOKUP(A1280,[1]!Table1[#All],17,FALSE)</f>
        <v>SOUTH AFRICA</v>
      </c>
      <c r="G1280" t="str">
        <f>VLOOKUP(A1280,[1]!Table1[#All],22,FALSE)</f>
        <v>MEDICAL RESEARCH COUNCIL</v>
      </c>
      <c r="H1280" s="8">
        <f>VLOOKUP(A1280,[1]!Table1[#All],32,FALSE)</f>
        <v>43738</v>
      </c>
      <c r="I1280" s="8">
        <f>VLOOKUP(A1280,[1]!Table1[#All],33,FALSE)</f>
        <v>45564</v>
      </c>
      <c r="J1280" t="str">
        <f t="shared" ca="1" si="19"/>
        <v>Non UDO</v>
      </c>
    </row>
    <row r="1281" spans="1:10" x14ac:dyDescent="0.35">
      <c r="A1281" s="9" t="s">
        <v>41</v>
      </c>
      <c r="B1281" s="10">
        <v>45170</v>
      </c>
      <c r="C1281" s="11">
        <v>2300000</v>
      </c>
      <c r="D1281" s="11">
        <v>2300000</v>
      </c>
      <c r="E1281" s="11">
        <v>0</v>
      </c>
      <c r="F1281" t="str">
        <f>VLOOKUP(A1281,[1]!Table1[#All],17,FALSE)</f>
        <v>SOUTH AFRICA</v>
      </c>
      <c r="G1281" t="str">
        <f>VLOOKUP(A1281,[1]!Table1[#All],22,FALSE)</f>
        <v>MEDICAL RESEARCH COUNCIL</v>
      </c>
      <c r="H1281" s="8">
        <f>VLOOKUP(A1281,[1]!Table1[#All],32,FALSE)</f>
        <v>43738</v>
      </c>
      <c r="I1281" s="8">
        <f>VLOOKUP(A1281,[1]!Table1[#All],33,FALSE)</f>
        <v>45564</v>
      </c>
      <c r="J1281" t="str">
        <f t="shared" ca="1" si="19"/>
        <v>Non UDO</v>
      </c>
    </row>
    <row r="1282" spans="1:10" x14ac:dyDescent="0.35">
      <c r="A1282" s="5" t="s">
        <v>42</v>
      </c>
      <c r="B1282" s="6">
        <v>44105</v>
      </c>
      <c r="C1282" s="7">
        <v>3825000</v>
      </c>
      <c r="D1282" s="7">
        <v>605951.19999999995</v>
      </c>
      <c r="E1282" s="7">
        <v>3219048.8</v>
      </c>
      <c r="F1282" t="str">
        <f>VLOOKUP(A1282,[1]!Table1[#All],17,FALSE)</f>
        <v>SOUTH AFRICA</v>
      </c>
      <c r="G1282" t="str">
        <f>VLOOKUP(A1282,[1]!Table1[#All],22,FALSE)</f>
        <v>National Health Laboratory Service</v>
      </c>
      <c r="H1282" s="8">
        <f>VLOOKUP(A1282,[1]!Table1[#All],32,FALSE)</f>
        <v>43738</v>
      </c>
      <c r="I1282" s="8">
        <f>VLOOKUP(A1282,[1]!Table1[#All],33,FALSE)</f>
        <v>45564</v>
      </c>
      <c r="J1282" t="str">
        <f t="shared" ca="1" si="19"/>
        <v>UDO</v>
      </c>
    </row>
    <row r="1283" spans="1:10" x14ac:dyDescent="0.35">
      <c r="A1283" s="9" t="s">
        <v>42</v>
      </c>
      <c r="B1283" s="10">
        <v>44136</v>
      </c>
      <c r="C1283" s="11">
        <v>3825000</v>
      </c>
      <c r="D1283" s="11">
        <v>605951.19999999995</v>
      </c>
      <c r="E1283" s="11">
        <v>3219048.8</v>
      </c>
      <c r="F1283" t="str">
        <f>VLOOKUP(A1283,[1]!Table1[#All],17,FALSE)</f>
        <v>SOUTH AFRICA</v>
      </c>
      <c r="G1283" t="str">
        <f>VLOOKUP(A1283,[1]!Table1[#All],22,FALSE)</f>
        <v>National Health Laboratory Service</v>
      </c>
      <c r="H1283" s="8">
        <f>VLOOKUP(A1283,[1]!Table1[#All],32,FALSE)</f>
        <v>43738</v>
      </c>
      <c r="I1283" s="8">
        <f>VLOOKUP(A1283,[1]!Table1[#All],33,FALSE)</f>
        <v>45564</v>
      </c>
      <c r="J1283" t="str">
        <f t="shared" ref="J1283:J1346" ca="1" si="20">IF(AND( E1283&gt;0,TODAY()&gt;I1283),"UDO","Non UDO")</f>
        <v>UDO</v>
      </c>
    </row>
    <row r="1284" spans="1:10" x14ac:dyDescent="0.35">
      <c r="A1284" s="5" t="s">
        <v>42</v>
      </c>
      <c r="B1284" s="6">
        <v>44166</v>
      </c>
      <c r="C1284" s="7">
        <v>3825000</v>
      </c>
      <c r="D1284" s="7">
        <v>605951.19999999995</v>
      </c>
      <c r="E1284" s="7">
        <v>3219048.8</v>
      </c>
      <c r="F1284" t="str">
        <f>VLOOKUP(A1284,[1]!Table1[#All],17,FALSE)</f>
        <v>SOUTH AFRICA</v>
      </c>
      <c r="G1284" t="str">
        <f>VLOOKUP(A1284,[1]!Table1[#All],22,FALSE)</f>
        <v>National Health Laboratory Service</v>
      </c>
      <c r="H1284" s="8">
        <f>VLOOKUP(A1284,[1]!Table1[#All],32,FALSE)</f>
        <v>43738</v>
      </c>
      <c r="I1284" s="8">
        <f>VLOOKUP(A1284,[1]!Table1[#All],33,FALSE)</f>
        <v>45564</v>
      </c>
      <c r="J1284" t="str">
        <f t="shared" ca="1" si="20"/>
        <v>UDO</v>
      </c>
    </row>
    <row r="1285" spans="1:10" x14ac:dyDescent="0.35">
      <c r="A1285" s="9" t="s">
        <v>42</v>
      </c>
      <c r="B1285" s="10">
        <v>44197</v>
      </c>
      <c r="C1285" s="11">
        <v>3825000</v>
      </c>
      <c r="D1285" s="11">
        <v>758819.44</v>
      </c>
      <c r="E1285" s="11">
        <v>3066180.56</v>
      </c>
      <c r="F1285" t="str">
        <f>VLOOKUP(A1285,[1]!Table1[#All],17,FALSE)</f>
        <v>SOUTH AFRICA</v>
      </c>
      <c r="G1285" t="str">
        <f>VLOOKUP(A1285,[1]!Table1[#All],22,FALSE)</f>
        <v>National Health Laboratory Service</v>
      </c>
      <c r="H1285" s="8">
        <f>VLOOKUP(A1285,[1]!Table1[#All],32,FALSE)</f>
        <v>43738</v>
      </c>
      <c r="I1285" s="8">
        <f>VLOOKUP(A1285,[1]!Table1[#All],33,FALSE)</f>
        <v>45564</v>
      </c>
      <c r="J1285" t="str">
        <f t="shared" ca="1" si="20"/>
        <v>UDO</v>
      </c>
    </row>
    <row r="1286" spans="1:10" x14ac:dyDescent="0.35">
      <c r="A1286" s="5" t="s">
        <v>42</v>
      </c>
      <c r="B1286" s="6">
        <v>44228</v>
      </c>
      <c r="C1286" s="7">
        <v>3825000</v>
      </c>
      <c r="D1286" s="7">
        <v>794187.57</v>
      </c>
      <c r="E1286" s="7">
        <v>3030812.43</v>
      </c>
      <c r="F1286" t="str">
        <f>VLOOKUP(A1286,[1]!Table1[#All],17,FALSE)</f>
        <v>SOUTH AFRICA</v>
      </c>
      <c r="G1286" t="str">
        <f>VLOOKUP(A1286,[1]!Table1[#All],22,FALSE)</f>
        <v>National Health Laboratory Service</v>
      </c>
      <c r="H1286" s="8">
        <f>VLOOKUP(A1286,[1]!Table1[#All],32,FALSE)</f>
        <v>43738</v>
      </c>
      <c r="I1286" s="8">
        <f>VLOOKUP(A1286,[1]!Table1[#All],33,FALSE)</f>
        <v>45564</v>
      </c>
      <c r="J1286" t="str">
        <f t="shared" ca="1" si="20"/>
        <v>UDO</v>
      </c>
    </row>
    <row r="1287" spans="1:10" x14ac:dyDescent="0.35">
      <c r="A1287" s="9" t="s">
        <v>42</v>
      </c>
      <c r="B1287" s="10">
        <v>44256</v>
      </c>
      <c r="C1287" s="11">
        <v>3825000</v>
      </c>
      <c r="D1287" s="11">
        <v>843466.75000000012</v>
      </c>
      <c r="E1287" s="11">
        <v>2981533.25</v>
      </c>
      <c r="F1287" t="str">
        <f>VLOOKUP(A1287,[1]!Table1[#All],17,FALSE)</f>
        <v>SOUTH AFRICA</v>
      </c>
      <c r="G1287" t="str">
        <f>VLOOKUP(A1287,[1]!Table1[#All],22,FALSE)</f>
        <v>National Health Laboratory Service</v>
      </c>
      <c r="H1287" s="8">
        <f>VLOOKUP(A1287,[1]!Table1[#All],32,FALSE)</f>
        <v>43738</v>
      </c>
      <c r="I1287" s="8">
        <f>VLOOKUP(A1287,[1]!Table1[#All],33,FALSE)</f>
        <v>45564</v>
      </c>
      <c r="J1287" t="str">
        <f t="shared" ca="1" si="20"/>
        <v>UDO</v>
      </c>
    </row>
    <row r="1288" spans="1:10" x14ac:dyDescent="0.35">
      <c r="A1288" s="5" t="s">
        <v>42</v>
      </c>
      <c r="B1288" s="6">
        <v>44317</v>
      </c>
      <c r="C1288" s="7">
        <v>3825000</v>
      </c>
      <c r="D1288" s="7">
        <v>976151.3</v>
      </c>
      <c r="E1288" s="7">
        <v>2848848.6999999997</v>
      </c>
      <c r="F1288" t="str">
        <f>VLOOKUP(A1288,[1]!Table1[#All],17,FALSE)</f>
        <v>SOUTH AFRICA</v>
      </c>
      <c r="G1288" t="str">
        <f>VLOOKUP(A1288,[1]!Table1[#All],22,FALSE)</f>
        <v>National Health Laboratory Service</v>
      </c>
      <c r="H1288" s="8">
        <f>VLOOKUP(A1288,[1]!Table1[#All],32,FALSE)</f>
        <v>43738</v>
      </c>
      <c r="I1288" s="8">
        <f>VLOOKUP(A1288,[1]!Table1[#All],33,FALSE)</f>
        <v>45564</v>
      </c>
      <c r="J1288" t="str">
        <f t="shared" ca="1" si="20"/>
        <v>UDO</v>
      </c>
    </row>
    <row r="1289" spans="1:10" x14ac:dyDescent="0.35">
      <c r="A1289" s="9" t="s">
        <v>42</v>
      </c>
      <c r="B1289" s="10">
        <v>44348</v>
      </c>
      <c r="C1289" s="11">
        <v>3825000</v>
      </c>
      <c r="D1289" s="11">
        <v>1035839.1299999999</v>
      </c>
      <c r="E1289" s="11">
        <v>2789160.87</v>
      </c>
      <c r="F1289" t="str">
        <f>VLOOKUP(A1289,[1]!Table1[#All],17,FALSE)</f>
        <v>SOUTH AFRICA</v>
      </c>
      <c r="G1289" t="str">
        <f>VLOOKUP(A1289,[1]!Table1[#All],22,FALSE)</f>
        <v>National Health Laboratory Service</v>
      </c>
      <c r="H1289" s="8">
        <f>VLOOKUP(A1289,[1]!Table1[#All],32,FALSE)</f>
        <v>43738</v>
      </c>
      <c r="I1289" s="8">
        <f>VLOOKUP(A1289,[1]!Table1[#All],33,FALSE)</f>
        <v>45564</v>
      </c>
      <c r="J1289" t="str">
        <f t="shared" ca="1" si="20"/>
        <v>UDO</v>
      </c>
    </row>
    <row r="1290" spans="1:10" x14ac:dyDescent="0.35">
      <c r="A1290" s="5" t="s">
        <v>42</v>
      </c>
      <c r="B1290" s="6">
        <v>44378</v>
      </c>
      <c r="C1290" s="7">
        <v>3825000</v>
      </c>
      <c r="D1290" s="7">
        <v>1167289.67</v>
      </c>
      <c r="E1290" s="7">
        <v>2657710.33</v>
      </c>
      <c r="F1290" t="str">
        <f>VLOOKUP(A1290,[1]!Table1[#All],17,FALSE)</f>
        <v>SOUTH AFRICA</v>
      </c>
      <c r="G1290" t="str">
        <f>VLOOKUP(A1290,[1]!Table1[#All],22,FALSE)</f>
        <v>National Health Laboratory Service</v>
      </c>
      <c r="H1290" s="8">
        <f>VLOOKUP(A1290,[1]!Table1[#All],32,FALSE)</f>
        <v>43738</v>
      </c>
      <c r="I1290" s="8">
        <f>VLOOKUP(A1290,[1]!Table1[#All],33,FALSE)</f>
        <v>45564</v>
      </c>
      <c r="J1290" t="str">
        <f t="shared" ca="1" si="20"/>
        <v>UDO</v>
      </c>
    </row>
    <row r="1291" spans="1:10" x14ac:dyDescent="0.35">
      <c r="A1291" s="9" t="s">
        <v>42</v>
      </c>
      <c r="B1291" s="10">
        <v>44409</v>
      </c>
      <c r="C1291" s="11">
        <v>3825000</v>
      </c>
      <c r="D1291" s="11">
        <v>1384989.24</v>
      </c>
      <c r="E1291" s="11">
        <v>2440010.7599999998</v>
      </c>
      <c r="F1291" t="str">
        <f>VLOOKUP(A1291,[1]!Table1[#All],17,FALSE)</f>
        <v>SOUTH AFRICA</v>
      </c>
      <c r="G1291" t="str">
        <f>VLOOKUP(A1291,[1]!Table1[#All],22,FALSE)</f>
        <v>National Health Laboratory Service</v>
      </c>
      <c r="H1291" s="8">
        <f>VLOOKUP(A1291,[1]!Table1[#All],32,FALSE)</f>
        <v>43738</v>
      </c>
      <c r="I1291" s="8">
        <f>VLOOKUP(A1291,[1]!Table1[#All],33,FALSE)</f>
        <v>45564</v>
      </c>
      <c r="J1291" t="str">
        <f t="shared" ca="1" si="20"/>
        <v>UDO</v>
      </c>
    </row>
    <row r="1292" spans="1:10" x14ac:dyDescent="0.35">
      <c r="A1292" s="5" t="s">
        <v>42</v>
      </c>
      <c r="B1292" s="6">
        <v>44440</v>
      </c>
      <c r="C1292" s="7">
        <v>3825000</v>
      </c>
      <c r="D1292" s="7">
        <v>1576741.79</v>
      </c>
      <c r="E1292" s="7">
        <v>2248258.21</v>
      </c>
      <c r="F1292" t="str">
        <f>VLOOKUP(A1292,[1]!Table1[#All],17,FALSE)</f>
        <v>SOUTH AFRICA</v>
      </c>
      <c r="G1292" t="str">
        <f>VLOOKUP(A1292,[1]!Table1[#All],22,FALSE)</f>
        <v>National Health Laboratory Service</v>
      </c>
      <c r="H1292" s="8">
        <f>VLOOKUP(A1292,[1]!Table1[#All],32,FALSE)</f>
        <v>43738</v>
      </c>
      <c r="I1292" s="8">
        <f>VLOOKUP(A1292,[1]!Table1[#All],33,FALSE)</f>
        <v>45564</v>
      </c>
      <c r="J1292" t="str">
        <f t="shared" ca="1" si="20"/>
        <v>UDO</v>
      </c>
    </row>
    <row r="1293" spans="1:10" x14ac:dyDescent="0.35">
      <c r="A1293" s="9" t="s">
        <v>42</v>
      </c>
      <c r="B1293" s="10">
        <v>44470</v>
      </c>
      <c r="C1293" s="11">
        <v>3825000</v>
      </c>
      <c r="D1293" s="11">
        <v>1576741.79</v>
      </c>
      <c r="E1293" s="11">
        <v>2248258.21</v>
      </c>
      <c r="F1293" t="str">
        <f>VLOOKUP(A1293,[1]!Table1[#All],17,FALSE)</f>
        <v>SOUTH AFRICA</v>
      </c>
      <c r="G1293" t="str">
        <f>VLOOKUP(A1293,[1]!Table1[#All],22,FALSE)</f>
        <v>National Health Laboratory Service</v>
      </c>
      <c r="H1293" s="8">
        <f>VLOOKUP(A1293,[1]!Table1[#All],32,FALSE)</f>
        <v>43738</v>
      </c>
      <c r="I1293" s="8">
        <f>VLOOKUP(A1293,[1]!Table1[#All],33,FALSE)</f>
        <v>45564</v>
      </c>
      <c r="J1293" t="str">
        <f t="shared" ca="1" si="20"/>
        <v>UDO</v>
      </c>
    </row>
    <row r="1294" spans="1:10" x14ac:dyDescent="0.35">
      <c r="A1294" s="5" t="s">
        <v>42</v>
      </c>
      <c r="B1294" s="6">
        <v>44501</v>
      </c>
      <c r="C1294" s="7">
        <v>3825000</v>
      </c>
      <c r="D1294" s="7">
        <v>1594382.7100000002</v>
      </c>
      <c r="E1294" s="7">
        <v>2230617.29</v>
      </c>
      <c r="F1294" t="str">
        <f>VLOOKUP(A1294,[1]!Table1[#All],17,FALSE)</f>
        <v>SOUTH AFRICA</v>
      </c>
      <c r="G1294" t="str">
        <f>VLOOKUP(A1294,[1]!Table1[#All],22,FALSE)</f>
        <v>National Health Laboratory Service</v>
      </c>
      <c r="H1294" s="8">
        <f>VLOOKUP(A1294,[1]!Table1[#All],32,FALSE)</f>
        <v>43738</v>
      </c>
      <c r="I1294" s="8">
        <f>VLOOKUP(A1294,[1]!Table1[#All],33,FALSE)</f>
        <v>45564</v>
      </c>
      <c r="J1294" t="str">
        <f t="shared" ca="1" si="20"/>
        <v>UDO</v>
      </c>
    </row>
    <row r="1295" spans="1:10" x14ac:dyDescent="0.35">
      <c r="A1295" s="9" t="s">
        <v>42</v>
      </c>
      <c r="B1295" s="10">
        <v>44531</v>
      </c>
      <c r="C1295" s="11">
        <v>3825000</v>
      </c>
      <c r="D1295" s="11">
        <v>1615535.7100000002</v>
      </c>
      <c r="E1295" s="11">
        <v>2209464.29</v>
      </c>
      <c r="F1295" t="str">
        <f>VLOOKUP(A1295,[1]!Table1[#All],17,FALSE)</f>
        <v>SOUTH AFRICA</v>
      </c>
      <c r="G1295" t="str">
        <f>VLOOKUP(A1295,[1]!Table1[#All],22,FALSE)</f>
        <v>National Health Laboratory Service</v>
      </c>
      <c r="H1295" s="8">
        <f>VLOOKUP(A1295,[1]!Table1[#All],32,FALSE)</f>
        <v>43738</v>
      </c>
      <c r="I1295" s="8">
        <f>VLOOKUP(A1295,[1]!Table1[#All],33,FALSE)</f>
        <v>45564</v>
      </c>
      <c r="J1295" t="str">
        <f t="shared" ca="1" si="20"/>
        <v>UDO</v>
      </c>
    </row>
    <row r="1296" spans="1:10" x14ac:dyDescent="0.35">
      <c r="A1296" s="5" t="s">
        <v>42</v>
      </c>
      <c r="B1296" s="6">
        <v>44562</v>
      </c>
      <c r="C1296" s="7">
        <v>3825000</v>
      </c>
      <c r="D1296" s="7">
        <v>1633911.7100000002</v>
      </c>
      <c r="E1296" s="7">
        <v>2191088.29</v>
      </c>
      <c r="F1296" t="str">
        <f>VLOOKUP(A1296,[1]!Table1[#All],17,FALSE)</f>
        <v>SOUTH AFRICA</v>
      </c>
      <c r="G1296" t="str">
        <f>VLOOKUP(A1296,[1]!Table1[#All],22,FALSE)</f>
        <v>National Health Laboratory Service</v>
      </c>
      <c r="H1296" s="8">
        <f>VLOOKUP(A1296,[1]!Table1[#All],32,FALSE)</f>
        <v>43738</v>
      </c>
      <c r="I1296" s="8">
        <f>VLOOKUP(A1296,[1]!Table1[#All],33,FALSE)</f>
        <v>45564</v>
      </c>
      <c r="J1296" t="str">
        <f t="shared" ca="1" si="20"/>
        <v>UDO</v>
      </c>
    </row>
    <row r="1297" spans="1:10" x14ac:dyDescent="0.35">
      <c r="A1297" s="9" t="s">
        <v>42</v>
      </c>
      <c r="B1297" s="10">
        <v>44593</v>
      </c>
      <c r="C1297" s="11">
        <v>3825000</v>
      </c>
      <c r="D1297" s="11">
        <v>1660495.7100000002</v>
      </c>
      <c r="E1297" s="11">
        <v>2164504.29</v>
      </c>
      <c r="F1297" t="str">
        <f>VLOOKUP(A1297,[1]!Table1[#All],17,FALSE)</f>
        <v>SOUTH AFRICA</v>
      </c>
      <c r="G1297" t="str">
        <f>VLOOKUP(A1297,[1]!Table1[#All],22,FALSE)</f>
        <v>National Health Laboratory Service</v>
      </c>
      <c r="H1297" s="8">
        <f>VLOOKUP(A1297,[1]!Table1[#All],32,FALSE)</f>
        <v>43738</v>
      </c>
      <c r="I1297" s="8">
        <f>VLOOKUP(A1297,[1]!Table1[#All],33,FALSE)</f>
        <v>45564</v>
      </c>
      <c r="J1297" t="str">
        <f t="shared" ca="1" si="20"/>
        <v>UDO</v>
      </c>
    </row>
    <row r="1298" spans="1:10" x14ac:dyDescent="0.35">
      <c r="A1298" s="5" t="s">
        <v>42</v>
      </c>
      <c r="B1298" s="6">
        <v>44621</v>
      </c>
      <c r="C1298" s="7">
        <v>3825000</v>
      </c>
      <c r="D1298" s="7">
        <v>1679248.59</v>
      </c>
      <c r="E1298" s="7">
        <v>2145751.4099999997</v>
      </c>
      <c r="F1298" t="str">
        <f>VLOOKUP(A1298,[1]!Table1[#All],17,FALSE)</f>
        <v>SOUTH AFRICA</v>
      </c>
      <c r="G1298" t="str">
        <f>VLOOKUP(A1298,[1]!Table1[#All],22,FALSE)</f>
        <v>National Health Laboratory Service</v>
      </c>
      <c r="H1298" s="8">
        <f>VLOOKUP(A1298,[1]!Table1[#All],32,FALSE)</f>
        <v>43738</v>
      </c>
      <c r="I1298" s="8">
        <f>VLOOKUP(A1298,[1]!Table1[#All],33,FALSE)</f>
        <v>45564</v>
      </c>
      <c r="J1298" t="str">
        <f t="shared" ca="1" si="20"/>
        <v>UDO</v>
      </c>
    </row>
    <row r="1299" spans="1:10" x14ac:dyDescent="0.35">
      <c r="A1299" s="9" t="s">
        <v>42</v>
      </c>
      <c r="B1299" s="10">
        <v>44652</v>
      </c>
      <c r="C1299" s="11">
        <v>3825000</v>
      </c>
      <c r="D1299" s="11">
        <v>1746301.4</v>
      </c>
      <c r="E1299" s="11">
        <v>2078698.6</v>
      </c>
      <c r="F1299" t="str">
        <f>VLOOKUP(A1299,[1]!Table1[#All],17,FALSE)</f>
        <v>SOUTH AFRICA</v>
      </c>
      <c r="G1299" t="str">
        <f>VLOOKUP(A1299,[1]!Table1[#All],22,FALSE)</f>
        <v>National Health Laboratory Service</v>
      </c>
      <c r="H1299" s="8">
        <f>VLOOKUP(A1299,[1]!Table1[#All],32,FALSE)</f>
        <v>43738</v>
      </c>
      <c r="I1299" s="8">
        <f>VLOOKUP(A1299,[1]!Table1[#All],33,FALSE)</f>
        <v>45564</v>
      </c>
      <c r="J1299" t="str">
        <f t="shared" ca="1" si="20"/>
        <v>UDO</v>
      </c>
    </row>
    <row r="1300" spans="1:10" x14ac:dyDescent="0.35">
      <c r="A1300" s="5" t="s">
        <v>42</v>
      </c>
      <c r="B1300" s="6">
        <v>44682</v>
      </c>
      <c r="C1300" s="7">
        <v>3825000</v>
      </c>
      <c r="D1300" s="7">
        <v>1793281.4000000001</v>
      </c>
      <c r="E1300" s="7">
        <v>2031718.5999999999</v>
      </c>
      <c r="F1300" t="str">
        <f>VLOOKUP(A1300,[1]!Table1[#All],17,FALSE)</f>
        <v>SOUTH AFRICA</v>
      </c>
      <c r="G1300" t="str">
        <f>VLOOKUP(A1300,[1]!Table1[#All],22,FALSE)</f>
        <v>National Health Laboratory Service</v>
      </c>
      <c r="H1300" s="8">
        <f>VLOOKUP(A1300,[1]!Table1[#All],32,FALSE)</f>
        <v>43738</v>
      </c>
      <c r="I1300" s="8">
        <f>VLOOKUP(A1300,[1]!Table1[#All],33,FALSE)</f>
        <v>45564</v>
      </c>
      <c r="J1300" t="str">
        <f t="shared" ca="1" si="20"/>
        <v>UDO</v>
      </c>
    </row>
    <row r="1301" spans="1:10" x14ac:dyDescent="0.35">
      <c r="A1301" s="9" t="s">
        <v>42</v>
      </c>
      <c r="B1301" s="10">
        <v>44713</v>
      </c>
      <c r="C1301" s="11">
        <v>3825000</v>
      </c>
      <c r="D1301" s="11">
        <v>1896811.4000000001</v>
      </c>
      <c r="E1301" s="11">
        <v>1928188.5999999999</v>
      </c>
      <c r="F1301" t="str">
        <f>VLOOKUP(A1301,[1]!Table1[#All],17,FALSE)</f>
        <v>SOUTH AFRICA</v>
      </c>
      <c r="G1301" t="str">
        <f>VLOOKUP(A1301,[1]!Table1[#All],22,FALSE)</f>
        <v>National Health Laboratory Service</v>
      </c>
      <c r="H1301" s="8">
        <f>VLOOKUP(A1301,[1]!Table1[#All],32,FALSE)</f>
        <v>43738</v>
      </c>
      <c r="I1301" s="8">
        <f>VLOOKUP(A1301,[1]!Table1[#All],33,FALSE)</f>
        <v>45564</v>
      </c>
      <c r="J1301" t="str">
        <f t="shared" ca="1" si="20"/>
        <v>UDO</v>
      </c>
    </row>
    <row r="1302" spans="1:10" x14ac:dyDescent="0.35">
      <c r="A1302" s="5" t="s">
        <v>42</v>
      </c>
      <c r="B1302" s="6">
        <v>44743</v>
      </c>
      <c r="C1302" s="7">
        <v>3825000</v>
      </c>
      <c r="D1302" s="7">
        <v>1986470.4000000001</v>
      </c>
      <c r="E1302" s="7">
        <v>1838529.5999999999</v>
      </c>
      <c r="F1302" t="str">
        <f>VLOOKUP(A1302,[1]!Table1[#All],17,FALSE)</f>
        <v>SOUTH AFRICA</v>
      </c>
      <c r="G1302" t="str">
        <f>VLOOKUP(A1302,[1]!Table1[#All],22,FALSE)</f>
        <v>National Health Laboratory Service</v>
      </c>
      <c r="H1302" s="8">
        <f>VLOOKUP(A1302,[1]!Table1[#All],32,FALSE)</f>
        <v>43738</v>
      </c>
      <c r="I1302" s="8">
        <f>VLOOKUP(A1302,[1]!Table1[#All],33,FALSE)</f>
        <v>45564</v>
      </c>
      <c r="J1302" t="str">
        <f t="shared" ca="1" si="20"/>
        <v>UDO</v>
      </c>
    </row>
    <row r="1303" spans="1:10" x14ac:dyDescent="0.35">
      <c r="A1303" s="9" t="s">
        <v>42</v>
      </c>
      <c r="B1303" s="10">
        <v>44774</v>
      </c>
      <c r="C1303" s="11">
        <v>3825000</v>
      </c>
      <c r="D1303" s="11">
        <v>2091059.4000000001</v>
      </c>
      <c r="E1303" s="11">
        <v>1733940.5999999999</v>
      </c>
      <c r="F1303" t="str">
        <f>VLOOKUP(A1303,[1]!Table1[#All],17,FALSE)</f>
        <v>SOUTH AFRICA</v>
      </c>
      <c r="G1303" t="str">
        <f>VLOOKUP(A1303,[1]!Table1[#All],22,FALSE)</f>
        <v>National Health Laboratory Service</v>
      </c>
      <c r="H1303" s="8">
        <f>VLOOKUP(A1303,[1]!Table1[#All],32,FALSE)</f>
        <v>43738</v>
      </c>
      <c r="I1303" s="8">
        <f>VLOOKUP(A1303,[1]!Table1[#All],33,FALSE)</f>
        <v>45564</v>
      </c>
      <c r="J1303" t="str">
        <f t="shared" ca="1" si="20"/>
        <v>UDO</v>
      </c>
    </row>
    <row r="1304" spans="1:10" x14ac:dyDescent="0.35">
      <c r="A1304" s="5" t="s">
        <v>42</v>
      </c>
      <c r="B1304" s="6">
        <v>44805</v>
      </c>
      <c r="C1304" s="7">
        <v>3825000</v>
      </c>
      <c r="D1304" s="7">
        <v>2353372.4</v>
      </c>
      <c r="E1304" s="7">
        <v>1471627.6</v>
      </c>
      <c r="F1304" t="str">
        <f>VLOOKUP(A1304,[1]!Table1[#All],17,FALSE)</f>
        <v>SOUTH AFRICA</v>
      </c>
      <c r="G1304" t="str">
        <f>VLOOKUP(A1304,[1]!Table1[#All],22,FALSE)</f>
        <v>National Health Laboratory Service</v>
      </c>
      <c r="H1304" s="8">
        <f>VLOOKUP(A1304,[1]!Table1[#All],32,FALSE)</f>
        <v>43738</v>
      </c>
      <c r="I1304" s="8">
        <f>VLOOKUP(A1304,[1]!Table1[#All],33,FALSE)</f>
        <v>45564</v>
      </c>
      <c r="J1304" t="str">
        <f t="shared" ca="1" si="20"/>
        <v>UDO</v>
      </c>
    </row>
    <row r="1305" spans="1:10" x14ac:dyDescent="0.35">
      <c r="A1305" s="9" t="s">
        <v>42</v>
      </c>
      <c r="B1305" s="10">
        <v>44835</v>
      </c>
      <c r="C1305" s="11">
        <v>3825000</v>
      </c>
      <c r="D1305" s="11">
        <v>2353372.4</v>
      </c>
      <c r="E1305" s="11">
        <v>1471627.6</v>
      </c>
      <c r="F1305" t="str">
        <f>VLOOKUP(A1305,[1]!Table1[#All],17,FALSE)</f>
        <v>SOUTH AFRICA</v>
      </c>
      <c r="G1305" t="str">
        <f>VLOOKUP(A1305,[1]!Table1[#All],22,FALSE)</f>
        <v>National Health Laboratory Service</v>
      </c>
      <c r="H1305" s="8">
        <f>VLOOKUP(A1305,[1]!Table1[#All],32,FALSE)</f>
        <v>43738</v>
      </c>
      <c r="I1305" s="8">
        <f>VLOOKUP(A1305,[1]!Table1[#All],33,FALSE)</f>
        <v>45564</v>
      </c>
      <c r="J1305" t="str">
        <f t="shared" ca="1" si="20"/>
        <v>UDO</v>
      </c>
    </row>
    <row r="1306" spans="1:10" x14ac:dyDescent="0.35">
      <c r="A1306" s="5" t="s">
        <v>42</v>
      </c>
      <c r="B1306" s="6">
        <v>44866</v>
      </c>
      <c r="C1306" s="7">
        <v>3825000</v>
      </c>
      <c r="D1306" s="7">
        <v>2374161.4</v>
      </c>
      <c r="E1306" s="7">
        <v>1450838.6</v>
      </c>
      <c r="F1306" t="str">
        <f>VLOOKUP(A1306,[1]!Table1[#All],17,FALSE)</f>
        <v>SOUTH AFRICA</v>
      </c>
      <c r="G1306" t="str">
        <f>VLOOKUP(A1306,[1]!Table1[#All],22,FALSE)</f>
        <v>National Health Laboratory Service</v>
      </c>
      <c r="H1306" s="8">
        <f>VLOOKUP(A1306,[1]!Table1[#All],32,FALSE)</f>
        <v>43738</v>
      </c>
      <c r="I1306" s="8">
        <f>VLOOKUP(A1306,[1]!Table1[#All],33,FALSE)</f>
        <v>45564</v>
      </c>
      <c r="J1306" t="str">
        <f t="shared" ca="1" si="20"/>
        <v>UDO</v>
      </c>
    </row>
    <row r="1307" spans="1:10" x14ac:dyDescent="0.35">
      <c r="A1307" s="9" t="s">
        <v>42</v>
      </c>
      <c r="B1307" s="10">
        <v>44896</v>
      </c>
      <c r="C1307" s="11">
        <v>3825000</v>
      </c>
      <c r="D1307" s="11">
        <v>2406424.4</v>
      </c>
      <c r="E1307" s="11">
        <v>1418575.6</v>
      </c>
      <c r="F1307" t="str">
        <f>VLOOKUP(A1307,[1]!Table1[#All],17,FALSE)</f>
        <v>SOUTH AFRICA</v>
      </c>
      <c r="G1307" t="str">
        <f>VLOOKUP(A1307,[1]!Table1[#All],22,FALSE)</f>
        <v>National Health Laboratory Service</v>
      </c>
      <c r="H1307" s="8">
        <f>VLOOKUP(A1307,[1]!Table1[#All],32,FALSE)</f>
        <v>43738</v>
      </c>
      <c r="I1307" s="8">
        <f>VLOOKUP(A1307,[1]!Table1[#All],33,FALSE)</f>
        <v>45564</v>
      </c>
      <c r="J1307" t="str">
        <f t="shared" ca="1" si="20"/>
        <v>UDO</v>
      </c>
    </row>
    <row r="1308" spans="1:10" x14ac:dyDescent="0.35">
      <c r="A1308" s="5" t="s">
        <v>42</v>
      </c>
      <c r="B1308" s="6">
        <v>44927</v>
      </c>
      <c r="C1308" s="7">
        <v>3825000</v>
      </c>
      <c r="D1308" s="7">
        <v>2432117.4000000004</v>
      </c>
      <c r="E1308" s="7">
        <v>1392882.6</v>
      </c>
      <c r="F1308" t="str">
        <f>VLOOKUP(A1308,[1]!Table1[#All],17,FALSE)</f>
        <v>SOUTH AFRICA</v>
      </c>
      <c r="G1308" t="str">
        <f>VLOOKUP(A1308,[1]!Table1[#All],22,FALSE)</f>
        <v>National Health Laboratory Service</v>
      </c>
      <c r="H1308" s="8">
        <f>VLOOKUP(A1308,[1]!Table1[#All],32,FALSE)</f>
        <v>43738</v>
      </c>
      <c r="I1308" s="8">
        <f>VLOOKUP(A1308,[1]!Table1[#All],33,FALSE)</f>
        <v>45564</v>
      </c>
      <c r="J1308" t="str">
        <f t="shared" ca="1" si="20"/>
        <v>UDO</v>
      </c>
    </row>
    <row r="1309" spans="1:10" x14ac:dyDescent="0.35">
      <c r="A1309" s="9" t="s">
        <v>42</v>
      </c>
      <c r="B1309" s="10">
        <v>44958</v>
      </c>
      <c r="C1309" s="11">
        <v>3825000</v>
      </c>
      <c r="D1309" s="11">
        <v>2501846.4</v>
      </c>
      <c r="E1309" s="11">
        <v>1323153.6000000001</v>
      </c>
      <c r="F1309" t="str">
        <f>VLOOKUP(A1309,[1]!Table1[#All],17,FALSE)</f>
        <v>SOUTH AFRICA</v>
      </c>
      <c r="G1309" t="str">
        <f>VLOOKUP(A1309,[1]!Table1[#All],22,FALSE)</f>
        <v>National Health Laboratory Service</v>
      </c>
      <c r="H1309" s="8">
        <f>VLOOKUP(A1309,[1]!Table1[#All],32,FALSE)</f>
        <v>43738</v>
      </c>
      <c r="I1309" s="8">
        <f>VLOOKUP(A1309,[1]!Table1[#All],33,FALSE)</f>
        <v>45564</v>
      </c>
      <c r="J1309" t="str">
        <f t="shared" ca="1" si="20"/>
        <v>UDO</v>
      </c>
    </row>
    <row r="1310" spans="1:10" x14ac:dyDescent="0.35">
      <c r="A1310" s="5" t="s">
        <v>42</v>
      </c>
      <c r="B1310" s="6">
        <v>44986</v>
      </c>
      <c r="C1310" s="7">
        <v>3825000</v>
      </c>
      <c r="D1310" s="7">
        <v>2532365.4</v>
      </c>
      <c r="E1310" s="7">
        <v>1292634.6000000001</v>
      </c>
      <c r="F1310" t="str">
        <f>VLOOKUP(A1310,[1]!Table1[#All],17,FALSE)</f>
        <v>SOUTH AFRICA</v>
      </c>
      <c r="G1310" t="str">
        <f>VLOOKUP(A1310,[1]!Table1[#All],22,FALSE)</f>
        <v>National Health Laboratory Service</v>
      </c>
      <c r="H1310" s="8">
        <f>VLOOKUP(A1310,[1]!Table1[#All],32,FALSE)</f>
        <v>43738</v>
      </c>
      <c r="I1310" s="8">
        <f>VLOOKUP(A1310,[1]!Table1[#All],33,FALSE)</f>
        <v>45564</v>
      </c>
      <c r="J1310" t="str">
        <f t="shared" ca="1" si="20"/>
        <v>UDO</v>
      </c>
    </row>
    <row r="1311" spans="1:10" x14ac:dyDescent="0.35">
      <c r="A1311" s="9" t="s">
        <v>42</v>
      </c>
      <c r="B1311" s="10">
        <v>45017</v>
      </c>
      <c r="C1311" s="11">
        <v>3825000</v>
      </c>
      <c r="D1311" s="11">
        <v>2602228.4</v>
      </c>
      <c r="E1311" s="11">
        <v>1222771.6000000001</v>
      </c>
      <c r="F1311" t="str">
        <f>VLOOKUP(A1311,[1]!Table1[#All],17,FALSE)</f>
        <v>SOUTH AFRICA</v>
      </c>
      <c r="G1311" t="str">
        <f>VLOOKUP(A1311,[1]!Table1[#All],22,FALSE)</f>
        <v>National Health Laboratory Service</v>
      </c>
      <c r="H1311" s="8">
        <f>VLOOKUP(A1311,[1]!Table1[#All],32,FALSE)</f>
        <v>43738</v>
      </c>
      <c r="I1311" s="8">
        <f>VLOOKUP(A1311,[1]!Table1[#All],33,FALSE)</f>
        <v>45564</v>
      </c>
      <c r="J1311" t="str">
        <f t="shared" ca="1" si="20"/>
        <v>UDO</v>
      </c>
    </row>
    <row r="1312" spans="1:10" x14ac:dyDescent="0.35">
      <c r="A1312" s="5" t="s">
        <v>42</v>
      </c>
      <c r="B1312" s="6">
        <v>45047</v>
      </c>
      <c r="C1312" s="7">
        <v>3825000</v>
      </c>
      <c r="D1312" s="7">
        <v>2672240.1999999997</v>
      </c>
      <c r="E1312" s="7">
        <v>1152759.8</v>
      </c>
      <c r="F1312" t="str">
        <f>VLOOKUP(A1312,[1]!Table1[#All],17,FALSE)</f>
        <v>SOUTH AFRICA</v>
      </c>
      <c r="G1312" t="str">
        <f>VLOOKUP(A1312,[1]!Table1[#All],22,FALSE)</f>
        <v>National Health Laboratory Service</v>
      </c>
      <c r="H1312" s="8">
        <f>VLOOKUP(A1312,[1]!Table1[#All],32,FALSE)</f>
        <v>43738</v>
      </c>
      <c r="I1312" s="8">
        <f>VLOOKUP(A1312,[1]!Table1[#All],33,FALSE)</f>
        <v>45564</v>
      </c>
      <c r="J1312" t="str">
        <f t="shared" ca="1" si="20"/>
        <v>UDO</v>
      </c>
    </row>
    <row r="1313" spans="1:10" x14ac:dyDescent="0.35">
      <c r="A1313" s="9" t="s">
        <v>42</v>
      </c>
      <c r="B1313" s="10">
        <v>45078</v>
      </c>
      <c r="C1313" s="11">
        <v>3825000</v>
      </c>
      <c r="D1313" s="11">
        <v>2709525.2</v>
      </c>
      <c r="E1313" s="11">
        <v>1115474.8</v>
      </c>
      <c r="F1313" t="str">
        <f>VLOOKUP(A1313,[1]!Table1[#All],17,FALSE)</f>
        <v>SOUTH AFRICA</v>
      </c>
      <c r="G1313" t="str">
        <f>VLOOKUP(A1313,[1]!Table1[#All],22,FALSE)</f>
        <v>National Health Laboratory Service</v>
      </c>
      <c r="H1313" s="8">
        <f>VLOOKUP(A1313,[1]!Table1[#All],32,FALSE)</f>
        <v>43738</v>
      </c>
      <c r="I1313" s="8">
        <f>VLOOKUP(A1313,[1]!Table1[#All],33,FALSE)</f>
        <v>45564</v>
      </c>
      <c r="J1313" t="str">
        <f t="shared" ca="1" si="20"/>
        <v>UDO</v>
      </c>
    </row>
    <row r="1314" spans="1:10" x14ac:dyDescent="0.35">
      <c r="A1314" s="5" t="s">
        <v>42</v>
      </c>
      <c r="B1314" s="6">
        <v>45108</v>
      </c>
      <c r="C1314" s="7">
        <v>3825000</v>
      </c>
      <c r="D1314" s="7">
        <v>2782950.91</v>
      </c>
      <c r="E1314" s="7">
        <v>1042049.09</v>
      </c>
      <c r="F1314" t="str">
        <f>VLOOKUP(A1314,[1]!Table1[#All],17,FALSE)</f>
        <v>SOUTH AFRICA</v>
      </c>
      <c r="G1314" t="str">
        <f>VLOOKUP(A1314,[1]!Table1[#All],22,FALSE)</f>
        <v>National Health Laboratory Service</v>
      </c>
      <c r="H1314" s="8">
        <f>VLOOKUP(A1314,[1]!Table1[#All],32,FALSE)</f>
        <v>43738</v>
      </c>
      <c r="I1314" s="8">
        <f>VLOOKUP(A1314,[1]!Table1[#All],33,FALSE)</f>
        <v>45564</v>
      </c>
      <c r="J1314" t="str">
        <f t="shared" ca="1" si="20"/>
        <v>UDO</v>
      </c>
    </row>
    <row r="1315" spans="1:10" x14ac:dyDescent="0.35">
      <c r="A1315" s="9" t="s">
        <v>42</v>
      </c>
      <c r="B1315" s="10">
        <v>45139</v>
      </c>
      <c r="C1315" s="11">
        <v>3825000</v>
      </c>
      <c r="D1315" s="11">
        <v>2902467.1999999997</v>
      </c>
      <c r="E1315" s="11">
        <v>922532.79999999993</v>
      </c>
      <c r="F1315" t="str">
        <f>VLOOKUP(A1315,[1]!Table1[#All],17,FALSE)</f>
        <v>SOUTH AFRICA</v>
      </c>
      <c r="G1315" t="str">
        <f>VLOOKUP(A1315,[1]!Table1[#All],22,FALSE)</f>
        <v>National Health Laboratory Service</v>
      </c>
      <c r="H1315" s="8">
        <f>VLOOKUP(A1315,[1]!Table1[#All],32,FALSE)</f>
        <v>43738</v>
      </c>
      <c r="I1315" s="8">
        <f>VLOOKUP(A1315,[1]!Table1[#All],33,FALSE)</f>
        <v>45564</v>
      </c>
      <c r="J1315" t="str">
        <f t="shared" ca="1" si="20"/>
        <v>UDO</v>
      </c>
    </row>
    <row r="1316" spans="1:10" x14ac:dyDescent="0.35">
      <c r="A1316" s="5" t="s">
        <v>42</v>
      </c>
      <c r="B1316" s="6">
        <v>45170</v>
      </c>
      <c r="C1316" s="7">
        <v>3825000</v>
      </c>
      <c r="D1316" s="7">
        <v>3349289.22</v>
      </c>
      <c r="E1316" s="7">
        <v>475710.78</v>
      </c>
      <c r="F1316" t="str">
        <f>VLOOKUP(A1316,[1]!Table1[#All],17,FALSE)</f>
        <v>SOUTH AFRICA</v>
      </c>
      <c r="G1316" t="str">
        <f>VLOOKUP(A1316,[1]!Table1[#All],22,FALSE)</f>
        <v>National Health Laboratory Service</v>
      </c>
      <c r="H1316" s="8">
        <f>VLOOKUP(A1316,[1]!Table1[#All],32,FALSE)</f>
        <v>43738</v>
      </c>
      <c r="I1316" s="8">
        <f>VLOOKUP(A1316,[1]!Table1[#All],33,FALSE)</f>
        <v>45564</v>
      </c>
      <c r="J1316" t="str">
        <f t="shared" ca="1" si="20"/>
        <v>UDO</v>
      </c>
    </row>
    <row r="1317" spans="1:10" x14ac:dyDescent="0.35">
      <c r="A1317" s="9" t="s">
        <v>43</v>
      </c>
      <c r="B1317" s="10">
        <v>44105</v>
      </c>
      <c r="C1317" s="11">
        <v>2083333</v>
      </c>
      <c r="D1317" s="11">
        <v>498333</v>
      </c>
      <c r="E1317" s="11">
        <v>1585000</v>
      </c>
      <c r="F1317" t="str">
        <f>VLOOKUP(A1317,[1]!Table1[#All],17,FALSE)</f>
        <v>SOUTH AFRICA</v>
      </c>
      <c r="G1317" t="str">
        <f>VLOOKUP(A1317,[1]!Table1[#All],22,FALSE)</f>
        <v>HISP HEALTH INFORMATION SYSTEMS SOUTH AFRICA</v>
      </c>
      <c r="H1317" s="8">
        <f>VLOOKUP(A1317,[1]!Table1[#All],32,FALSE)</f>
        <v>43738</v>
      </c>
      <c r="I1317" s="8">
        <f>VLOOKUP(A1317,[1]!Table1[#All],33,FALSE)</f>
        <v>45564</v>
      </c>
      <c r="J1317" t="str">
        <f t="shared" ca="1" si="20"/>
        <v>UDO</v>
      </c>
    </row>
    <row r="1318" spans="1:10" x14ac:dyDescent="0.35">
      <c r="A1318" s="5" t="s">
        <v>43</v>
      </c>
      <c r="B1318" s="6">
        <v>44136</v>
      </c>
      <c r="C1318" s="7">
        <v>2083333</v>
      </c>
      <c r="D1318" s="7">
        <v>548333</v>
      </c>
      <c r="E1318" s="7">
        <v>1535000</v>
      </c>
      <c r="F1318" t="str">
        <f>VLOOKUP(A1318,[1]!Table1[#All],17,FALSE)</f>
        <v>SOUTH AFRICA</v>
      </c>
      <c r="G1318" t="str">
        <f>VLOOKUP(A1318,[1]!Table1[#All],22,FALSE)</f>
        <v>HISP HEALTH INFORMATION SYSTEMS SOUTH AFRICA</v>
      </c>
      <c r="H1318" s="8">
        <f>VLOOKUP(A1318,[1]!Table1[#All],32,FALSE)</f>
        <v>43738</v>
      </c>
      <c r="I1318" s="8">
        <f>VLOOKUP(A1318,[1]!Table1[#All],33,FALSE)</f>
        <v>45564</v>
      </c>
      <c r="J1318" t="str">
        <f t="shared" ca="1" si="20"/>
        <v>UDO</v>
      </c>
    </row>
    <row r="1319" spans="1:10" x14ac:dyDescent="0.35">
      <c r="A1319" s="9" t="s">
        <v>43</v>
      </c>
      <c r="B1319" s="10">
        <v>44166</v>
      </c>
      <c r="C1319" s="11">
        <v>2083333</v>
      </c>
      <c r="D1319" s="11">
        <v>648333</v>
      </c>
      <c r="E1319" s="11">
        <v>1435000</v>
      </c>
      <c r="F1319" t="str">
        <f>VLOOKUP(A1319,[1]!Table1[#All],17,FALSE)</f>
        <v>SOUTH AFRICA</v>
      </c>
      <c r="G1319" t="str">
        <f>VLOOKUP(A1319,[1]!Table1[#All],22,FALSE)</f>
        <v>HISP HEALTH INFORMATION SYSTEMS SOUTH AFRICA</v>
      </c>
      <c r="H1319" s="8">
        <f>VLOOKUP(A1319,[1]!Table1[#All],32,FALSE)</f>
        <v>43738</v>
      </c>
      <c r="I1319" s="8">
        <f>VLOOKUP(A1319,[1]!Table1[#All],33,FALSE)</f>
        <v>45564</v>
      </c>
      <c r="J1319" t="str">
        <f t="shared" ca="1" si="20"/>
        <v>UDO</v>
      </c>
    </row>
    <row r="1320" spans="1:10" x14ac:dyDescent="0.35">
      <c r="A1320" s="5" t="s">
        <v>43</v>
      </c>
      <c r="B1320" s="6">
        <v>44197</v>
      </c>
      <c r="C1320" s="7">
        <v>2083333</v>
      </c>
      <c r="D1320" s="7">
        <v>808333</v>
      </c>
      <c r="E1320" s="7">
        <v>1275000</v>
      </c>
      <c r="F1320" t="str">
        <f>VLOOKUP(A1320,[1]!Table1[#All],17,FALSE)</f>
        <v>SOUTH AFRICA</v>
      </c>
      <c r="G1320" t="str">
        <f>VLOOKUP(A1320,[1]!Table1[#All],22,FALSE)</f>
        <v>HISP HEALTH INFORMATION SYSTEMS SOUTH AFRICA</v>
      </c>
      <c r="H1320" s="8">
        <f>VLOOKUP(A1320,[1]!Table1[#All],32,FALSE)</f>
        <v>43738</v>
      </c>
      <c r="I1320" s="8">
        <f>VLOOKUP(A1320,[1]!Table1[#All],33,FALSE)</f>
        <v>45564</v>
      </c>
      <c r="J1320" t="str">
        <f t="shared" ca="1" si="20"/>
        <v>UDO</v>
      </c>
    </row>
    <row r="1321" spans="1:10" x14ac:dyDescent="0.35">
      <c r="A1321" s="9" t="s">
        <v>43</v>
      </c>
      <c r="B1321" s="10">
        <v>44228</v>
      </c>
      <c r="C1321" s="11">
        <v>2083333</v>
      </c>
      <c r="D1321" s="11">
        <v>888333</v>
      </c>
      <c r="E1321" s="11">
        <v>1195000</v>
      </c>
      <c r="F1321" t="str">
        <f>VLOOKUP(A1321,[1]!Table1[#All],17,FALSE)</f>
        <v>SOUTH AFRICA</v>
      </c>
      <c r="G1321" t="str">
        <f>VLOOKUP(A1321,[1]!Table1[#All],22,FALSE)</f>
        <v>HISP HEALTH INFORMATION SYSTEMS SOUTH AFRICA</v>
      </c>
      <c r="H1321" s="8">
        <f>VLOOKUP(A1321,[1]!Table1[#All],32,FALSE)</f>
        <v>43738</v>
      </c>
      <c r="I1321" s="8">
        <f>VLOOKUP(A1321,[1]!Table1[#All],33,FALSE)</f>
        <v>45564</v>
      </c>
      <c r="J1321" t="str">
        <f t="shared" ca="1" si="20"/>
        <v>UDO</v>
      </c>
    </row>
    <row r="1322" spans="1:10" x14ac:dyDescent="0.35">
      <c r="A1322" s="5" t="s">
        <v>43</v>
      </c>
      <c r="B1322" s="6">
        <v>44256</v>
      </c>
      <c r="C1322" s="7">
        <v>2083333</v>
      </c>
      <c r="D1322" s="7">
        <v>968333</v>
      </c>
      <c r="E1322" s="7">
        <v>1115000</v>
      </c>
      <c r="F1322" t="str">
        <f>VLOOKUP(A1322,[1]!Table1[#All],17,FALSE)</f>
        <v>SOUTH AFRICA</v>
      </c>
      <c r="G1322" t="str">
        <f>VLOOKUP(A1322,[1]!Table1[#All],22,FALSE)</f>
        <v>HISP HEALTH INFORMATION SYSTEMS SOUTH AFRICA</v>
      </c>
      <c r="H1322" s="8">
        <f>VLOOKUP(A1322,[1]!Table1[#All],32,FALSE)</f>
        <v>43738</v>
      </c>
      <c r="I1322" s="8">
        <f>VLOOKUP(A1322,[1]!Table1[#All],33,FALSE)</f>
        <v>45564</v>
      </c>
      <c r="J1322" t="str">
        <f t="shared" ca="1" si="20"/>
        <v>UDO</v>
      </c>
    </row>
    <row r="1323" spans="1:10" x14ac:dyDescent="0.35">
      <c r="A1323" s="9" t="s">
        <v>43</v>
      </c>
      <c r="B1323" s="10">
        <v>44317</v>
      </c>
      <c r="C1323" s="11">
        <v>2083333</v>
      </c>
      <c r="D1323" s="11">
        <v>1198333</v>
      </c>
      <c r="E1323" s="11">
        <v>885000</v>
      </c>
      <c r="F1323" t="str">
        <f>VLOOKUP(A1323,[1]!Table1[#All],17,FALSE)</f>
        <v>SOUTH AFRICA</v>
      </c>
      <c r="G1323" t="str">
        <f>VLOOKUP(A1323,[1]!Table1[#All],22,FALSE)</f>
        <v>HISP HEALTH INFORMATION SYSTEMS SOUTH AFRICA</v>
      </c>
      <c r="H1323" s="8">
        <f>VLOOKUP(A1323,[1]!Table1[#All],32,FALSE)</f>
        <v>43738</v>
      </c>
      <c r="I1323" s="8">
        <f>VLOOKUP(A1323,[1]!Table1[#All],33,FALSE)</f>
        <v>45564</v>
      </c>
      <c r="J1323" t="str">
        <f t="shared" ca="1" si="20"/>
        <v>UDO</v>
      </c>
    </row>
    <row r="1324" spans="1:10" x14ac:dyDescent="0.35">
      <c r="A1324" s="5" t="s">
        <v>43</v>
      </c>
      <c r="B1324" s="6">
        <v>44348</v>
      </c>
      <c r="C1324" s="7">
        <v>2083333</v>
      </c>
      <c r="D1324" s="7">
        <v>1278333</v>
      </c>
      <c r="E1324" s="7">
        <v>805000</v>
      </c>
      <c r="F1324" t="str">
        <f>VLOOKUP(A1324,[1]!Table1[#All],17,FALSE)</f>
        <v>SOUTH AFRICA</v>
      </c>
      <c r="G1324" t="str">
        <f>VLOOKUP(A1324,[1]!Table1[#All],22,FALSE)</f>
        <v>HISP HEALTH INFORMATION SYSTEMS SOUTH AFRICA</v>
      </c>
      <c r="H1324" s="8">
        <f>VLOOKUP(A1324,[1]!Table1[#All],32,FALSE)</f>
        <v>43738</v>
      </c>
      <c r="I1324" s="8">
        <f>VLOOKUP(A1324,[1]!Table1[#All],33,FALSE)</f>
        <v>45564</v>
      </c>
      <c r="J1324" t="str">
        <f t="shared" ca="1" si="20"/>
        <v>UDO</v>
      </c>
    </row>
    <row r="1325" spans="1:10" x14ac:dyDescent="0.35">
      <c r="A1325" s="9" t="s">
        <v>43</v>
      </c>
      <c r="B1325" s="10">
        <v>44378</v>
      </c>
      <c r="C1325" s="11">
        <v>2083333</v>
      </c>
      <c r="D1325" s="11">
        <v>1358333</v>
      </c>
      <c r="E1325" s="11">
        <v>725000</v>
      </c>
      <c r="F1325" t="str">
        <f>VLOOKUP(A1325,[1]!Table1[#All],17,FALSE)</f>
        <v>SOUTH AFRICA</v>
      </c>
      <c r="G1325" t="str">
        <f>VLOOKUP(A1325,[1]!Table1[#All],22,FALSE)</f>
        <v>HISP HEALTH INFORMATION SYSTEMS SOUTH AFRICA</v>
      </c>
      <c r="H1325" s="8">
        <f>VLOOKUP(A1325,[1]!Table1[#All],32,FALSE)</f>
        <v>43738</v>
      </c>
      <c r="I1325" s="8">
        <f>VLOOKUP(A1325,[1]!Table1[#All],33,FALSE)</f>
        <v>45564</v>
      </c>
      <c r="J1325" t="str">
        <f t="shared" ca="1" si="20"/>
        <v>UDO</v>
      </c>
    </row>
    <row r="1326" spans="1:10" x14ac:dyDescent="0.35">
      <c r="A1326" s="5" t="s">
        <v>43</v>
      </c>
      <c r="B1326" s="6">
        <v>44409</v>
      </c>
      <c r="C1326" s="7">
        <v>2083333</v>
      </c>
      <c r="D1326" s="7">
        <v>1418333</v>
      </c>
      <c r="E1326" s="7">
        <v>665000</v>
      </c>
      <c r="F1326" t="str">
        <f>VLOOKUP(A1326,[1]!Table1[#All],17,FALSE)</f>
        <v>SOUTH AFRICA</v>
      </c>
      <c r="G1326" t="str">
        <f>VLOOKUP(A1326,[1]!Table1[#All],22,FALSE)</f>
        <v>HISP HEALTH INFORMATION SYSTEMS SOUTH AFRICA</v>
      </c>
      <c r="H1326" s="8">
        <f>VLOOKUP(A1326,[1]!Table1[#All],32,FALSE)</f>
        <v>43738</v>
      </c>
      <c r="I1326" s="8">
        <f>VLOOKUP(A1326,[1]!Table1[#All],33,FALSE)</f>
        <v>45564</v>
      </c>
      <c r="J1326" t="str">
        <f t="shared" ca="1" si="20"/>
        <v>UDO</v>
      </c>
    </row>
    <row r="1327" spans="1:10" x14ac:dyDescent="0.35">
      <c r="A1327" s="9" t="s">
        <v>43</v>
      </c>
      <c r="B1327" s="10">
        <v>44440</v>
      </c>
      <c r="C1327" s="11">
        <v>2083333</v>
      </c>
      <c r="D1327" s="11">
        <v>1457502.08</v>
      </c>
      <c r="E1327" s="11">
        <v>625830.91999999993</v>
      </c>
      <c r="F1327" t="str">
        <f>VLOOKUP(A1327,[1]!Table1[#All],17,FALSE)</f>
        <v>SOUTH AFRICA</v>
      </c>
      <c r="G1327" t="str">
        <f>VLOOKUP(A1327,[1]!Table1[#All],22,FALSE)</f>
        <v>HISP HEALTH INFORMATION SYSTEMS SOUTH AFRICA</v>
      </c>
      <c r="H1327" s="8">
        <f>VLOOKUP(A1327,[1]!Table1[#All],32,FALSE)</f>
        <v>43738</v>
      </c>
      <c r="I1327" s="8">
        <f>VLOOKUP(A1327,[1]!Table1[#All],33,FALSE)</f>
        <v>45564</v>
      </c>
      <c r="J1327" t="str">
        <f t="shared" ca="1" si="20"/>
        <v>UDO</v>
      </c>
    </row>
    <row r="1328" spans="1:10" x14ac:dyDescent="0.35">
      <c r="A1328" s="5" t="s">
        <v>43</v>
      </c>
      <c r="B1328" s="6">
        <v>44470</v>
      </c>
      <c r="C1328" s="7">
        <v>2083333</v>
      </c>
      <c r="D1328" s="7">
        <v>1557502.08</v>
      </c>
      <c r="E1328" s="7">
        <v>525830.91999999993</v>
      </c>
      <c r="F1328" t="str">
        <f>VLOOKUP(A1328,[1]!Table1[#All],17,FALSE)</f>
        <v>SOUTH AFRICA</v>
      </c>
      <c r="G1328" t="str">
        <f>VLOOKUP(A1328,[1]!Table1[#All],22,FALSE)</f>
        <v>HISP HEALTH INFORMATION SYSTEMS SOUTH AFRICA</v>
      </c>
      <c r="H1328" s="8">
        <f>VLOOKUP(A1328,[1]!Table1[#All],32,FALSE)</f>
        <v>43738</v>
      </c>
      <c r="I1328" s="8">
        <f>VLOOKUP(A1328,[1]!Table1[#All],33,FALSE)</f>
        <v>45564</v>
      </c>
      <c r="J1328" t="str">
        <f t="shared" ca="1" si="20"/>
        <v>UDO</v>
      </c>
    </row>
    <row r="1329" spans="1:10" x14ac:dyDescent="0.35">
      <c r="A1329" s="9" t="s">
        <v>43</v>
      </c>
      <c r="B1329" s="10">
        <v>44501</v>
      </c>
      <c r="C1329" s="11">
        <v>2083333</v>
      </c>
      <c r="D1329" s="11">
        <v>1557502.08</v>
      </c>
      <c r="E1329" s="11">
        <v>525830.91999999993</v>
      </c>
      <c r="F1329" t="str">
        <f>VLOOKUP(A1329,[1]!Table1[#All],17,FALSE)</f>
        <v>SOUTH AFRICA</v>
      </c>
      <c r="G1329" t="str">
        <f>VLOOKUP(A1329,[1]!Table1[#All],22,FALSE)</f>
        <v>HISP HEALTH INFORMATION SYSTEMS SOUTH AFRICA</v>
      </c>
      <c r="H1329" s="8">
        <f>VLOOKUP(A1329,[1]!Table1[#All],32,FALSE)</f>
        <v>43738</v>
      </c>
      <c r="I1329" s="8">
        <f>VLOOKUP(A1329,[1]!Table1[#All],33,FALSE)</f>
        <v>45564</v>
      </c>
      <c r="J1329" t="str">
        <f t="shared" ca="1" si="20"/>
        <v>UDO</v>
      </c>
    </row>
    <row r="1330" spans="1:10" x14ac:dyDescent="0.35">
      <c r="A1330" s="5" t="s">
        <v>43</v>
      </c>
      <c r="B1330" s="6">
        <v>44531</v>
      </c>
      <c r="C1330" s="7">
        <v>2083333</v>
      </c>
      <c r="D1330" s="7">
        <v>1707502.08</v>
      </c>
      <c r="E1330" s="7">
        <v>375830.92</v>
      </c>
      <c r="F1330" t="str">
        <f>VLOOKUP(A1330,[1]!Table1[#All],17,FALSE)</f>
        <v>SOUTH AFRICA</v>
      </c>
      <c r="G1330" t="str">
        <f>VLOOKUP(A1330,[1]!Table1[#All],22,FALSE)</f>
        <v>HISP HEALTH INFORMATION SYSTEMS SOUTH AFRICA</v>
      </c>
      <c r="H1330" s="8">
        <f>VLOOKUP(A1330,[1]!Table1[#All],32,FALSE)</f>
        <v>43738</v>
      </c>
      <c r="I1330" s="8">
        <f>VLOOKUP(A1330,[1]!Table1[#All],33,FALSE)</f>
        <v>45564</v>
      </c>
      <c r="J1330" t="str">
        <f t="shared" ca="1" si="20"/>
        <v>UDO</v>
      </c>
    </row>
    <row r="1331" spans="1:10" x14ac:dyDescent="0.35">
      <c r="A1331" s="9" t="s">
        <v>43</v>
      </c>
      <c r="B1331" s="10">
        <v>44562</v>
      </c>
      <c r="C1331" s="11">
        <v>2083333</v>
      </c>
      <c r="D1331" s="11">
        <v>1707502.08</v>
      </c>
      <c r="E1331" s="11">
        <v>375830.92</v>
      </c>
      <c r="F1331" t="str">
        <f>VLOOKUP(A1331,[1]!Table1[#All],17,FALSE)</f>
        <v>SOUTH AFRICA</v>
      </c>
      <c r="G1331" t="str">
        <f>VLOOKUP(A1331,[1]!Table1[#All],22,FALSE)</f>
        <v>HISP HEALTH INFORMATION SYSTEMS SOUTH AFRICA</v>
      </c>
      <c r="H1331" s="8">
        <f>VLOOKUP(A1331,[1]!Table1[#All],32,FALSE)</f>
        <v>43738</v>
      </c>
      <c r="I1331" s="8">
        <f>VLOOKUP(A1331,[1]!Table1[#All],33,FALSE)</f>
        <v>45564</v>
      </c>
      <c r="J1331" t="str">
        <f t="shared" ca="1" si="20"/>
        <v>UDO</v>
      </c>
    </row>
    <row r="1332" spans="1:10" x14ac:dyDescent="0.35">
      <c r="A1332" s="5" t="s">
        <v>43</v>
      </c>
      <c r="B1332" s="6">
        <v>44593</v>
      </c>
      <c r="C1332" s="7">
        <v>2083333</v>
      </c>
      <c r="D1332" s="7">
        <v>1867502.08</v>
      </c>
      <c r="E1332" s="7">
        <v>215830.91999999998</v>
      </c>
      <c r="F1332" t="str">
        <f>VLOOKUP(A1332,[1]!Table1[#All],17,FALSE)</f>
        <v>SOUTH AFRICA</v>
      </c>
      <c r="G1332" t="str">
        <f>VLOOKUP(A1332,[1]!Table1[#All],22,FALSE)</f>
        <v>HISP HEALTH INFORMATION SYSTEMS SOUTH AFRICA</v>
      </c>
      <c r="H1332" s="8">
        <f>VLOOKUP(A1332,[1]!Table1[#All],32,FALSE)</f>
        <v>43738</v>
      </c>
      <c r="I1332" s="8">
        <f>VLOOKUP(A1332,[1]!Table1[#All],33,FALSE)</f>
        <v>45564</v>
      </c>
      <c r="J1332" t="str">
        <f t="shared" ca="1" si="20"/>
        <v>UDO</v>
      </c>
    </row>
    <row r="1333" spans="1:10" x14ac:dyDescent="0.35">
      <c r="A1333" s="9" t="s">
        <v>43</v>
      </c>
      <c r="B1333" s="10">
        <v>44621</v>
      </c>
      <c r="C1333" s="11">
        <v>2083333</v>
      </c>
      <c r="D1333" s="11">
        <v>1867502.08</v>
      </c>
      <c r="E1333" s="11">
        <v>215830.91999999998</v>
      </c>
      <c r="F1333" t="str">
        <f>VLOOKUP(A1333,[1]!Table1[#All],17,FALSE)</f>
        <v>SOUTH AFRICA</v>
      </c>
      <c r="G1333" t="str">
        <f>VLOOKUP(A1333,[1]!Table1[#All],22,FALSE)</f>
        <v>HISP HEALTH INFORMATION SYSTEMS SOUTH AFRICA</v>
      </c>
      <c r="H1333" s="8">
        <f>VLOOKUP(A1333,[1]!Table1[#All],32,FALSE)</f>
        <v>43738</v>
      </c>
      <c r="I1333" s="8">
        <f>VLOOKUP(A1333,[1]!Table1[#All],33,FALSE)</f>
        <v>45564</v>
      </c>
      <c r="J1333" t="str">
        <f t="shared" ca="1" si="20"/>
        <v>UDO</v>
      </c>
    </row>
    <row r="1334" spans="1:10" x14ac:dyDescent="0.35">
      <c r="A1334" s="5" t="s">
        <v>43</v>
      </c>
      <c r="B1334" s="6">
        <v>44652</v>
      </c>
      <c r="C1334" s="7">
        <v>2083333</v>
      </c>
      <c r="D1334" s="7">
        <v>1867502.08</v>
      </c>
      <c r="E1334" s="7">
        <v>215830.91999999998</v>
      </c>
      <c r="F1334" t="str">
        <f>VLOOKUP(A1334,[1]!Table1[#All],17,FALSE)</f>
        <v>SOUTH AFRICA</v>
      </c>
      <c r="G1334" t="str">
        <f>VLOOKUP(A1334,[1]!Table1[#All],22,FALSE)</f>
        <v>HISP HEALTH INFORMATION SYSTEMS SOUTH AFRICA</v>
      </c>
      <c r="H1334" s="8">
        <f>VLOOKUP(A1334,[1]!Table1[#All],32,FALSE)</f>
        <v>43738</v>
      </c>
      <c r="I1334" s="8">
        <f>VLOOKUP(A1334,[1]!Table1[#All],33,FALSE)</f>
        <v>45564</v>
      </c>
      <c r="J1334" t="str">
        <f t="shared" ca="1" si="20"/>
        <v>UDO</v>
      </c>
    </row>
    <row r="1335" spans="1:10" x14ac:dyDescent="0.35">
      <c r="A1335" s="9" t="s">
        <v>43</v>
      </c>
      <c r="B1335" s="10">
        <v>44682</v>
      </c>
      <c r="C1335" s="11">
        <v>2083333</v>
      </c>
      <c r="D1335" s="11">
        <v>1977502.08</v>
      </c>
      <c r="E1335" s="11">
        <v>105830.92000000001</v>
      </c>
      <c r="F1335" t="str">
        <f>VLOOKUP(A1335,[1]!Table1[#All],17,FALSE)</f>
        <v>SOUTH AFRICA</v>
      </c>
      <c r="G1335" t="str">
        <f>VLOOKUP(A1335,[1]!Table1[#All],22,FALSE)</f>
        <v>HISP HEALTH INFORMATION SYSTEMS SOUTH AFRICA</v>
      </c>
      <c r="H1335" s="8">
        <f>VLOOKUP(A1335,[1]!Table1[#All],32,FALSE)</f>
        <v>43738</v>
      </c>
      <c r="I1335" s="8">
        <f>VLOOKUP(A1335,[1]!Table1[#All],33,FALSE)</f>
        <v>45564</v>
      </c>
      <c r="J1335" t="str">
        <f t="shared" ca="1" si="20"/>
        <v>UDO</v>
      </c>
    </row>
    <row r="1336" spans="1:10" x14ac:dyDescent="0.35">
      <c r="A1336" s="5" t="s">
        <v>43</v>
      </c>
      <c r="B1336" s="6">
        <v>44713</v>
      </c>
      <c r="C1336" s="7">
        <v>2083333</v>
      </c>
      <c r="D1336" s="7">
        <v>2077502.08</v>
      </c>
      <c r="E1336" s="7">
        <v>5830.92</v>
      </c>
      <c r="F1336" t="str">
        <f>VLOOKUP(A1336,[1]!Table1[#All],17,FALSE)</f>
        <v>SOUTH AFRICA</v>
      </c>
      <c r="G1336" t="str">
        <f>VLOOKUP(A1336,[1]!Table1[#All],22,FALSE)</f>
        <v>HISP HEALTH INFORMATION SYSTEMS SOUTH AFRICA</v>
      </c>
      <c r="H1336" s="8">
        <f>VLOOKUP(A1336,[1]!Table1[#All],32,FALSE)</f>
        <v>43738</v>
      </c>
      <c r="I1336" s="8">
        <f>VLOOKUP(A1336,[1]!Table1[#All],33,FALSE)</f>
        <v>45564</v>
      </c>
      <c r="J1336" t="str">
        <f t="shared" ca="1" si="20"/>
        <v>UDO</v>
      </c>
    </row>
    <row r="1337" spans="1:10" x14ac:dyDescent="0.35">
      <c r="A1337" s="9" t="s">
        <v>43</v>
      </c>
      <c r="B1337" s="10">
        <v>44743</v>
      </c>
      <c r="C1337" s="11">
        <v>2083333</v>
      </c>
      <c r="D1337" s="11">
        <v>2083333</v>
      </c>
      <c r="E1337" s="11">
        <v>0</v>
      </c>
      <c r="F1337" t="str">
        <f>VLOOKUP(A1337,[1]!Table1[#All],17,FALSE)</f>
        <v>SOUTH AFRICA</v>
      </c>
      <c r="G1337" t="str">
        <f>VLOOKUP(A1337,[1]!Table1[#All],22,FALSE)</f>
        <v>HISP HEALTH INFORMATION SYSTEMS SOUTH AFRICA</v>
      </c>
      <c r="H1337" s="8">
        <f>VLOOKUP(A1337,[1]!Table1[#All],32,FALSE)</f>
        <v>43738</v>
      </c>
      <c r="I1337" s="8">
        <f>VLOOKUP(A1337,[1]!Table1[#All],33,FALSE)</f>
        <v>45564</v>
      </c>
      <c r="J1337" t="str">
        <f t="shared" ca="1" si="20"/>
        <v>Non UDO</v>
      </c>
    </row>
    <row r="1338" spans="1:10" x14ac:dyDescent="0.35">
      <c r="A1338" s="5" t="s">
        <v>43</v>
      </c>
      <c r="B1338" s="6">
        <v>44774</v>
      </c>
      <c r="C1338" s="7">
        <v>2083333</v>
      </c>
      <c r="D1338" s="7">
        <v>2083333</v>
      </c>
      <c r="E1338" s="7">
        <v>0</v>
      </c>
      <c r="F1338" t="str">
        <f>VLOOKUP(A1338,[1]!Table1[#All],17,FALSE)</f>
        <v>SOUTH AFRICA</v>
      </c>
      <c r="G1338" t="str">
        <f>VLOOKUP(A1338,[1]!Table1[#All],22,FALSE)</f>
        <v>HISP HEALTH INFORMATION SYSTEMS SOUTH AFRICA</v>
      </c>
      <c r="H1338" s="8">
        <f>VLOOKUP(A1338,[1]!Table1[#All],32,FALSE)</f>
        <v>43738</v>
      </c>
      <c r="I1338" s="8">
        <f>VLOOKUP(A1338,[1]!Table1[#All],33,FALSE)</f>
        <v>45564</v>
      </c>
      <c r="J1338" t="str">
        <f t="shared" ca="1" si="20"/>
        <v>Non UDO</v>
      </c>
    </row>
    <row r="1339" spans="1:10" x14ac:dyDescent="0.35">
      <c r="A1339" s="9" t="s">
        <v>43</v>
      </c>
      <c r="B1339" s="10">
        <v>44805</v>
      </c>
      <c r="C1339" s="11">
        <v>2083333</v>
      </c>
      <c r="D1339" s="11">
        <v>2083333</v>
      </c>
      <c r="E1339" s="11">
        <v>0</v>
      </c>
      <c r="F1339" t="str">
        <f>VLOOKUP(A1339,[1]!Table1[#All],17,FALSE)</f>
        <v>SOUTH AFRICA</v>
      </c>
      <c r="G1339" t="str">
        <f>VLOOKUP(A1339,[1]!Table1[#All],22,FALSE)</f>
        <v>HISP HEALTH INFORMATION SYSTEMS SOUTH AFRICA</v>
      </c>
      <c r="H1339" s="8">
        <f>VLOOKUP(A1339,[1]!Table1[#All],32,FALSE)</f>
        <v>43738</v>
      </c>
      <c r="I1339" s="8">
        <f>VLOOKUP(A1339,[1]!Table1[#All],33,FALSE)</f>
        <v>45564</v>
      </c>
      <c r="J1339" t="str">
        <f t="shared" ca="1" si="20"/>
        <v>Non UDO</v>
      </c>
    </row>
    <row r="1340" spans="1:10" x14ac:dyDescent="0.35">
      <c r="A1340" s="5" t="s">
        <v>43</v>
      </c>
      <c r="B1340" s="6">
        <v>44835</v>
      </c>
      <c r="C1340" s="7">
        <v>2083333</v>
      </c>
      <c r="D1340" s="7">
        <v>2083333</v>
      </c>
      <c r="E1340" s="7">
        <v>0</v>
      </c>
      <c r="F1340" t="str">
        <f>VLOOKUP(A1340,[1]!Table1[#All],17,FALSE)</f>
        <v>SOUTH AFRICA</v>
      </c>
      <c r="G1340" t="str">
        <f>VLOOKUP(A1340,[1]!Table1[#All],22,FALSE)</f>
        <v>HISP HEALTH INFORMATION SYSTEMS SOUTH AFRICA</v>
      </c>
      <c r="H1340" s="8">
        <f>VLOOKUP(A1340,[1]!Table1[#All],32,FALSE)</f>
        <v>43738</v>
      </c>
      <c r="I1340" s="8">
        <f>VLOOKUP(A1340,[1]!Table1[#All],33,FALSE)</f>
        <v>45564</v>
      </c>
      <c r="J1340" t="str">
        <f t="shared" ca="1" si="20"/>
        <v>Non UDO</v>
      </c>
    </row>
    <row r="1341" spans="1:10" x14ac:dyDescent="0.35">
      <c r="A1341" s="9" t="s">
        <v>43</v>
      </c>
      <c r="B1341" s="10">
        <v>44866</v>
      </c>
      <c r="C1341" s="11">
        <v>2083333</v>
      </c>
      <c r="D1341" s="11">
        <v>2083333</v>
      </c>
      <c r="E1341" s="11">
        <v>0</v>
      </c>
      <c r="F1341" t="str">
        <f>VLOOKUP(A1341,[1]!Table1[#All],17,FALSE)</f>
        <v>SOUTH AFRICA</v>
      </c>
      <c r="G1341" t="str">
        <f>VLOOKUP(A1341,[1]!Table1[#All],22,FALSE)</f>
        <v>HISP HEALTH INFORMATION SYSTEMS SOUTH AFRICA</v>
      </c>
      <c r="H1341" s="8">
        <f>VLOOKUP(A1341,[1]!Table1[#All],32,FALSE)</f>
        <v>43738</v>
      </c>
      <c r="I1341" s="8">
        <f>VLOOKUP(A1341,[1]!Table1[#All],33,FALSE)</f>
        <v>45564</v>
      </c>
      <c r="J1341" t="str">
        <f t="shared" ca="1" si="20"/>
        <v>Non UDO</v>
      </c>
    </row>
    <row r="1342" spans="1:10" x14ac:dyDescent="0.35">
      <c r="A1342" s="5" t="s">
        <v>43</v>
      </c>
      <c r="B1342" s="6">
        <v>44896</v>
      </c>
      <c r="C1342" s="7">
        <v>2083333</v>
      </c>
      <c r="D1342" s="7">
        <v>2083333</v>
      </c>
      <c r="E1342" s="7">
        <v>0</v>
      </c>
      <c r="F1342" t="str">
        <f>VLOOKUP(A1342,[1]!Table1[#All],17,FALSE)</f>
        <v>SOUTH AFRICA</v>
      </c>
      <c r="G1342" t="str">
        <f>VLOOKUP(A1342,[1]!Table1[#All],22,FALSE)</f>
        <v>HISP HEALTH INFORMATION SYSTEMS SOUTH AFRICA</v>
      </c>
      <c r="H1342" s="8">
        <f>VLOOKUP(A1342,[1]!Table1[#All],32,FALSE)</f>
        <v>43738</v>
      </c>
      <c r="I1342" s="8">
        <f>VLOOKUP(A1342,[1]!Table1[#All],33,FALSE)</f>
        <v>45564</v>
      </c>
      <c r="J1342" t="str">
        <f t="shared" ca="1" si="20"/>
        <v>Non UDO</v>
      </c>
    </row>
    <row r="1343" spans="1:10" x14ac:dyDescent="0.35">
      <c r="A1343" s="9" t="s">
        <v>43</v>
      </c>
      <c r="B1343" s="10">
        <v>44927</v>
      </c>
      <c r="C1343" s="11">
        <v>2083333</v>
      </c>
      <c r="D1343" s="11">
        <v>2083333</v>
      </c>
      <c r="E1343" s="11">
        <v>0</v>
      </c>
      <c r="F1343" t="str">
        <f>VLOOKUP(A1343,[1]!Table1[#All],17,FALSE)</f>
        <v>SOUTH AFRICA</v>
      </c>
      <c r="G1343" t="str">
        <f>VLOOKUP(A1343,[1]!Table1[#All],22,FALSE)</f>
        <v>HISP HEALTH INFORMATION SYSTEMS SOUTH AFRICA</v>
      </c>
      <c r="H1343" s="8">
        <f>VLOOKUP(A1343,[1]!Table1[#All],32,FALSE)</f>
        <v>43738</v>
      </c>
      <c r="I1343" s="8">
        <f>VLOOKUP(A1343,[1]!Table1[#All],33,FALSE)</f>
        <v>45564</v>
      </c>
      <c r="J1343" t="str">
        <f t="shared" ca="1" si="20"/>
        <v>Non UDO</v>
      </c>
    </row>
    <row r="1344" spans="1:10" x14ac:dyDescent="0.35">
      <c r="A1344" s="5" t="s">
        <v>43</v>
      </c>
      <c r="B1344" s="6">
        <v>44958</v>
      </c>
      <c r="C1344" s="7">
        <v>2083333</v>
      </c>
      <c r="D1344" s="7">
        <v>2083333</v>
      </c>
      <c r="E1344" s="7">
        <v>0</v>
      </c>
      <c r="F1344" t="str">
        <f>VLOOKUP(A1344,[1]!Table1[#All],17,FALSE)</f>
        <v>SOUTH AFRICA</v>
      </c>
      <c r="G1344" t="str">
        <f>VLOOKUP(A1344,[1]!Table1[#All],22,FALSE)</f>
        <v>HISP HEALTH INFORMATION SYSTEMS SOUTH AFRICA</v>
      </c>
      <c r="H1344" s="8">
        <f>VLOOKUP(A1344,[1]!Table1[#All],32,FALSE)</f>
        <v>43738</v>
      </c>
      <c r="I1344" s="8">
        <f>VLOOKUP(A1344,[1]!Table1[#All],33,FALSE)</f>
        <v>45564</v>
      </c>
      <c r="J1344" t="str">
        <f t="shared" ca="1" si="20"/>
        <v>Non UDO</v>
      </c>
    </row>
    <row r="1345" spans="1:10" x14ac:dyDescent="0.35">
      <c r="A1345" s="9" t="s">
        <v>43</v>
      </c>
      <c r="B1345" s="10">
        <v>44986</v>
      </c>
      <c r="C1345" s="11">
        <v>2083333</v>
      </c>
      <c r="D1345" s="11">
        <v>2083333</v>
      </c>
      <c r="E1345" s="11">
        <v>0</v>
      </c>
      <c r="F1345" t="str">
        <f>VLOOKUP(A1345,[1]!Table1[#All],17,FALSE)</f>
        <v>SOUTH AFRICA</v>
      </c>
      <c r="G1345" t="str">
        <f>VLOOKUP(A1345,[1]!Table1[#All],22,FALSE)</f>
        <v>HISP HEALTH INFORMATION SYSTEMS SOUTH AFRICA</v>
      </c>
      <c r="H1345" s="8">
        <f>VLOOKUP(A1345,[1]!Table1[#All],32,FALSE)</f>
        <v>43738</v>
      </c>
      <c r="I1345" s="8">
        <f>VLOOKUP(A1345,[1]!Table1[#All],33,FALSE)</f>
        <v>45564</v>
      </c>
      <c r="J1345" t="str">
        <f t="shared" ca="1" si="20"/>
        <v>Non UDO</v>
      </c>
    </row>
    <row r="1346" spans="1:10" x14ac:dyDescent="0.35">
      <c r="A1346" s="5" t="s">
        <v>43</v>
      </c>
      <c r="B1346" s="6">
        <v>45017</v>
      </c>
      <c r="C1346" s="7">
        <v>2083333</v>
      </c>
      <c r="D1346" s="7">
        <v>2083333</v>
      </c>
      <c r="E1346" s="7">
        <v>0</v>
      </c>
      <c r="F1346" t="str">
        <f>VLOOKUP(A1346,[1]!Table1[#All],17,FALSE)</f>
        <v>SOUTH AFRICA</v>
      </c>
      <c r="G1346" t="str">
        <f>VLOOKUP(A1346,[1]!Table1[#All],22,FALSE)</f>
        <v>HISP HEALTH INFORMATION SYSTEMS SOUTH AFRICA</v>
      </c>
      <c r="H1346" s="8">
        <f>VLOOKUP(A1346,[1]!Table1[#All],32,FALSE)</f>
        <v>43738</v>
      </c>
      <c r="I1346" s="8">
        <f>VLOOKUP(A1346,[1]!Table1[#All],33,FALSE)</f>
        <v>45564</v>
      </c>
      <c r="J1346" t="str">
        <f t="shared" ca="1" si="20"/>
        <v>Non UDO</v>
      </c>
    </row>
    <row r="1347" spans="1:10" x14ac:dyDescent="0.35">
      <c r="A1347" s="9" t="s">
        <v>43</v>
      </c>
      <c r="B1347" s="10">
        <v>45047</v>
      </c>
      <c r="C1347" s="11">
        <v>2083333</v>
      </c>
      <c r="D1347" s="11">
        <v>2083333</v>
      </c>
      <c r="E1347" s="11">
        <v>0</v>
      </c>
      <c r="F1347" t="str">
        <f>VLOOKUP(A1347,[1]!Table1[#All],17,FALSE)</f>
        <v>SOUTH AFRICA</v>
      </c>
      <c r="G1347" t="str">
        <f>VLOOKUP(A1347,[1]!Table1[#All],22,FALSE)</f>
        <v>HISP HEALTH INFORMATION SYSTEMS SOUTH AFRICA</v>
      </c>
      <c r="H1347" s="8">
        <f>VLOOKUP(A1347,[1]!Table1[#All],32,FALSE)</f>
        <v>43738</v>
      </c>
      <c r="I1347" s="8">
        <f>VLOOKUP(A1347,[1]!Table1[#All],33,FALSE)</f>
        <v>45564</v>
      </c>
      <c r="J1347" t="str">
        <f t="shared" ref="J1347:J1410" ca="1" si="21">IF(AND( E1347&gt;0,TODAY()&gt;I1347),"UDO","Non UDO")</f>
        <v>Non UDO</v>
      </c>
    </row>
    <row r="1348" spans="1:10" x14ac:dyDescent="0.35">
      <c r="A1348" s="5" t="s">
        <v>43</v>
      </c>
      <c r="B1348" s="6">
        <v>45078</v>
      </c>
      <c r="C1348" s="7">
        <v>2083333</v>
      </c>
      <c r="D1348" s="7">
        <v>2083333</v>
      </c>
      <c r="E1348" s="7">
        <v>0</v>
      </c>
      <c r="F1348" t="str">
        <f>VLOOKUP(A1348,[1]!Table1[#All],17,FALSE)</f>
        <v>SOUTH AFRICA</v>
      </c>
      <c r="G1348" t="str">
        <f>VLOOKUP(A1348,[1]!Table1[#All],22,FALSE)</f>
        <v>HISP HEALTH INFORMATION SYSTEMS SOUTH AFRICA</v>
      </c>
      <c r="H1348" s="8">
        <f>VLOOKUP(A1348,[1]!Table1[#All],32,FALSE)</f>
        <v>43738</v>
      </c>
      <c r="I1348" s="8">
        <f>VLOOKUP(A1348,[1]!Table1[#All],33,FALSE)</f>
        <v>45564</v>
      </c>
      <c r="J1348" t="str">
        <f t="shared" ca="1" si="21"/>
        <v>Non UDO</v>
      </c>
    </row>
    <row r="1349" spans="1:10" x14ac:dyDescent="0.35">
      <c r="A1349" s="9" t="s">
        <v>43</v>
      </c>
      <c r="B1349" s="10">
        <v>45108</v>
      </c>
      <c r="C1349" s="11">
        <v>2083333</v>
      </c>
      <c r="D1349" s="11">
        <v>2083333</v>
      </c>
      <c r="E1349" s="11">
        <v>0</v>
      </c>
      <c r="F1349" t="str">
        <f>VLOOKUP(A1349,[1]!Table1[#All],17,FALSE)</f>
        <v>SOUTH AFRICA</v>
      </c>
      <c r="G1349" t="str">
        <f>VLOOKUP(A1349,[1]!Table1[#All],22,FALSE)</f>
        <v>HISP HEALTH INFORMATION SYSTEMS SOUTH AFRICA</v>
      </c>
      <c r="H1349" s="8">
        <f>VLOOKUP(A1349,[1]!Table1[#All],32,FALSE)</f>
        <v>43738</v>
      </c>
      <c r="I1349" s="8">
        <f>VLOOKUP(A1349,[1]!Table1[#All],33,FALSE)</f>
        <v>45564</v>
      </c>
      <c r="J1349" t="str">
        <f t="shared" ca="1" si="21"/>
        <v>Non UDO</v>
      </c>
    </row>
    <row r="1350" spans="1:10" x14ac:dyDescent="0.35">
      <c r="A1350" s="5" t="s">
        <v>43</v>
      </c>
      <c r="B1350" s="6">
        <v>45139</v>
      </c>
      <c r="C1350" s="7">
        <v>2083333</v>
      </c>
      <c r="D1350" s="7">
        <v>2083333</v>
      </c>
      <c r="E1350" s="7">
        <v>0</v>
      </c>
      <c r="F1350" t="str">
        <f>VLOOKUP(A1350,[1]!Table1[#All],17,FALSE)</f>
        <v>SOUTH AFRICA</v>
      </c>
      <c r="G1350" t="str">
        <f>VLOOKUP(A1350,[1]!Table1[#All],22,FALSE)</f>
        <v>HISP HEALTH INFORMATION SYSTEMS SOUTH AFRICA</v>
      </c>
      <c r="H1350" s="8">
        <f>VLOOKUP(A1350,[1]!Table1[#All],32,FALSE)</f>
        <v>43738</v>
      </c>
      <c r="I1350" s="8">
        <f>VLOOKUP(A1350,[1]!Table1[#All],33,FALSE)</f>
        <v>45564</v>
      </c>
      <c r="J1350" t="str">
        <f t="shared" ca="1" si="21"/>
        <v>Non UDO</v>
      </c>
    </row>
    <row r="1351" spans="1:10" x14ac:dyDescent="0.35">
      <c r="A1351" s="9" t="s">
        <v>43</v>
      </c>
      <c r="B1351" s="10">
        <v>45170</v>
      </c>
      <c r="C1351" s="11">
        <v>2083333</v>
      </c>
      <c r="D1351" s="11">
        <v>2083333</v>
      </c>
      <c r="E1351" s="11">
        <v>0</v>
      </c>
      <c r="F1351" t="str">
        <f>VLOOKUP(A1351,[1]!Table1[#All],17,FALSE)</f>
        <v>SOUTH AFRICA</v>
      </c>
      <c r="G1351" t="str">
        <f>VLOOKUP(A1351,[1]!Table1[#All],22,FALSE)</f>
        <v>HISP HEALTH INFORMATION SYSTEMS SOUTH AFRICA</v>
      </c>
      <c r="H1351" s="8">
        <f>VLOOKUP(A1351,[1]!Table1[#All],32,FALSE)</f>
        <v>43738</v>
      </c>
      <c r="I1351" s="8">
        <f>VLOOKUP(A1351,[1]!Table1[#All],33,FALSE)</f>
        <v>45564</v>
      </c>
      <c r="J1351" t="str">
        <f t="shared" ca="1" si="21"/>
        <v>Non UDO</v>
      </c>
    </row>
    <row r="1352" spans="1:10" x14ac:dyDescent="0.35">
      <c r="A1352" s="5" t="s">
        <v>44</v>
      </c>
      <c r="B1352" s="6">
        <v>44105</v>
      </c>
      <c r="C1352" s="7">
        <v>2208590</v>
      </c>
      <c r="D1352" s="7">
        <v>643941</v>
      </c>
      <c r="E1352" s="7">
        <v>1564649</v>
      </c>
      <c r="F1352" t="str">
        <f>VLOOKUP(A1352,[1]!Table1[#All],17,FALSE)</f>
        <v>UNITED STATES</v>
      </c>
      <c r="G1352" t="str">
        <f>VLOOKUP(A1352,[1]!Table1[#All],22,FALSE)</f>
        <v>UNIVERSITY OF MARYLAND BALTIMORE PROFESSIONAL SCHO</v>
      </c>
      <c r="H1352" s="8">
        <f>VLOOKUP(A1352,[1]!Table1[#All],32,FALSE)</f>
        <v>43738</v>
      </c>
      <c r="I1352" s="8">
        <f>VLOOKUP(A1352,[1]!Table1[#All],33,FALSE)</f>
        <v>45564</v>
      </c>
      <c r="J1352" t="str">
        <f t="shared" ca="1" si="21"/>
        <v>UDO</v>
      </c>
    </row>
    <row r="1353" spans="1:10" x14ac:dyDescent="0.35">
      <c r="A1353" s="9" t="s">
        <v>44</v>
      </c>
      <c r="B1353" s="10">
        <v>44136</v>
      </c>
      <c r="C1353" s="11">
        <v>2208590</v>
      </c>
      <c r="D1353" s="11">
        <v>802539.34</v>
      </c>
      <c r="E1353" s="11">
        <v>1406050.6600000001</v>
      </c>
      <c r="F1353" t="str">
        <f>VLOOKUP(A1353,[1]!Table1[#All],17,FALSE)</f>
        <v>UNITED STATES</v>
      </c>
      <c r="G1353" t="str">
        <f>VLOOKUP(A1353,[1]!Table1[#All],22,FALSE)</f>
        <v>UNIVERSITY OF MARYLAND BALTIMORE PROFESSIONAL SCHO</v>
      </c>
      <c r="H1353" s="8">
        <f>VLOOKUP(A1353,[1]!Table1[#All],32,FALSE)</f>
        <v>43738</v>
      </c>
      <c r="I1353" s="8">
        <f>VLOOKUP(A1353,[1]!Table1[#All],33,FALSE)</f>
        <v>45564</v>
      </c>
      <c r="J1353" t="str">
        <f t="shared" ca="1" si="21"/>
        <v>UDO</v>
      </c>
    </row>
    <row r="1354" spans="1:10" x14ac:dyDescent="0.35">
      <c r="A1354" s="5" t="s">
        <v>44</v>
      </c>
      <c r="B1354" s="6">
        <v>44166</v>
      </c>
      <c r="C1354" s="7">
        <v>2208590</v>
      </c>
      <c r="D1354" s="7">
        <v>574263.67999999993</v>
      </c>
      <c r="E1354" s="7">
        <v>1634326.32</v>
      </c>
      <c r="F1354" t="str">
        <f>VLOOKUP(A1354,[1]!Table1[#All],17,FALSE)</f>
        <v>UNITED STATES</v>
      </c>
      <c r="G1354" t="str">
        <f>VLOOKUP(A1354,[1]!Table1[#All],22,FALSE)</f>
        <v>UNIVERSITY OF MARYLAND BALTIMORE PROFESSIONAL SCHO</v>
      </c>
      <c r="H1354" s="8">
        <f>VLOOKUP(A1354,[1]!Table1[#All],32,FALSE)</f>
        <v>43738</v>
      </c>
      <c r="I1354" s="8">
        <f>VLOOKUP(A1354,[1]!Table1[#All],33,FALSE)</f>
        <v>45564</v>
      </c>
      <c r="J1354" t="str">
        <f t="shared" ca="1" si="21"/>
        <v>UDO</v>
      </c>
    </row>
    <row r="1355" spans="1:10" x14ac:dyDescent="0.35">
      <c r="A1355" s="9" t="s">
        <v>44</v>
      </c>
      <c r="B1355" s="10">
        <v>44197</v>
      </c>
      <c r="C1355" s="11">
        <v>2208590</v>
      </c>
      <c r="D1355" s="11">
        <v>713353.1</v>
      </c>
      <c r="E1355" s="11">
        <v>1495236.9</v>
      </c>
      <c r="F1355" t="str">
        <f>VLOOKUP(A1355,[1]!Table1[#All],17,FALSE)</f>
        <v>UNITED STATES</v>
      </c>
      <c r="G1355" t="str">
        <f>VLOOKUP(A1355,[1]!Table1[#All],22,FALSE)</f>
        <v>UNIVERSITY OF MARYLAND BALTIMORE PROFESSIONAL SCHO</v>
      </c>
      <c r="H1355" s="8">
        <f>VLOOKUP(A1355,[1]!Table1[#All],32,FALSE)</f>
        <v>43738</v>
      </c>
      <c r="I1355" s="8">
        <f>VLOOKUP(A1355,[1]!Table1[#All],33,FALSE)</f>
        <v>45564</v>
      </c>
      <c r="J1355" t="str">
        <f t="shared" ca="1" si="21"/>
        <v>UDO</v>
      </c>
    </row>
    <row r="1356" spans="1:10" x14ac:dyDescent="0.35">
      <c r="A1356" s="5" t="s">
        <v>44</v>
      </c>
      <c r="B1356" s="6">
        <v>44228</v>
      </c>
      <c r="C1356" s="7">
        <v>2208590</v>
      </c>
      <c r="D1356" s="7">
        <v>936722.64999999991</v>
      </c>
      <c r="E1356" s="7">
        <v>1271867.3499999999</v>
      </c>
      <c r="F1356" t="str">
        <f>VLOOKUP(A1356,[1]!Table1[#All],17,FALSE)</f>
        <v>UNITED STATES</v>
      </c>
      <c r="G1356" t="str">
        <f>VLOOKUP(A1356,[1]!Table1[#All],22,FALSE)</f>
        <v>UNIVERSITY OF MARYLAND BALTIMORE PROFESSIONAL SCHO</v>
      </c>
      <c r="H1356" s="8">
        <f>VLOOKUP(A1356,[1]!Table1[#All],32,FALSE)</f>
        <v>43738</v>
      </c>
      <c r="I1356" s="8">
        <f>VLOOKUP(A1356,[1]!Table1[#All],33,FALSE)</f>
        <v>45564</v>
      </c>
      <c r="J1356" t="str">
        <f t="shared" ca="1" si="21"/>
        <v>UDO</v>
      </c>
    </row>
    <row r="1357" spans="1:10" x14ac:dyDescent="0.35">
      <c r="A1357" s="9" t="s">
        <v>44</v>
      </c>
      <c r="B1357" s="10">
        <v>44256</v>
      </c>
      <c r="C1357" s="11">
        <v>2208590</v>
      </c>
      <c r="D1357" s="11">
        <v>1000815.8</v>
      </c>
      <c r="E1357" s="11">
        <v>1207774.2</v>
      </c>
      <c r="F1357" t="str">
        <f>VLOOKUP(A1357,[1]!Table1[#All],17,FALSE)</f>
        <v>UNITED STATES</v>
      </c>
      <c r="G1357" t="str">
        <f>VLOOKUP(A1357,[1]!Table1[#All],22,FALSE)</f>
        <v>UNIVERSITY OF MARYLAND BALTIMORE PROFESSIONAL SCHO</v>
      </c>
      <c r="H1357" s="8">
        <f>VLOOKUP(A1357,[1]!Table1[#All],32,FALSE)</f>
        <v>43738</v>
      </c>
      <c r="I1357" s="8">
        <f>VLOOKUP(A1357,[1]!Table1[#All],33,FALSE)</f>
        <v>45564</v>
      </c>
      <c r="J1357" t="str">
        <f t="shared" ca="1" si="21"/>
        <v>UDO</v>
      </c>
    </row>
    <row r="1358" spans="1:10" x14ac:dyDescent="0.35">
      <c r="A1358" s="5" t="s">
        <v>44</v>
      </c>
      <c r="B1358" s="6">
        <v>44287</v>
      </c>
      <c r="C1358" s="7">
        <v>2208590</v>
      </c>
      <c r="D1358" s="7">
        <v>1000815.8</v>
      </c>
      <c r="E1358" s="7">
        <v>1207774.2</v>
      </c>
      <c r="F1358" t="str">
        <f>VLOOKUP(A1358,[1]!Table1[#All],17,FALSE)</f>
        <v>UNITED STATES</v>
      </c>
      <c r="G1358" t="str">
        <f>VLOOKUP(A1358,[1]!Table1[#All],22,FALSE)</f>
        <v>UNIVERSITY OF MARYLAND BALTIMORE PROFESSIONAL SCHO</v>
      </c>
      <c r="H1358" s="8">
        <f>VLOOKUP(A1358,[1]!Table1[#All],32,FALSE)</f>
        <v>43738</v>
      </c>
      <c r="I1358" s="8">
        <f>VLOOKUP(A1358,[1]!Table1[#All],33,FALSE)</f>
        <v>45564</v>
      </c>
      <c r="J1358" t="str">
        <f t="shared" ca="1" si="21"/>
        <v>UDO</v>
      </c>
    </row>
    <row r="1359" spans="1:10" x14ac:dyDescent="0.35">
      <c r="A1359" s="9" t="s">
        <v>44</v>
      </c>
      <c r="B1359" s="10">
        <v>44317</v>
      </c>
      <c r="C1359" s="11">
        <v>2208590</v>
      </c>
      <c r="D1359" s="11">
        <v>1154791.1000000001</v>
      </c>
      <c r="E1359" s="11">
        <v>1053798.8999999999</v>
      </c>
      <c r="F1359" t="str">
        <f>VLOOKUP(A1359,[1]!Table1[#All],17,FALSE)</f>
        <v>UNITED STATES</v>
      </c>
      <c r="G1359" t="str">
        <f>VLOOKUP(A1359,[1]!Table1[#All],22,FALSE)</f>
        <v>UNIVERSITY OF MARYLAND BALTIMORE PROFESSIONAL SCHO</v>
      </c>
      <c r="H1359" s="8">
        <f>VLOOKUP(A1359,[1]!Table1[#All],32,FALSE)</f>
        <v>43738</v>
      </c>
      <c r="I1359" s="8">
        <f>VLOOKUP(A1359,[1]!Table1[#All],33,FALSE)</f>
        <v>45564</v>
      </c>
      <c r="J1359" t="str">
        <f t="shared" ca="1" si="21"/>
        <v>UDO</v>
      </c>
    </row>
    <row r="1360" spans="1:10" x14ac:dyDescent="0.35">
      <c r="A1360" s="5" t="s">
        <v>44</v>
      </c>
      <c r="B1360" s="6">
        <v>44348</v>
      </c>
      <c r="C1360" s="7">
        <v>2208590</v>
      </c>
      <c r="D1360" s="7">
        <v>1192446.7599999998</v>
      </c>
      <c r="E1360" s="7">
        <v>1016143.2400000001</v>
      </c>
      <c r="F1360" t="str">
        <f>VLOOKUP(A1360,[1]!Table1[#All],17,FALSE)</f>
        <v>UNITED STATES</v>
      </c>
      <c r="G1360" t="str">
        <f>VLOOKUP(A1360,[1]!Table1[#All],22,FALSE)</f>
        <v>UNIVERSITY OF MARYLAND BALTIMORE PROFESSIONAL SCHO</v>
      </c>
      <c r="H1360" s="8">
        <f>VLOOKUP(A1360,[1]!Table1[#All],32,FALSE)</f>
        <v>43738</v>
      </c>
      <c r="I1360" s="8">
        <f>VLOOKUP(A1360,[1]!Table1[#All],33,FALSE)</f>
        <v>45564</v>
      </c>
      <c r="J1360" t="str">
        <f t="shared" ca="1" si="21"/>
        <v>UDO</v>
      </c>
    </row>
    <row r="1361" spans="1:10" x14ac:dyDescent="0.35">
      <c r="A1361" s="9" t="s">
        <v>44</v>
      </c>
      <c r="B1361" s="10">
        <v>44378</v>
      </c>
      <c r="C1361" s="11">
        <v>2208590</v>
      </c>
      <c r="D1361" s="11">
        <v>1522144.75</v>
      </c>
      <c r="E1361" s="11">
        <v>686445.25</v>
      </c>
      <c r="F1361" t="str">
        <f>VLOOKUP(A1361,[1]!Table1[#All],17,FALSE)</f>
        <v>UNITED STATES</v>
      </c>
      <c r="G1361" t="str">
        <f>VLOOKUP(A1361,[1]!Table1[#All],22,FALSE)</f>
        <v>UNIVERSITY OF MARYLAND BALTIMORE PROFESSIONAL SCHO</v>
      </c>
      <c r="H1361" s="8">
        <f>VLOOKUP(A1361,[1]!Table1[#All],32,FALSE)</f>
        <v>43738</v>
      </c>
      <c r="I1361" s="8">
        <f>VLOOKUP(A1361,[1]!Table1[#All],33,FALSE)</f>
        <v>45564</v>
      </c>
      <c r="J1361" t="str">
        <f t="shared" ca="1" si="21"/>
        <v>UDO</v>
      </c>
    </row>
    <row r="1362" spans="1:10" x14ac:dyDescent="0.35">
      <c r="A1362" s="5" t="s">
        <v>44</v>
      </c>
      <c r="B1362" s="6">
        <v>44409</v>
      </c>
      <c r="C1362" s="7">
        <v>2208590</v>
      </c>
      <c r="D1362" s="7">
        <v>1789604.0299999998</v>
      </c>
      <c r="E1362" s="7">
        <v>418985.97000000003</v>
      </c>
      <c r="F1362" t="str">
        <f>VLOOKUP(A1362,[1]!Table1[#All],17,FALSE)</f>
        <v>UNITED STATES</v>
      </c>
      <c r="G1362" t="str">
        <f>VLOOKUP(A1362,[1]!Table1[#All],22,FALSE)</f>
        <v>UNIVERSITY OF MARYLAND BALTIMORE PROFESSIONAL SCHO</v>
      </c>
      <c r="H1362" s="8">
        <f>VLOOKUP(A1362,[1]!Table1[#All],32,FALSE)</f>
        <v>43738</v>
      </c>
      <c r="I1362" s="8">
        <f>VLOOKUP(A1362,[1]!Table1[#All],33,FALSE)</f>
        <v>45564</v>
      </c>
      <c r="J1362" t="str">
        <f t="shared" ca="1" si="21"/>
        <v>UDO</v>
      </c>
    </row>
    <row r="1363" spans="1:10" x14ac:dyDescent="0.35">
      <c r="A1363" s="9" t="s">
        <v>44</v>
      </c>
      <c r="B1363" s="10">
        <v>44440</v>
      </c>
      <c r="C1363" s="11">
        <v>2208590</v>
      </c>
      <c r="D1363" s="11">
        <v>2208590</v>
      </c>
      <c r="E1363" s="11">
        <v>0</v>
      </c>
      <c r="F1363" t="str">
        <f>VLOOKUP(A1363,[1]!Table1[#All],17,FALSE)</f>
        <v>UNITED STATES</v>
      </c>
      <c r="G1363" t="str">
        <f>VLOOKUP(A1363,[1]!Table1[#All],22,FALSE)</f>
        <v>UNIVERSITY OF MARYLAND BALTIMORE PROFESSIONAL SCHO</v>
      </c>
      <c r="H1363" s="8">
        <f>VLOOKUP(A1363,[1]!Table1[#All],32,FALSE)</f>
        <v>43738</v>
      </c>
      <c r="I1363" s="8">
        <f>VLOOKUP(A1363,[1]!Table1[#All],33,FALSE)</f>
        <v>45564</v>
      </c>
      <c r="J1363" t="str">
        <f t="shared" ca="1" si="21"/>
        <v>Non UDO</v>
      </c>
    </row>
    <row r="1364" spans="1:10" x14ac:dyDescent="0.35">
      <c r="A1364" s="5" t="s">
        <v>44</v>
      </c>
      <c r="B1364" s="6">
        <v>44470</v>
      </c>
      <c r="C1364" s="7">
        <v>2208590</v>
      </c>
      <c r="D1364" s="7">
        <v>2208590</v>
      </c>
      <c r="E1364" s="7">
        <v>0</v>
      </c>
      <c r="F1364" t="str">
        <f>VLOOKUP(A1364,[1]!Table1[#All],17,FALSE)</f>
        <v>UNITED STATES</v>
      </c>
      <c r="G1364" t="str">
        <f>VLOOKUP(A1364,[1]!Table1[#All],22,FALSE)</f>
        <v>UNIVERSITY OF MARYLAND BALTIMORE PROFESSIONAL SCHO</v>
      </c>
      <c r="H1364" s="8">
        <f>VLOOKUP(A1364,[1]!Table1[#All],32,FALSE)</f>
        <v>43738</v>
      </c>
      <c r="I1364" s="8">
        <f>VLOOKUP(A1364,[1]!Table1[#All],33,FALSE)</f>
        <v>45564</v>
      </c>
      <c r="J1364" t="str">
        <f t="shared" ca="1" si="21"/>
        <v>Non UDO</v>
      </c>
    </row>
    <row r="1365" spans="1:10" x14ac:dyDescent="0.35">
      <c r="A1365" s="9" t="s">
        <v>44</v>
      </c>
      <c r="B1365" s="10">
        <v>44501</v>
      </c>
      <c r="C1365" s="11">
        <v>2208590</v>
      </c>
      <c r="D1365" s="11">
        <v>2208590</v>
      </c>
      <c r="E1365" s="11">
        <v>0</v>
      </c>
      <c r="F1365" t="str">
        <f>VLOOKUP(A1365,[1]!Table1[#All],17,FALSE)</f>
        <v>UNITED STATES</v>
      </c>
      <c r="G1365" t="str">
        <f>VLOOKUP(A1365,[1]!Table1[#All],22,FALSE)</f>
        <v>UNIVERSITY OF MARYLAND BALTIMORE PROFESSIONAL SCHO</v>
      </c>
      <c r="H1365" s="8">
        <f>VLOOKUP(A1365,[1]!Table1[#All],32,FALSE)</f>
        <v>43738</v>
      </c>
      <c r="I1365" s="8">
        <f>VLOOKUP(A1365,[1]!Table1[#All],33,FALSE)</f>
        <v>45564</v>
      </c>
      <c r="J1365" t="str">
        <f t="shared" ca="1" si="21"/>
        <v>Non UDO</v>
      </c>
    </row>
    <row r="1366" spans="1:10" x14ac:dyDescent="0.35">
      <c r="A1366" s="5" t="s">
        <v>44</v>
      </c>
      <c r="B1366" s="6">
        <v>44531</v>
      </c>
      <c r="C1366" s="7">
        <v>2208590</v>
      </c>
      <c r="D1366" s="7">
        <v>2208590</v>
      </c>
      <c r="E1366" s="7">
        <v>0</v>
      </c>
      <c r="F1366" t="str">
        <f>VLOOKUP(A1366,[1]!Table1[#All],17,FALSE)</f>
        <v>UNITED STATES</v>
      </c>
      <c r="G1366" t="str">
        <f>VLOOKUP(A1366,[1]!Table1[#All],22,FALSE)</f>
        <v>UNIVERSITY OF MARYLAND BALTIMORE PROFESSIONAL SCHO</v>
      </c>
      <c r="H1366" s="8">
        <f>VLOOKUP(A1366,[1]!Table1[#All],32,FALSE)</f>
        <v>43738</v>
      </c>
      <c r="I1366" s="8">
        <f>VLOOKUP(A1366,[1]!Table1[#All],33,FALSE)</f>
        <v>45564</v>
      </c>
      <c r="J1366" t="str">
        <f t="shared" ca="1" si="21"/>
        <v>Non UDO</v>
      </c>
    </row>
    <row r="1367" spans="1:10" x14ac:dyDescent="0.35">
      <c r="A1367" s="9" t="s">
        <v>44</v>
      </c>
      <c r="B1367" s="10">
        <v>44562</v>
      </c>
      <c r="C1367" s="11">
        <v>2208590</v>
      </c>
      <c r="D1367" s="11">
        <v>2208590</v>
      </c>
      <c r="E1367" s="11">
        <v>0</v>
      </c>
      <c r="F1367" t="str">
        <f>VLOOKUP(A1367,[1]!Table1[#All],17,FALSE)</f>
        <v>UNITED STATES</v>
      </c>
      <c r="G1367" t="str">
        <f>VLOOKUP(A1367,[1]!Table1[#All],22,FALSE)</f>
        <v>UNIVERSITY OF MARYLAND BALTIMORE PROFESSIONAL SCHO</v>
      </c>
      <c r="H1367" s="8">
        <f>VLOOKUP(A1367,[1]!Table1[#All],32,FALSE)</f>
        <v>43738</v>
      </c>
      <c r="I1367" s="8">
        <f>VLOOKUP(A1367,[1]!Table1[#All],33,FALSE)</f>
        <v>45564</v>
      </c>
      <c r="J1367" t="str">
        <f t="shared" ca="1" si="21"/>
        <v>Non UDO</v>
      </c>
    </row>
    <row r="1368" spans="1:10" x14ac:dyDescent="0.35">
      <c r="A1368" s="5" t="s">
        <v>44</v>
      </c>
      <c r="B1368" s="6">
        <v>44593</v>
      </c>
      <c r="C1368" s="7">
        <v>2208590</v>
      </c>
      <c r="D1368" s="7">
        <v>2208590</v>
      </c>
      <c r="E1368" s="7">
        <v>0</v>
      </c>
      <c r="F1368" t="str">
        <f>VLOOKUP(A1368,[1]!Table1[#All],17,FALSE)</f>
        <v>UNITED STATES</v>
      </c>
      <c r="G1368" t="str">
        <f>VLOOKUP(A1368,[1]!Table1[#All],22,FALSE)</f>
        <v>UNIVERSITY OF MARYLAND BALTIMORE PROFESSIONAL SCHO</v>
      </c>
      <c r="H1368" s="8">
        <f>VLOOKUP(A1368,[1]!Table1[#All],32,FALSE)</f>
        <v>43738</v>
      </c>
      <c r="I1368" s="8">
        <f>VLOOKUP(A1368,[1]!Table1[#All],33,FALSE)</f>
        <v>45564</v>
      </c>
      <c r="J1368" t="str">
        <f t="shared" ca="1" si="21"/>
        <v>Non UDO</v>
      </c>
    </row>
    <row r="1369" spans="1:10" x14ac:dyDescent="0.35">
      <c r="A1369" s="9" t="s">
        <v>44</v>
      </c>
      <c r="B1369" s="10">
        <v>44621</v>
      </c>
      <c r="C1369" s="11">
        <v>2208590</v>
      </c>
      <c r="D1369" s="11">
        <v>2208590</v>
      </c>
      <c r="E1369" s="11">
        <v>0</v>
      </c>
      <c r="F1369" t="str">
        <f>VLOOKUP(A1369,[1]!Table1[#All],17,FALSE)</f>
        <v>UNITED STATES</v>
      </c>
      <c r="G1369" t="str">
        <f>VLOOKUP(A1369,[1]!Table1[#All],22,FALSE)</f>
        <v>UNIVERSITY OF MARYLAND BALTIMORE PROFESSIONAL SCHO</v>
      </c>
      <c r="H1369" s="8">
        <f>VLOOKUP(A1369,[1]!Table1[#All],32,FALSE)</f>
        <v>43738</v>
      </c>
      <c r="I1369" s="8">
        <f>VLOOKUP(A1369,[1]!Table1[#All],33,FALSE)</f>
        <v>45564</v>
      </c>
      <c r="J1369" t="str">
        <f t="shared" ca="1" si="21"/>
        <v>Non UDO</v>
      </c>
    </row>
    <row r="1370" spans="1:10" x14ac:dyDescent="0.35">
      <c r="A1370" s="5" t="s">
        <v>44</v>
      </c>
      <c r="B1370" s="6">
        <v>44652</v>
      </c>
      <c r="C1370" s="7">
        <v>2208590</v>
      </c>
      <c r="D1370" s="7">
        <v>2208590</v>
      </c>
      <c r="E1370" s="7">
        <v>0</v>
      </c>
      <c r="F1370" t="str">
        <f>VLOOKUP(A1370,[1]!Table1[#All],17,FALSE)</f>
        <v>UNITED STATES</v>
      </c>
      <c r="G1370" t="str">
        <f>VLOOKUP(A1370,[1]!Table1[#All],22,FALSE)</f>
        <v>UNIVERSITY OF MARYLAND BALTIMORE PROFESSIONAL SCHO</v>
      </c>
      <c r="H1370" s="8">
        <f>VLOOKUP(A1370,[1]!Table1[#All],32,FALSE)</f>
        <v>43738</v>
      </c>
      <c r="I1370" s="8">
        <f>VLOOKUP(A1370,[1]!Table1[#All],33,FALSE)</f>
        <v>45564</v>
      </c>
      <c r="J1370" t="str">
        <f t="shared" ca="1" si="21"/>
        <v>Non UDO</v>
      </c>
    </row>
    <row r="1371" spans="1:10" x14ac:dyDescent="0.35">
      <c r="A1371" s="9" t="s">
        <v>44</v>
      </c>
      <c r="B1371" s="10">
        <v>44682</v>
      </c>
      <c r="C1371" s="11">
        <v>2208590</v>
      </c>
      <c r="D1371" s="11">
        <v>2208590</v>
      </c>
      <c r="E1371" s="11">
        <v>0</v>
      </c>
      <c r="F1371" t="str">
        <f>VLOOKUP(A1371,[1]!Table1[#All],17,FALSE)</f>
        <v>UNITED STATES</v>
      </c>
      <c r="G1371" t="str">
        <f>VLOOKUP(A1371,[1]!Table1[#All],22,FALSE)</f>
        <v>UNIVERSITY OF MARYLAND BALTIMORE PROFESSIONAL SCHO</v>
      </c>
      <c r="H1371" s="8">
        <f>VLOOKUP(A1371,[1]!Table1[#All],32,FALSE)</f>
        <v>43738</v>
      </c>
      <c r="I1371" s="8">
        <f>VLOOKUP(A1371,[1]!Table1[#All],33,FALSE)</f>
        <v>45564</v>
      </c>
      <c r="J1371" t="str">
        <f t="shared" ca="1" si="21"/>
        <v>Non UDO</v>
      </c>
    </row>
    <row r="1372" spans="1:10" x14ac:dyDescent="0.35">
      <c r="A1372" s="5" t="s">
        <v>44</v>
      </c>
      <c r="B1372" s="6">
        <v>44713</v>
      </c>
      <c r="C1372" s="7">
        <v>2208590</v>
      </c>
      <c r="D1372" s="7">
        <v>2208590</v>
      </c>
      <c r="E1372" s="7">
        <v>0</v>
      </c>
      <c r="F1372" t="str">
        <f>VLOOKUP(A1372,[1]!Table1[#All],17,FALSE)</f>
        <v>UNITED STATES</v>
      </c>
      <c r="G1372" t="str">
        <f>VLOOKUP(A1372,[1]!Table1[#All],22,FALSE)</f>
        <v>UNIVERSITY OF MARYLAND BALTIMORE PROFESSIONAL SCHO</v>
      </c>
      <c r="H1372" s="8">
        <f>VLOOKUP(A1372,[1]!Table1[#All],32,FALSE)</f>
        <v>43738</v>
      </c>
      <c r="I1372" s="8">
        <f>VLOOKUP(A1372,[1]!Table1[#All],33,FALSE)</f>
        <v>45564</v>
      </c>
      <c r="J1372" t="str">
        <f t="shared" ca="1" si="21"/>
        <v>Non UDO</v>
      </c>
    </row>
    <row r="1373" spans="1:10" x14ac:dyDescent="0.35">
      <c r="A1373" s="9" t="s">
        <v>44</v>
      </c>
      <c r="B1373" s="10">
        <v>44743</v>
      </c>
      <c r="C1373" s="11">
        <v>2208590</v>
      </c>
      <c r="D1373" s="11">
        <v>2208590</v>
      </c>
      <c r="E1373" s="11">
        <v>0</v>
      </c>
      <c r="F1373" t="str">
        <f>VLOOKUP(A1373,[1]!Table1[#All],17,FALSE)</f>
        <v>UNITED STATES</v>
      </c>
      <c r="G1373" t="str">
        <f>VLOOKUP(A1373,[1]!Table1[#All],22,FALSE)</f>
        <v>UNIVERSITY OF MARYLAND BALTIMORE PROFESSIONAL SCHO</v>
      </c>
      <c r="H1373" s="8">
        <f>VLOOKUP(A1373,[1]!Table1[#All],32,FALSE)</f>
        <v>43738</v>
      </c>
      <c r="I1373" s="8">
        <f>VLOOKUP(A1373,[1]!Table1[#All],33,FALSE)</f>
        <v>45564</v>
      </c>
      <c r="J1373" t="str">
        <f t="shared" ca="1" si="21"/>
        <v>Non UDO</v>
      </c>
    </row>
    <row r="1374" spans="1:10" x14ac:dyDescent="0.35">
      <c r="A1374" s="5" t="s">
        <v>44</v>
      </c>
      <c r="B1374" s="6">
        <v>44774</v>
      </c>
      <c r="C1374" s="7">
        <v>2208590</v>
      </c>
      <c r="D1374" s="7">
        <v>2208590</v>
      </c>
      <c r="E1374" s="7">
        <v>0</v>
      </c>
      <c r="F1374" t="str">
        <f>VLOOKUP(A1374,[1]!Table1[#All],17,FALSE)</f>
        <v>UNITED STATES</v>
      </c>
      <c r="G1374" t="str">
        <f>VLOOKUP(A1374,[1]!Table1[#All],22,FALSE)</f>
        <v>UNIVERSITY OF MARYLAND BALTIMORE PROFESSIONAL SCHO</v>
      </c>
      <c r="H1374" s="8">
        <f>VLOOKUP(A1374,[1]!Table1[#All],32,FALSE)</f>
        <v>43738</v>
      </c>
      <c r="I1374" s="8">
        <f>VLOOKUP(A1374,[1]!Table1[#All],33,FALSE)</f>
        <v>45564</v>
      </c>
      <c r="J1374" t="str">
        <f t="shared" ca="1" si="21"/>
        <v>Non UDO</v>
      </c>
    </row>
    <row r="1375" spans="1:10" x14ac:dyDescent="0.35">
      <c r="A1375" s="9" t="s">
        <v>44</v>
      </c>
      <c r="B1375" s="10">
        <v>44805</v>
      </c>
      <c r="C1375" s="11">
        <v>2208590</v>
      </c>
      <c r="D1375" s="11">
        <v>2208590</v>
      </c>
      <c r="E1375" s="11">
        <v>0</v>
      </c>
      <c r="F1375" t="str">
        <f>VLOOKUP(A1375,[1]!Table1[#All],17,FALSE)</f>
        <v>UNITED STATES</v>
      </c>
      <c r="G1375" t="str">
        <f>VLOOKUP(A1375,[1]!Table1[#All],22,FALSE)</f>
        <v>UNIVERSITY OF MARYLAND BALTIMORE PROFESSIONAL SCHO</v>
      </c>
      <c r="H1375" s="8">
        <f>VLOOKUP(A1375,[1]!Table1[#All],32,FALSE)</f>
        <v>43738</v>
      </c>
      <c r="I1375" s="8">
        <f>VLOOKUP(A1375,[1]!Table1[#All],33,FALSE)</f>
        <v>45564</v>
      </c>
      <c r="J1375" t="str">
        <f t="shared" ca="1" si="21"/>
        <v>Non UDO</v>
      </c>
    </row>
    <row r="1376" spans="1:10" x14ac:dyDescent="0.35">
      <c r="A1376" s="5" t="s">
        <v>44</v>
      </c>
      <c r="B1376" s="6">
        <v>44835</v>
      </c>
      <c r="C1376" s="7">
        <v>2208590</v>
      </c>
      <c r="D1376" s="7">
        <v>2208590</v>
      </c>
      <c r="E1376" s="7">
        <v>0</v>
      </c>
      <c r="F1376" t="str">
        <f>VLOOKUP(A1376,[1]!Table1[#All],17,FALSE)</f>
        <v>UNITED STATES</v>
      </c>
      <c r="G1376" t="str">
        <f>VLOOKUP(A1376,[1]!Table1[#All],22,FALSE)</f>
        <v>UNIVERSITY OF MARYLAND BALTIMORE PROFESSIONAL SCHO</v>
      </c>
      <c r="H1376" s="8">
        <f>VLOOKUP(A1376,[1]!Table1[#All],32,FALSE)</f>
        <v>43738</v>
      </c>
      <c r="I1376" s="8">
        <f>VLOOKUP(A1376,[1]!Table1[#All],33,FALSE)</f>
        <v>45564</v>
      </c>
      <c r="J1376" t="str">
        <f t="shared" ca="1" si="21"/>
        <v>Non UDO</v>
      </c>
    </row>
    <row r="1377" spans="1:10" x14ac:dyDescent="0.35">
      <c r="A1377" s="9" t="s">
        <v>44</v>
      </c>
      <c r="B1377" s="10">
        <v>44866</v>
      </c>
      <c r="C1377" s="11">
        <v>2208590</v>
      </c>
      <c r="D1377" s="11">
        <v>2208590</v>
      </c>
      <c r="E1377" s="11">
        <v>0</v>
      </c>
      <c r="F1377" t="str">
        <f>VLOOKUP(A1377,[1]!Table1[#All],17,FALSE)</f>
        <v>UNITED STATES</v>
      </c>
      <c r="G1377" t="str">
        <f>VLOOKUP(A1377,[1]!Table1[#All],22,FALSE)</f>
        <v>UNIVERSITY OF MARYLAND BALTIMORE PROFESSIONAL SCHO</v>
      </c>
      <c r="H1377" s="8">
        <f>VLOOKUP(A1377,[1]!Table1[#All],32,FALSE)</f>
        <v>43738</v>
      </c>
      <c r="I1377" s="8">
        <f>VLOOKUP(A1377,[1]!Table1[#All],33,FALSE)</f>
        <v>45564</v>
      </c>
      <c r="J1377" t="str">
        <f t="shared" ca="1" si="21"/>
        <v>Non UDO</v>
      </c>
    </row>
    <row r="1378" spans="1:10" x14ac:dyDescent="0.35">
      <c r="A1378" s="5" t="s">
        <v>44</v>
      </c>
      <c r="B1378" s="6">
        <v>44896</v>
      </c>
      <c r="C1378" s="7">
        <v>2208590</v>
      </c>
      <c r="D1378" s="7">
        <v>2208590</v>
      </c>
      <c r="E1378" s="7">
        <v>0</v>
      </c>
      <c r="F1378" t="str">
        <f>VLOOKUP(A1378,[1]!Table1[#All],17,FALSE)</f>
        <v>UNITED STATES</v>
      </c>
      <c r="G1378" t="str">
        <f>VLOOKUP(A1378,[1]!Table1[#All],22,FALSE)</f>
        <v>UNIVERSITY OF MARYLAND BALTIMORE PROFESSIONAL SCHO</v>
      </c>
      <c r="H1378" s="8">
        <f>VLOOKUP(A1378,[1]!Table1[#All],32,FALSE)</f>
        <v>43738</v>
      </c>
      <c r="I1378" s="8">
        <f>VLOOKUP(A1378,[1]!Table1[#All],33,FALSE)</f>
        <v>45564</v>
      </c>
      <c r="J1378" t="str">
        <f t="shared" ca="1" si="21"/>
        <v>Non UDO</v>
      </c>
    </row>
    <row r="1379" spans="1:10" x14ac:dyDescent="0.35">
      <c r="A1379" s="9" t="s">
        <v>44</v>
      </c>
      <c r="B1379" s="10">
        <v>44927</v>
      </c>
      <c r="C1379" s="11">
        <v>2208590</v>
      </c>
      <c r="D1379" s="11">
        <v>2208590</v>
      </c>
      <c r="E1379" s="11">
        <v>0</v>
      </c>
      <c r="F1379" t="str">
        <f>VLOOKUP(A1379,[1]!Table1[#All],17,FALSE)</f>
        <v>UNITED STATES</v>
      </c>
      <c r="G1379" t="str">
        <f>VLOOKUP(A1379,[1]!Table1[#All],22,FALSE)</f>
        <v>UNIVERSITY OF MARYLAND BALTIMORE PROFESSIONAL SCHO</v>
      </c>
      <c r="H1379" s="8">
        <f>VLOOKUP(A1379,[1]!Table1[#All],32,FALSE)</f>
        <v>43738</v>
      </c>
      <c r="I1379" s="8">
        <f>VLOOKUP(A1379,[1]!Table1[#All],33,FALSE)</f>
        <v>45564</v>
      </c>
      <c r="J1379" t="str">
        <f t="shared" ca="1" si="21"/>
        <v>Non UDO</v>
      </c>
    </row>
    <row r="1380" spans="1:10" x14ac:dyDescent="0.35">
      <c r="A1380" s="5" t="s">
        <v>44</v>
      </c>
      <c r="B1380" s="6">
        <v>44958</v>
      </c>
      <c r="C1380" s="7">
        <v>2208590</v>
      </c>
      <c r="D1380" s="7">
        <v>2208590</v>
      </c>
      <c r="E1380" s="7">
        <v>0</v>
      </c>
      <c r="F1380" t="str">
        <f>VLOOKUP(A1380,[1]!Table1[#All],17,FALSE)</f>
        <v>UNITED STATES</v>
      </c>
      <c r="G1380" t="str">
        <f>VLOOKUP(A1380,[1]!Table1[#All],22,FALSE)</f>
        <v>UNIVERSITY OF MARYLAND BALTIMORE PROFESSIONAL SCHO</v>
      </c>
      <c r="H1380" s="8">
        <f>VLOOKUP(A1380,[1]!Table1[#All],32,FALSE)</f>
        <v>43738</v>
      </c>
      <c r="I1380" s="8">
        <f>VLOOKUP(A1380,[1]!Table1[#All],33,FALSE)</f>
        <v>45564</v>
      </c>
      <c r="J1380" t="str">
        <f t="shared" ca="1" si="21"/>
        <v>Non UDO</v>
      </c>
    </row>
    <row r="1381" spans="1:10" x14ac:dyDescent="0.35">
      <c r="A1381" s="9" t="s">
        <v>44</v>
      </c>
      <c r="B1381" s="10">
        <v>44986</v>
      </c>
      <c r="C1381" s="11">
        <v>2208590</v>
      </c>
      <c r="D1381" s="11">
        <v>2208590</v>
      </c>
      <c r="E1381" s="11">
        <v>0</v>
      </c>
      <c r="F1381" t="str">
        <f>VLOOKUP(A1381,[1]!Table1[#All],17,FALSE)</f>
        <v>UNITED STATES</v>
      </c>
      <c r="G1381" t="str">
        <f>VLOOKUP(A1381,[1]!Table1[#All],22,FALSE)</f>
        <v>UNIVERSITY OF MARYLAND BALTIMORE PROFESSIONAL SCHO</v>
      </c>
      <c r="H1381" s="8">
        <f>VLOOKUP(A1381,[1]!Table1[#All],32,FALSE)</f>
        <v>43738</v>
      </c>
      <c r="I1381" s="8">
        <f>VLOOKUP(A1381,[1]!Table1[#All],33,FALSE)</f>
        <v>45564</v>
      </c>
      <c r="J1381" t="str">
        <f t="shared" ca="1" si="21"/>
        <v>Non UDO</v>
      </c>
    </row>
    <row r="1382" spans="1:10" x14ac:dyDescent="0.35">
      <c r="A1382" s="5" t="s">
        <v>44</v>
      </c>
      <c r="B1382" s="6">
        <v>45017</v>
      </c>
      <c r="C1382" s="7">
        <v>2208590</v>
      </c>
      <c r="D1382" s="7">
        <v>2208590</v>
      </c>
      <c r="E1382" s="7">
        <v>0</v>
      </c>
      <c r="F1382" t="str">
        <f>VLOOKUP(A1382,[1]!Table1[#All],17,FALSE)</f>
        <v>UNITED STATES</v>
      </c>
      <c r="G1382" t="str">
        <f>VLOOKUP(A1382,[1]!Table1[#All],22,FALSE)</f>
        <v>UNIVERSITY OF MARYLAND BALTIMORE PROFESSIONAL SCHO</v>
      </c>
      <c r="H1382" s="8">
        <f>VLOOKUP(A1382,[1]!Table1[#All],32,FALSE)</f>
        <v>43738</v>
      </c>
      <c r="I1382" s="8">
        <f>VLOOKUP(A1382,[1]!Table1[#All],33,FALSE)</f>
        <v>45564</v>
      </c>
      <c r="J1382" t="str">
        <f t="shared" ca="1" si="21"/>
        <v>Non UDO</v>
      </c>
    </row>
    <row r="1383" spans="1:10" x14ac:dyDescent="0.35">
      <c r="A1383" s="9" t="s">
        <v>44</v>
      </c>
      <c r="B1383" s="10">
        <v>45047</v>
      </c>
      <c r="C1383" s="11">
        <v>2208590</v>
      </c>
      <c r="D1383" s="11">
        <v>2208590</v>
      </c>
      <c r="E1383" s="11">
        <v>0</v>
      </c>
      <c r="F1383" t="str">
        <f>VLOOKUP(A1383,[1]!Table1[#All],17,FALSE)</f>
        <v>UNITED STATES</v>
      </c>
      <c r="G1383" t="str">
        <f>VLOOKUP(A1383,[1]!Table1[#All],22,FALSE)</f>
        <v>UNIVERSITY OF MARYLAND BALTIMORE PROFESSIONAL SCHO</v>
      </c>
      <c r="H1383" s="8">
        <f>VLOOKUP(A1383,[1]!Table1[#All],32,FALSE)</f>
        <v>43738</v>
      </c>
      <c r="I1383" s="8">
        <f>VLOOKUP(A1383,[1]!Table1[#All],33,FALSE)</f>
        <v>45564</v>
      </c>
      <c r="J1383" t="str">
        <f t="shared" ca="1" si="21"/>
        <v>Non UDO</v>
      </c>
    </row>
    <row r="1384" spans="1:10" x14ac:dyDescent="0.35">
      <c r="A1384" s="5" t="s">
        <v>44</v>
      </c>
      <c r="B1384" s="6">
        <v>45078</v>
      </c>
      <c r="C1384" s="7">
        <v>2208590</v>
      </c>
      <c r="D1384" s="7">
        <v>2208590</v>
      </c>
      <c r="E1384" s="7">
        <v>0</v>
      </c>
      <c r="F1384" t="str">
        <f>VLOOKUP(A1384,[1]!Table1[#All],17,FALSE)</f>
        <v>UNITED STATES</v>
      </c>
      <c r="G1384" t="str">
        <f>VLOOKUP(A1384,[1]!Table1[#All],22,FALSE)</f>
        <v>UNIVERSITY OF MARYLAND BALTIMORE PROFESSIONAL SCHO</v>
      </c>
      <c r="H1384" s="8">
        <f>VLOOKUP(A1384,[1]!Table1[#All],32,FALSE)</f>
        <v>43738</v>
      </c>
      <c r="I1384" s="8">
        <f>VLOOKUP(A1384,[1]!Table1[#All],33,FALSE)</f>
        <v>45564</v>
      </c>
      <c r="J1384" t="str">
        <f t="shared" ca="1" si="21"/>
        <v>Non UDO</v>
      </c>
    </row>
    <row r="1385" spans="1:10" x14ac:dyDescent="0.35">
      <c r="A1385" s="9" t="s">
        <v>44</v>
      </c>
      <c r="B1385" s="10">
        <v>45108</v>
      </c>
      <c r="C1385" s="11">
        <v>2208590</v>
      </c>
      <c r="D1385" s="11">
        <v>2208590</v>
      </c>
      <c r="E1385" s="11">
        <v>0</v>
      </c>
      <c r="F1385" t="str">
        <f>VLOOKUP(A1385,[1]!Table1[#All],17,FALSE)</f>
        <v>UNITED STATES</v>
      </c>
      <c r="G1385" t="str">
        <f>VLOOKUP(A1385,[1]!Table1[#All],22,FALSE)</f>
        <v>UNIVERSITY OF MARYLAND BALTIMORE PROFESSIONAL SCHO</v>
      </c>
      <c r="H1385" s="8">
        <f>VLOOKUP(A1385,[1]!Table1[#All],32,FALSE)</f>
        <v>43738</v>
      </c>
      <c r="I1385" s="8">
        <f>VLOOKUP(A1385,[1]!Table1[#All],33,FALSE)</f>
        <v>45564</v>
      </c>
      <c r="J1385" t="str">
        <f t="shared" ca="1" si="21"/>
        <v>Non UDO</v>
      </c>
    </row>
    <row r="1386" spans="1:10" x14ac:dyDescent="0.35">
      <c r="A1386" s="5" t="s">
        <v>44</v>
      </c>
      <c r="B1386" s="6">
        <v>45139</v>
      </c>
      <c r="C1386" s="7">
        <v>2208590</v>
      </c>
      <c r="D1386" s="7">
        <v>2208590</v>
      </c>
      <c r="E1386" s="7">
        <v>0</v>
      </c>
      <c r="F1386" t="str">
        <f>VLOOKUP(A1386,[1]!Table1[#All],17,FALSE)</f>
        <v>UNITED STATES</v>
      </c>
      <c r="G1386" t="str">
        <f>VLOOKUP(A1386,[1]!Table1[#All],22,FALSE)</f>
        <v>UNIVERSITY OF MARYLAND BALTIMORE PROFESSIONAL SCHO</v>
      </c>
      <c r="H1386" s="8">
        <f>VLOOKUP(A1386,[1]!Table1[#All],32,FALSE)</f>
        <v>43738</v>
      </c>
      <c r="I1386" s="8">
        <f>VLOOKUP(A1386,[1]!Table1[#All],33,FALSE)</f>
        <v>45564</v>
      </c>
      <c r="J1386" t="str">
        <f t="shared" ca="1" si="21"/>
        <v>Non UDO</v>
      </c>
    </row>
    <row r="1387" spans="1:10" x14ac:dyDescent="0.35">
      <c r="A1387" s="9" t="s">
        <v>44</v>
      </c>
      <c r="B1387" s="10">
        <v>45170</v>
      </c>
      <c r="C1387" s="11">
        <v>2208590</v>
      </c>
      <c r="D1387" s="11">
        <v>2208590</v>
      </c>
      <c r="E1387" s="11">
        <v>0</v>
      </c>
      <c r="F1387" t="str">
        <f>VLOOKUP(A1387,[1]!Table1[#All],17,FALSE)</f>
        <v>UNITED STATES</v>
      </c>
      <c r="G1387" t="str">
        <f>VLOOKUP(A1387,[1]!Table1[#All],22,FALSE)</f>
        <v>UNIVERSITY OF MARYLAND BALTIMORE PROFESSIONAL SCHO</v>
      </c>
      <c r="H1387" s="8">
        <f>VLOOKUP(A1387,[1]!Table1[#All],32,FALSE)</f>
        <v>43738</v>
      </c>
      <c r="I1387" s="8">
        <f>VLOOKUP(A1387,[1]!Table1[#All],33,FALSE)</f>
        <v>45564</v>
      </c>
      <c r="J1387" t="str">
        <f t="shared" ca="1" si="21"/>
        <v>Non UDO</v>
      </c>
    </row>
    <row r="1388" spans="1:10" x14ac:dyDescent="0.35">
      <c r="A1388" s="5" t="s">
        <v>45</v>
      </c>
      <c r="B1388" s="6">
        <v>44105</v>
      </c>
      <c r="C1388" s="7">
        <v>13364194</v>
      </c>
      <c r="D1388" s="7">
        <v>5102055</v>
      </c>
      <c r="E1388" s="7">
        <v>8262139</v>
      </c>
      <c r="F1388" t="str">
        <f>VLOOKUP(A1388,[1]!Table1[#All],17,FALSE)</f>
        <v>RWANDA</v>
      </c>
      <c r="G1388" t="str">
        <f>VLOOKUP(A1388,[1]!Table1[#All],22,FALSE)</f>
        <v>Treatment &amp; Research AIDS Center</v>
      </c>
      <c r="H1388" s="8">
        <f>VLOOKUP(A1388,[1]!Table1[#All],32,FALSE)</f>
        <v>43738</v>
      </c>
      <c r="I1388" s="8">
        <f>VLOOKUP(A1388,[1]!Table1[#All],33,FALSE)</f>
        <v>45564</v>
      </c>
      <c r="J1388" t="str">
        <f t="shared" ca="1" si="21"/>
        <v>UDO</v>
      </c>
    </row>
    <row r="1389" spans="1:10" x14ac:dyDescent="0.35">
      <c r="A1389" s="9" t="s">
        <v>45</v>
      </c>
      <c r="B1389" s="10">
        <v>44136</v>
      </c>
      <c r="C1389" s="11">
        <v>13364194</v>
      </c>
      <c r="D1389" s="11">
        <v>5240720</v>
      </c>
      <c r="E1389" s="11">
        <v>8123474</v>
      </c>
      <c r="F1389" t="str">
        <f>VLOOKUP(A1389,[1]!Table1[#All],17,FALSE)</f>
        <v>RWANDA</v>
      </c>
      <c r="G1389" t="str">
        <f>VLOOKUP(A1389,[1]!Table1[#All],22,FALSE)</f>
        <v>Treatment &amp; Research AIDS Center</v>
      </c>
      <c r="H1389" s="8">
        <f>VLOOKUP(A1389,[1]!Table1[#All],32,FALSE)</f>
        <v>43738</v>
      </c>
      <c r="I1389" s="8">
        <f>VLOOKUP(A1389,[1]!Table1[#All],33,FALSE)</f>
        <v>45564</v>
      </c>
      <c r="J1389" t="str">
        <f t="shared" ca="1" si="21"/>
        <v>UDO</v>
      </c>
    </row>
    <row r="1390" spans="1:10" x14ac:dyDescent="0.35">
      <c r="A1390" s="5" t="s">
        <v>45</v>
      </c>
      <c r="B1390" s="6">
        <v>44166</v>
      </c>
      <c r="C1390" s="7">
        <v>13364194</v>
      </c>
      <c r="D1390" s="7">
        <v>5399111.0000000009</v>
      </c>
      <c r="E1390" s="7">
        <v>7965083</v>
      </c>
      <c r="F1390" t="str">
        <f>VLOOKUP(A1390,[1]!Table1[#All],17,FALSE)</f>
        <v>RWANDA</v>
      </c>
      <c r="G1390" t="str">
        <f>VLOOKUP(A1390,[1]!Table1[#All],22,FALSE)</f>
        <v>Treatment &amp; Research AIDS Center</v>
      </c>
      <c r="H1390" s="8">
        <f>VLOOKUP(A1390,[1]!Table1[#All],32,FALSE)</f>
        <v>43738</v>
      </c>
      <c r="I1390" s="8">
        <f>VLOOKUP(A1390,[1]!Table1[#All],33,FALSE)</f>
        <v>45564</v>
      </c>
      <c r="J1390" t="str">
        <f t="shared" ca="1" si="21"/>
        <v>UDO</v>
      </c>
    </row>
    <row r="1391" spans="1:10" x14ac:dyDescent="0.35">
      <c r="A1391" s="9" t="s">
        <v>45</v>
      </c>
      <c r="B1391" s="10">
        <v>44197</v>
      </c>
      <c r="C1391" s="11">
        <v>13364194</v>
      </c>
      <c r="D1391" s="11">
        <v>6814471</v>
      </c>
      <c r="E1391" s="11">
        <v>6549723</v>
      </c>
      <c r="F1391" t="str">
        <f>VLOOKUP(A1391,[1]!Table1[#All],17,FALSE)</f>
        <v>RWANDA</v>
      </c>
      <c r="G1391" t="str">
        <f>VLOOKUP(A1391,[1]!Table1[#All],22,FALSE)</f>
        <v>Treatment &amp; Research AIDS Center</v>
      </c>
      <c r="H1391" s="8">
        <f>VLOOKUP(A1391,[1]!Table1[#All],32,FALSE)</f>
        <v>43738</v>
      </c>
      <c r="I1391" s="8">
        <f>VLOOKUP(A1391,[1]!Table1[#All],33,FALSE)</f>
        <v>45564</v>
      </c>
      <c r="J1391" t="str">
        <f t="shared" ca="1" si="21"/>
        <v>UDO</v>
      </c>
    </row>
    <row r="1392" spans="1:10" x14ac:dyDescent="0.35">
      <c r="A1392" s="5" t="s">
        <v>45</v>
      </c>
      <c r="B1392" s="6">
        <v>44228</v>
      </c>
      <c r="C1392" s="7">
        <v>13364194</v>
      </c>
      <c r="D1392" s="7">
        <v>6814471</v>
      </c>
      <c r="E1392" s="7">
        <v>6549723</v>
      </c>
      <c r="F1392" t="str">
        <f>VLOOKUP(A1392,[1]!Table1[#All],17,FALSE)</f>
        <v>RWANDA</v>
      </c>
      <c r="G1392" t="str">
        <f>VLOOKUP(A1392,[1]!Table1[#All],22,FALSE)</f>
        <v>Treatment &amp; Research AIDS Center</v>
      </c>
      <c r="H1392" s="8">
        <f>VLOOKUP(A1392,[1]!Table1[#All],32,FALSE)</f>
        <v>43738</v>
      </c>
      <c r="I1392" s="8">
        <f>VLOOKUP(A1392,[1]!Table1[#All],33,FALSE)</f>
        <v>45564</v>
      </c>
      <c r="J1392" t="str">
        <f t="shared" ca="1" si="21"/>
        <v>UDO</v>
      </c>
    </row>
    <row r="1393" spans="1:10" x14ac:dyDescent="0.35">
      <c r="A1393" s="9" t="s">
        <v>45</v>
      </c>
      <c r="B1393" s="10">
        <v>44256</v>
      </c>
      <c r="C1393" s="11">
        <v>13364194</v>
      </c>
      <c r="D1393" s="11">
        <v>8399692</v>
      </c>
      <c r="E1393" s="11">
        <v>4964502</v>
      </c>
      <c r="F1393" t="str">
        <f>VLOOKUP(A1393,[1]!Table1[#All],17,FALSE)</f>
        <v>RWANDA</v>
      </c>
      <c r="G1393" t="str">
        <f>VLOOKUP(A1393,[1]!Table1[#All],22,FALSE)</f>
        <v>Treatment &amp; Research AIDS Center</v>
      </c>
      <c r="H1393" s="8">
        <f>VLOOKUP(A1393,[1]!Table1[#All],32,FALSE)</f>
        <v>43738</v>
      </c>
      <c r="I1393" s="8">
        <f>VLOOKUP(A1393,[1]!Table1[#All],33,FALSE)</f>
        <v>45564</v>
      </c>
      <c r="J1393" t="str">
        <f t="shared" ca="1" si="21"/>
        <v>UDO</v>
      </c>
    </row>
    <row r="1394" spans="1:10" x14ac:dyDescent="0.35">
      <c r="A1394" s="5" t="s">
        <v>45</v>
      </c>
      <c r="B1394" s="6">
        <v>44287</v>
      </c>
      <c r="C1394" s="7">
        <v>13364194</v>
      </c>
      <c r="D1394" s="7">
        <v>9061336</v>
      </c>
      <c r="E1394" s="7">
        <v>4302858</v>
      </c>
      <c r="F1394" t="str">
        <f>VLOOKUP(A1394,[1]!Table1[#All],17,FALSE)</f>
        <v>RWANDA</v>
      </c>
      <c r="G1394" t="str">
        <f>VLOOKUP(A1394,[1]!Table1[#All],22,FALSE)</f>
        <v>Treatment &amp; Research AIDS Center</v>
      </c>
      <c r="H1394" s="8">
        <f>VLOOKUP(A1394,[1]!Table1[#All],32,FALSE)</f>
        <v>43738</v>
      </c>
      <c r="I1394" s="8">
        <f>VLOOKUP(A1394,[1]!Table1[#All],33,FALSE)</f>
        <v>45564</v>
      </c>
      <c r="J1394" t="str">
        <f t="shared" ca="1" si="21"/>
        <v>UDO</v>
      </c>
    </row>
    <row r="1395" spans="1:10" x14ac:dyDescent="0.35">
      <c r="A1395" s="9" t="s">
        <v>45</v>
      </c>
      <c r="B1395" s="10">
        <v>44317</v>
      </c>
      <c r="C1395" s="11">
        <v>13364194</v>
      </c>
      <c r="D1395" s="11">
        <v>9061336</v>
      </c>
      <c r="E1395" s="11">
        <v>4302858</v>
      </c>
      <c r="F1395" t="str">
        <f>VLOOKUP(A1395,[1]!Table1[#All],17,FALSE)</f>
        <v>RWANDA</v>
      </c>
      <c r="G1395" t="str">
        <f>VLOOKUP(A1395,[1]!Table1[#All],22,FALSE)</f>
        <v>Treatment &amp; Research AIDS Center</v>
      </c>
      <c r="H1395" s="8">
        <f>VLOOKUP(A1395,[1]!Table1[#All],32,FALSE)</f>
        <v>43738</v>
      </c>
      <c r="I1395" s="8">
        <f>VLOOKUP(A1395,[1]!Table1[#All],33,FALSE)</f>
        <v>45564</v>
      </c>
      <c r="J1395" t="str">
        <f t="shared" ca="1" si="21"/>
        <v>UDO</v>
      </c>
    </row>
    <row r="1396" spans="1:10" x14ac:dyDescent="0.35">
      <c r="A1396" s="5" t="s">
        <v>45</v>
      </c>
      <c r="B1396" s="6">
        <v>44348</v>
      </c>
      <c r="C1396" s="7">
        <v>13364194</v>
      </c>
      <c r="D1396" s="7">
        <v>10192864</v>
      </c>
      <c r="E1396" s="7">
        <v>3171330</v>
      </c>
      <c r="F1396" t="str">
        <f>VLOOKUP(A1396,[1]!Table1[#All],17,FALSE)</f>
        <v>RWANDA</v>
      </c>
      <c r="G1396" t="str">
        <f>VLOOKUP(A1396,[1]!Table1[#All],22,FALSE)</f>
        <v>Treatment &amp; Research AIDS Center</v>
      </c>
      <c r="H1396" s="8">
        <f>VLOOKUP(A1396,[1]!Table1[#All],32,FALSE)</f>
        <v>43738</v>
      </c>
      <c r="I1396" s="8">
        <f>VLOOKUP(A1396,[1]!Table1[#All],33,FALSE)</f>
        <v>45564</v>
      </c>
      <c r="J1396" t="str">
        <f t="shared" ca="1" si="21"/>
        <v>UDO</v>
      </c>
    </row>
    <row r="1397" spans="1:10" x14ac:dyDescent="0.35">
      <c r="A1397" s="9" t="s">
        <v>45</v>
      </c>
      <c r="B1397" s="10">
        <v>44378</v>
      </c>
      <c r="C1397" s="11">
        <v>13364194</v>
      </c>
      <c r="D1397" s="11">
        <v>10192864</v>
      </c>
      <c r="E1397" s="11">
        <v>3171330</v>
      </c>
      <c r="F1397" t="str">
        <f>VLOOKUP(A1397,[1]!Table1[#All],17,FALSE)</f>
        <v>RWANDA</v>
      </c>
      <c r="G1397" t="str">
        <f>VLOOKUP(A1397,[1]!Table1[#All],22,FALSE)</f>
        <v>Treatment &amp; Research AIDS Center</v>
      </c>
      <c r="H1397" s="8">
        <f>VLOOKUP(A1397,[1]!Table1[#All],32,FALSE)</f>
        <v>43738</v>
      </c>
      <c r="I1397" s="8">
        <f>VLOOKUP(A1397,[1]!Table1[#All],33,FALSE)</f>
        <v>45564</v>
      </c>
      <c r="J1397" t="str">
        <f t="shared" ca="1" si="21"/>
        <v>UDO</v>
      </c>
    </row>
    <row r="1398" spans="1:10" x14ac:dyDescent="0.35">
      <c r="A1398" s="5" t="s">
        <v>45</v>
      </c>
      <c r="B1398" s="6">
        <v>44409</v>
      </c>
      <c r="C1398" s="7">
        <v>13364194</v>
      </c>
      <c r="D1398" s="7">
        <v>11853069</v>
      </c>
      <c r="E1398" s="7">
        <v>1511125</v>
      </c>
      <c r="F1398" t="str">
        <f>VLOOKUP(A1398,[1]!Table1[#All],17,FALSE)</f>
        <v>RWANDA</v>
      </c>
      <c r="G1398" t="str">
        <f>VLOOKUP(A1398,[1]!Table1[#All],22,FALSE)</f>
        <v>Treatment &amp; Research AIDS Center</v>
      </c>
      <c r="H1398" s="8">
        <f>VLOOKUP(A1398,[1]!Table1[#All],32,FALSE)</f>
        <v>43738</v>
      </c>
      <c r="I1398" s="8">
        <f>VLOOKUP(A1398,[1]!Table1[#All],33,FALSE)</f>
        <v>45564</v>
      </c>
      <c r="J1398" t="str">
        <f t="shared" ca="1" si="21"/>
        <v>UDO</v>
      </c>
    </row>
    <row r="1399" spans="1:10" x14ac:dyDescent="0.35">
      <c r="A1399" s="9" t="s">
        <v>45</v>
      </c>
      <c r="B1399" s="10">
        <v>44440</v>
      </c>
      <c r="C1399" s="11">
        <v>13364194</v>
      </c>
      <c r="D1399" s="11">
        <v>12243282.57</v>
      </c>
      <c r="E1399" s="11">
        <v>1120911.43</v>
      </c>
      <c r="F1399" t="str">
        <f>VLOOKUP(A1399,[1]!Table1[#All],17,FALSE)</f>
        <v>RWANDA</v>
      </c>
      <c r="G1399" t="str">
        <f>VLOOKUP(A1399,[1]!Table1[#All],22,FALSE)</f>
        <v>Treatment &amp; Research AIDS Center</v>
      </c>
      <c r="H1399" s="8">
        <f>VLOOKUP(A1399,[1]!Table1[#All],32,FALSE)</f>
        <v>43738</v>
      </c>
      <c r="I1399" s="8">
        <f>VLOOKUP(A1399,[1]!Table1[#All],33,FALSE)</f>
        <v>45564</v>
      </c>
      <c r="J1399" t="str">
        <f t="shared" ca="1" si="21"/>
        <v>UDO</v>
      </c>
    </row>
    <row r="1400" spans="1:10" x14ac:dyDescent="0.35">
      <c r="A1400" s="5" t="s">
        <v>45</v>
      </c>
      <c r="B1400" s="6">
        <v>44470</v>
      </c>
      <c r="C1400" s="7">
        <v>13364194</v>
      </c>
      <c r="D1400" s="7">
        <v>12252432.57</v>
      </c>
      <c r="E1400" s="7">
        <v>1111761.43</v>
      </c>
      <c r="F1400" t="str">
        <f>VLOOKUP(A1400,[1]!Table1[#All],17,FALSE)</f>
        <v>RWANDA</v>
      </c>
      <c r="G1400" t="str">
        <f>VLOOKUP(A1400,[1]!Table1[#All],22,FALSE)</f>
        <v>Treatment &amp; Research AIDS Center</v>
      </c>
      <c r="H1400" s="8">
        <f>VLOOKUP(A1400,[1]!Table1[#All],32,FALSE)</f>
        <v>43738</v>
      </c>
      <c r="I1400" s="8">
        <f>VLOOKUP(A1400,[1]!Table1[#All],33,FALSE)</f>
        <v>45564</v>
      </c>
      <c r="J1400" t="str">
        <f t="shared" ca="1" si="21"/>
        <v>UDO</v>
      </c>
    </row>
    <row r="1401" spans="1:10" x14ac:dyDescent="0.35">
      <c r="A1401" s="9" t="s">
        <v>45</v>
      </c>
      <c r="B1401" s="10">
        <v>44501</v>
      </c>
      <c r="C1401" s="11">
        <v>13364194</v>
      </c>
      <c r="D1401" s="11">
        <v>12868231.57</v>
      </c>
      <c r="E1401" s="11">
        <v>495962.43</v>
      </c>
      <c r="F1401" t="str">
        <f>VLOOKUP(A1401,[1]!Table1[#All],17,FALSE)</f>
        <v>RWANDA</v>
      </c>
      <c r="G1401" t="str">
        <f>VLOOKUP(A1401,[1]!Table1[#All],22,FALSE)</f>
        <v>Treatment &amp; Research AIDS Center</v>
      </c>
      <c r="H1401" s="8">
        <f>VLOOKUP(A1401,[1]!Table1[#All],32,FALSE)</f>
        <v>43738</v>
      </c>
      <c r="I1401" s="8">
        <f>VLOOKUP(A1401,[1]!Table1[#All],33,FALSE)</f>
        <v>45564</v>
      </c>
      <c r="J1401" t="str">
        <f t="shared" ca="1" si="21"/>
        <v>UDO</v>
      </c>
    </row>
    <row r="1402" spans="1:10" x14ac:dyDescent="0.35">
      <c r="A1402" s="5" t="s">
        <v>45</v>
      </c>
      <c r="B1402" s="6">
        <v>44531</v>
      </c>
      <c r="C1402" s="7">
        <v>13364194</v>
      </c>
      <c r="D1402" s="7">
        <v>12868231.57</v>
      </c>
      <c r="E1402" s="7">
        <v>495962.43</v>
      </c>
      <c r="F1402" t="str">
        <f>VLOOKUP(A1402,[1]!Table1[#All],17,FALSE)</f>
        <v>RWANDA</v>
      </c>
      <c r="G1402" t="str">
        <f>VLOOKUP(A1402,[1]!Table1[#All],22,FALSE)</f>
        <v>Treatment &amp; Research AIDS Center</v>
      </c>
      <c r="H1402" s="8">
        <f>VLOOKUP(A1402,[1]!Table1[#All],32,FALSE)</f>
        <v>43738</v>
      </c>
      <c r="I1402" s="8">
        <f>VLOOKUP(A1402,[1]!Table1[#All],33,FALSE)</f>
        <v>45564</v>
      </c>
      <c r="J1402" t="str">
        <f t="shared" ca="1" si="21"/>
        <v>UDO</v>
      </c>
    </row>
    <row r="1403" spans="1:10" x14ac:dyDescent="0.35">
      <c r="A1403" s="9" t="s">
        <v>45</v>
      </c>
      <c r="B1403" s="10">
        <v>44562</v>
      </c>
      <c r="C1403" s="11">
        <v>13364194</v>
      </c>
      <c r="D1403" s="11">
        <v>12868231.57</v>
      </c>
      <c r="E1403" s="11">
        <v>495962.43</v>
      </c>
      <c r="F1403" t="str">
        <f>VLOOKUP(A1403,[1]!Table1[#All],17,FALSE)</f>
        <v>RWANDA</v>
      </c>
      <c r="G1403" t="str">
        <f>VLOOKUP(A1403,[1]!Table1[#All],22,FALSE)</f>
        <v>Treatment &amp; Research AIDS Center</v>
      </c>
      <c r="H1403" s="8">
        <f>VLOOKUP(A1403,[1]!Table1[#All],32,FALSE)</f>
        <v>43738</v>
      </c>
      <c r="I1403" s="8">
        <f>VLOOKUP(A1403,[1]!Table1[#All],33,FALSE)</f>
        <v>45564</v>
      </c>
      <c r="J1403" t="str">
        <f t="shared" ca="1" si="21"/>
        <v>UDO</v>
      </c>
    </row>
    <row r="1404" spans="1:10" x14ac:dyDescent="0.35">
      <c r="A1404" s="5" t="s">
        <v>45</v>
      </c>
      <c r="B1404" s="6">
        <v>44593</v>
      </c>
      <c r="C1404" s="7">
        <v>13364194</v>
      </c>
      <c r="D1404" s="7">
        <v>12868231.57</v>
      </c>
      <c r="E1404" s="7">
        <v>495962.43</v>
      </c>
      <c r="F1404" t="str">
        <f>VLOOKUP(A1404,[1]!Table1[#All],17,FALSE)</f>
        <v>RWANDA</v>
      </c>
      <c r="G1404" t="str">
        <f>VLOOKUP(A1404,[1]!Table1[#All],22,FALSE)</f>
        <v>Treatment &amp; Research AIDS Center</v>
      </c>
      <c r="H1404" s="8">
        <f>VLOOKUP(A1404,[1]!Table1[#All],32,FALSE)</f>
        <v>43738</v>
      </c>
      <c r="I1404" s="8">
        <f>VLOOKUP(A1404,[1]!Table1[#All],33,FALSE)</f>
        <v>45564</v>
      </c>
      <c r="J1404" t="str">
        <f t="shared" ca="1" si="21"/>
        <v>UDO</v>
      </c>
    </row>
    <row r="1405" spans="1:10" x14ac:dyDescent="0.35">
      <c r="A1405" s="9" t="s">
        <v>45</v>
      </c>
      <c r="B1405" s="10">
        <v>44621</v>
      </c>
      <c r="C1405" s="11">
        <v>13364194</v>
      </c>
      <c r="D1405" s="11">
        <v>12948023</v>
      </c>
      <c r="E1405" s="11">
        <v>416171</v>
      </c>
      <c r="F1405" t="str">
        <f>VLOOKUP(A1405,[1]!Table1[#All],17,FALSE)</f>
        <v>RWANDA</v>
      </c>
      <c r="G1405" t="str">
        <f>VLOOKUP(A1405,[1]!Table1[#All],22,FALSE)</f>
        <v>Treatment &amp; Research AIDS Center</v>
      </c>
      <c r="H1405" s="8">
        <f>VLOOKUP(A1405,[1]!Table1[#All],32,FALSE)</f>
        <v>43738</v>
      </c>
      <c r="I1405" s="8">
        <f>VLOOKUP(A1405,[1]!Table1[#All],33,FALSE)</f>
        <v>45564</v>
      </c>
      <c r="J1405" t="str">
        <f t="shared" ca="1" si="21"/>
        <v>UDO</v>
      </c>
    </row>
    <row r="1406" spans="1:10" x14ac:dyDescent="0.35">
      <c r="A1406" s="5" t="s">
        <v>45</v>
      </c>
      <c r="B1406" s="6">
        <v>44652</v>
      </c>
      <c r="C1406" s="7">
        <v>13364194</v>
      </c>
      <c r="D1406" s="7">
        <v>12948023</v>
      </c>
      <c r="E1406" s="7">
        <v>416171</v>
      </c>
      <c r="F1406" t="str">
        <f>VLOOKUP(A1406,[1]!Table1[#All],17,FALSE)</f>
        <v>RWANDA</v>
      </c>
      <c r="G1406" t="str">
        <f>VLOOKUP(A1406,[1]!Table1[#All],22,FALSE)</f>
        <v>Treatment &amp; Research AIDS Center</v>
      </c>
      <c r="H1406" s="8">
        <f>VLOOKUP(A1406,[1]!Table1[#All],32,FALSE)</f>
        <v>43738</v>
      </c>
      <c r="I1406" s="8">
        <f>VLOOKUP(A1406,[1]!Table1[#All],33,FALSE)</f>
        <v>45564</v>
      </c>
      <c r="J1406" t="str">
        <f t="shared" ca="1" si="21"/>
        <v>UDO</v>
      </c>
    </row>
    <row r="1407" spans="1:10" x14ac:dyDescent="0.35">
      <c r="A1407" s="9" t="s">
        <v>45</v>
      </c>
      <c r="B1407" s="10">
        <v>44682</v>
      </c>
      <c r="C1407" s="11">
        <v>13364194</v>
      </c>
      <c r="D1407" s="11">
        <v>12948023</v>
      </c>
      <c r="E1407" s="11">
        <v>416171</v>
      </c>
      <c r="F1407" t="str">
        <f>VLOOKUP(A1407,[1]!Table1[#All],17,FALSE)</f>
        <v>RWANDA</v>
      </c>
      <c r="G1407" t="str">
        <f>VLOOKUP(A1407,[1]!Table1[#All],22,FALSE)</f>
        <v>Treatment &amp; Research AIDS Center</v>
      </c>
      <c r="H1407" s="8">
        <f>VLOOKUP(A1407,[1]!Table1[#All],32,FALSE)</f>
        <v>43738</v>
      </c>
      <c r="I1407" s="8">
        <f>VLOOKUP(A1407,[1]!Table1[#All],33,FALSE)</f>
        <v>45564</v>
      </c>
      <c r="J1407" t="str">
        <f t="shared" ca="1" si="21"/>
        <v>UDO</v>
      </c>
    </row>
    <row r="1408" spans="1:10" x14ac:dyDescent="0.35">
      <c r="A1408" s="5" t="s">
        <v>45</v>
      </c>
      <c r="B1408" s="6">
        <v>44713</v>
      </c>
      <c r="C1408" s="7">
        <v>13364194</v>
      </c>
      <c r="D1408" s="7">
        <v>12948023</v>
      </c>
      <c r="E1408" s="7">
        <v>416171</v>
      </c>
      <c r="F1408" t="str">
        <f>VLOOKUP(A1408,[1]!Table1[#All],17,FALSE)</f>
        <v>RWANDA</v>
      </c>
      <c r="G1408" t="str">
        <f>VLOOKUP(A1408,[1]!Table1[#All],22,FALSE)</f>
        <v>Treatment &amp; Research AIDS Center</v>
      </c>
      <c r="H1408" s="8">
        <f>VLOOKUP(A1408,[1]!Table1[#All],32,FALSE)</f>
        <v>43738</v>
      </c>
      <c r="I1408" s="8">
        <f>VLOOKUP(A1408,[1]!Table1[#All],33,FALSE)</f>
        <v>45564</v>
      </c>
      <c r="J1408" t="str">
        <f t="shared" ca="1" si="21"/>
        <v>UDO</v>
      </c>
    </row>
    <row r="1409" spans="1:10" x14ac:dyDescent="0.35">
      <c r="A1409" s="9" t="s">
        <v>45</v>
      </c>
      <c r="B1409" s="10">
        <v>44743</v>
      </c>
      <c r="C1409" s="11">
        <v>13364194</v>
      </c>
      <c r="D1409" s="11">
        <v>13303597</v>
      </c>
      <c r="E1409" s="11">
        <v>60597</v>
      </c>
      <c r="F1409" t="str">
        <f>VLOOKUP(A1409,[1]!Table1[#All],17,FALSE)</f>
        <v>RWANDA</v>
      </c>
      <c r="G1409" t="str">
        <f>VLOOKUP(A1409,[1]!Table1[#All],22,FALSE)</f>
        <v>Treatment &amp; Research AIDS Center</v>
      </c>
      <c r="H1409" s="8">
        <f>VLOOKUP(A1409,[1]!Table1[#All],32,FALSE)</f>
        <v>43738</v>
      </c>
      <c r="I1409" s="8">
        <f>VLOOKUP(A1409,[1]!Table1[#All],33,FALSE)</f>
        <v>45564</v>
      </c>
      <c r="J1409" t="str">
        <f t="shared" ca="1" si="21"/>
        <v>UDO</v>
      </c>
    </row>
    <row r="1410" spans="1:10" x14ac:dyDescent="0.35">
      <c r="A1410" s="5" t="s">
        <v>45</v>
      </c>
      <c r="B1410" s="6">
        <v>44774</v>
      </c>
      <c r="C1410" s="7">
        <v>13364194</v>
      </c>
      <c r="D1410" s="7">
        <v>13303597</v>
      </c>
      <c r="E1410" s="7">
        <v>60597</v>
      </c>
      <c r="F1410" t="str">
        <f>VLOOKUP(A1410,[1]!Table1[#All],17,FALSE)</f>
        <v>RWANDA</v>
      </c>
      <c r="G1410" t="str">
        <f>VLOOKUP(A1410,[1]!Table1[#All],22,FALSE)</f>
        <v>Treatment &amp; Research AIDS Center</v>
      </c>
      <c r="H1410" s="8">
        <f>VLOOKUP(A1410,[1]!Table1[#All],32,FALSE)</f>
        <v>43738</v>
      </c>
      <c r="I1410" s="8">
        <f>VLOOKUP(A1410,[1]!Table1[#All],33,FALSE)</f>
        <v>45564</v>
      </c>
      <c r="J1410" t="str">
        <f t="shared" ca="1" si="21"/>
        <v>UDO</v>
      </c>
    </row>
    <row r="1411" spans="1:10" x14ac:dyDescent="0.35">
      <c r="A1411" s="9" t="s">
        <v>45</v>
      </c>
      <c r="B1411" s="10">
        <v>44805</v>
      </c>
      <c r="C1411" s="11">
        <v>13364194</v>
      </c>
      <c r="D1411" s="11">
        <v>13304194</v>
      </c>
      <c r="E1411" s="11">
        <v>60000</v>
      </c>
      <c r="F1411" t="str">
        <f>VLOOKUP(A1411,[1]!Table1[#All],17,FALSE)</f>
        <v>RWANDA</v>
      </c>
      <c r="G1411" t="str">
        <f>VLOOKUP(A1411,[1]!Table1[#All],22,FALSE)</f>
        <v>Treatment &amp; Research AIDS Center</v>
      </c>
      <c r="H1411" s="8">
        <f>VLOOKUP(A1411,[1]!Table1[#All],32,FALSE)</f>
        <v>43738</v>
      </c>
      <c r="I1411" s="8">
        <f>VLOOKUP(A1411,[1]!Table1[#All],33,FALSE)</f>
        <v>45564</v>
      </c>
      <c r="J1411" t="str">
        <f t="shared" ref="J1411:J1474" ca="1" si="22">IF(AND( E1411&gt;0,TODAY()&gt;I1411),"UDO","Non UDO")</f>
        <v>UDO</v>
      </c>
    </row>
    <row r="1412" spans="1:10" x14ac:dyDescent="0.35">
      <c r="A1412" s="5" t="s">
        <v>45</v>
      </c>
      <c r="B1412" s="6">
        <v>44835</v>
      </c>
      <c r="C1412" s="7">
        <v>13364194</v>
      </c>
      <c r="D1412" s="7">
        <v>13304194</v>
      </c>
      <c r="E1412" s="7">
        <v>60000</v>
      </c>
      <c r="F1412" t="str">
        <f>VLOOKUP(A1412,[1]!Table1[#All],17,FALSE)</f>
        <v>RWANDA</v>
      </c>
      <c r="G1412" t="str">
        <f>VLOOKUP(A1412,[1]!Table1[#All],22,FALSE)</f>
        <v>Treatment &amp; Research AIDS Center</v>
      </c>
      <c r="H1412" s="8">
        <f>VLOOKUP(A1412,[1]!Table1[#All],32,FALSE)</f>
        <v>43738</v>
      </c>
      <c r="I1412" s="8">
        <f>VLOOKUP(A1412,[1]!Table1[#All],33,FALSE)</f>
        <v>45564</v>
      </c>
      <c r="J1412" t="str">
        <f t="shared" ca="1" si="22"/>
        <v>UDO</v>
      </c>
    </row>
    <row r="1413" spans="1:10" x14ac:dyDescent="0.35">
      <c r="A1413" s="9" t="s">
        <v>45</v>
      </c>
      <c r="B1413" s="10">
        <v>44866</v>
      </c>
      <c r="C1413" s="11">
        <v>13364194</v>
      </c>
      <c r="D1413" s="11">
        <v>13304194</v>
      </c>
      <c r="E1413" s="11">
        <v>60000</v>
      </c>
      <c r="F1413" t="str">
        <f>VLOOKUP(A1413,[1]!Table1[#All],17,FALSE)</f>
        <v>RWANDA</v>
      </c>
      <c r="G1413" t="str">
        <f>VLOOKUP(A1413,[1]!Table1[#All],22,FALSE)</f>
        <v>Treatment &amp; Research AIDS Center</v>
      </c>
      <c r="H1413" s="8">
        <f>VLOOKUP(A1413,[1]!Table1[#All],32,FALSE)</f>
        <v>43738</v>
      </c>
      <c r="I1413" s="8">
        <f>VLOOKUP(A1413,[1]!Table1[#All],33,FALSE)</f>
        <v>45564</v>
      </c>
      <c r="J1413" t="str">
        <f t="shared" ca="1" si="22"/>
        <v>UDO</v>
      </c>
    </row>
    <row r="1414" spans="1:10" x14ac:dyDescent="0.35">
      <c r="A1414" s="5" t="s">
        <v>45</v>
      </c>
      <c r="B1414" s="6">
        <v>44896</v>
      </c>
      <c r="C1414" s="7">
        <v>13364194</v>
      </c>
      <c r="D1414" s="7">
        <v>13304194</v>
      </c>
      <c r="E1414" s="7">
        <v>60000</v>
      </c>
      <c r="F1414" t="str">
        <f>VLOOKUP(A1414,[1]!Table1[#All],17,FALSE)</f>
        <v>RWANDA</v>
      </c>
      <c r="G1414" t="str">
        <f>VLOOKUP(A1414,[1]!Table1[#All],22,FALSE)</f>
        <v>Treatment &amp; Research AIDS Center</v>
      </c>
      <c r="H1414" s="8">
        <f>VLOOKUP(A1414,[1]!Table1[#All],32,FALSE)</f>
        <v>43738</v>
      </c>
      <c r="I1414" s="8">
        <f>VLOOKUP(A1414,[1]!Table1[#All],33,FALSE)</f>
        <v>45564</v>
      </c>
      <c r="J1414" t="str">
        <f t="shared" ca="1" si="22"/>
        <v>UDO</v>
      </c>
    </row>
    <row r="1415" spans="1:10" x14ac:dyDescent="0.35">
      <c r="A1415" s="9" t="s">
        <v>45</v>
      </c>
      <c r="B1415" s="10">
        <v>44927</v>
      </c>
      <c r="C1415" s="11">
        <v>13364194</v>
      </c>
      <c r="D1415" s="11">
        <v>13304194</v>
      </c>
      <c r="E1415" s="11">
        <v>60000</v>
      </c>
      <c r="F1415" t="str">
        <f>VLOOKUP(A1415,[1]!Table1[#All],17,FALSE)</f>
        <v>RWANDA</v>
      </c>
      <c r="G1415" t="str">
        <f>VLOOKUP(A1415,[1]!Table1[#All],22,FALSE)</f>
        <v>Treatment &amp; Research AIDS Center</v>
      </c>
      <c r="H1415" s="8">
        <f>VLOOKUP(A1415,[1]!Table1[#All],32,FALSE)</f>
        <v>43738</v>
      </c>
      <c r="I1415" s="8">
        <f>VLOOKUP(A1415,[1]!Table1[#All],33,FALSE)</f>
        <v>45564</v>
      </c>
      <c r="J1415" t="str">
        <f t="shared" ca="1" si="22"/>
        <v>UDO</v>
      </c>
    </row>
    <row r="1416" spans="1:10" x14ac:dyDescent="0.35">
      <c r="A1416" s="5" t="s">
        <v>45</v>
      </c>
      <c r="B1416" s="6">
        <v>44958</v>
      </c>
      <c r="C1416" s="7">
        <v>13364194</v>
      </c>
      <c r="D1416" s="7">
        <v>13304194</v>
      </c>
      <c r="E1416" s="7">
        <v>60000</v>
      </c>
      <c r="F1416" t="str">
        <f>VLOOKUP(A1416,[1]!Table1[#All],17,FALSE)</f>
        <v>RWANDA</v>
      </c>
      <c r="G1416" t="str">
        <f>VLOOKUP(A1416,[1]!Table1[#All],22,FALSE)</f>
        <v>Treatment &amp; Research AIDS Center</v>
      </c>
      <c r="H1416" s="8">
        <f>VLOOKUP(A1416,[1]!Table1[#All],32,FALSE)</f>
        <v>43738</v>
      </c>
      <c r="I1416" s="8">
        <f>VLOOKUP(A1416,[1]!Table1[#All],33,FALSE)</f>
        <v>45564</v>
      </c>
      <c r="J1416" t="str">
        <f t="shared" ca="1" si="22"/>
        <v>UDO</v>
      </c>
    </row>
    <row r="1417" spans="1:10" x14ac:dyDescent="0.35">
      <c r="A1417" s="9" t="s">
        <v>45</v>
      </c>
      <c r="B1417" s="10">
        <v>44986</v>
      </c>
      <c r="C1417" s="11">
        <v>13364194</v>
      </c>
      <c r="D1417" s="11">
        <v>13304194</v>
      </c>
      <c r="E1417" s="11">
        <v>60000</v>
      </c>
      <c r="F1417" t="str">
        <f>VLOOKUP(A1417,[1]!Table1[#All],17,FALSE)</f>
        <v>RWANDA</v>
      </c>
      <c r="G1417" t="str">
        <f>VLOOKUP(A1417,[1]!Table1[#All],22,FALSE)</f>
        <v>Treatment &amp; Research AIDS Center</v>
      </c>
      <c r="H1417" s="8">
        <f>VLOOKUP(A1417,[1]!Table1[#All],32,FALSE)</f>
        <v>43738</v>
      </c>
      <c r="I1417" s="8">
        <f>VLOOKUP(A1417,[1]!Table1[#All],33,FALSE)</f>
        <v>45564</v>
      </c>
      <c r="J1417" t="str">
        <f t="shared" ca="1" si="22"/>
        <v>UDO</v>
      </c>
    </row>
    <row r="1418" spans="1:10" x14ac:dyDescent="0.35">
      <c r="A1418" s="5" t="s">
        <v>45</v>
      </c>
      <c r="B1418" s="6">
        <v>45017</v>
      </c>
      <c r="C1418" s="7">
        <v>13364194</v>
      </c>
      <c r="D1418" s="7">
        <v>13304194</v>
      </c>
      <c r="E1418" s="7">
        <v>60000</v>
      </c>
      <c r="F1418" t="str">
        <f>VLOOKUP(A1418,[1]!Table1[#All],17,FALSE)</f>
        <v>RWANDA</v>
      </c>
      <c r="G1418" t="str">
        <f>VLOOKUP(A1418,[1]!Table1[#All],22,FALSE)</f>
        <v>Treatment &amp; Research AIDS Center</v>
      </c>
      <c r="H1418" s="8">
        <f>VLOOKUP(A1418,[1]!Table1[#All],32,FALSE)</f>
        <v>43738</v>
      </c>
      <c r="I1418" s="8">
        <f>VLOOKUP(A1418,[1]!Table1[#All],33,FALSE)</f>
        <v>45564</v>
      </c>
      <c r="J1418" t="str">
        <f t="shared" ca="1" si="22"/>
        <v>UDO</v>
      </c>
    </row>
    <row r="1419" spans="1:10" x14ac:dyDescent="0.35">
      <c r="A1419" s="9" t="s">
        <v>45</v>
      </c>
      <c r="B1419" s="10">
        <v>45047</v>
      </c>
      <c r="C1419" s="11">
        <v>13364194</v>
      </c>
      <c r="D1419" s="11">
        <v>13304194</v>
      </c>
      <c r="E1419" s="11">
        <v>60000</v>
      </c>
      <c r="F1419" t="str">
        <f>VLOOKUP(A1419,[1]!Table1[#All],17,FALSE)</f>
        <v>RWANDA</v>
      </c>
      <c r="G1419" t="str">
        <f>VLOOKUP(A1419,[1]!Table1[#All],22,FALSE)</f>
        <v>Treatment &amp; Research AIDS Center</v>
      </c>
      <c r="H1419" s="8">
        <f>VLOOKUP(A1419,[1]!Table1[#All],32,FALSE)</f>
        <v>43738</v>
      </c>
      <c r="I1419" s="8">
        <f>VLOOKUP(A1419,[1]!Table1[#All],33,FALSE)</f>
        <v>45564</v>
      </c>
      <c r="J1419" t="str">
        <f t="shared" ca="1" si="22"/>
        <v>UDO</v>
      </c>
    </row>
    <row r="1420" spans="1:10" x14ac:dyDescent="0.35">
      <c r="A1420" s="5" t="s">
        <v>45</v>
      </c>
      <c r="B1420" s="6">
        <v>45078</v>
      </c>
      <c r="C1420" s="7">
        <v>13364194</v>
      </c>
      <c r="D1420" s="7">
        <v>13364194</v>
      </c>
      <c r="E1420" s="7">
        <v>0</v>
      </c>
      <c r="F1420" t="str">
        <f>VLOOKUP(A1420,[1]!Table1[#All],17,FALSE)</f>
        <v>RWANDA</v>
      </c>
      <c r="G1420" t="str">
        <f>VLOOKUP(A1420,[1]!Table1[#All],22,FALSE)</f>
        <v>Treatment &amp; Research AIDS Center</v>
      </c>
      <c r="H1420" s="8">
        <f>VLOOKUP(A1420,[1]!Table1[#All],32,FALSE)</f>
        <v>43738</v>
      </c>
      <c r="I1420" s="8">
        <f>VLOOKUP(A1420,[1]!Table1[#All],33,FALSE)</f>
        <v>45564</v>
      </c>
      <c r="J1420" t="str">
        <f t="shared" ca="1" si="22"/>
        <v>Non UDO</v>
      </c>
    </row>
    <row r="1421" spans="1:10" x14ac:dyDescent="0.35">
      <c r="A1421" s="9" t="s">
        <v>45</v>
      </c>
      <c r="B1421" s="10">
        <v>45108</v>
      </c>
      <c r="C1421" s="11">
        <v>13364194</v>
      </c>
      <c r="D1421" s="11">
        <v>13364194</v>
      </c>
      <c r="E1421" s="11">
        <v>0</v>
      </c>
      <c r="F1421" t="str">
        <f>VLOOKUP(A1421,[1]!Table1[#All],17,FALSE)</f>
        <v>RWANDA</v>
      </c>
      <c r="G1421" t="str">
        <f>VLOOKUP(A1421,[1]!Table1[#All],22,FALSE)</f>
        <v>Treatment &amp; Research AIDS Center</v>
      </c>
      <c r="H1421" s="8">
        <f>VLOOKUP(A1421,[1]!Table1[#All],32,FALSE)</f>
        <v>43738</v>
      </c>
      <c r="I1421" s="8">
        <f>VLOOKUP(A1421,[1]!Table1[#All],33,FALSE)</f>
        <v>45564</v>
      </c>
      <c r="J1421" t="str">
        <f t="shared" ca="1" si="22"/>
        <v>Non UDO</v>
      </c>
    </row>
    <row r="1422" spans="1:10" x14ac:dyDescent="0.35">
      <c r="A1422" s="5" t="s">
        <v>45</v>
      </c>
      <c r="B1422" s="6">
        <v>45139</v>
      </c>
      <c r="C1422" s="7">
        <v>13364194</v>
      </c>
      <c r="D1422" s="7">
        <v>13364194</v>
      </c>
      <c r="E1422" s="7">
        <v>0</v>
      </c>
      <c r="F1422" t="str">
        <f>VLOOKUP(A1422,[1]!Table1[#All],17,FALSE)</f>
        <v>RWANDA</v>
      </c>
      <c r="G1422" t="str">
        <f>VLOOKUP(A1422,[1]!Table1[#All],22,FALSE)</f>
        <v>Treatment &amp; Research AIDS Center</v>
      </c>
      <c r="H1422" s="8">
        <f>VLOOKUP(A1422,[1]!Table1[#All],32,FALSE)</f>
        <v>43738</v>
      </c>
      <c r="I1422" s="8">
        <f>VLOOKUP(A1422,[1]!Table1[#All],33,FALSE)</f>
        <v>45564</v>
      </c>
      <c r="J1422" t="str">
        <f t="shared" ca="1" si="22"/>
        <v>Non UDO</v>
      </c>
    </row>
    <row r="1423" spans="1:10" x14ac:dyDescent="0.35">
      <c r="A1423" s="9" t="s">
        <v>45</v>
      </c>
      <c r="B1423" s="10">
        <v>45170</v>
      </c>
      <c r="C1423" s="11">
        <v>13364194</v>
      </c>
      <c r="D1423" s="11">
        <v>13364194</v>
      </c>
      <c r="E1423" s="11">
        <v>0</v>
      </c>
      <c r="F1423" t="str">
        <f>VLOOKUP(A1423,[1]!Table1[#All],17,FALSE)</f>
        <v>RWANDA</v>
      </c>
      <c r="G1423" t="str">
        <f>VLOOKUP(A1423,[1]!Table1[#All],22,FALSE)</f>
        <v>Treatment &amp; Research AIDS Center</v>
      </c>
      <c r="H1423" s="8">
        <f>VLOOKUP(A1423,[1]!Table1[#All],32,FALSE)</f>
        <v>43738</v>
      </c>
      <c r="I1423" s="8">
        <f>VLOOKUP(A1423,[1]!Table1[#All],33,FALSE)</f>
        <v>45564</v>
      </c>
      <c r="J1423" t="str">
        <f t="shared" ca="1" si="22"/>
        <v>Non UDO</v>
      </c>
    </row>
    <row r="1424" spans="1:10" x14ac:dyDescent="0.35">
      <c r="A1424" s="5" t="s">
        <v>46</v>
      </c>
      <c r="B1424" s="6">
        <v>44105</v>
      </c>
      <c r="C1424" s="7">
        <v>10918713</v>
      </c>
      <c r="D1424" s="7">
        <v>225910.64</v>
      </c>
      <c r="E1424" s="7">
        <v>10692802.359999999</v>
      </c>
      <c r="F1424" t="str">
        <f>VLOOKUP(A1424,[1]!Table1[#All],17,FALSE)</f>
        <v>MOZAMBIQUE</v>
      </c>
      <c r="G1424" t="str">
        <f>VLOOKUP(A1424,[1]!Table1[#All],22,FALSE)</f>
        <v>Ministry of Health Mozambique</v>
      </c>
      <c r="H1424" s="8">
        <f>VLOOKUP(A1424,[1]!Table1[#All],32,FALSE)</f>
        <v>43738</v>
      </c>
      <c r="I1424" s="8">
        <f>VLOOKUP(A1424,[1]!Table1[#All],33,FALSE)</f>
        <v>45564</v>
      </c>
      <c r="J1424" t="str">
        <f t="shared" ca="1" si="22"/>
        <v>UDO</v>
      </c>
    </row>
    <row r="1425" spans="1:10" x14ac:dyDescent="0.35">
      <c r="A1425" s="9" t="s">
        <v>46</v>
      </c>
      <c r="B1425" s="10">
        <v>44136</v>
      </c>
      <c r="C1425" s="11">
        <v>10918713</v>
      </c>
      <c r="D1425" s="11">
        <v>225910.64</v>
      </c>
      <c r="E1425" s="11">
        <v>10692802.359999999</v>
      </c>
      <c r="F1425" t="str">
        <f>VLOOKUP(A1425,[1]!Table1[#All],17,FALSE)</f>
        <v>MOZAMBIQUE</v>
      </c>
      <c r="G1425" t="str">
        <f>VLOOKUP(A1425,[1]!Table1[#All],22,FALSE)</f>
        <v>Ministry of Health Mozambique</v>
      </c>
      <c r="H1425" s="8">
        <f>VLOOKUP(A1425,[1]!Table1[#All],32,FALSE)</f>
        <v>43738</v>
      </c>
      <c r="I1425" s="8">
        <f>VLOOKUP(A1425,[1]!Table1[#All],33,FALSE)</f>
        <v>45564</v>
      </c>
      <c r="J1425" t="str">
        <f t="shared" ca="1" si="22"/>
        <v>UDO</v>
      </c>
    </row>
    <row r="1426" spans="1:10" x14ac:dyDescent="0.35">
      <c r="A1426" s="5" t="s">
        <v>46</v>
      </c>
      <c r="B1426" s="6">
        <v>44166</v>
      </c>
      <c r="C1426" s="7">
        <v>10918713</v>
      </c>
      <c r="D1426" s="7">
        <v>1895258.3399999999</v>
      </c>
      <c r="E1426" s="7">
        <v>9023454.6600000001</v>
      </c>
      <c r="F1426" t="str">
        <f>VLOOKUP(A1426,[1]!Table1[#All],17,FALSE)</f>
        <v>MOZAMBIQUE</v>
      </c>
      <c r="G1426" t="str">
        <f>VLOOKUP(A1426,[1]!Table1[#All],22,FALSE)</f>
        <v>Ministry of Health Mozambique</v>
      </c>
      <c r="H1426" s="8">
        <f>VLOOKUP(A1426,[1]!Table1[#All],32,FALSE)</f>
        <v>43738</v>
      </c>
      <c r="I1426" s="8">
        <f>VLOOKUP(A1426,[1]!Table1[#All],33,FALSE)</f>
        <v>45564</v>
      </c>
      <c r="J1426" t="str">
        <f t="shared" ca="1" si="22"/>
        <v>UDO</v>
      </c>
    </row>
    <row r="1427" spans="1:10" x14ac:dyDescent="0.35">
      <c r="A1427" s="9" t="s">
        <v>46</v>
      </c>
      <c r="B1427" s="10">
        <v>44197</v>
      </c>
      <c r="C1427" s="11">
        <v>10918713</v>
      </c>
      <c r="D1427" s="11">
        <v>2289537.04</v>
      </c>
      <c r="E1427" s="11">
        <v>8629175.9600000009</v>
      </c>
      <c r="F1427" t="str">
        <f>VLOOKUP(A1427,[1]!Table1[#All],17,FALSE)</f>
        <v>MOZAMBIQUE</v>
      </c>
      <c r="G1427" t="str">
        <f>VLOOKUP(A1427,[1]!Table1[#All],22,FALSE)</f>
        <v>Ministry of Health Mozambique</v>
      </c>
      <c r="H1427" s="8">
        <f>VLOOKUP(A1427,[1]!Table1[#All],32,FALSE)</f>
        <v>43738</v>
      </c>
      <c r="I1427" s="8">
        <f>VLOOKUP(A1427,[1]!Table1[#All],33,FALSE)</f>
        <v>45564</v>
      </c>
      <c r="J1427" t="str">
        <f t="shared" ca="1" si="22"/>
        <v>UDO</v>
      </c>
    </row>
    <row r="1428" spans="1:10" x14ac:dyDescent="0.35">
      <c r="A1428" s="5" t="s">
        <v>46</v>
      </c>
      <c r="B1428" s="6">
        <v>44228</v>
      </c>
      <c r="C1428" s="7">
        <v>10918713</v>
      </c>
      <c r="D1428" s="7">
        <v>2889537.04</v>
      </c>
      <c r="E1428" s="7">
        <v>8029175.96</v>
      </c>
      <c r="F1428" t="str">
        <f>VLOOKUP(A1428,[1]!Table1[#All],17,FALSE)</f>
        <v>MOZAMBIQUE</v>
      </c>
      <c r="G1428" t="str">
        <f>VLOOKUP(A1428,[1]!Table1[#All],22,FALSE)</f>
        <v>Ministry of Health Mozambique</v>
      </c>
      <c r="H1428" s="8">
        <f>VLOOKUP(A1428,[1]!Table1[#All],32,FALSE)</f>
        <v>43738</v>
      </c>
      <c r="I1428" s="8">
        <f>VLOOKUP(A1428,[1]!Table1[#All],33,FALSE)</f>
        <v>45564</v>
      </c>
      <c r="J1428" t="str">
        <f t="shared" ca="1" si="22"/>
        <v>UDO</v>
      </c>
    </row>
    <row r="1429" spans="1:10" x14ac:dyDescent="0.35">
      <c r="A1429" s="9" t="s">
        <v>46</v>
      </c>
      <c r="B1429" s="10">
        <v>44256</v>
      </c>
      <c r="C1429" s="11">
        <v>10918713</v>
      </c>
      <c r="D1429" s="11">
        <v>3489537.04</v>
      </c>
      <c r="E1429" s="11">
        <v>7429175.959999999</v>
      </c>
      <c r="F1429" t="str">
        <f>VLOOKUP(A1429,[1]!Table1[#All],17,FALSE)</f>
        <v>MOZAMBIQUE</v>
      </c>
      <c r="G1429" t="str">
        <f>VLOOKUP(A1429,[1]!Table1[#All],22,FALSE)</f>
        <v>Ministry of Health Mozambique</v>
      </c>
      <c r="H1429" s="8">
        <f>VLOOKUP(A1429,[1]!Table1[#All],32,FALSE)</f>
        <v>43738</v>
      </c>
      <c r="I1429" s="8">
        <f>VLOOKUP(A1429,[1]!Table1[#All],33,FALSE)</f>
        <v>45564</v>
      </c>
      <c r="J1429" t="str">
        <f t="shared" ca="1" si="22"/>
        <v>UDO</v>
      </c>
    </row>
    <row r="1430" spans="1:10" x14ac:dyDescent="0.35">
      <c r="A1430" s="5" t="s">
        <v>46</v>
      </c>
      <c r="B1430" s="6">
        <v>44317</v>
      </c>
      <c r="C1430" s="7">
        <v>10918713</v>
      </c>
      <c r="D1430" s="7">
        <v>4239537.04</v>
      </c>
      <c r="E1430" s="7">
        <v>6679175.9600000009</v>
      </c>
      <c r="F1430" t="str">
        <f>VLOOKUP(A1430,[1]!Table1[#All],17,FALSE)</f>
        <v>MOZAMBIQUE</v>
      </c>
      <c r="G1430" t="str">
        <f>VLOOKUP(A1430,[1]!Table1[#All],22,FALSE)</f>
        <v>Ministry of Health Mozambique</v>
      </c>
      <c r="H1430" s="8">
        <f>VLOOKUP(A1430,[1]!Table1[#All],32,FALSE)</f>
        <v>43738</v>
      </c>
      <c r="I1430" s="8">
        <f>VLOOKUP(A1430,[1]!Table1[#All],33,FALSE)</f>
        <v>45564</v>
      </c>
      <c r="J1430" t="str">
        <f t="shared" ca="1" si="22"/>
        <v>UDO</v>
      </c>
    </row>
    <row r="1431" spans="1:10" x14ac:dyDescent="0.35">
      <c r="A1431" s="9" t="s">
        <v>46</v>
      </c>
      <c r="B1431" s="10">
        <v>44348</v>
      </c>
      <c r="C1431" s="11">
        <v>10918713</v>
      </c>
      <c r="D1431" s="11">
        <v>4939537.04</v>
      </c>
      <c r="E1431" s="11">
        <v>5979175.96</v>
      </c>
      <c r="F1431" t="str">
        <f>VLOOKUP(A1431,[1]!Table1[#All],17,FALSE)</f>
        <v>MOZAMBIQUE</v>
      </c>
      <c r="G1431" t="str">
        <f>VLOOKUP(A1431,[1]!Table1[#All],22,FALSE)</f>
        <v>Ministry of Health Mozambique</v>
      </c>
      <c r="H1431" s="8">
        <f>VLOOKUP(A1431,[1]!Table1[#All],32,FALSE)</f>
        <v>43738</v>
      </c>
      <c r="I1431" s="8">
        <f>VLOOKUP(A1431,[1]!Table1[#All],33,FALSE)</f>
        <v>45564</v>
      </c>
      <c r="J1431" t="str">
        <f t="shared" ca="1" si="22"/>
        <v>UDO</v>
      </c>
    </row>
    <row r="1432" spans="1:10" x14ac:dyDescent="0.35">
      <c r="A1432" s="5" t="s">
        <v>46</v>
      </c>
      <c r="B1432" s="6">
        <v>44378</v>
      </c>
      <c r="C1432" s="7">
        <v>10918713</v>
      </c>
      <c r="D1432" s="7">
        <v>4939537.04</v>
      </c>
      <c r="E1432" s="7">
        <v>5979175.96</v>
      </c>
      <c r="F1432" t="str">
        <f>VLOOKUP(A1432,[1]!Table1[#All],17,FALSE)</f>
        <v>MOZAMBIQUE</v>
      </c>
      <c r="G1432" t="str">
        <f>VLOOKUP(A1432,[1]!Table1[#All],22,FALSE)</f>
        <v>Ministry of Health Mozambique</v>
      </c>
      <c r="H1432" s="8">
        <f>VLOOKUP(A1432,[1]!Table1[#All],32,FALSE)</f>
        <v>43738</v>
      </c>
      <c r="I1432" s="8">
        <f>VLOOKUP(A1432,[1]!Table1[#All],33,FALSE)</f>
        <v>45564</v>
      </c>
      <c r="J1432" t="str">
        <f t="shared" ca="1" si="22"/>
        <v>UDO</v>
      </c>
    </row>
    <row r="1433" spans="1:10" x14ac:dyDescent="0.35">
      <c r="A1433" s="9" t="s">
        <v>46</v>
      </c>
      <c r="B1433" s="10">
        <v>44409</v>
      </c>
      <c r="C1433" s="11">
        <v>10918713</v>
      </c>
      <c r="D1433" s="11">
        <v>5739537.04</v>
      </c>
      <c r="E1433" s="11">
        <v>5179175.96</v>
      </c>
      <c r="F1433" t="str">
        <f>VLOOKUP(A1433,[1]!Table1[#All],17,FALSE)</f>
        <v>MOZAMBIQUE</v>
      </c>
      <c r="G1433" t="str">
        <f>VLOOKUP(A1433,[1]!Table1[#All],22,FALSE)</f>
        <v>Ministry of Health Mozambique</v>
      </c>
      <c r="H1433" s="8">
        <f>VLOOKUP(A1433,[1]!Table1[#All],32,FALSE)</f>
        <v>43738</v>
      </c>
      <c r="I1433" s="8">
        <f>VLOOKUP(A1433,[1]!Table1[#All],33,FALSE)</f>
        <v>45564</v>
      </c>
      <c r="J1433" t="str">
        <f t="shared" ca="1" si="22"/>
        <v>UDO</v>
      </c>
    </row>
    <row r="1434" spans="1:10" x14ac:dyDescent="0.35">
      <c r="A1434" s="5" t="s">
        <v>46</v>
      </c>
      <c r="B1434" s="6">
        <v>44440</v>
      </c>
      <c r="C1434" s="7">
        <v>10918713</v>
      </c>
      <c r="D1434" s="7">
        <v>6439537.0399999991</v>
      </c>
      <c r="E1434" s="7">
        <v>4479175.96</v>
      </c>
      <c r="F1434" t="str">
        <f>VLOOKUP(A1434,[1]!Table1[#All],17,FALSE)</f>
        <v>MOZAMBIQUE</v>
      </c>
      <c r="G1434" t="str">
        <f>VLOOKUP(A1434,[1]!Table1[#All],22,FALSE)</f>
        <v>Ministry of Health Mozambique</v>
      </c>
      <c r="H1434" s="8">
        <f>VLOOKUP(A1434,[1]!Table1[#All],32,FALSE)</f>
        <v>43738</v>
      </c>
      <c r="I1434" s="8">
        <f>VLOOKUP(A1434,[1]!Table1[#All],33,FALSE)</f>
        <v>45564</v>
      </c>
      <c r="J1434" t="str">
        <f t="shared" ca="1" si="22"/>
        <v>UDO</v>
      </c>
    </row>
    <row r="1435" spans="1:10" x14ac:dyDescent="0.35">
      <c r="A1435" s="9" t="s">
        <v>46</v>
      </c>
      <c r="B1435" s="10">
        <v>44470</v>
      </c>
      <c r="C1435" s="11">
        <v>10918713</v>
      </c>
      <c r="D1435" s="11">
        <v>6439537.0399999991</v>
      </c>
      <c r="E1435" s="11">
        <v>4479175.96</v>
      </c>
      <c r="F1435" t="str">
        <f>VLOOKUP(A1435,[1]!Table1[#All],17,FALSE)</f>
        <v>MOZAMBIQUE</v>
      </c>
      <c r="G1435" t="str">
        <f>VLOOKUP(A1435,[1]!Table1[#All],22,FALSE)</f>
        <v>Ministry of Health Mozambique</v>
      </c>
      <c r="H1435" s="8">
        <f>VLOOKUP(A1435,[1]!Table1[#All],32,FALSE)</f>
        <v>43738</v>
      </c>
      <c r="I1435" s="8">
        <f>VLOOKUP(A1435,[1]!Table1[#All],33,FALSE)</f>
        <v>45564</v>
      </c>
      <c r="J1435" t="str">
        <f t="shared" ca="1" si="22"/>
        <v>UDO</v>
      </c>
    </row>
    <row r="1436" spans="1:10" x14ac:dyDescent="0.35">
      <c r="A1436" s="5" t="s">
        <v>46</v>
      </c>
      <c r="B1436" s="6">
        <v>44501</v>
      </c>
      <c r="C1436" s="7">
        <v>10918713</v>
      </c>
      <c r="D1436" s="7">
        <v>6939537.040000001</v>
      </c>
      <c r="E1436" s="7">
        <v>3979175.96</v>
      </c>
      <c r="F1436" t="str">
        <f>VLOOKUP(A1436,[1]!Table1[#All],17,FALSE)</f>
        <v>MOZAMBIQUE</v>
      </c>
      <c r="G1436" t="str">
        <f>VLOOKUP(A1436,[1]!Table1[#All],22,FALSE)</f>
        <v>Ministry of Health Mozambique</v>
      </c>
      <c r="H1436" s="8">
        <f>VLOOKUP(A1436,[1]!Table1[#All],32,FALSE)</f>
        <v>43738</v>
      </c>
      <c r="I1436" s="8">
        <f>VLOOKUP(A1436,[1]!Table1[#All],33,FALSE)</f>
        <v>45564</v>
      </c>
      <c r="J1436" t="str">
        <f t="shared" ca="1" si="22"/>
        <v>UDO</v>
      </c>
    </row>
    <row r="1437" spans="1:10" x14ac:dyDescent="0.35">
      <c r="A1437" s="9" t="s">
        <v>46</v>
      </c>
      <c r="B1437" s="10">
        <v>44531</v>
      </c>
      <c r="C1437" s="11">
        <v>10918713</v>
      </c>
      <c r="D1437" s="11">
        <v>6939537.040000001</v>
      </c>
      <c r="E1437" s="11">
        <v>3979175.96</v>
      </c>
      <c r="F1437" t="str">
        <f>VLOOKUP(A1437,[1]!Table1[#All],17,FALSE)</f>
        <v>MOZAMBIQUE</v>
      </c>
      <c r="G1437" t="str">
        <f>VLOOKUP(A1437,[1]!Table1[#All],22,FALSE)</f>
        <v>Ministry of Health Mozambique</v>
      </c>
      <c r="H1437" s="8">
        <f>VLOOKUP(A1437,[1]!Table1[#All],32,FALSE)</f>
        <v>43738</v>
      </c>
      <c r="I1437" s="8">
        <f>VLOOKUP(A1437,[1]!Table1[#All],33,FALSE)</f>
        <v>45564</v>
      </c>
      <c r="J1437" t="str">
        <f t="shared" ca="1" si="22"/>
        <v>UDO</v>
      </c>
    </row>
    <row r="1438" spans="1:10" x14ac:dyDescent="0.35">
      <c r="A1438" s="5" t="s">
        <v>46</v>
      </c>
      <c r="B1438" s="6">
        <v>44562</v>
      </c>
      <c r="C1438" s="7">
        <v>10918713</v>
      </c>
      <c r="D1438" s="7">
        <v>6939537.040000001</v>
      </c>
      <c r="E1438" s="7">
        <v>3979175.96</v>
      </c>
      <c r="F1438" t="str">
        <f>VLOOKUP(A1438,[1]!Table1[#All],17,FALSE)</f>
        <v>MOZAMBIQUE</v>
      </c>
      <c r="G1438" t="str">
        <f>VLOOKUP(A1438,[1]!Table1[#All],22,FALSE)</f>
        <v>Ministry of Health Mozambique</v>
      </c>
      <c r="H1438" s="8">
        <f>VLOOKUP(A1438,[1]!Table1[#All],32,FALSE)</f>
        <v>43738</v>
      </c>
      <c r="I1438" s="8">
        <f>VLOOKUP(A1438,[1]!Table1[#All],33,FALSE)</f>
        <v>45564</v>
      </c>
      <c r="J1438" t="str">
        <f t="shared" ca="1" si="22"/>
        <v>UDO</v>
      </c>
    </row>
    <row r="1439" spans="1:10" x14ac:dyDescent="0.35">
      <c r="A1439" s="9" t="s">
        <v>46</v>
      </c>
      <c r="B1439" s="10">
        <v>44593</v>
      </c>
      <c r="C1439" s="11">
        <v>10918713</v>
      </c>
      <c r="D1439" s="11">
        <v>7539537.0399999991</v>
      </c>
      <c r="E1439" s="11">
        <v>3379175.96</v>
      </c>
      <c r="F1439" t="str">
        <f>VLOOKUP(A1439,[1]!Table1[#All],17,FALSE)</f>
        <v>MOZAMBIQUE</v>
      </c>
      <c r="G1439" t="str">
        <f>VLOOKUP(A1439,[1]!Table1[#All],22,FALSE)</f>
        <v>Ministry of Health Mozambique</v>
      </c>
      <c r="H1439" s="8">
        <f>VLOOKUP(A1439,[1]!Table1[#All],32,FALSE)</f>
        <v>43738</v>
      </c>
      <c r="I1439" s="8">
        <f>VLOOKUP(A1439,[1]!Table1[#All],33,FALSE)</f>
        <v>45564</v>
      </c>
      <c r="J1439" t="str">
        <f t="shared" ca="1" si="22"/>
        <v>UDO</v>
      </c>
    </row>
    <row r="1440" spans="1:10" x14ac:dyDescent="0.35">
      <c r="A1440" s="5" t="s">
        <v>46</v>
      </c>
      <c r="B1440" s="6">
        <v>44621</v>
      </c>
      <c r="C1440" s="7">
        <v>10918713</v>
      </c>
      <c r="D1440" s="7">
        <v>8289537.04</v>
      </c>
      <c r="E1440" s="7">
        <v>2629175.96</v>
      </c>
      <c r="F1440" t="str">
        <f>VLOOKUP(A1440,[1]!Table1[#All],17,FALSE)</f>
        <v>MOZAMBIQUE</v>
      </c>
      <c r="G1440" t="str">
        <f>VLOOKUP(A1440,[1]!Table1[#All],22,FALSE)</f>
        <v>Ministry of Health Mozambique</v>
      </c>
      <c r="H1440" s="8">
        <f>VLOOKUP(A1440,[1]!Table1[#All],32,FALSE)</f>
        <v>43738</v>
      </c>
      <c r="I1440" s="8">
        <f>VLOOKUP(A1440,[1]!Table1[#All],33,FALSE)</f>
        <v>45564</v>
      </c>
      <c r="J1440" t="str">
        <f t="shared" ca="1" si="22"/>
        <v>UDO</v>
      </c>
    </row>
    <row r="1441" spans="1:10" x14ac:dyDescent="0.35">
      <c r="A1441" s="9" t="s">
        <v>46</v>
      </c>
      <c r="B1441" s="10">
        <v>44652</v>
      </c>
      <c r="C1441" s="11">
        <v>10918713</v>
      </c>
      <c r="D1441" s="11">
        <v>8289537.04</v>
      </c>
      <c r="E1441" s="11">
        <v>2629175.96</v>
      </c>
      <c r="F1441" t="str">
        <f>VLOOKUP(A1441,[1]!Table1[#All],17,FALSE)</f>
        <v>MOZAMBIQUE</v>
      </c>
      <c r="G1441" t="str">
        <f>VLOOKUP(A1441,[1]!Table1[#All],22,FALSE)</f>
        <v>Ministry of Health Mozambique</v>
      </c>
      <c r="H1441" s="8">
        <f>VLOOKUP(A1441,[1]!Table1[#All],32,FALSE)</f>
        <v>43738</v>
      </c>
      <c r="I1441" s="8">
        <f>VLOOKUP(A1441,[1]!Table1[#All],33,FALSE)</f>
        <v>45564</v>
      </c>
      <c r="J1441" t="str">
        <f t="shared" ca="1" si="22"/>
        <v>UDO</v>
      </c>
    </row>
    <row r="1442" spans="1:10" x14ac:dyDescent="0.35">
      <c r="A1442" s="5" t="s">
        <v>46</v>
      </c>
      <c r="B1442" s="6">
        <v>44682</v>
      </c>
      <c r="C1442" s="7">
        <v>10918713</v>
      </c>
      <c r="D1442" s="7">
        <v>8289537.04</v>
      </c>
      <c r="E1442" s="7">
        <v>2629175.96</v>
      </c>
      <c r="F1442" t="str">
        <f>VLOOKUP(A1442,[1]!Table1[#All],17,FALSE)</f>
        <v>MOZAMBIQUE</v>
      </c>
      <c r="G1442" t="str">
        <f>VLOOKUP(A1442,[1]!Table1[#All],22,FALSE)</f>
        <v>Ministry of Health Mozambique</v>
      </c>
      <c r="H1442" s="8">
        <f>VLOOKUP(A1442,[1]!Table1[#All],32,FALSE)</f>
        <v>43738</v>
      </c>
      <c r="I1442" s="8">
        <f>VLOOKUP(A1442,[1]!Table1[#All],33,FALSE)</f>
        <v>45564</v>
      </c>
      <c r="J1442" t="str">
        <f t="shared" ca="1" si="22"/>
        <v>UDO</v>
      </c>
    </row>
    <row r="1443" spans="1:10" x14ac:dyDescent="0.35">
      <c r="A1443" s="9" t="s">
        <v>46</v>
      </c>
      <c r="B1443" s="10">
        <v>44713</v>
      </c>
      <c r="C1443" s="11">
        <v>10918713</v>
      </c>
      <c r="D1443" s="11">
        <v>9039537.0399999991</v>
      </c>
      <c r="E1443" s="11">
        <v>1879175.96</v>
      </c>
      <c r="F1443" t="str">
        <f>VLOOKUP(A1443,[1]!Table1[#All],17,FALSE)</f>
        <v>MOZAMBIQUE</v>
      </c>
      <c r="G1443" t="str">
        <f>VLOOKUP(A1443,[1]!Table1[#All],22,FALSE)</f>
        <v>Ministry of Health Mozambique</v>
      </c>
      <c r="H1443" s="8">
        <f>VLOOKUP(A1443,[1]!Table1[#All],32,FALSE)</f>
        <v>43738</v>
      </c>
      <c r="I1443" s="8">
        <f>VLOOKUP(A1443,[1]!Table1[#All],33,FALSE)</f>
        <v>45564</v>
      </c>
      <c r="J1443" t="str">
        <f t="shared" ca="1" si="22"/>
        <v>UDO</v>
      </c>
    </row>
    <row r="1444" spans="1:10" x14ac:dyDescent="0.35">
      <c r="A1444" s="5" t="s">
        <v>46</v>
      </c>
      <c r="B1444" s="6">
        <v>44743</v>
      </c>
      <c r="C1444" s="7">
        <v>10918713</v>
      </c>
      <c r="D1444" s="7">
        <v>9839537.040000001</v>
      </c>
      <c r="E1444" s="7">
        <v>1079175.96</v>
      </c>
      <c r="F1444" t="str">
        <f>VLOOKUP(A1444,[1]!Table1[#All],17,FALSE)</f>
        <v>MOZAMBIQUE</v>
      </c>
      <c r="G1444" t="str">
        <f>VLOOKUP(A1444,[1]!Table1[#All],22,FALSE)</f>
        <v>Ministry of Health Mozambique</v>
      </c>
      <c r="H1444" s="8">
        <f>VLOOKUP(A1444,[1]!Table1[#All],32,FALSE)</f>
        <v>43738</v>
      </c>
      <c r="I1444" s="8">
        <f>VLOOKUP(A1444,[1]!Table1[#All],33,FALSE)</f>
        <v>45564</v>
      </c>
      <c r="J1444" t="str">
        <f t="shared" ca="1" si="22"/>
        <v>UDO</v>
      </c>
    </row>
    <row r="1445" spans="1:10" x14ac:dyDescent="0.35">
      <c r="A1445" s="9" t="s">
        <v>46</v>
      </c>
      <c r="B1445" s="10">
        <v>44774</v>
      </c>
      <c r="C1445" s="11">
        <v>10918713</v>
      </c>
      <c r="D1445" s="11">
        <v>10839537.039999999</v>
      </c>
      <c r="E1445" s="11">
        <v>79175.959999999992</v>
      </c>
      <c r="F1445" t="str">
        <f>VLOOKUP(A1445,[1]!Table1[#All],17,FALSE)</f>
        <v>MOZAMBIQUE</v>
      </c>
      <c r="G1445" t="str">
        <f>VLOOKUP(A1445,[1]!Table1[#All],22,FALSE)</f>
        <v>Ministry of Health Mozambique</v>
      </c>
      <c r="H1445" s="8">
        <f>VLOOKUP(A1445,[1]!Table1[#All],32,FALSE)</f>
        <v>43738</v>
      </c>
      <c r="I1445" s="8">
        <f>VLOOKUP(A1445,[1]!Table1[#All],33,FALSE)</f>
        <v>45564</v>
      </c>
      <c r="J1445" t="str">
        <f t="shared" ca="1" si="22"/>
        <v>UDO</v>
      </c>
    </row>
    <row r="1446" spans="1:10" x14ac:dyDescent="0.35">
      <c r="A1446" s="5" t="s">
        <v>46</v>
      </c>
      <c r="B1446" s="6">
        <v>44805</v>
      </c>
      <c r="C1446" s="7">
        <v>10918713</v>
      </c>
      <c r="D1446" s="7">
        <v>10918713</v>
      </c>
      <c r="E1446" s="7">
        <v>0</v>
      </c>
      <c r="F1446" t="str">
        <f>VLOOKUP(A1446,[1]!Table1[#All],17,FALSE)</f>
        <v>MOZAMBIQUE</v>
      </c>
      <c r="G1446" t="str">
        <f>VLOOKUP(A1446,[1]!Table1[#All],22,FALSE)</f>
        <v>Ministry of Health Mozambique</v>
      </c>
      <c r="H1446" s="8">
        <f>VLOOKUP(A1446,[1]!Table1[#All],32,FALSE)</f>
        <v>43738</v>
      </c>
      <c r="I1446" s="8">
        <f>VLOOKUP(A1446,[1]!Table1[#All],33,FALSE)</f>
        <v>45564</v>
      </c>
      <c r="J1446" t="str">
        <f t="shared" ca="1" si="22"/>
        <v>Non UDO</v>
      </c>
    </row>
    <row r="1447" spans="1:10" x14ac:dyDescent="0.35">
      <c r="A1447" s="9" t="s">
        <v>46</v>
      </c>
      <c r="B1447" s="10">
        <v>44835</v>
      </c>
      <c r="C1447" s="11">
        <v>10918713</v>
      </c>
      <c r="D1447" s="11">
        <v>10918713</v>
      </c>
      <c r="E1447" s="11">
        <v>0</v>
      </c>
      <c r="F1447" t="str">
        <f>VLOOKUP(A1447,[1]!Table1[#All],17,FALSE)</f>
        <v>MOZAMBIQUE</v>
      </c>
      <c r="G1447" t="str">
        <f>VLOOKUP(A1447,[1]!Table1[#All],22,FALSE)</f>
        <v>Ministry of Health Mozambique</v>
      </c>
      <c r="H1447" s="8">
        <f>VLOOKUP(A1447,[1]!Table1[#All],32,FALSE)</f>
        <v>43738</v>
      </c>
      <c r="I1447" s="8">
        <f>VLOOKUP(A1447,[1]!Table1[#All],33,FALSE)</f>
        <v>45564</v>
      </c>
      <c r="J1447" t="str">
        <f t="shared" ca="1" si="22"/>
        <v>Non UDO</v>
      </c>
    </row>
    <row r="1448" spans="1:10" x14ac:dyDescent="0.35">
      <c r="A1448" s="5" t="s">
        <v>46</v>
      </c>
      <c r="B1448" s="6">
        <v>44866</v>
      </c>
      <c r="C1448" s="7">
        <v>10918713</v>
      </c>
      <c r="D1448" s="7">
        <v>10918713</v>
      </c>
      <c r="E1448" s="7">
        <v>0</v>
      </c>
      <c r="F1448" t="str">
        <f>VLOOKUP(A1448,[1]!Table1[#All],17,FALSE)</f>
        <v>MOZAMBIQUE</v>
      </c>
      <c r="G1448" t="str">
        <f>VLOOKUP(A1448,[1]!Table1[#All],22,FALSE)</f>
        <v>Ministry of Health Mozambique</v>
      </c>
      <c r="H1448" s="8">
        <f>VLOOKUP(A1448,[1]!Table1[#All],32,FALSE)</f>
        <v>43738</v>
      </c>
      <c r="I1448" s="8">
        <f>VLOOKUP(A1448,[1]!Table1[#All],33,FALSE)</f>
        <v>45564</v>
      </c>
      <c r="J1448" t="str">
        <f t="shared" ca="1" si="22"/>
        <v>Non UDO</v>
      </c>
    </row>
    <row r="1449" spans="1:10" x14ac:dyDescent="0.35">
      <c r="A1449" s="9" t="s">
        <v>46</v>
      </c>
      <c r="B1449" s="10">
        <v>44896</v>
      </c>
      <c r="C1449" s="11">
        <v>10918713</v>
      </c>
      <c r="D1449" s="11">
        <v>10918713</v>
      </c>
      <c r="E1449" s="11">
        <v>0</v>
      </c>
      <c r="F1449" t="str">
        <f>VLOOKUP(A1449,[1]!Table1[#All],17,FALSE)</f>
        <v>MOZAMBIQUE</v>
      </c>
      <c r="G1449" t="str">
        <f>VLOOKUP(A1449,[1]!Table1[#All],22,FALSE)</f>
        <v>Ministry of Health Mozambique</v>
      </c>
      <c r="H1449" s="8">
        <f>VLOOKUP(A1449,[1]!Table1[#All],32,FALSE)</f>
        <v>43738</v>
      </c>
      <c r="I1449" s="8">
        <f>VLOOKUP(A1449,[1]!Table1[#All],33,FALSE)</f>
        <v>45564</v>
      </c>
      <c r="J1449" t="str">
        <f t="shared" ca="1" si="22"/>
        <v>Non UDO</v>
      </c>
    </row>
    <row r="1450" spans="1:10" x14ac:dyDescent="0.35">
      <c r="A1450" s="5" t="s">
        <v>46</v>
      </c>
      <c r="B1450" s="6">
        <v>44927</v>
      </c>
      <c r="C1450" s="7">
        <v>10918713</v>
      </c>
      <c r="D1450" s="7">
        <v>10918713</v>
      </c>
      <c r="E1450" s="7">
        <v>0</v>
      </c>
      <c r="F1450" t="str">
        <f>VLOOKUP(A1450,[1]!Table1[#All],17,FALSE)</f>
        <v>MOZAMBIQUE</v>
      </c>
      <c r="G1450" t="str">
        <f>VLOOKUP(A1450,[1]!Table1[#All],22,FALSE)</f>
        <v>Ministry of Health Mozambique</v>
      </c>
      <c r="H1450" s="8">
        <f>VLOOKUP(A1450,[1]!Table1[#All],32,FALSE)</f>
        <v>43738</v>
      </c>
      <c r="I1450" s="8">
        <f>VLOOKUP(A1450,[1]!Table1[#All],33,FALSE)</f>
        <v>45564</v>
      </c>
      <c r="J1450" t="str">
        <f t="shared" ca="1" si="22"/>
        <v>Non UDO</v>
      </c>
    </row>
    <row r="1451" spans="1:10" x14ac:dyDescent="0.35">
      <c r="A1451" s="9" t="s">
        <v>46</v>
      </c>
      <c r="B1451" s="10">
        <v>44958</v>
      </c>
      <c r="C1451" s="11">
        <v>10918713</v>
      </c>
      <c r="D1451" s="11">
        <v>10918713</v>
      </c>
      <c r="E1451" s="11">
        <v>0</v>
      </c>
      <c r="F1451" t="str">
        <f>VLOOKUP(A1451,[1]!Table1[#All],17,FALSE)</f>
        <v>MOZAMBIQUE</v>
      </c>
      <c r="G1451" t="str">
        <f>VLOOKUP(A1451,[1]!Table1[#All],22,FALSE)</f>
        <v>Ministry of Health Mozambique</v>
      </c>
      <c r="H1451" s="8">
        <f>VLOOKUP(A1451,[1]!Table1[#All],32,FALSE)</f>
        <v>43738</v>
      </c>
      <c r="I1451" s="8">
        <f>VLOOKUP(A1451,[1]!Table1[#All],33,FALSE)</f>
        <v>45564</v>
      </c>
      <c r="J1451" t="str">
        <f t="shared" ca="1" si="22"/>
        <v>Non UDO</v>
      </c>
    </row>
    <row r="1452" spans="1:10" x14ac:dyDescent="0.35">
      <c r="A1452" s="5" t="s">
        <v>46</v>
      </c>
      <c r="B1452" s="6">
        <v>44986</v>
      </c>
      <c r="C1452" s="7">
        <v>10918713</v>
      </c>
      <c r="D1452" s="7">
        <v>10918713</v>
      </c>
      <c r="E1452" s="7">
        <v>0</v>
      </c>
      <c r="F1452" t="str">
        <f>VLOOKUP(A1452,[1]!Table1[#All],17,FALSE)</f>
        <v>MOZAMBIQUE</v>
      </c>
      <c r="G1452" t="str">
        <f>VLOOKUP(A1452,[1]!Table1[#All],22,FALSE)</f>
        <v>Ministry of Health Mozambique</v>
      </c>
      <c r="H1452" s="8">
        <f>VLOOKUP(A1452,[1]!Table1[#All],32,FALSE)</f>
        <v>43738</v>
      </c>
      <c r="I1452" s="8">
        <f>VLOOKUP(A1452,[1]!Table1[#All],33,FALSE)</f>
        <v>45564</v>
      </c>
      <c r="J1452" t="str">
        <f t="shared" ca="1" si="22"/>
        <v>Non UDO</v>
      </c>
    </row>
    <row r="1453" spans="1:10" x14ac:dyDescent="0.35">
      <c r="A1453" s="9" t="s">
        <v>46</v>
      </c>
      <c r="B1453" s="10">
        <v>45017</v>
      </c>
      <c r="C1453" s="11">
        <v>10918713</v>
      </c>
      <c r="D1453" s="11">
        <v>10918713</v>
      </c>
      <c r="E1453" s="11">
        <v>0</v>
      </c>
      <c r="F1453" t="str">
        <f>VLOOKUP(A1453,[1]!Table1[#All],17,FALSE)</f>
        <v>MOZAMBIQUE</v>
      </c>
      <c r="G1453" t="str">
        <f>VLOOKUP(A1453,[1]!Table1[#All],22,FALSE)</f>
        <v>Ministry of Health Mozambique</v>
      </c>
      <c r="H1453" s="8">
        <f>VLOOKUP(A1453,[1]!Table1[#All],32,FALSE)</f>
        <v>43738</v>
      </c>
      <c r="I1453" s="8">
        <f>VLOOKUP(A1453,[1]!Table1[#All],33,FALSE)</f>
        <v>45564</v>
      </c>
      <c r="J1453" t="str">
        <f t="shared" ca="1" si="22"/>
        <v>Non UDO</v>
      </c>
    </row>
    <row r="1454" spans="1:10" x14ac:dyDescent="0.35">
      <c r="A1454" s="5" t="s">
        <v>46</v>
      </c>
      <c r="B1454" s="6">
        <v>45047</v>
      </c>
      <c r="C1454" s="7">
        <v>10918713</v>
      </c>
      <c r="D1454" s="7">
        <v>10918713</v>
      </c>
      <c r="E1454" s="7">
        <v>0</v>
      </c>
      <c r="F1454" t="str">
        <f>VLOOKUP(A1454,[1]!Table1[#All],17,FALSE)</f>
        <v>MOZAMBIQUE</v>
      </c>
      <c r="G1454" t="str">
        <f>VLOOKUP(A1454,[1]!Table1[#All],22,FALSE)</f>
        <v>Ministry of Health Mozambique</v>
      </c>
      <c r="H1454" s="8">
        <f>VLOOKUP(A1454,[1]!Table1[#All],32,FALSE)</f>
        <v>43738</v>
      </c>
      <c r="I1454" s="8">
        <f>VLOOKUP(A1454,[1]!Table1[#All],33,FALSE)</f>
        <v>45564</v>
      </c>
      <c r="J1454" t="str">
        <f t="shared" ca="1" si="22"/>
        <v>Non UDO</v>
      </c>
    </row>
    <row r="1455" spans="1:10" x14ac:dyDescent="0.35">
      <c r="A1455" s="9" t="s">
        <v>46</v>
      </c>
      <c r="B1455" s="10">
        <v>45078</v>
      </c>
      <c r="C1455" s="11">
        <v>10918713</v>
      </c>
      <c r="D1455" s="11">
        <v>10918713</v>
      </c>
      <c r="E1455" s="11">
        <v>0</v>
      </c>
      <c r="F1455" t="str">
        <f>VLOOKUP(A1455,[1]!Table1[#All],17,FALSE)</f>
        <v>MOZAMBIQUE</v>
      </c>
      <c r="G1455" t="str">
        <f>VLOOKUP(A1455,[1]!Table1[#All],22,FALSE)</f>
        <v>Ministry of Health Mozambique</v>
      </c>
      <c r="H1455" s="8">
        <f>VLOOKUP(A1455,[1]!Table1[#All],32,FALSE)</f>
        <v>43738</v>
      </c>
      <c r="I1455" s="8">
        <f>VLOOKUP(A1455,[1]!Table1[#All],33,FALSE)</f>
        <v>45564</v>
      </c>
      <c r="J1455" t="str">
        <f t="shared" ca="1" si="22"/>
        <v>Non UDO</v>
      </c>
    </row>
    <row r="1456" spans="1:10" x14ac:dyDescent="0.35">
      <c r="A1456" s="5" t="s">
        <v>46</v>
      </c>
      <c r="B1456" s="6">
        <v>45108</v>
      </c>
      <c r="C1456" s="7">
        <v>10918713</v>
      </c>
      <c r="D1456" s="7">
        <v>10918713</v>
      </c>
      <c r="E1456" s="7">
        <v>0</v>
      </c>
      <c r="F1456" t="str">
        <f>VLOOKUP(A1456,[1]!Table1[#All],17,FALSE)</f>
        <v>MOZAMBIQUE</v>
      </c>
      <c r="G1456" t="str">
        <f>VLOOKUP(A1456,[1]!Table1[#All],22,FALSE)</f>
        <v>Ministry of Health Mozambique</v>
      </c>
      <c r="H1456" s="8">
        <f>VLOOKUP(A1456,[1]!Table1[#All],32,FALSE)</f>
        <v>43738</v>
      </c>
      <c r="I1456" s="8">
        <f>VLOOKUP(A1456,[1]!Table1[#All],33,FALSE)</f>
        <v>45564</v>
      </c>
      <c r="J1456" t="str">
        <f t="shared" ca="1" si="22"/>
        <v>Non UDO</v>
      </c>
    </row>
    <row r="1457" spans="1:10" x14ac:dyDescent="0.35">
      <c r="A1457" s="9" t="s">
        <v>46</v>
      </c>
      <c r="B1457" s="10">
        <v>45139</v>
      </c>
      <c r="C1457" s="11">
        <v>10918713</v>
      </c>
      <c r="D1457" s="11">
        <v>10918713</v>
      </c>
      <c r="E1457" s="11">
        <v>0</v>
      </c>
      <c r="F1457" t="str">
        <f>VLOOKUP(A1457,[1]!Table1[#All],17,FALSE)</f>
        <v>MOZAMBIQUE</v>
      </c>
      <c r="G1457" t="str">
        <f>VLOOKUP(A1457,[1]!Table1[#All],22,FALSE)</f>
        <v>Ministry of Health Mozambique</v>
      </c>
      <c r="H1457" s="8">
        <f>VLOOKUP(A1457,[1]!Table1[#All],32,FALSE)</f>
        <v>43738</v>
      </c>
      <c r="I1457" s="8">
        <f>VLOOKUP(A1457,[1]!Table1[#All],33,FALSE)</f>
        <v>45564</v>
      </c>
      <c r="J1457" t="str">
        <f t="shared" ca="1" si="22"/>
        <v>Non UDO</v>
      </c>
    </row>
    <row r="1458" spans="1:10" x14ac:dyDescent="0.35">
      <c r="A1458" s="5" t="s">
        <v>46</v>
      </c>
      <c r="B1458" s="6">
        <v>45170</v>
      </c>
      <c r="C1458" s="7">
        <v>10918713</v>
      </c>
      <c r="D1458" s="7">
        <v>10918713</v>
      </c>
      <c r="E1458" s="7">
        <v>0</v>
      </c>
      <c r="F1458" t="str">
        <f>VLOOKUP(A1458,[1]!Table1[#All],17,FALSE)</f>
        <v>MOZAMBIQUE</v>
      </c>
      <c r="G1458" t="str">
        <f>VLOOKUP(A1458,[1]!Table1[#All],22,FALSE)</f>
        <v>Ministry of Health Mozambique</v>
      </c>
      <c r="H1458" s="8">
        <f>VLOOKUP(A1458,[1]!Table1[#All],32,FALSE)</f>
        <v>43738</v>
      </c>
      <c r="I1458" s="8">
        <f>VLOOKUP(A1458,[1]!Table1[#All],33,FALSE)</f>
        <v>45564</v>
      </c>
      <c r="J1458" t="str">
        <f t="shared" ca="1" si="22"/>
        <v>Non UDO</v>
      </c>
    </row>
    <row r="1459" spans="1:10" x14ac:dyDescent="0.35">
      <c r="A1459" s="9" t="s">
        <v>47</v>
      </c>
      <c r="B1459" s="10">
        <v>44105</v>
      </c>
      <c r="C1459" s="11">
        <v>1750500</v>
      </c>
      <c r="D1459" s="11">
        <v>222879.09</v>
      </c>
      <c r="E1459" s="11">
        <v>1527620.9100000001</v>
      </c>
      <c r="F1459" t="str">
        <f>VLOOKUP(A1459,[1]!Table1[#All],17,FALSE)</f>
        <v>UNITED STATES</v>
      </c>
      <c r="G1459" t="str">
        <f>VLOOKUP(A1459,[1]!Table1[#All],22,FALSE)</f>
        <v>American International Health Alliance</v>
      </c>
      <c r="H1459" s="8">
        <f>VLOOKUP(A1459,[1]!Table1[#All],32,FALSE)</f>
        <v>43738</v>
      </c>
      <c r="I1459" s="8">
        <f>VLOOKUP(A1459,[1]!Table1[#All],33,FALSE)</f>
        <v>45564</v>
      </c>
      <c r="J1459" t="str">
        <f t="shared" ca="1" si="22"/>
        <v>UDO</v>
      </c>
    </row>
    <row r="1460" spans="1:10" x14ac:dyDescent="0.35">
      <c r="A1460" s="5" t="s">
        <v>47</v>
      </c>
      <c r="B1460" s="6">
        <v>44136</v>
      </c>
      <c r="C1460" s="7">
        <v>1750500</v>
      </c>
      <c r="D1460" s="7">
        <v>222879.09</v>
      </c>
      <c r="E1460" s="7">
        <v>1527620.9100000001</v>
      </c>
      <c r="F1460" t="str">
        <f>VLOOKUP(A1460,[1]!Table1[#All],17,FALSE)</f>
        <v>UNITED STATES</v>
      </c>
      <c r="G1460" t="str">
        <f>VLOOKUP(A1460,[1]!Table1[#All],22,FALSE)</f>
        <v>American International Health Alliance</v>
      </c>
      <c r="H1460" s="8">
        <f>VLOOKUP(A1460,[1]!Table1[#All],32,FALSE)</f>
        <v>43738</v>
      </c>
      <c r="I1460" s="8">
        <f>VLOOKUP(A1460,[1]!Table1[#All],33,FALSE)</f>
        <v>45564</v>
      </c>
      <c r="J1460" t="str">
        <f t="shared" ca="1" si="22"/>
        <v>UDO</v>
      </c>
    </row>
    <row r="1461" spans="1:10" x14ac:dyDescent="0.35">
      <c r="A1461" s="9" t="s">
        <v>47</v>
      </c>
      <c r="B1461" s="10">
        <v>44166</v>
      </c>
      <c r="C1461" s="11">
        <v>1750500</v>
      </c>
      <c r="D1461" s="11">
        <v>222879.09</v>
      </c>
      <c r="E1461" s="11">
        <v>1527620.9100000001</v>
      </c>
      <c r="F1461" t="str">
        <f>VLOOKUP(A1461,[1]!Table1[#All],17,FALSE)</f>
        <v>UNITED STATES</v>
      </c>
      <c r="G1461" t="str">
        <f>VLOOKUP(A1461,[1]!Table1[#All],22,FALSE)</f>
        <v>American International Health Alliance</v>
      </c>
      <c r="H1461" s="8">
        <f>VLOOKUP(A1461,[1]!Table1[#All],32,FALSE)</f>
        <v>43738</v>
      </c>
      <c r="I1461" s="8">
        <f>VLOOKUP(A1461,[1]!Table1[#All],33,FALSE)</f>
        <v>45564</v>
      </c>
      <c r="J1461" t="str">
        <f t="shared" ca="1" si="22"/>
        <v>UDO</v>
      </c>
    </row>
    <row r="1462" spans="1:10" x14ac:dyDescent="0.35">
      <c r="A1462" s="5" t="s">
        <v>47</v>
      </c>
      <c r="B1462" s="6">
        <v>44197</v>
      </c>
      <c r="C1462" s="7">
        <v>1750500</v>
      </c>
      <c r="D1462" s="7">
        <v>232050.09</v>
      </c>
      <c r="E1462" s="7">
        <v>1518449.9100000001</v>
      </c>
      <c r="F1462" t="str">
        <f>VLOOKUP(A1462,[1]!Table1[#All],17,FALSE)</f>
        <v>UNITED STATES</v>
      </c>
      <c r="G1462" t="str">
        <f>VLOOKUP(A1462,[1]!Table1[#All],22,FALSE)</f>
        <v>American International Health Alliance</v>
      </c>
      <c r="H1462" s="8">
        <f>VLOOKUP(A1462,[1]!Table1[#All],32,FALSE)</f>
        <v>43738</v>
      </c>
      <c r="I1462" s="8">
        <f>VLOOKUP(A1462,[1]!Table1[#All],33,FALSE)</f>
        <v>45564</v>
      </c>
      <c r="J1462" t="str">
        <f t="shared" ca="1" si="22"/>
        <v>UDO</v>
      </c>
    </row>
    <row r="1463" spans="1:10" x14ac:dyDescent="0.35">
      <c r="A1463" s="9" t="s">
        <v>47</v>
      </c>
      <c r="B1463" s="10">
        <v>44228</v>
      </c>
      <c r="C1463" s="11">
        <v>1750500</v>
      </c>
      <c r="D1463" s="11">
        <v>232050.09</v>
      </c>
      <c r="E1463" s="11">
        <v>1518449.9100000001</v>
      </c>
      <c r="F1463" t="str">
        <f>VLOOKUP(A1463,[1]!Table1[#All],17,FALSE)</f>
        <v>UNITED STATES</v>
      </c>
      <c r="G1463" t="str">
        <f>VLOOKUP(A1463,[1]!Table1[#All],22,FALSE)</f>
        <v>American International Health Alliance</v>
      </c>
      <c r="H1463" s="8">
        <f>VLOOKUP(A1463,[1]!Table1[#All],32,FALSE)</f>
        <v>43738</v>
      </c>
      <c r="I1463" s="8">
        <f>VLOOKUP(A1463,[1]!Table1[#All],33,FALSE)</f>
        <v>45564</v>
      </c>
      <c r="J1463" t="str">
        <f t="shared" ca="1" si="22"/>
        <v>UDO</v>
      </c>
    </row>
    <row r="1464" spans="1:10" x14ac:dyDescent="0.35">
      <c r="A1464" s="5" t="s">
        <v>47</v>
      </c>
      <c r="B1464" s="6">
        <v>44256</v>
      </c>
      <c r="C1464" s="7">
        <v>1750500</v>
      </c>
      <c r="D1464" s="7">
        <v>273843.08999999997</v>
      </c>
      <c r="E1464" s="7">
        <v>1476656.9100000001</v>
      </c>
      <c r="F1464" t="str">
        <f>VLOOKUP(A1464,[1]!Table1[#All],17,FALSE)</f>
        <v>UNITED STATES</v>
      </c>
      <c r="G1464" t="str">
        <f>VLOOKUP(A1464,[1]!Table1[#All],22,FALSE)</f>
        <v>American International Health Alliance</v>
      </c>
      <c r="H1464" s="8">
        <f>VLOOKUP(A1464,[1]!Table1[#All],32,FALSE)</f>
        <v>43738</v>
      </c>
      <c r="I1464" s="8">
        <f>VLOOKUP(A1464,[1]!Table1[#All],33,FALSE)</f>
        <v>45564</v>
      </c>
      <c r="J1464" t="str">
        <f t="shared" ca="1" si="22"/>
        <v>UDO</v>
      </c>
    </row>
    <row r="1465" spans="1:10" x14ac:dyDescent="0.35">
      <c r="A1465" s="9" t="s">
        <v>47</v>
      </c>
      <c r="B1465" s="10">
        <v>44317</v>
      </c>
      <c r="C1465" s="11">
        <v>1750500</v>
      </c>
      <c r="D1465" s="11">
        <v>643166.6</v>
      </c>
      <c r="E1465" s="11">
        <v>1107333.3999999999</v>
      </c>
      <c r="F1465" t="str">
        <f>VLOOKUP(A1465,[1]!Table1[#All],17,FALSE)</f>
        <v>UNITED STATES</v>
      </c>
      <c r="G1465" t="str">
        <f>VLOOKUP(A1465,[1]!Table1[#All],22,FALSE)</f>
        <v>American International Health Alliance</v>
      </c>
      <c r="H1465" s="8">
        <f>VLOOKUP(A1465,[1]!Table1[#All],32,FALSE)</f>
        <v>43738</v>
      </c>
      <c r="I1465" s="8">
        <f>VLOOKUP(A1465,[1]!Table1[#All],33,FALSE)</f>
        <v>45564</v>
      </c>
      <c r="J1465" t="str">
        <f t="shared" ca="1" si="22"/>
        <v>UDO</v>
      </c>
    </row>
    <row r="1466" spans="1:10" x14ac:dyDescent="0.35">
      <c r="A1466" s="5" t="s">
        <v>47</v>
      </c>
      <c r="B1466" s="6">
        <v>44348</v>
      </c>
      <c r="C1466" s="7">
        <v>1750500</v>
      </c>
      <c r="D1466" s="7">
        <v>643166.6</v>
      </c>
      <c r="E1466" s="7">
        <v>1107333.3999999999</v>
      </c>
      <c r="F1466" t="str">
        <f>VLOOKUP(A1466,[1]!Table1[#All],17,FALSE)</f>
        <v>UNITED STATES</v>
      </c>
      <c r="G1466" t="str">
        <f>VLOOKUP(A1466,[1]!Table1[#All],22,FALSE)</f>
        <v>American International Health Alliance</v>
      </c>
      <c r="H1466" s="8">
        <f>VLOOKUP(A1466,[1]!Table1[#All],32,FALSE)</f>
        <v>43738</v>
      </c>
      <c r="I1466" s="8">
        <f>VLOOKUP(A1466,[1]!Table1[#All],33,FALSE)</f>
        <v>45564</v>
      </c>
      <c r="J1466" t="str">
        <f t="shared" ca="1" si="22"/>
        <v>UDO</v>
      </c>
    </row>
    <row r="1467" spans="1:10" x14ac:dyDescent="0.35">
      <c r="A1467" s="9" t="s">
        <v>47</v>
      </c>
      <c r="B1467" s="10">
        <v>44378</v>
      </c>
      <c r="C1467" s="11">
        <v>1750500</v>
      </c>
      <c r="D1467" s="11">
        <v>867728.92999999993</v>
      </c>
      <c r="E1467" s="11">
        <v>882771.07000000007</v>
      </c>
      <c r="F1467" t="str">
        <f>VLOOKUP(A1467,[1]!Table1[#All],17,FALSE)</f>
        <v>UNITED STATES</v>
      </c>
      <c r="G1467" t="str">
        <f>VLOOKUP(A1467,[1]!Table1[#All],22,FALSE)</f>
        <v>American International Health Alliance</v>
      </c>
      <c r="H1467" s="8">
        <f>VLOOKUP(A1467,[1]!Table1[#All],32,FALSE)</f>
        <v>43738</v>
      </c>
      <c r="I1467" s="8">
        <f>VLOOKUP(A1467,[1]!Table1[#All],33,FALSE)</f>
        <v>45564</v>
      </c>
      <c r="J1467" t="str">
        <f t="shared" ca="1" si="22"/>
        <v>UDO</v>
      </c>
    </row>
    <row r="1468" spans="1:10" x14ac:dyDescent="0.35">
      <c r="A1468" s="5" t="s">
        <v>47</v>
      </c>
      <c r="B1468" s="6">
        <v>44409</v>
      </c>
      <c r="C1468" s="7">
        <v>1750500</v>
      </c>
      <c r="D1468" s="7">
        <v>867728.92999999993</v>
      </c>
      <c r="E1468" s="7">
        <v>882771.07000000007</v>
      </c>
      <c r="F1468" t="str">
        <f>VLOOKUP(A1468,[1]!Table1[#All],17,FALSE)</f>
        <v>UNITED STATES</v>
      </c>
      <c r="G1468" t="str">
        <f>VLOOKUP(A1468,[1]!Table1[#All],22,FALSE)</f>
        <v>American International Health Alliance</v>
      </c>
      <c r="H1468" s="8">
        <f>VLOOKUP(A1468,[1]!Table1[#All],32,FALSE)</f>
        <v>43738</v>
      </c>
      <c r="I1468" s="8">
        <f>VLOOKUP(A1468,[1]!Table1[#All],33,FALSE)</f>
        <v>45564</v>
      </c>
      <c r="J1468" t="str">
        <f t="shared" ca="1" si="22"/>
        <v>UDO</v>
      </c>
    </row>
    <row r="1469" spans="1:10" x14ac:dyDescent="0.35">
      <c r="A1469" s="9" t="s">
        <v>47</v>
      </c>
      <c r="B1469" s="10">
        <v>44440</v>
      </c>
      <c r="C1469" s="11">
        <v>1750500</v>
      </c>
      <c r="D1469" s="11">
        <v>867728.92999999993</v>
      </c>
      <c r="E1469" s="11">
        <v>882771.07000000007</v>
      </c>
      <c r="F1469" t="str">
        <f>VLOOKUP(A1469,[1]!Table1[#All],17,FALSE)</f>
        <v>UNITED STATES</v>
      </c>
      <c r="G1469" t="str">
        <f>VLOOKUP(A1469,[1]!Table1[#All],22,FALSE)</f>
        <v>American International Health Alliance</v>
      </c>
      <c r="H1469" s="8">
        <f>VLOOKUP(A1469,[1]!Table1[#All],32,FALSE)</f>
        <v>43738</v>
      </c>
      <c r="I1469" s="8">
        <f>VLOOKUP(A1469,[1]!Table1[#All],33,FALSE)</f>
        <v>45564</v>
      </c>
      <c r="J1469" t="str">
        <f t="shared" ca="1" si="22"/>
        <v>UDO</v>
      </c>
    </row>
    <row r="1470" spans="1:10" x14ac:dyDescent="0.35">
      <c r="A1470" s="5" t="s">
        <v>47</v>
      </c>
      <c r="B1470" s="6">
        <v>44470</v>
      </c>
      <c r="C1470" s="7">
        <v>1750500</v>
      </c>
      <c r="D1470" s="7">
        <v>1022728.9299999999</v>
      </c>
      <c r="E1470" s="7">
        <v>727771.07000000007</v>
      </c>
      <c r="F1470" t="str">
        <f>VLOOKUP(A1470,[1]!Table1[#All],17,FALSE)</f>
        <v>UNITED STATES</v>
      </c>
      <c r="G1470" t="str">
        <f>VLOOKUP(A1470,[1]!Table1[#All],22,FALSE)</f>
        <v>American International Health Alliance</v>
      </c>
      <c r="H1470" s="8">
        <f>VLOOKUP(A1470,[1]!Table1[#All],32,FALSE)</f>
        <v>43738</v>
      </c>
      <c r="I1470" s="8">
        <f>VLOOKUP(A1470,[1]!Table1[#All],33,FALSE)</f>
        <v>45564</v>
      </c>
      <c r="J1470" t="str">
        <f t="shared" ca="1" si="22"/>
        <v>UDO</v>
      </c>
    </row>
    <row r="1471" spans="1:10" x14ac:dyDescent="0.35">
      <c r="A1471" s="9" t="s">
        <v>47</v>
      </c>
      <c r="B1471" s="10">
        <v>44501</v>
      </c>
      <c r="C1471" s="11">
        <v>1750500</v>
      </c>
      <c r="D1471" s="11">
        <v>1022728.9299999999</v>
      </c>
      <c r="E1471" s="11">
        <v>727771.07000000007</v>
      </c>
      <c r="F1471" t="str">
        <f>VLOOKUP(A1471,[1]!Table1[#All],17,FALSE)</f>
        <v>UNITED STATES</v>
      </c>
      <c r="G1471" t="str">
        <f>VLOOKUP(A1471,[1]!Table1[#All],22,FALSE)</f>
        <v>American International Health Alliance</v>
      </c>
      <c r="H1471" s="8">
        <f>VLOOKUP(A1471,[1]!Table1[#All],32,FALSE)</f>
        <v>43738</v>
      </c>
      <c r="I1471" s="8">
        <f>VLOOKUP(A1471,[1]!Table1[#All],33,FALSE)</f>
        <v>45564</v>
      </c>
      <c r="J1471" t="str">
        <f t="shared" ca="1" si="22"/>
        <v>UDO</v>
      </c>
    </row>
    <row r="1472" spans="1:10" x14ac:dyDescent="0.35">
      <c r="A1472" s="5" t="s">
        <v>47</v>
      </c>
      <c r="B1472" s="6">
        <v>44531</v>
      </c>
      <c r="C1472" s="7">
        <v>1750500</v>
      </c>
      <c r="D1472" s="7">
        <v>1095062.6399999999</v>
      </c>
      <c r="E1472" s="7">
        <v>655437.36</v>
      </c>
      <c r="F1472" t="str">
        <f>VLOOKUP(A1472,[1]!Table1[#All],17,FALSE)</f>
        <v>UNITED STATES</v>
      </c>
      <c r="G1472" t="str">
        <f>VLOOKUP(A1472,[1]!Table1[#All],22,FALSE)</f>
        <v>American International Health Alliance</v>
      </c>
      <c r="H1472" s="8">
        <f>VLOOKUP(A1472,[1]!Table1[#All],32,FALSE)</f>
        <v>43738</v>
      </c>
      <c r="I1472" s="8">
        <f>VLOOKUP(A1472,[1]!Table1[#All],33,FALSE)</f>
        <v>45564</v>
      </c>
      <c r="J1472" t="str">
        <f t="shared" ca="1" si="22"/>
        <v>UDO</v>
      </c>
    </row>
    <row r="1473" spans="1:10" x14ac:dyDescent="0.35">
      <c r="A1473" s="9" t="s">
        <v>47</v>
      </c>
      <c r="B1473" s="10">
        <v>44562</v>
      </c>
      <c r="C1473" s="11">
        <v>1750500</v>
      </c>
      <c r="D1473" s="11">
        <v>1125062.6399999999</v>
      </c>
      <c r="E1473" s="11">
        <v>625437.36</v>
      </c>
      <c r="F1473" t="str">
        <f>VLOOKUP(A1473,[1]!Table1[#All],17,FALSE)</f>
        <v>UNITED STATES</v>
      </c>
      <c r="G1473" t="str">
        <f>VLOOKUP(A1473,[1]!Table1[#All],22,FALSE)</f>
        <v>American International Health Alliance</v>
      </c>
      <c r="H1473" s="8">
        <f>VLOOKUP(A1473,[1]!Table1[#All],32,FALSE)</f>
        <v>43738</v>
      </c>
      <c r="I1473" s="8">
        <f>VLOOKUP(A1473,[1]!Table1[#All],33,FALSE)</f>
        <v>45564</v>
      </c>
      <c r="J1473" t="str">
        <f t="shared" ca="1" si="22"/>
        <v>UDO</v>
      </c>
    </row>
    <row r="1474" spans="1:10" x14ac:dyDescent="0.35">
      <c r="A1474" s="5" t="s">
        <v>47</v>
      </c>
      <c r="B1474" s="6">
        <v>44593</v>
      </c>
      <c r="C1474" s="7">
        <v>1750500</v>
      </c>
      <c r="D1474" s="7">
        <v>1125062.6399999999</v>
      </c>
      <c r="E1474" s="7">
        <v>625437.36</v>
      </c>
      <c r="F1474" t="str">
        <f>VLOOKUP(A1474,[1]!Table1[#All],17,FALSE)</f>
        <v>UNITED STATES</v>
      </c>
      <c r="G1474" t="str">
        <f>VLOOKUP(A1474,[1]!Table1[#All],22,FALSE)</f>
        <v>American International Health Alliance</v>
      </c>
      <c r="H1474" s="8">
        <f>VLOOKUP(A1474,[1]!Table1[#All],32,FALSE)</f>
        <v>43738</v>
      </c>
      <c r="I1474" s="8">
        <f>VLOOKUP(A1474,[1]!Table1[#All],33,FALSE)</f>
        <v>45564</v>
      </c>
      <c r="J1474" t="str">
        <f t="shared" ca="1" si="22"/>
        <v>UDO</v>
      </c>
    </row>
    <row r="1475" spans="1:10" x14ac:dyDescent="0.35">
      <c r="A1475" s="9" t="s">
        <v>47</v>
      </c>
      <c r="B1475" s="10">
        <v>44621</v>
      </c>
      <c r="C1475" s="11">
        <v>1750500</v>
      </c>
      <c r="D1475" s="11">
        <v>1135062.6399999999</v>
      </c>
      <c r="E1475" s="11">
        <v>615437.36</v>
      </c>
      <c r="F1475" t="str">
        <f>VLOOKUP(A1475,[1]!Table1[#All],17,FALSE)</f>
        <v>UNITED STATES</v>
      </c>
      <c r="G1475" t="str">
        <f>VLOOKUP(A1475,[1]!Table1[#All],22,FALSE)</f>
        <v>American International Health Alliance</v>
      </c>
      <c r="H1475" s="8">
        <f>VLOOKUP(A1475,[1]!Table1[#All],32,FALSE)</f>
        <v>43738</v>
      </c>
      <c r="I1475" s="8">
        <f>VLOOKUP(A1475,[1]!Table1[#All],33,FALSE)</f>
        <v>45564</v>
      </c>
      <c r="J1475" t="str">
        <f t="shared" ref="J1475:J1538" ca="1" si="23">IF(AND( E1475&gt;0,TODAY()&gt;I1475),"UDO","Non UDO")</f>
        <v>UDO</v>
      </c>
    </row>
    <row r="1476" spans="1:10" x14ac:dyDescent="0.35">
      <c r="A1476" s="5" t="s">
        <v>47</v>
      </c>
      <c r="B1476" s="6">
        <v>44652</v>
      </c>
      <c r="C1476" s="7">
        <v>1750500</v>
      </c>
      <c r="D1476" s="7">
        <v>1175062.6399999999</v>
      </c>
      <c r="E1476" s="7">
        <v>575437.36</v>
      </c>
      <c r="F1476" t="str">
        <f>VLOOKUP(A1476,[1]!Table1[#All],17,FALSE)</f>
        <v>UNITED STATES</v>
      </c>
      <c r="G1476" t="str">
        <f>VLOOKUP(A1476,[1]!Table1[#All],22,FALSE)</f>
        <v>American International Health Alliance</v>
      </c>
      <c r="H1476" s="8">
        <f>VLOOKUP(A1476,[1]!Table1[#All],32,FALSE)</f>
        <v>43738</v>
      </c>
      <c r="I1476" s="8">
        <f>VLOOKUP(A1476,[1]!Table1[#All],33,FALSE)</f>
        <v>45564</v>
      </c>
      <c r="J1476" t="str">
        <f t="shared" ca="1" si="23"/>
        <v>UDO</v>
      </c>
    </row>
    <row r="1477" spans="1:10" x14ac:dyDescent="0.35">
      <c r="A1477" s="9" t="s">
        <v>47</v>
      </c>
      <c r="B1477" s="10">
        <v>44682</v>
      </c>
      <c r="C1477" s="11">
        <v>1750500</v>
      </c>
      <c r="D1477" s="11">
        <v>1175062.6399999999</v>
      </c>
      <c r="E1477" s="11">
        <v>575437.36</v>
      </c>
      <c r="F1477" t="str">
        <f>VLOOKUP(A1477,[1]!Table1[#All],17,FALSE)</f>
        <v>UNITED STATES</v>
      </c>
      <c r="G1477" t="str">
        <f>VLOOKUP(A1477,[1]!Table1[#All],22,FALSE)</f>
        <v>American International Health Alliance</v>
      </c>
      <c r="H1477" s="8">
        <f>VLOOKUP(A1477,[1]!Table1[#All],32,FALSE)</f>
        <v>43738</v>
      </c>
      <c r="I1477" s="8">
        <f>VLOOKUP(A1477,[1]!Table1[#All],33,FALSE)</f>
        <v>45564</v>
      </c>
      <c r="J1477" t="str">
        <f t="shared" ca="1" si="23"/>
        <v>UDO</v>
      </c>
    </row>
    <row r="1478" spans="1:10" x14ac:dyDescent="0.35">
      <c r="A1478" s="5" t="s">
        <v>47</v>
      </c>
      <c r="B1478" s="6">
        <v>44713</v>
      </c>
      <c r="C1478" s="7">
        <v>1750500</v>
      </c>
      <c r="D1478" s="7">
        <v>1260505.29</v>
      </c>
      <c r="E1478" s="7">
        <v>489994.71</v>
      </c>
      <c r="F1478" t="str">
        <f>VLOOKUP(A1478,[1]!Table1[#All],17,FALSE)</f>
        <v>UNITED STATES</v>
      </c>
      <c r="G1478" t="str">
        <f>VLOOKUP(A1478,[1]!Table1[#All],22,FALSE)</f>
        <v>American International Health Alliance</v>
      </c>
      <c r="H1478" s="8">
        <f>VLOOKUP(A1478,[1]!Table1[#All],32,FALSE)</f>
        <v>43738</v>
      </c>
      <c r="I1478" s="8">
        <f>VLOOKUP(A1478,[1]!Table1[#All],33,FALSE)</f>
        <v>45564</v>
      </c>
      <c r="J1478" t="str">
        <f t="shared" ca="1" si="23"/>
        <v>UDO</v>
      </c>
    </row>
    <row r="1479" spans="1:10" x14ac:dyDescent="0.35">
      <c r="A1479" s="9" t="s">
        <v>47</v>
      </c>
      <c r="B1479" s="10">
        <v>44743</v>
      </c>
      <c r="C1479" s="11">
        <v>1750500</v>
      </c>
      <c r="D1479" s="11">
        <v>1260505.29</v>
      </c>
      <c r="E1479" s="11">
        <v>489994.71</v>
      </c>
      <c r="F1479" t="str">
        <f>VLOOKUP(A1479,[1]!Table1[#All],17,FALSE)</f>
        <v>UNITED STATES</v>
      </c>
      <c r="G1479" t="str">
        <f>VLOOKUP(A1479,[1]!Table1[#All],22,FALSE)</f>
        <v>American International Health Alliance</v>
      </c>
      <c r="H1479" s="8">
        <f>VLOOKUP(A1479,[1]!Table1[#All],32,FALSE)</f>
        <v>43738</v>
      </c>
      <c r="I1479" s="8">
        <f>VLOOKUP(A1479,[1]!Table1[#All],33,FALSE)</f>
        <v>45564</v>
      </c>
      <c r="J1479" t="str">
        <f t="shared" ca="1" si="23"/>
        <v>UDO</v>
      </c>
    </row>
    <row r="1480" spans="1:10" x14ac:dyDescent="0.35">
      <c r="A1480" s="5" t="s">
        <v>47</v>
      </c>
      <c r="B1480" s="6">
        <v>44774</v>
      </c>
      <c r="C1480" s="7">
        <v>1750500</v>
      </c>
      <c r="D1480" s="7">
        <v>1285505.29</v>
      </c>
      <c r="E1480" s="7">
        <v>464994.71</v>
      </c>
      <c r="F1480" t="str">
        <f>VLOOKUP(A1480,[1]!Table1[#All],17,FALSE)</f>
        <v>UNITED STATES</v>
      </c>
      <c r="G1480" t="str">
        <f>VLOOKUP(A1480,[1]!Table1[#All],22,FALSE)</f>
        <v>American International Health Alliance</v>
      </c>
      <c r="H1480" s="8">
        <f>VLOOKUP(A1480,[1]!Table1[#All],32,FALSE)</f>
        <v>43738</v>
      </c>
      <c r="I1480" s="8">
        <f>VLOOKUP(A1480,[1]!Table1[#All],33,FALSE)</f>
        <v>45564</v>
      </c>
      <c r="J1480" t="str">
        <f t="shared" ca="1" si="23"/>
        <v>UDO</v>
      </c>
    </row>
    <row r="1481" spans="1:10" x14ac:dyDescent="0.35">
      <c r="A1481" s="9" t="s">
        <v>47</v>
      </c>
      <c r="B1481" s="10">
        <v>44805</v>
      </c>
      <c r="C1481" s="11">
        <v>1750500</v>
      </c>
      <c r="D1481" s="11">
        <v>1404505.29</v>
      </c>
      <c r="E1481" s="11">
        <v>345994.71</v>
      </c>
      <c r="F1481" t="str">
        <f>VLOOKUP(A1481,[1]!Table1[#All],17,FALSE)</f>
        <v>UNITED STATES</v>
      </c>
      <c r="G1481" t="str">
        <f>VLOOKUP(A1481,[1]!Table1[#All],22,FALSE)</f>
        <v>American International Health Alliance</v>
      </c>
      <c r="H1481" s="8">
        <f>VLOOKUP(A1481,[1]!Table1[#All],32,FALSE)</f>
        <v>43738</v>
      </c>
      <c r="I1481" s="8">
        <f>VLOOKUP(A1481,[1]!Table1[#All],33,FALSE)</f>
        <v>45564</v>
      </c>
      <c r="J1481" t="str">
        <f t="shared" ca="1" si="23"/>
        <v>UDO</v>
      </c>
    </row>
    <row r="1482" spans="1:10" x14ac:dyDescent="0.35">
      <c r="A1482" s="5" t="s">
        <v>47</v>
      </c>
      <c r="B1482" s="6">
        <v>44835</v>
      </c>
      <c r="C1482" s="7">
        <v>1750500</v>
      </c>
      <c r="D1482" s="7">
        <v>1404505.29</v>
      </c>
      <c r="E1482" s="7">
        <v>345994.71</v>
      </c>
      <c r="F1482" t="str">
        <f>VLOOKUP(A1482,[1]!Table1[#All],17,FALSE)</f>
        <v>UNITED STATES</v>
      </c>
      <c r="G1482" t="str">
        <f>VLOOKUP(A1482,[1]!Table1[#All],22,FALSE)</f>
        <v>American International Health Alliance</v>
      </c>
      <c r="H1482" s="8">
        <f>VLOOKUP(A1482,[1]!Table1[#All],32,FALSE)</f>
        <v>43738</v>
      </c>
      <c r="I1482" s="8">
        <f>VLOOKUP(A1482,[1]!Table1[#All],33,FALSE)</f>
        <v>45564</v>
      </c>
      <c r="J1482" t="str">
        <f t="shared" ca="1" si="23"/>
        <v>UDO</v>
      </c>
    </row>
    <row r="1483" spans="1:10" x14ac:dyDescent="0.35">
      <c r="A1483" s="9" t="s">
        <v>47</v>
      </c>
      <c r="B1483" s="10">
        <v>44866</v>
      </c>
      <c r="C1483" s="11">
        <v>1750500</v>
      </c>
      <c r="D1483" s="11">
        <v>1404505.29</v>
      </c>
      <c r="E1483" s="11">
        <v>345994.71</v>
      </c>
      <c r="F1483" t="str">
        <f>VLOOKUP(A1483,[1]!Table1[#All],17,FALSE)</f>
        <v>UNITED STATES</v>
      </c>
      <c r="G1483" t="str">
        <f>VLOOKUP(A1483,[1]!Table1[#All],22,FALSE)</f>
        <v>American International Health Alliance</v>
      </c>
      <c r="H1483" s="8">
        <f>VLOOKUP(A1483,[1]!Table1[#All],32,FALSE)</f>
        <v>43738</v>
      </c>
      <c r="I1483" s="8">
        <f>VLOOKUP(A1483,[1]!Table1[#All],33,FALSE)</f>
        <v>45564</v>
      </c>
      <c r="J1483" t="str">
        <f t="shared" ca="1" si="23"/>
        <v>UDO</v>
      </c>
    </row>
    <row r="1484" spans="1:10" x14ac:dyDescent="0.35">
      <c r="A1484" s="5" t="s">
        <v>47</v>
      </c>
      <c r="B1484" s="6">
        <v>44896</v>
      </c>
      <c r="C1484" s="7">
        <v>1750500</v>
      </c>
      <c r="D1484" s="7">
        <v>1404505.29</v>
      </c>
      <c r="E1484" s="7">
        <v>345994.71</v>
      </c>
      <c r="F1484" t="str">
        <f>VLOOKUP(A1484,[1]!Table1[#All],17,FALSE)</f>
        <v>UNITED STATES</v>
      </c>
      <c r="G1484" t="str">
        <f>VLOOKUP(A1484,[1]!Table1[#All],22,FALSE)</f>
        <v>American International Health Alliance</v>
      </c>
      <c r="H1484" s="8">
        <f>VLOOKUP(A1484,[1]!Table1[#All],32,FALSE)</f>
        <v>43738</v>
      </c>
      <c r="I1484" s="8">
        <f>VLOOKUP(A1484,[1]!Table1[#All],33,FALSE)</f>
        <v>45564</v>
      </c>
      <c r="J1484" t="str">
        <f t="shared" ca="1" si="23"/>
        <v>UDO</v>
      </c>
    </row>
    <row r="1485" spans="1:10" x14ac:dyDescent="0.35">
      <c r="A1485" s="9" t="s">
        <v>47</v>
      </c>
      <c r="B1485" s="10">
        <v>44927</v>
      </c>
      <c r="C1485" s="11">
        <v>1750500</v>
      </c>
      <c r="D1485" s="11">
        <v>1439505.29</v>
      </c>
      <c r="E1485" s="11">
        <v>310994.70999999996</v>
      </c>
      <c r="F1485" t="str">
        <f>VLOOKUP(A1485,[1]!Table1[#All],17,FALSE)</f>
        <v>UNITED STATES</v>
      </c>
      <c r="G1485" t="str">
        <f>VLOOKUP(A1485,[1]!Table1[#All],22,FALSE)</f>
        <v>American International Health Alliance</v>
      </c>
      <c r="H1485" s="8">
        <f>VLOOKUP(A1485,[1]!Table1[#All],32,FALSE)</f>
        <v>43738</v>
      </c>
      <c r="I1485" s="8">
        <f>VLOOKUP(A1485,[1]!Table1[#All],33,FALSE)</f>
        <v>45564</v>
      </c>
      <c r="J1485" t="str">
        <f t="shared" ca="1" si="23"/>
        <v>UDO</v>
      </c>
    </row>
    <row r="1486" spans="1:10" x14ac:dyDescent="0.35">
      <c r="A1486" s="5" t="s">
        <v>47</v>
      </c>
      <c r="B1486" s="6">
        <v>44958</v>
      </c>
      <c r="C1486" s="7">
        <v>1750500</v>
      </c>
      <c r="D1486" s="7">
        <v>1552808.76</v>
      </c>
      <c r="E1486" s="7">
        <v>197691.24</v>
      </c>
      <c r="F1486" t="str">
        <f>VLOOKUP(A1486,[1]!Table1[#All],17,FALSE)</f>
        <v>UNITED STATES</v>
      </c>
      <c r="G1486" t="str">
        <f>VLOOKUP(A1486,[1]!Table1[#All],22,FALSE)</f>
        <v>American International Health Alliance</v>
      </c>
      <c r="H1486" s="8">
        <f>VLOOKUP(A1486,[1]!Table1[#All],32,FALSE)</f>
        <v>43738</v>
      </c>
      <c r="I1486" s="8">
        <f>VLOOKUP(A1486,[1]!Table1[#All],33,FALSE)</f>
        <v>45564</v>
      </c>
      <c r="J1486" t="str">
        <f t="shared" ca="1" si="23"/>
        <v>UDO</v>
      </c>
    </row>
    <row r="1487" spans="1:10" x14ac:dyDescent="0.35">
      <c r="A1487" s="9" t="s">
        <v>47</v>
      </c>
      <c r="B1487" s="10">
        <v>44986</v>
      </c>
      <c r="C1487" s="11">
        <v>1750500</v>
      </c>
      <c r="D1487" s="11">
        <v>1612808.76</v>
      </c>
      <c r="E1487" s="11">
        <v>137691.24</v>
      </c>
      <c r="F1487" t="str">
        <f>VLOOKUP(A1487,[1]!Table1[#All],17,FALSE)</f>
        <v>UNITED STATES</v>
      </c>
      <c r="G1487" t="str">
        <f>VLOOKUP(A1487,[1]!Table1[#All],22,FALSE)</f>
        <v>American International Health Alliance</v>
      </c>
      <c r="H1487" s="8">
        <f>VLOOKUP(A1487,[1]!Table1[#All],32,FALSE)</f>
        <v>43738</v>
      </c>
      <c r="I1487" s="8">
        <f>VLOOKUP(A1487,[1]!Table1[#All],33,FALSE)</f>
        <v>45564</v>
      </c>
      <c r="J1487" t="str">
        <f t="shared" ca="1" si="23"/>
        <v>UDO</v>
      </c>
    </row>
    <row r="1488" spans="1:10" x14ac:dyDescent="0.35">
      <c r="A1488" s="5" t="s">
        <v>47</v>
      </c>
      <c r="B1488" s="6">
        <v>45017</v>
      </c>
      <c r="C1488" s="7">
        <v>1750500</v>
      </c>
      <c r="D1488" s="7">
        <v>1612808.76</v>
      </c>
      <c r="E1488" s="7">
        <v>137691.24</v>
      </c>
      <c r="F1488" t="str">
        <f>VLOOKUP(A1488,[1]!Table1[#All],17,FALSE)</f>
        <v>UNITED STATES</v>
      </c>
      <c r="G1488" t="str">
        <f>VLOOKUP(A1488,[1]!Table1[#All],22,FALSE)</f>
        <v>American International Health Alliance</v>
      </c>
      <c r="H1488" s="8">
        <f>VLOOKUP(A1488,[1]!Table1[#All],32,FALSE)</f>
        <v>43738</v>
      </c>
      <c r="I1488" s="8">
        <f>VLOOKUP(A1488,[1]!Table1[#All],33,FALSE)</f>
        <v>45564</v>
      </c>
      <c r="J1488" t="str">
        <f t="shared" ca="1" si="23"/>
        <v>UDO</v>
      </c>
    </row>
    <row r="1489" spans="1:10" x14ac:dyDescent="0.35">
      <c r="A1489" s="9" t="s">
        <v>47</v>
      </c>
      <c r="B1489" s="10">
        <v>45047</v>
      </c>
      <c r="C1489" s="11">
        <v>1750500</v>
      </c>
      <c r="D1489" s="11">
        <v>1612808.76</v>
      </c>
      <c r="E1489" s="11">
        <v>137691.24</v>
      </c>
      <c r="F1489" t="str">
        <f>VLOOKUP(A1489,[1]!Table1[#All],17,FALSE)</f>
        <v>UNITED STATES</v>
      </c>
      <c r="G1489" t="str">
        <f>VLOOKUP(A1489,[1]!Table1[#All],22,FALSE)</f>
        <v>American International Health Alliance</v>
      </c>
      <c r="H1489" s="8">
        <f>VLOOKUP(A1489,[1]!Table1[#All],32,FALSE)</f>
        <v>43738</v>
      </c>
      <c r="I1489" s="8">
        <f>VLOOKUP(A1489,[1]!Table1[#All],33,FALSE)</f>
        <v>45564</v>
      </c>
      <c r="J1489" t="str">
        <f t="shared" ca="1" si="23"/>
        <v>UDO</v>
      </c>
    </row>
    <row r="1490" spans="1:10" x14ac:dyDescent="0.35">
      <c r="A1490" s="5" t="s">
        <v>47</v>
      </c>
      <c r="B1490" s="6">
        <v>45078</v>
      </c>
      <c r="C1490" s="7">
        <v>1750500</v>
      </c>
      <c r="D1490" s="7">
        <v>1673379.0899999999</v>
      </c>
      <c r="E1490" s="7">
        <v>77120.91</v>
      </c>
      <c r="F1490" t="str">
        <f>VLOOKUP(A1490,[1]!Table1[#All],17,FALSE)</f>
        <v>UNITED STATES</v>
      </c>
      <c r="G1490" t="str">
        <f>VLOOKUP(A1490,[1]!Table1[#All],22,FALSE)</f>
        <v>American International Health Alliance</v>
      </c>
      <c r="H1490" s="8">
        <f>VLOOKUP(A1490,[1]!Table1[#All],32,FALSE)</f>
        <v>43738</v>
      </c>
      <c r="I1490" s="8">
        <f>VLOOKUP(A1490,[1]!Table1[#All],33,FALSE)</f>
        <v>45564</v>
      </c>
      <c r="J1490" t="str">
        <f t="shared" ca="1" si="23"/>
        <v>UDO</v>
      </c>
    </row>
    <row r="1491" spans="1:10" x14ac:dyDescent="0.35">
      <c r="A1491" s="9" t="s">
        <v>47</v>
      </c>
      <c r="B1491" s="10">
        <v>45108</v>
      </c>
      <c r="C1491" s="11">
        <v>1750500</v>
      </c>
      <c r="D1491" s="11">
        <v>1673379.0899999999</v>
      </c>
      <c r="E1491" s="11">
        <v>77120.91</v>
      </c>
      <c r="F1491" t="str">
        <f>VLOOKUP(A1491,[1]!Table1[#All],17,FALSE)</f>
        <v>UNITED STATES</v>
      </c>
      <c r="G1491" t="str">
        <f>VLOOKUP(A1491,[1]!Table1[#All],22,FALSE)</f>
        <v>American International Health Alliance</v>
      </c>
      <c r="H1491" s="8">
        <f>VLOOKUP(A1491,[1]!Table1[#All],32,FALSE)</f>
        <v>43738</v>
      </c>
      <c r="I1491" s="8">
        <f>VLOOKUP(A1491,[1]!Table1[#All],33,FALSE)</f>
        <v>45564</v>
      </c>
      <c r="J1491" t="str">
        <f t="shared" ca="1" si="23"/>
        <v>UDO</v>
      </c>
    </row>
    <row r="1492" spans="1:10" x14ac:dyDescent="0.35">
      <c r="A1492" s="5" t="s">
        <v>47</v>
      </c>
      <c r="B1492" s="6">
        <v>45139</v>
      </c>
      <c r="C1492" s="7">
        <v>1750500</v>
      </c>
      <c r="D1492" s="7">
        <v>1673379.0899999999</v>
      </c>
      <c r="E1492" s="7">
        <v>77120.91</v>
      </c>
      <c r="F1492" t="str">
        <f>VLOOKUP(A1492,[1]!Table1[#All],17,FALSE)</f>
        <v>UNITED STATES</v>
      </c>
      <c r="G1492" t="str">
        <f>VLOOKUP(A1492,[1]!Table1[#All],22,FALSE)</f>
        <v>American International Health Alliance</v>
      </c>
      <c r="H1492" s="8">
        <f>VLOOKUP(A1492,[1]!Table1[#All],32,FALSE)</f>
        <v>43738</v>
      </c>
      <c r="I1492" s="8">
        <f>VLOOKUP(A1492,[1]!Table1[#All],33,FALSE)</f>
        <v>45564</v>
      </c>
      <c r="J1492" t="str">
        <f t="shared" ca="1" si="23"/>
        <v>UDO</v>
      </c>
    </row>
    <row r="1493" spans="1:10" x14ac:dyDescent="0.35">
      <c r="A1493" s="9" t="s">
        <v>47</v>
      </c>
      <c r="B1493" s="10">
        <v>45170</v>
      </c>
      <c r="C1493" s="11">
        <v>1750500</v>
      </c>
      <c r="D1493" s="11">
        <v>1673379.0899999999</v>
      </c>
      <c r="E1493" s="11">
        <v>77120.91</v>
      </c>
      <c r="F1493" t="str">
        <f>VLOOKUP(A1493,[1]!Table1[#All],17,FALSE)</f>
        <v>UNITED STATES</v>
      </c>
      <c r="G1493" t="str">
        <f>VLOOKUP(A1493,[1]!Table1[#All],22,FALSE)</f>
        <v>American International Health Alliance</v>
      </c>
      <c r="H1493" s="8">
        <f>VLOOKUP(A1493,[1]!Table1[#All],32,FALSE)</f>
        <v>43738</v>
      </c>
      <c r="I1493" s="8">
        <f>VLOOKUP(A1493,[1]!Table1[#All],33,FALSE)</f>
        <v>45564</v>
      </c>
      <c r="J1493" t="str">
        <f t="shared" ca="1" si="23"/>
        <v>UDO</v>
      </c>
    </row>
    <row r="1494" spans="1:10" x14ac:dyDescent="0.35">
      <c r="A1494" s="5" t="s">
        <v>48</v>
      </c>
      <c r="B1494" s="6">
        <v>44105</v>
      </c>
      <c r="C1494" s="7">
        <v>4689294</v>
      </c>
      <c r="D1494" s="7">
        <v>508624.56</v>
      </c>
      <c r="E1494" s="7">
        <v>4180669.44</v>
      </c>
      <c r="F1494" t="str">
        <f>VLOOKUP(A1494,[1]!Table1[#All],17,FALSE)</f>
        <v>UNITED STATES</v>
      </c>
      <c r="G1494" t="str">
        <f>VLOOKUP(A1494,[1]!Table1[#All],22,FALSE)</f>
        <v>COLUMBIA UNIVERSITY, SCHOOL OF ARTS &amp; SCIENCES</v>
      </c>
      <c r="H1494" s="8">
        <f>VLOOKUP(A1494,[1]!Table1[#All],32,FALSE)</f>
        <v>43738</v>
      </c>
      <c r="I1494" s="8">
        <f>VLOOKUP(A1494,[1]!Table1[#All],33,FALSE)</f>
        <v>45564</v>
      </c>
      <c r="J1494" t="str">
        <f t="shared" ca="1" si="23"/>
        <v>UDO</v>
      </c>
    </row>
    <row r="1495" spans="1:10" x14ac:dyDescent="0.35">
      <c r="A1495" s="9" t="s">
        <v>48</v>
      </c>
      <c r="B1495" s="10">
        <v>44136</v>
      </c>
      <c r="C1495" s="11">
        <v>4689294</v>
      </c>
      <c r="D1495" s="11">
        <v>520392.13</v>
      </c>
      <c r="E1495" s="11">
        <v>4168901.87</v>
      </c>
      <c r="F1495" t="str">
        <f>VLOOKUP(A1495,[1]!Table1[#All],17,FALSE)</f>
        <v>UNITED STATES</v>
      </c>
      <c r="G1495" t="str">
        <f>VLOOKUP(A1495,[1]!Table1[#All],22,FALSE)</f>
        <v>COLUMBIA UNIVERSITY, SCHOOL OF ARTS &amp; SCIENCES</v>
      </c>
      <c r="H1495" s="8">
        <f>VLOOKUP(A1495,[1]!Table1[#All],32,FALSE)</f>
        <v>43738</v>
      </c>
      <c r="I1495" s="8">
        <f>VLOOKUP(A1495,[1]!Table1[#All],33,FALSE)</f>
        <v>45564</v>
      </c>
      <c r="J1495" t="str">
        <f t="shared" ca="1" si="23"/>
        <v>UDO</v>
      </c>
    </row>
    <row r="1496" spans="1:10" x14ac:dyDescent="0.35">
      <c r="A1496" s="5" t="s">
        <v>48</v>
      </c>
      <c r="B1496" s="6">
        <v>44166</v>
      </c>
      <c r="C1496" s="7">
        <v>4689294</v>
      </c>
      <c r="D1496" s="7">
        <v>679996.26</v>
      </c>
      <c r="E1496" s="7">
        <v>4009297.74</v>
      </c>
      <c r="F1496" t="str">
        <f>VLOOKUP(A1496,[1]!Table1[#All],17,FALSE)</f>
        <v>UNITED STATES</v>
      </c>
      <c r="G1496" t="str">
        <f>VLOOKUP(A1496,[1]!Table1[#All],22,FALSE)</f>
        <v>COLUMBIA UNIVERSITY, SCHOOL OF ARTS &amp; SCIENCES</v>
      </c>
      <c r="H1496" s="8">
        <f>VLOOKUP(A1496,[1]!Table1[#All],32,FALSE)</f>
        <v>43738</v>
      </c>
      <c r="I1496" s="8">
        <f>VLOOKUP(A1496,[1]!Table1[#All],33,FALSE)</f>
        <v>45564</v>
      </c>
      <c r="J1496" t="str">
        <f t="shared" ca="1" si="23"/>
        <v>UDO</v>
      </c>
    </row>
    <row r="1497" spans="1:10" x14ac:dyDescent="0.35">
      <c r="A1497" s="9" t="s">
        <v>48</v>
      </c>
      <c r="B1497" s="10">
        <v>44197</v>
      </c>
      <c r="C1497" s="11">
        <v>4689294</v>
      </c>
      <c r="D1497" s="11">
        <v>1179286.9099999999</v>
      </c>
      <c r="E1497" s="11">
        <v>3510007.09</v>
      </c>
      <c r="F1497" t="str">
        <f>VLOOKUP(A1497,[1]!Table1[#All],17,FALSE)</f>
        <v>UNITED STATES</v>
      </c>
      <c r="G1497" t="str">
        <f>VLOOKUP(A1497,[1]!Table1[#All],22,FALSE)</f>
        <v>COLUMBIA UNIVERSITY, SCHOOL OF ARTS &amp; SCIENCES</v>
      </c>
      <c r="H1497" s="8">
        <f>VLOOKUP(A1497,[1]!Table1[#All],32,FALSE)</f>
        <v>43738</v>
      </c>
      <c r="I1497" s="8">
        <f>VLOOKUP(A1497,[1]!Table1[#All],33,FALSE)</f>
        <v>45564</v>
      </c>
      <c r="J1497" t="str">
        <f t="shared" ca="1" si="23"/>
        <v>UDO</v>
      </c>
    </row>
    <row r="1498" spans="1:10" x14ac:dyDescent="0.35">
      <c r="A1498" s="5" t="s">
        <v>48</v>
      </c>
      <c r="B1498" s="6">
        <v>44228</v>
      </c>
      <c r="C1498" s="7">
        <v>4689294</v>
      </c>
      <c r="D1498" s="7">
        <v>1387559.64</v>
      </c>
      <c r="E1498" s="7">
        <v>3301734.36</v>
      </c>
      <c r="F1498" t="str">
        <f>VLOOKUP(A1498,[1]!Table1[#All],17,FALSE)</f>
        <v>UNITED STATES</v>
      </c>
      <c r="G1498" t="str">
        <f>VLOOKUP(A1498,[1]!Table1[#All],22,FALSE)</f>
        <v>COLUMBIA UNIVERSITY, SCHOOL OF ARTS &amp; SCIENCES</v>
      </c>
      <c r="H1498" s="8">
        <f>VLOOKUP(A1498,[1]!Table1[#All],32,FALSE)</f>
        <v>43738</v>
      </c>
      <c r="I1498" s="8">
        <f>VLOOKUP(A1498,[1]!Table1[#All],33,FALSE)</f>
        <v>45564</v>
      </c>
      <c r="J1498" t="str">
        <f t="shared" ca="1" si="23"/>
        <v>UDO</v>
      </c>
    </row>
    <row r="1499" spans="1:10" x14ac:dyDescent="0.35">
      <c r="A1499" s="9" t="s">
        <v>48</v>
      </c>
      <c r="B1499" s="10">
        <v>44256</v>
      </c>
      <c r="C1499" s="11">
        <v>4689294</v>
      </c>
      <c r="D1499" s="11">
        <v>1650070.56</v>
      </c>
      <c r="E1499" s="11">
        <v>3039223.44</v>
      </c>
      <c r="F1499" t="str">
        <f>VLOOKUP(A1499,[1]!Table1[#All],17,FALSE)</f>
        <v>UNITED STATES</v>
      </c>
      <c r="G1499" t="str">
        <f>VLOOKUP(A1499,[1]!Table1[#All],22,FALSE)</f>
        <v>COLUMBIA UNIVERSITY, SCHOOL OF ARTS &amp; SCIENCES</v>
      </c>
      <c r="H1499" s="8">
        <f>VLOOKUP(A1499,[1]!Table1[#All],32,FALSE)</f>
        <v>43738</v>
      </c>
      <c r="I1499" s="8">
        <f>VLOOKUP(A1499,[1]!Table1[#All],33,FALSE)</f>
        <v>45564</v>
      </c>
      <c r="J1499" t="str">
        <f t="shared" ca="1" si="23"/>
        <v>UDO</v>
      </c>
    </row>
    <row r="1500" spans="1:10" x14ac:dyDescent="0.35">
      <c r="A1500" s="5" t="s">
        <v>48</v>
      </c>
      <c r="B1500" s="6">
        <v>44317</v>
      </c>
      <c r="C1500" s="7">
        <v>4689294</v>
      </c>
      <c r="D1500" s="7">
        <v>2290526.92</v>
      </c>
      <c r="E1500" s="7">
        <v>2398767.08</v>
      </c>
      <c r="F1500" t="str">
        <f>VLOOKUP(A1500,[1]!Table1[#All],17,FALSE)</f>
        <v>UNITED STATES</v>
      </c>
      <c r="G1500" t="str">
        <f>VLOOKUP(A1500,[1]!Table1[#All],22,FALSE)</f>
        <v>COLUMBIA UNIVERSITY, SCHOOL OF ARTS &amp; SCIENCES</v>
      </c>
      <c r="H1500" s="8">
        <f>VLOOKUP(A1500,[1]!Table1[#All],32,FALSE)</f>
        <v>43738</v>
      </c>
      <c r="I1500" s="8">
        <f>VLOOKUP(A1500,[1]!Table1[#All],33,FALSE)</f>
        <v>45564</v>
      </c>
      <c r="J1500" t="str">
        <f t="shared" ca="1" si="23"/>
        <v>UDO</v>
      </c>
    </row>
    <row r="1501" spans="1:10" x14ac:dyDescent="0.35">
      <c r="A1501" s="9" t="s">
        <v>48</v>
      </c>
      <c r="B1501" s="10">
        <v>44348</v>
      </c>
      <c r="C1501" s="11">
        <v>4689294</v>
      </c>
      <c r="D1501" s="11">
        <v>2645834.19</v>
      </c>
      <c r="E1501" s="11">
        <v>2043459.81</v>
      </c>
      <c r="F1501" t="str">
        <f>VLOOKUP(A1501,[1]!Table1[#All],17,FALSE)</f>
        <v>UNITED STATES</v>
      </c>
      <c r="G1501" t="str">
        <f>VLOOKUP(A1501,[1]!Table1[#All],22,FALSE)</f>
        <v>COLUMBIA UNIVERSITY, SCHOOL OF ARTS &amp; SCIENCES</v>
      </c>
      <c r="H1501" s="8">
        <f>VLOOKUP(A1501,[1]!Table1[#All],32,FALSE)</f>
        <v>43738</v>
      </c>
      <c r="I1501" s="8">
        <f>VLOOKUP(A1501,[1]!Table1[#All],33,FALSE)</f>
        <v>45564</v>
      </c>
      <c r="J1501" t="str">
        <f t="shared" ca="1" si="23"/>
        <v>UDO</v>
      </c>
    </row>
    <row r="1502" spans="1:10" x14ac:dyDescent="0.35">
      <c r="A1502" s="5" t="s">
        <v>48</v>
      </c>
      <c r="B1502" s="6">
        <v>44378</v>
      </c>
      <c r="C1502" s="7">
        <v>4689294</v>
      </c>
      <c r="D1502" s="7">
        <v>2959961.43</v>
      </c>
      <c r="E1502" s="7">
        <v>1729332.57</v>
      </c>
      <c r="F1502" t="str">
        <f>VLOOKUP(A1502,[1]!Table1[#All],17,FALSE)</f>
        <v>UNITED STATES</v>
      </c>
      <c r="G1502" t="str">
        <f>VLOOKUP(A1502,[1]!Table1[#All],22,FALSE)</f>
        <v>COLUMBIA UNIVERSITY, SCHOOL OF ARTS &amp; SCIENCES</v>
      </c>
      <c r="H1502" s="8">
        <f>VLOOKUP(A1502,[1]!Table1[#All],32,FALSE)</f>
        <v>43738</v>
      </c>
      <c r="I1502" s="8">
        <f>VLOOKUP(A1502,[1]!Table1[#All],33,FALSE)</f>
        <v>45564</v>
      </c>
      <c r="J1502" t="str">
        <f t="shared" ca="1" si="23"/>
        <v>UDO</v>
      </c>
    </row>
    <row r="1503" spans="1:10" x14ac:dyDescent="0.35">
      <c r="A1503" s="9" t="s">
        <v>48</v>
      </c>
      <c r="B1503" s="10">
        <v>44409</v>
      </c>
      <c r="C1503" s="11">
        <v>4689294</v>
      </c>
      <c r="D1503" s="11">
        <v>3271290.73</v>
      </c>
      <c r="E1503" s="11">
        <v>1418003.27</v>
      </c>
      <c r="F1503" t="str">
        <f>VLOOKUP(A1503,[1]!Table1[#All],17,FALSE)</f>
        <v>UNITED STATES</v>
      </c>
      <c r="G1503" t="str">
        <f>VLOOKUP(A1503,[1]!Table1[#All],22,FALSE)</f>
        <v>COLUMBIA UNIVERSITY, SCHOOL OF ARTS &amp; SCIENCES</v>
      </c>
      <c r="H1503" s="8">
        <f>VLOOKUP(A1503,[1]!Table1[#All],32,FALSE)</f>
        <v>43738</v>
      </c>
      <c r="I1503" s="8">
        <f>VLOOKUP(A1503,[1]!Table1[#All],33,FALSE)</f>
        <v>45564</v>
      </c>
      <c r="J1503" t="str">
        <f t="shared" ca="1" si="23"/>
        <v>UDO</v>
      </c>
    </row>
    <row r="1504" spans="1:10" x14ac:dyDescent="0.35">
      <c r="A1504" s="5" t="s">
        <v>48</v>
      </c>
      <c r="B1504" s="6">
        <v>44440</v>
      </c>
      <c r="C1504" s="7">
        <v>4689294</v>
      </c>
      <c r="D1504" s="7">
        <v>4569079.07</v>
      </c>
      <c r="E1504" s="7">
        <v>120214.93</v>
      </c>
      <c r="F1504" t="str">
        <f>VLOOKUP(A1504,[1]!Table1[#All],17,FALSE)</f>
        <v>UNITED STATES</v>
      </c>
      <c r="G1504" t="str">
        <f>VLOOKUP(A1504,[1]!Table1[#All],22,FALSE)</f>
        <v>COLUMBIA UNIVERSITY, SCHOOL OF ARTS &amp; SCIENCES</v>
      </c>
      <c r="H1504" s="8">
        <f>VLOOKUP(A1504,[1]!Table1[#All],32,FALSE)</f>
        <v>43738</v>
      </c>
      <c r="I1504" s="8">
        <f>VLOOKUP(A1504,[1]!Table1[#All],33,FALSE)</f>
        <v>45564</v>
      </c>
      <c r="J1504" t="str">
        <f t="shared" ca="1" si="23"/>
        <v>UDO</v>
      </c>
    </row>
    <row r="1505" spans="1:10" x14ac:dyDescent="0.35">
      <c r="A1505" s="9" t="s">
        <v>48</v>
      </c>
      <c r="B1505" s="10">
        <v>44470</v>
      </c>
      <c r="C1505" s="11">
        <v>4689294</v>
      </c>
      <c r="D1505" s="11">
        <v>4539806.08</v>
      </c>
      <c r="E1505" s="11">
        <v>149487.92000000001</v>
      </c>
      <c r="F1505" t="str">
        <f>VLOOKUP(A1505,[1]!Table1[#All],17,FALSE)</f>
        <v>UNITED STATES</v>
      </c>
      <c r="G1505" t="str">
        <f>VLOOKUP(A1505,[1]!Table1[#All],22,FALSE)</f>
        <v>COLUMBIA UNIVERSITY, SCHOOL OF ARTS &amp; SCIENCES</v>
      </c>
      <c r="H1505" s="8">
        <f>VLOOKUP(A1505,[1]!Table1[#All],32,FALSE)</f>
        <v>43738</v>
      </c>
      <c r="I1505" s="8">
        <f>VLOOKUP(A1505,[1]!Table1[#All],33,FALSE)</f>
        <v>45564</v>
      </c>
      <c r="J1505" t="str">
        <f t="shared" ca="1" si="23"/>
        <v>UDO</v>
      </c>
    </row>
    <row r="1506" spans="1:10" x14ac:dyDescent="0.35">
      <c r="A1506" s="5" t="s">
        <v>48</v>
      </c>
      <c r="B1506" s="6">
        <v>44501</v>
      </c>
      <c r="C1506" s="7">
        <v>4689294</v>
      </c>
      <c r="D1506" s="7">
        <v>4689294</v>
      </c>
      <c r="E1506" s="7">
        <v>0</v>
      </c>
      <c r="F1506" t="str">
        <f>VLOOKUP(A1506,[1]!Table1[#All],17,FALSE)</f>
        <v>UNITED STATES</v>
      </c>
      <c r="G1506" t="str">
        <f>VLOOKUP(A1506,[1]!Table1[#All],22,FALSE)</f>
        <v>COLUMBIA UNIVERSITY, SCHOOL OF ARTS &amp; SCIENCES</v>
      </c>
      <c r="H1506" s="8">
        <f>VLOOKUP(A1506,[1]!Table1[#All],32,FALSE)</f>
        <v>43738</v>
      </c>
      <c r="I1506" s="8">
        <f>VLOOKUP(A1506,[1]!Table1[#All],33,FALSE)</f>
        <v>45564</v>
      </c>
      <c r="J1506" t="str">
        <f t="shared" ca="1" si="23"/>
        <v>Non UDO</v>
      </c>
    </row>
    <row r="1507" spans="1:10" x14ac:dyDescent="0.35">
      <c r="A1507" s="9" t="s">
        <v>48</v>
      </c>
      <c r="B1507" s="10">
        <v>44531</v>
      </c>
      <c r="C1507" s="11">
        <v>4689294</v>
      </c>
      <c r="D1507" s="11">
        <v>4689294</v>
      </c>
      <c r="E1507" s="11">
        <v>0</v>
      </c>
      <c r="F1507" t="str">
        <f>VLOOKUP(A1507,[1]!Table1[#All],17,FALSE)</f>
        <v>UNITED STATES</v>
      </c>
      <c r="G1507" t="str">
        <f>VLOOKUP(A1507,[1]!Table1[#All],22,FALSE)</f>
        <v>COLUMBIA UNIVERSITY, SCHOOL OF ARTS &amp; SCIENCES</v>
      </c>
      <c r="H1507" s="8">
        <f>VLOOKUP(A1507,[1]!Table1[#All],32,FALSE)</f>
        <v>43738</v>
      </c>
      <c r="I1507" s="8">
        <f>VLOOKUP(A1507,[1]!Table1[#All],33,FALSE)</f>
        <v>45564</v>
      </c>
      <c r="J1507" t="str">
        <f t="shared" ca="1" si="23"/>
        <v>Non UDO</v>
      </c>
    </row>
    <row r="1508" spans="1:10" x14ac:dyDescent="0.35">
      <c r="A1508" s="5" t="s">
        <v>48</v>
      </c>
      <c r="B1508" s="6">
        <v>44562</v>
      </c>
      <c r="C1508" s="7">
        <v>4689294</v>
      </c>
      <c r="D1508" s="7">
        <v>4689294</v>
      </c>
      <c r="E1508" s="7">
        <v>0</v>
      </c>
      <c r="F1508" t="str">
        <f>VLOOKUP(A1508,[1]!Table1[#All],17,FALSE)</f>
        <v>UNITED STATES</v>
      </c>
      <c r="G1508" t="str">
        <f>VLOOKUP(A1508,[1]!Table1[#All],22,FALSE)</f>
        <v>COLUMBIA UNIVERSITY, SCHOOL OF ARTS &amp; SCIENCES</v>
      </c>
      <c r="H1508" s="8">
        <f>VLOOKUP(A1508,[1]!Table1[#All],32,FALSE)</f>
        <v>43738</v>
      </c>
      <c r="I1508" s="8">
        <f>VLOOKUP(A1508,[1]!Table1[#All],33,FALSE)</f>
        <v>45564</v>
      </c>
      <c r="J1508" t="str">
        <f t="shared" ca="1" si="23"/>
        <v>Non UDO</v>
      </c>
    </row>
    <row r="1509" spans="1:10" x14ac:dyDescent="0.35">
      <c r="A1509" s="9" t="s">
        <v>48</v>
      </c>
      <c r="B1509" s="10">
        <v>44593</v>
      </c>
      <c r="C1509" s="11">
        <v>4689294</v>
      </c>
      <c r="D1509" s="11">
        <v>4689294</v>
      </c>
      <c r="E1509" s="11">
        <v>0</v>
      </c>
      <c r="F1509" t="str">
        <f>VLOOKUP(A1509,[1]!Table1[#All],17,FALSE)</f>
        <v>UNITED STATES</v>
      </c>
      <c r="G1509" t="str">
        <f>VLOOKUP(A1509,[1]!Table1[#All],22,FALSE)</f>
        <v>COLUMBIA UNIVERSITY, SCHOOL OF ARTS &amp; SCIENCES</v>
      </c>
      <c r="H1509" s="8">
        <f>VLOOKUP(A1509,[1]!Table1[#All],32,FALSE)</f>
        <v>43738</v>
      </c>
      <c r="I1509" s="8">
        <f>VLOOKUP(A1509,[1]!Table1[#All],33,FALSE)</f>
        <v>45564</v>
      </c>
      <c r="J1509" t="str">
        <f t="shared" ca="1" si="23"/>
        <v>Non UDO</v>
      </c>
    </row>
    <row r="1510" spans="1:10" x14ac:dyDescent="0.35">
      <c r="A1510" s="5" t="s">
        <v>48</v>
      </c>
      <c r="B1510" s="6">
        <v>44621</v>
      </c>
      <c r="C1510" s="7">
        <v>4689294</v>
      </c>
      <c r="D1510" s="7">
        <v>4689294</v>
      </c>
      <c r="E1510" s="7">
        <v>0</v>
      </c>
      <c r="F1510" t="str">
        <f>VLOOKUP(A1510,[1]!Table1[#All],17,FALSE)</f>
        <v>UNITED STATES</v>
      </c>
      <c r="G1510" t="str">
        <f>VLOOKUP(A1510,[1]!Table1[#All],22,FALSE)</f>
        <v>COLUMBIA UNIVERSITY, SCHOOL OF ARTS &amp; SCIENCES</v>
      </c>
      <c r="H1510" s="8">
        <f>VLOOKUP(A1510,[1]!Table1[#All],32,FALSE)</f>
        <v>43738</v>
      </c>
      <c r="I1510" s="8">
        <f>VLOOKUP(A1510,[1]!Table1[#All],33,FALSE)</f>
        <v>45564</v>
      </c>
      <c r="J1510" t="str">
        <f t="shared" ca="1" si="23"/>
        <v>Non UDO</v>
      </c>
    </row>
    <row r="1511" spans="1:10" x14ac:dyDescent="0.35">
      <c r="A1511" s="9" t="s">
        <v>48</v>
      </c>
      <c r="B1511" s="10">
        <v>44652</v>
      </c>
      <c r="C1511" s="11">
        <v>4689294</v>
      </c>
      <c r="D1511" s="11">
        <v>4689294</v>
      </c>
      <c r="E1511" s="11">
        <v>0</v>
      </c>
      <c r="F1511" t="str">
        <f>VLOOKUP(A1511,[1]!Table1[#All],17,FALSE)</f>
        <v>UNITED STATES</v>
      </c>
      <c r="G1511" t="str">
        <f>VLOOKUP(A1511,[1]!Table1[#All],22,FALSE)</f>
        <v>COLUMBIA UNIVERSITY, SCHOOL OF ARTS &amp; SCIENCES</v>
      </c>
      <c r="H1511" s="8">
        <f>VLOOKUP(A1511,[1]!Table1[#All],32,FALSE)</f>
        <v>43738</v>
      </c>
      <c r="I1511" s="8">
        <f>VLOOKUP(A1511,[1]!Table1[#All],33,FALSE)</f>
        <v>45564</v>
      </c>
      <c r="J1511" t="str">
        <f t="shared" ca="1" si="23"/>
        <v>Non UDO</v>
      </c>
    </row>
    <row r="1512" spans="1:10" x14ac:dyDescent="0.35">
      <c r="A1512" s="5" t="s">
        <v>48</v>
      </c>
      <c r="B1512" s="6">
        <v>44682</v>
      </c>
      <c r="C1512" s="7">
        <v>4689294</v>
      </c>
      <c r="D1512" s="7">
        <v>4689294</v>
      </c>
      <c r="E1512" s="7">
        <v>0</v>
      </c>
      <c r="F1512" t="str">
        <f>VLOOKUP(A1512,[1]!Table1[#All],17,FALSE)</f>
        <v>UNITED STATES</v>
      </c>
      <c r="G1512" t="str">
        <f>VLOOKUP(A1512,[1]!Table1[#All],22,FALSE)</f>
        <v>COLUMBIA UNIVERSITY, SCHOOL OF ARTS &amp; SCIENCES</v>
      </c>
      <c r="H1512" s="8">
        <f>VLOOKUP(A1512,[1]!Table1[#All],32,FALSE)</f>
        <v>43738</v>
      </c>
      <c r="I1512" s="8">
        <f>VLOOKUP(A1512,[1]!Table1[#All],33,FALSE)</f>
        <v>45564</v>
      </c>
      <c r="J1512" t="str">
        <f t="shared" ca="1" si="23"/>
        <v>Non UDO</v>
      </c>
    </row>
    <row r="1513" spans="1:10" x14ac:dyDescent="0.35">
      <c r="A1513" s="9" t="s">
        <v>48</v>
      </c>
      <c r="B1513" s="10">
        <v>44713</v>
      </c>
      <c r="C1513" s="11">
        <v>4689294</v>
      </c>
      <c r="D1513" s="11">
        <v>4689294</v>
      </c>
      <c r="E1513" s="11">
        <v>0</v>
      </c>
      <c r="F1513" t="str">
        <f>VLOOKUP(A1513,[1]!Table1[#All],17,FALSE)</f>
        <v>UNITED STATES</v>
      </c>
      <c r="G1513" t="str">
        <f>VLOOKUP(A1513,[1]!Table1[#All],22,FALSE)</f>
        <v>COLUMBIA UNIVERSITY, SCHOOL OF ARTS &amp; SCIENCES</v>
      </c>
      <c r="H1513" s="8">
        <f>VLOOKUP(A1513,[1]!Table1[#All],32,FALSE)</f>
        <v>43738</v>
      </c>
      <c r="I1513" s="8">
        <f>VLOOKUP(A1513,[1]!Table1[#All],33,FALSE)</f>
        <v>45564</v>
      </c>
      <c r="J1513" t="str">
        <f t="shared" ca="1" si="23"/>
        <v>Non UDO</v>
      </c>
    </row>
    <row r="1514" spans="1:10" x14ac:dyDescent="0.35">
      <c r="A1514" s="5" t="s">
        <v>48</v>
      </c>
      <c r="B1514" s="6">
        <v>44743</v>
      </c>
      <c r="C1514" s="7">
        <v>4689294</v>
      </c>
      <c r="D1514" s="7">
        <v>4689294</v>
      </c>
      <c r="E1514" s="7">
        <v>0</v>
      </c>
      <c r="F1514" t="str">
        <f>VLOOKUP(A1514,[1]!Table1[#All],17,FALSE)</f>
        <v>UNITED STATES</v>
      </c>
      <c r="G1514" t="str">
        <f>VLOOKUP(A1514,[1]!Table1[#All],22,FALSE)</f>
        <v>COLUMBIA UNIVERSITY, SCHOOL OF ARTS &amp; SCIENCES</v>
      </c>
      <c r="H1514" s="8">
        <f>VLOOKUP(A1514,[1]!Table1[#All],32,FALSE)</f>
        <v>43738</v>
      </c>
      <c r="I1514" s="8">
        <f>VLOOKUP(A1514,[1]!Table1[#All],33,FALSE)</f>
        <v>45564</v>
      </c>
      <c r="J1514" t="str">
        <f t="shared" ca="1" si="23"/>
        <v>Non UDO</v>
      </c>
    </row>
    <row r="1515" spans="1:10" x14ac:dyDescent="0.35">
      <c r="A1515" s="9" t="s">
        <v>48</v>
      </c>
      <c r="B1515" s="10">
        <v>44774</v>
      </c>
      <c r="C1515" s="11">
        <v>4689294</v>
      </c>
      <c r="D1515" s="11">
        <v>4689294</v>
      </c>
      <c r="E1515" s="11">
        <v>0</v>
      </c>
      <c r="F1515" t="str">
        <f>VLOOKUP(A1515,[1]!Table1[#All],17,FALSE)</f>
        <v>UNITED STATES</v>
      </c>
      <c r="G1515" t="str">
        <f>VLOOKUP(A1515,[1]!Table1[#All],22,FALSE)</f>
        <v>COLUMBIA UNIVERSITY, SCHOOL OF ARTS &amp; SCIENCES</v>
      </c>
      <c r="H1515" s="8">
        <f>VLOOKUP(A1515,[1]!Table1[#All],32,FALSE)</f>
        <v>43738</v>
      </c>
      <c r="I1515" s="8">
        <f>VLOOKUP(A1515,[1]!Table1[#All],33,FALSE)</f>
        <v>45564</v>
      </c>
      <c r="J1515" t="str">
        <f t="shared" ca="1" si="23"/>
        <v>Non UDO</v>
      </c>
    </row>
    <row r="1516" spans="1:10" x14ac:dyDescent="0.35">
      <c r="A1516" s="5" t="s">
        <v>48</v>
      </c>
      <c r="B1516" s="6">
        <v>44805</v>
      </c>
      <c r="C1516" s="7">
        <v>4689294</v>
      </c>
      <c r="D1516" s="7">
        <v>4689294</v>
      </c>
      <c r="E1516" s="7">
        <v>0</v>
      </c>
      <c r="F1516" t="str">
        <f>VLOOKUP(A1516,[1]!Table1[#All],17,FALSE)</f>
        <v>UNITED STATES</v>
      </c>
      <c r="G1516" t="str">
        <f>VLOOKUP(A1516,[1]!Table1[#All],22,FALSE)</f>
        <v>COLUMBIA UNIVERSITY, SCHOOL OF ARTS &amp; SCIENCES</v>
      </c>
      <c r="H1516" s="8">
        <f>VLOOKUP(A1516,[1]!Table1[#All],32,FALSE)</f>
        <v>43738</v>
      </c>
      <c r="I1516" s="8">
        <f>VLOOKUP(A1516,[1]!Table1[#All],33,FALSE)</f>
        <v>45564</v>
      </c>
      <c r="J1516" t="str">
        <f t="shared" ca="1" si="23"/>
        <v>Non UDO</v>
      </c>
    </row>
    <row r="1517" spans="1:10" x14ac:dyDescent="0.35">
      <c r="A1517" s="9" t="s">
        <v>48</v>
      </c>
      <c r="B1517" s="10">
        <v>44835</v>
      </c>
      <c r="C1517" s="11">
        <v>4689294</v>
      </c>
      <c r="D1517" s="11">
        <v>4689294</v>
      </c>
      <c r="E1517" s="11">
        <v>0</v>
      </c>
      <c r="F1517" t="str">
        <f>VLOOKUP(A1517,[1]!Table1[#All],17,FALSE)</f>
        <v>UNITED STATES</v>
      </c>
      <c r="G1517" t="str">
        <f>VLOOKUP(A1517,[1]!Table1[#All],22,FALSE)</f>
        <v>COLUMBIA UNIVERSITY, SCHOOL OF ARTS &amp; SCIENCES</v>
      </c>
      <c r="H1517" s="8">
        <f>VLOOKUP(A1517,[1]!Table1[#All],32,FALSE)</f>
        <v>43738</v>
      </c>
      <c r="I1517" s="8">
        <f>VLOOKUP(A1517,[1]!Table1[#All],33,FALSE)</f>
        <v>45564</v>
      </c>
      <c r="J1517" t="str">
        <f t="shared" ca="1" si="23"/>
        <v>Non UDO</v>
      </c>
    </row>
    <row r="1518" spans="1:10" x14ac:dyDescent="0.35">
      <c r="A1518" s="5" t="s">
        <v>48</v>
      </c>
      <c r="B1518" s="6">
        <v>44866</v>
      </c>
      <c r="C1518" s="7">
        <v>4689294</v>
      </c>
      <c r="D1518" s="7">
        <v>4689294</v>
      </c>
      <c r="E1518" s="7">
        <v>0</v>
      </c>
      <c r="F1518" t="str">
        <f>VLOOKUP(A1518,[1]!Table1[#All],17,FALSE)</f>
        <v>UNITED STATES</v>
      </c>
      <c r="G1518" t="str">
        <f>VLOOKUP(A1518,[1]!Table1[#All],22,FALSE)</f>
        <v>COLUMBIA UNIVERSITY, SCHOOL OF ARTS &amp; SCIENCES</v>
      </c>
      <c r="H1518" s="8">
        <f>VLOOKUP(A1518,[1]!Table1[#All],32,FALSE)</f>
        <v>43738</v>
      </c>
      <c r="I1518" s="8">
        <f>VLOOKUP(A1518,[1]!Table1[#All],33,FALSE)</f>
        <v>45564</v>
      </c>
      <c r="J1518" t="str">
        <f t="shared" ca="1" si="23"/>
        <v>Non UDO</v>
      </c>
    </row>
    <row r="1519" spans="1:10" x14ac:dyDescent="0.35">
      <c r="A1519" s="9" t="s">
        <v>48</v>
      </c>
      <c r="B1519" s="10">
        <v>44896</v>
      </c>
      <c r="C1519" s="11">
        <v>4689294</v>
      </c>
      <c r="D1519" s="11">
        <v>4689294</v>
      </c>
      <c r="E1519" s="11">
        <v>0</v>
      </c>
      <c r="F1519" t="str">
        <f>VLOOKUP(A1519,[1]!Table1[#All],17,FALSE)</f>
        <v>UNITED STATES</v>
      </c>
      <c r="G1519" t="str">
        <f>VLOOKUP(A1519,[1]!Table1[#All],22,FALSE)</f>
        <v>COLUMBIA UNIVERSITY, SCHOOL OF ARTS &amp; SCIENCES</v>
      </c>
      <c r="H1519" s="8">
        <f>VLOOKUP(A1519,[1]!Table1[#All],32,FALSE)</f>
        <v>43738</v>
      </c>
      <c r="I1519" s="8">
        <f>VLOOKUP(A1519,[1]!Table1[#All],33,FALSE)</f>
        <v>45564</v>
      </c>
      <c r="J1519" t="str">
        <f t="shared" ca="1" si="23"/>
        <v>Non UDO</v>
      </c>
    </row>
    <row r="1520" spans="1:10" x14ac:dyDescent="0.35">
      <c r="A1520" s="5" t="s">
        <v>48</v>
      </c>
      <c r="B1520" s="6">
        <v>44927</v>
      </c>
      <c r="C1520" s="7">
        <v>4689294</v>
      </c>
      <c r="D1520" s="7">
        <v>4689294</v>
      </c>
      <c r="E1520" s="7">
        <v>0</v>
      </c>
      <c r="F1520" t="str">
        <f>VLOOKUP(A1520,[1]!Table1[#All],17,FALSE)</f>
        <v>UNITED STATES</v>
      </c>
      <c r="G1520" t="str">
        <f>VLOOKUP(A1520,[1]!Table1[#All],22,FALSE)</f>
        <v>COLUMBIA UNIVERSITY, SCHOOL OF ARTS &amp; SCIENCES</v>
      </c>
      <c r="H1520" s="8">
        <f>VLOOKUP(A1520,[1]!Table1[#All],32,FALSE)</f>
        <v>43738</v>
      </c>
      <c r="I1520" s="8">
        <f>VLOOKUP(A1520,[1]!Table1[#All],33,FALSE)</f>
        <v>45564</v>
      </c>
      <c r="J1520" t="str">
        <f t="shared" ca="1" si="23"/>
        <v>Non UDO</v>
      </c>
    </row>
    <row r="1521" spans="1:10" x14ac:dyDescent="0.35">
      <c r="A1521" s="9" t="s">
        <v>48</v>
      </c>
      <c r="B1521" s="10">
        <v>44958</v>
      </c>
      <c r="C1521" s="11">
        <v>4689294</v>
      </c>
      <c r="D1521" s="11">
        <v>4689294</v>
      </c>
      <c r="E1521" s="11">
        <v>0</v>
      </c>
      <c r="F1521" t="str">
        <f>VLOOKUP(A1521,[1]!Table1[#All],17,FALSE)</f>
        <v>UNITED STATES</v>
      </c>
      <c r="G1521" t="str">
        <f>VLOOKUP(A1521,[1]!Table1[#All],22,FALSE)</f>
        <v>COLUMBIA UNIVERSITY, SCHOOL OF ARTS &amp; SCIENCES</v>
      </c>
      <c r="H1521" s="8">
        <f>VLOOKUP(A1521,[1]!Table1[#All],32,FALSE)</f>
        <v>43738</v>
      </c>
      <c r="I1521" s="8">
        <f>VLOOKUP(A1521,[1]!Table1[#All],33,FALSE)</f>
        <v>45564</v>
      </c>
      <c r="J1521" t="str">
        <f t="shared" ca="1" si="23"/>
        <v>Non UDO</v>
      </c>
    </row>
    <row r="1522" spans="1:10" x14ac:dyDescent="0.35">
      <c r="A1522" s="5" t="s">
        <v>48</v>
      </c>
      <c r="B1522" s="6">
        <v>44986</v>
      </c>
      <c r="C1522" s="7">
        <v>4689294</v>
      </c>
      <c r="D1522" s="7">
        <v>4689294</v>
      </c>
      <c r="E1522" s="7">
        <v>0</v>
      </c>
      <c r="F1522" t="str">
        <f>VLOOKUP(A1522,[1]!Table1[#All],17,FALSE)</f>
        <v>UNITED STATES</v>
      </c>
      <c r="G1522" t="str">
        <f>VLOOKUP(A1522,[1]!Table1[#All],22,FALSE)</f>
        <v>COLUMBIA UNIVERSITY, SCHOOL OF ARTS &amp; SCIENCES</v>
      </c>
      <c r="H1522" s="8">
        <f>VLOOKUP(A1522,[1]!Table1[#All],32,FALSE)</f>
        <v>43738</v>
      </c>
      <c r="I1522" s="8">
        <f>VLOOKUP(A1522,[1]!Table1[#All],33,FALSE)</f>
        <v>45564</v>
      </c>
      <c r="J1522" t="str">
        <f t="shared" ca="1" si="23"/>
        <v>Non UDO</v>
      </c>
    </row>
    <row r="1523" spans="1:10" x14ac:dyDescent="0.35">
      <c r="A1523" s="9" t="s">
        <v>48</v>
      </c>
      <c r="B1523" s="10">
        <v>45017</v>
      </c>
      <c r="C1523" s="11">
        <v>4689294</v>
      </c>
      <c r="D1523" s="11">
        <v>4689294</v>
      </c>
      <c r="E1523" s="11">
        <v>0</v>
      </c>
      <c r="F1523" t="str">
        <f>VLOOKUP(A1523,[1]!Table1[#All],17,FALSE)</f>
        <v>UNITED STATES</v>
      </c>
      <c r="G1523" t="str">
        <f>VLOOKUP(A1523,[1]!Table1[#All],22,FALSE)</f>
        <v>COLUMBIA UNIVERSITY, SCHOOL OF ARTS &amp; SCIENCES</v>
      </c>
      <c r="H1523" s="8">
        <f>VLOOKUP(A1523,[1]!Table1[#All],32,FALSE)</f>
        <v>43738</v>
      </c>
      <c r="I1523" s="8">
        <f>VLOOKUP(A1523,[1]!Table1[#All],33,FALSE)</f>
        <v>45564</v>
      </c>
      <c r="J1523" t="str">
        <f t="shared" ca="1" si="23"/>
        <v>Non UDO</v>
      </c>
    </row>
    <row r="1524" spans="1:10" x14ac:dyDescent="0.35">
      <c r="A1524" s="5" t="s">
        <v>48</v>
      </c>
      <c r="B1524" s="6">
        <v>45047</v>
      </c>
      <c r="C1524" s="7">
        <v>4689294</v>
      </c>
      <c r="D1524" s="7">
        <v>4689294</v>
      </c>
      <c r="E1524" s="7">
        <v>0</v>
      </c>
      <c r="F1524" t="str">
        <f>VLOOKUP(A1524,[1]!Table1[#All],17,FALSE)</f>
        <v>UNITED STATES</v>
      </c>
      <c r="G1524" t="str">
        <f>VLOOKUP(A1524,[1]!Table1[#All],22,FALSE)</f>
        <v>COLUMBIA UNIVERSITY, SCHOOL OF ARTS &amp; SCIENCES</v>
      </c>
      <c r="H1524" s="8">
        <f>VLOOKUP(A1524,[1]!Table1[#All],32,FALSE)</f>
        <v>43738</v>
      </c>
      <c r="I1524" s="8">
        <f>VLOOKUP(A1524,[1]!Table1[#All],33,FALSE)</f>
        <v>45564</v>
      </c>
      <c r="J1524" t="str">
        <f t="shared" ca="1" si="23"/>
        <v>Non UDO</v>
      </c>
    </row>
    <row r="1525" spans="1:10" x14ac:dyDescent="0.35">
      <c r="A1525" s="9" t="s">
        <v>48</v>
      </c>
      <c r="B1525" s="10">
        <v>45078</v>
      </c>
      <c r="C1525" s="11">
        <v>4689294</v>
      </c>
      <c r="D1525" s="11">
        <v>4689294</v>
      </c>
      <c r="E1525" s="11">
        <v>0</v>
      </c>
      <c r="F1525" t="str">
        <f>VLOOKUP(A1525,[1]!Table1[#All],17,FALSE)</f>
        <v>UNITED STATES</v>
      </c>
      <c r="G1525" t="str">
        <f>VLOOKUP(A1525,[1]!Table1[#All],22,FALSE)</f>
        <v>COLUMBIA UNIVERSITY, SCHOOL OF ARTS &amp; SCIENCES</v>
      </c>
      <c r="H1525" s="8">
        <f>VLOOKUP(A1525,[1]!Table1[#All],32,FALSE)</f>
        <v>43738</v>
      </c>
      <c r="I1525" s="8">
        <f>VLOOKUP(A1525,[1]!Table1[#All],33,FALSE)</f>
        <v>45564</v>
      </c>
      <c r="J1525" t="str">
        <f t="shared" ca="1" si="23"/>
        <v>Non UDO</v>
      </c>
    </row>
    <row r="1526" spans="1:10" x14ac:dyDescent="0.35">
      <c r="A1526" s="5" t="s">
        <v>48</v>
      </c>
      <c r="B1526" s="6">
        <v>45108</v>
      </c>
      <c r="C1526" s="7">
        <v>4689294</v>
      </c>
      <c r="D1526" s="7">
        <v>4689294</v>
      </c>
      <c r="E1526" s="7">
        <v>0</v>
      </c>
      <c r="F1526" t="str">
        <f>VLOOKUP(A1526,[1]!Table1[#All],17,FALSE)</f>
        <v>UNITED STATES</v>
      </c>
      <c r="G1526" t="str">
        <f>VLOOKUP(A1526,[1]!Table1[#All],22,FALSE)</f>
        <v>COLUMBIA UNIVERSITY, SCHOOL OF ARTS &amp; SCIENCES</v>
      </c>
      <c r="H1526" s="8">
        <f>VLOOKUP(A1526,[1]!Table1[#All],32,FALSE)</f>
        <v>43738</v>
      </c>
      <c r="I1526" s="8">
        <f>VLOOKUP(A1526,[1]!Table1[#All],33,FALSE)</f>
        <v>45564</v>
      </c>
      <c r="J1526" t="str">
        <f t="shared" ca="1" si="23"/>
        <v>Non UDO</v>
      </c>
    </row>
    <row r="1527" spans="1:10" x14ac:dyDescent="0.35">
      <c r="A1527" s="9" t="s">
        <v>48</v>
      </c>
      <c r="B1527" s="10">
        <v>45139</v>
      </c>
      <c r="C1527" s="11">
        <v>4689294</v>
      </c>
      <c r="D1527" s="11">
        <v>4689294</v>
      </c>
      <c r="E1527" s="11">
        <v>0</v>
      </c>
      <c r="F1527" t="str">
        <f>VLOOKUP(A1527,[1]!Table1[#All],17,FALSE)</f>
        <v>UNITED STATES</v>
      </c>
      <c r="G1527" t="str">
        <f>VLOOKUP(A1527,[1]!Table1[#All],22,FALSE)</f>
        <v>COLUMBIA UNIVERSITY, SCHOOL OF ARTS &amp; SCIENCES</v>
      </c>
      <c r="H1527" s="8">
        <f>VLOOKUP(A1527,[1]!Table1[#All],32,FALSE)</f>
        <v>43738</v>
      </c>
      <c r="I1527" s="8">
        <f>VLOOKUP(A1527,[1]!Table1[#All],33,FALSE)</f>
        <v>45564</v>
      </c>
      <c r="J1527" t="str">
        <f t="shared" ca="1" si="23"/>
        <v>Non UDO</v>
      </c>
    </row>
    <row r="1528" spans="1:10" x14ac:dyDescent="0.35">
      <c r="A1528" s="5" t="s">
        <v>48</v>
      </c>
      <c r="B1528" s="6">
        <v>45170</v>
      </c>
      <c r="C1528" s="7">
        <v>4689294</v>
      </c>
      <c r="D1528" s="7">
        <v>4689294</v>
      </c>
      <c r="E1528" s="7">
        <v>0</v>
      </c>
      <c r="F1528" t="str">
        <f>VLOOKUP(A1528,[1]!Table1[#All],17,FALSE)</f>
        <v>UNITED STATES</v>
      </c>
      <c r="G1528" t="str">
        <f>VLOOKUP(A1528,[1]!Table1[#All],22,FALSE)</f>
        <v>COLUMBIA UNIVERSITY, SCHOOL OF ARTS &amp; SCIENCES</v>
      </c>
      <c r="H1528" s="8">
        <f>VLOOKUP(A1528,[1]!Table1[#All],32,FALSE)</f>
        <v>43738</v>
      </c>
      <c r="I1528" s="8">
        <f>VLOOKUP(A1528,[1]!Table1[#All],33,FALSE)</f>
        <v>45564</v>
      </c>
      <c r="J1528" t="str">
        <f t="shared" ca="1" si="23"/>
        <v>Non UDO</v>
      </c>
    </row>
    <row r="1529" spans="1:10" x14ac:dyDescent="0.35">
      <c r="A1529" s="9" t="s">
        <v>49</v>
      </c>
      <c r="B1529" s="10">
        <v>44105</v>
      </c>
      <c r="C1529" s="11">
        <v>4200000</v>
      </c>
      <c r="D1529" s="11">
        <v>1000000</v>
      </c>
      <c r="E1529" s="11">
        <v>3200000</v>
      </c>
      <c r="F1529" t="str">
        <f>VLOOKUP(A1529,[1]!Table1[#All],17,FALSE)</f>
        <v>UNITED STATES</v>
      </c>
      <c r="G1529" t="str">
        <f>VLOOKUP(A1529,[1]!Table1[#All],22,FALSE)</f>
        <v>UNIVERSITY OF CALIFORNIA-SAN FRANCISCO</v>
      </c>
      <c r="H1529" s="8">
        <f>VLOOKUP(A1529,[1]!Table1[#All],32,FALSE)</f>
        <v>43845</v>
      </c>
      <c r="I1529" s="8">
        <f>VLOOKUP(A1529,[1]!Table1[#All],33,FALSE)</f>
        <v>45564</v>
      </c>
      <c r="J1529" t="str">
        <f t="shared" ca="1" si="23"/>
        <v>UDO</v>
      </c>
    </row>
    <row r="1530" spans="1:10" x14ac:dyDescent="0.35">
      <c r="A1530" s="5" t="s">
        <v>49</v>
      </c>
      <c r="B1530" s="6">
        <v>44136</v>
      </c>
      <c r="C1530" s="7">
        <v>4200000</v>
      </c>
      <c r="D1530" s="7">
        <v>1197545.52</v>
      </c>
      <c r="E1530" s="7">
        <v>3002454.48</v>
      </c>
      <c r="F1530" t="str">
        <f>VLOOKUP(A1530,[1]!Table1[#All],17,FALSE)</f>
        <v>UNITED STATES</v>
      </c>
      <c r="G1530" t="str">
        <f>VLOOKUP(A1530,[1]!Table1[#All],22,FALSE)</f>
        <v>UNIVERSITY OF CALIFORNIA-SAN FRANCISCO</v>
      </c>
      <c r="H1530" s="8">
        <f>VLOOKUP(A1530,[1]!Table1[#All],32,FALSE)</f>
        <v>43845</v>
      </c>
      <c r="I1530" s="8">
        <f>VLOOKUP(A1530,[1]!Table1[#All],33,FALSE)</f>
        <v>45564</v>
      </c>
      <c r="J1530" t="str">
        <f t="shared" ca="1" si="23"/>
        <v>UDO</v>
      </c>
    </row>
    <row r="1531" spans="1:10" x14ac:dyDescent="0.35">
      <c r="A1531" s="9" t="s">
        <v>49</v>
      </c>
      <c r="B1531" s="10">
        <v>44166</v>
      </c>
      <c r="C1531" s="11">
        <v>4200000</v>
      </c>
      <c r="D1531" s="11">
        <v>1197545.52</v>
      </c>
      <c r="E1531" s="11">
        <v>3002454.48</v>
      </c>
      <c r="F1531" t="str">
        <f>VLOOKUP(A1531,[1]!Table1[#All],17,FALSE)</f>
        <v>UNITED STATES</v>
      </c>
      <c r="G1531" t="str">
        <f>VLOOKUP(A1531,[1]!Table1[#All],22,FALSE)</f>
        <v>UNIVERSITY OF CALIFORNIA-SAN FRANCISCO</v>
      </c>
      <c r="H1531" s="8">
        <f>VLOOKUP(A1531,[1]!Table1[#All],32,FALSE)</f>
        <v>43845</v>
      </c>
      <c r="I1531" s="8">
        <f>VLOOKUP(A1531,[1]!Table1[#All],33,FALSE)</f>
        <v>45564</v>
      </c>
      <c r="J1531" t="str">
        <f t="shared" ca="1" si="23"/>
        <v>UDO</v>
      </c>
    </row>
    <row r="1532" spans="1:10" x14ac:dyDescent="0.35">
      <c r="A1532" s="5" t="s">
        <v>49</v>
      </c>
      <c r="B1532" s="6">
        <v>44197</v>
      </c>
      <c r="C1532" s="7">
        <v>4200000</v>
      </c>
      <c r="D1532" s="7">
        <v>1679324.47</v>
      </c>
      <c r="E1532" s="7">
        <v>2520675.5299999998</v>
      </c>
      <c r="F1532" t="str">
        <f>VLOOKUP(A1532,[1]!Table1[#All],17,FALSE)</f>
        <v>UNITED STATES</v>
      </c>
      <c r="G1532" t="str">
        <f>VLOOKUP(A1532,[1]!Table1[#All],22,FALSE)</f>
        <v>UNIVERSITY OF CALIFORNIA-SAN FRANCISCO</v>
      </c>
      <c r="H1532" s="8">
        <f>VLOOKUP(A1532,[1]!Table1[#All],32,FALSE)</f>
        <v>43845</v>
      </c>
      <c r="I1532" s="8">
        <f>VLOOKUP(A1532,[1]!Table1[#All],33,FALSE)</f>
        <v>45564</v>
      </c>
      <c r="J1532" t="str">
        <f t="shared" ca="1" si="23"/>
        <v>UDO</v>
      </c>
    </row>
    <row r="1533" spans="1:10" x14ac:dyDescent="0.35">
      <c r="A1533" s="9" t="s">
        <v>49</v>
      </c>
      <c r="B1533" s="10">
        <v>44228</v>
      </c>
      <c r="C1533" s="11">
        <v>4200000</v>
      </c>
      <c r="D1533" s="11">
        <v>1913668.75</v>
      </c>
      <c r="E1533" s="11">
        <v>2286331.25</v>
      </c>
      <c r="F1533" t="str">
        <f>VLOOKUP(A1533,[1]!Table1[#All],17,FALSE)</f>
        <v>UNITED STATES</v>
      </c>
      <c r="G1533" t="str">
        <f>VLOOKUP(A1533,[1]!Table1[#All],22,FALSE)</f>
        <v>UNIVERSITY OF CALIFORNIA-SAN FRANCISCO</v>
      </c>
      <c r="H1533" s="8">
        <f>VLOOKUP(A1533,[1]!Table1[#All],32,FALSE)</f>
        <v>43845</v>
      </c>
      <c r="I1533" s="8">
        <f>VLOOKUP(A1533,[1]!Table1[#All],33,FALSE)</f>
        <v>45564</v>
      </c>
      <c r="J1533" t="str">
        <f t="shared" ca="1" si="23"/>
        <v>UDO</v>
      </c>
    </row>
    <row r="1534" spans="1:10" x14ac:dyDescent="0.35">
      <c r="A1534" s="5" t="s">
        <v>49</v>
      </c>
      <c r="B1534" s="6">
        <v>44256</v>
      </c>
      <c r="C1534" s="7">
        <v>4200000</v>
      </c>
      <c r="D1534" s="7">
        <v>1923480.1199999999</v>
      </c>
      <c r="E1534" s="7">
        <v>2276519.88</v>
      </c>
      <c r="F1534" t="str">
        <f>VLOOKUP(A1534,[1]!Table1[#All],17,FALSE)</f>
        <v>UNITED STATES</v>
      </c>
      <c r="G1534" t="str">
        <f>VLOOKUP(A1534,[1]!Table1[#All],22,FALSE)</f>
        <v>UNIVERSITY OF CALIFORNIA-SAN FRANCISCO</v>
      </c>
      <c r="H1534" s="8">
        <f>VLOOKUP(A1534,[1]!Table1[#All],32,FALSE)</f>
        <v>43845</v>
      </c>
      <c r="I1534" s="8">
        <f>VLOOKUP(A1534,[1]!Table1[#All],33,FALSE)</f>
        <v>45564</v>
      </c>
      <c r="J1534" t="str">
        <f t="shared" ca="1" si="23"/>
        <v>UDO</v>
      </c>
    </row>
    <row r="1535" spans="1:10" x14ac:dyDescent="0.35">
      <c r="A1535" s="9" t="s">
        <v>49</v>
      </c>
      <c r="B1535" s="10">
        <v>44317</v>
      </c>
      <c r="C1535" s="11">
        <v>4200000</v>
      </c>
      <c r="D1535" s="11">
        <v>2727479.48</v>
      </c>
      <c r="E1535" s="11">
        <v>1472520.52</v>
      </c>
      <c r="F1535" t="str">
        <f>VLOOKUP(A1535,[1]!Table1[#All],17,FALSE)</f>
        <v>UNITED STATES</v>
      </c>
      <c r="G1535" t="str">
        <f>VLOOKUP(A1535,[1]!Table1[#All],22,FALSE)</f>
        <v>UNIVERSITY OF CALIFORNIA-SAN FRANCISCO</v>
      </c>
      <c r="H1535" s="8">
        <f>VLOOKUP(A1535,[1]!Table1[#All],32,FALSE)</f>
        <v>43845</v>
      </c>
      <c r="I1535" s="8">
        <f>VLOOKUP(A1535,[1]!Table1[#All],33,FALSE)</f>
        <v>45564</v>
      </c>
      <c r="J1535" t="str">
        <f t="shared" ca="1" si="23"/>
        <v>UDO</v>
      </c>
    </row>
    <row r="1536" spans="1:10" x14ac:dyDescent="0.35">
      <c r="A1536" s="5" t="s">
        <v>49</v>
      </c>
      <c r="B1536" s="6">
        <v>44348</v>
      </c>
      <c r="C1536" s="7">
        <v>4200000</v>
      </c>
      <c r="D1536" s="7">
        <v>3000173.32</v>
      </c>
      <c r="E1536" s="7">
        <v>1199826.6800000002</v>
      </c>
      <c r="F1536" t="str">
        <f>VLOOKUP(A1536,[1]!Table1[#All],17,FALSE)</f>
        <v>UNITED STATES</v>
      </c>
      <c r="G1536" t="str">
        <f>VLOOKUP(A1536,[1]!Table1[#All],22,FALSE)</f>
        <v>UNIVERSITY OF CALIFORNIA-SAN FRANCISCO</v>
      </c>
      <c r="H1536" s="8">
        <f>VLOOKUP(A1536,[1]!Table1[#All],32,FALSE)</f>
        <v>43845</v>
      </c>
      <c r="I1536" s="8">
        <f>VLOOKUP(A1536,[1]!Table1[#All],33,FALSE)</f>
        <v>45564</v>
      </c>
      <c r="J1536" t="str">
        <f t="shared" ca="1" si="23"/>
        <v>UDO</v>
      </c>
    </row>
    <row r="1537" spans="1:10" x14ac:dyDescent="0.35">
      <c r="A1537" s="9" t="s">
        <v>49</v>
      </c>
      <c r="B1537" s="10">
        <v>44378</v>
      </c>
      <c r="C1537" s="11">
        <v>4200000</v>
      </c>
      <c r="D1537" s="11">
        <v>3314666.81</v>
      </c>
      <c r="E1537" s="11">
        <v>885333.19</v>
      </c>
      <c r="F1537" t="str">
        <f>VLOOKUP(A1537,[1]!Table1[#All],17,FALSE)</f>
        <v>UNITED STATES</v>
      </c>
      <c r="G1537" t="str">
        <f>VLOOKUP(A1537,[1]!Table1[#All],22,FALSE)</f>
        <v>UNIVERSITY OF CALIFORNIA-SAN FRANCISCO</v>
      </c>
      <c r="H1537" s="8">
        <f>VLOOKUP(A1537,[1]!Table1[#All],32,FALSE)</f>
        <v>43845</v>
      </c>
      <c r="I1537" s="8">
        <f>VLOOKUP(A1537,[1]!Table1[#All],33,FALSE)</f>
        <v>45564</v>
      </c>
      <c r="J1537" t="str">
        <f t="shared" ca="1" si="23"/>
        <v>UDO</v>
      </c>
    </row>
    <row r="1538" spans="1:10" x14ac:dyDescent="0.35">
      <c r="A1538" s="5" t="s">
        <v>49</v>
      </c>
      <c r="B1538" s="6">
        <v>44409</v>
      </c>
      <c r="C1538" s="7">
        <v>4200000</v>
      </c>
      <c r="D1538" s="7">
        <v>3490634.02</v>
      </c>
      <c r="E1538" s="7">
        <v>709365.98</v>
      </c>
      <c r="F1538" t="str">
        <f>VLOOKUP(A1538,[1]!Table1[#All],17,FALSE)</f>
        <v>UNITED STATES</v>
      </c>
      <c r="G1538" t="str">
        <f>VLOOKUP(A1538,[1]!Table1[#All],22,FALSE)</f>
        <v>UNIVERSITY OF CALIFORNIA-SAN FRANCISCO</v>
      </c>
      <c r="H1538" s="8">
        <f>VLOOKUP(A1538,[1]!Table1[#All],32,FALSE)</f>
        <v>43845</v>
      </c>
      <c r="I1538" s="8">
        <f>VLOOKUP(A1538,[1]!Table1[#All],33,FALSE)</f>
        <v>45564</v>
      </c>
      <c r="J1538" t="str">
        <f t="shared" ca="1" si="23"/>
        <v>UDO</v>
      </c>
    </row>
    <row r="1539" spans="1:10" x14ac:dyDescent="0.35">
      <c r="A1539" s="9" t="s">
        <v>49</v>
      </c>
      <c r="B1539" s="10">
        <v>44440</v>
      </c>
      <c r="C1539" s="11">
        <v>4200000</v>
      </c>
      <c r="D1539" s="11">
        <v>4043202.11</v>
      </c>
      <c r="E1539" s="11">
        <v>156797.89000000001</v>
      </c>
      <c r="F1539" t="str">
        <f>VLOOKUP(A1539,[1]!Table1[#All],17,FALSE)</f>
        <v>UNITED STATES</v>
      </c>
      <c r="G1539" t="str">
        <f>VLOOKUP(A1539,[1]!Table1[#All],22,FALSE)</f>
        <v>UNIVERSITY OF CALIFORNIA-SAN FRANCISCO</v>
      </c>
      <c r="H1539" s="8">
        <f>VLOOKUP(A1539,[1]!Table1[#All],32,FALSE)</f>
        <v>43845</v>
      </c>
      <c r="I1539" s="8">
        <f>VLOOKUP(A1539,[1]!Table1[#All],33,FALSE)</f>
        <v>45564</v>
      </c>
      <c r="J1539" t="str">
        <f t="shared" ref="J1539:J1602" ca="1" si="24">IF(AND( E1539&gt;0,TODAY()&gt;I1539),"UDO","Non UDO")</f>
        <v>UDO</v>
      </c>
    </row>
    <row r="1540" spans="1:10" x14ac:dyDescent="0.35">
      <c r="A1540" s="5" t="s">
        <v>49</v>
      </c>
      <c r="B1540" s="6">
        <v>44470</v>
      </c>
      <c r="C1540" s="7">
        <v>4200000</v>
      </c>
      <c r="D1540" s="7">
        <v>4200000</v>
      </c>
      <c r="E1540" s="7">
        <v>0</v>
      </c>
      <c r="F1540" t="str">
        <f>VLOOKUP(A1540,[1]!Table1[#All],17,FALSE)</f>
        <v>UNITED STATES</v>
      </c>
      <c r="G1540" t="str">
        <f>VLOOKUP(A1540,[1]!Table1[#All],22,FALSE)</f>
        <v>UNIVERSITY OF CALIFORNIA-SAN FRANCISCO</v>
      </c>
      <c r="H1540" s="8">
        <f>VLOOKUP(A1540,[1]!Table1[#All],32,FALSE)</f>
        <v>43845</v>
      </c>
      <c r="I1540" s="8">
        <f>VLOOKUP(A1540,[1]!Table1[#All],33,FALSE)</f>
        <v>45564</v>
      </c>
      <c r="J1540" t="str">
        <f t="shared" ca="1" si="24"/>
        <v>Non UDO</v>
      </c>
    </row>
    <row r="1541" spans="1:10" x14ac:dyDescent="0.35">
      <c r="A1541" s="9" t="s">
        <v>49</v>
      </c>
      <c r="B1541" s="10">
        <v>44501</v>
      </c>
      <c r="C1541" s="11">
        <v>4200000</v>
      </c>
      <c r="D1541" s="11">
        <v>4200000</v>
      </c>
      <c r="E1541" s="11">
        <v>0</v>
      </c>
      <c r="F1541" t="str">
        <f>VLOOKUP(A1541,[1]!Table1[#All],17,FALSE)</f>
        <v>UNITED STATES</v>
      </c>
      <c r="G1541" t="str">
        <f>VLOOKUP(A1541,[1]!Table1[#All],22,FALSE)</f>
        <v>UNIVERSITY OF CALIFORNIA-SAN FRANCISCO</v>
      </c>
      <c r="H1541" s="8">
        <f>VLOOKUP(A1541,[1]!Table1[#All],32,FALSE)</f>
        <v>43845</v>
      </c>
      <c r="I1541" s="8">
        <f>VLOOKUP(A1541,[1]!Table1[#All],33,FALSE)</f>
        <v>45564</v>
      </c>
      <c r="J1541" t="str">
        <f t="shared" ca="1" si="24"/>
        <v>Non UDO</v>
      </c>
    </row>
    <row r="1542" spans="1:10" x14ac:dyDescent="0.35">
      <c r="A1542" s="5" t="s">
        <v>49</v>
      </c>
      <c r="B1542" s="6">
        <v>44531</v>
      </c>
      <c r="C1542" s="7">
        <v>4200000</v>
      </c>
      <c r="D1542" s="7">
        <v>4153887.0300000003</v>
      </c>
      <c r="E1542" s="7">
        <v>46112.97</v>
      </c>
      <c r="F1542" t="str">
        <f>VLOOKUP(A1542,[1]!Table1[#All],17,FALSE)</f>
        <v>UNITED STATES</v>
      </c>
      <c r="G1542" t="str">
        <f>VLOOKUP(A1542,[1]!Table1[#All],22,FALSE)</f>
        <v>UNIVERSITY OF CALIFORNIA-SAN FRANCISCO</v>
      </c>
      <c r="H1542" s="8">
        <f>VLOOKUP(A1542,[1]!Table1[#All],32,FALSE)</f>
        <v>43845</v>
      </c>
      <c r="I1542" s="8">
        <f>VLOOKUP(A1542,[1]!Table1[#All],33,FALSE)</f>
        <v>45564</v>
      </c>
      <c r="J1542" t="str">
        <f t="shared" ca="1" si="24"/>
        <v>UDO</v>
      </c>
    </row>
    <row r="1543" spans="1:10" x14ac:dyDescent="0.35">
      <c r="A1543" s="9" t="s">
        <v>49</v>
      </c>
      <c r="B1543" s="10">
        <v>44562</v>
      </c>
      <c r="C1543" s="11">
        <v>4200000</v>
      </c>
      <c r="D1543" s="11">
        <v>4200000</v>
      </c>
      <c r="E1543" s="11">
        <v>0</v>
      </c>
      <c r="F1543" t="str">
        <f>VLOOKUP(A1543,[1]!Table1[#All],17,FALSE)</f>
        <v>UNITED STATES</v>
      </c>
      <c r="G1543" t="str">
        <f>VLOOKUP(A1543,[1]!Table1[#All],22,FALSE)</f>
        <v>UNIVERSITY OF CALIFORNIA-SAN FRANCISCO</v>
      </c>
      <c r="H1543" s="8">
        <f>VLOOKUP(A1543,[1]!Table1[#All],32,FALSE)</f>
        <v>43845</v>
      </c>
      <c r="I1543" s="8">
        <f>VLOOKUP(A1543,[1]!Table1[#All],33,FALSE)</f>
        <v>45564</v>
      </c>
      <c r="J1543" t="str">
        <f t="shared" ca="1" si="24"/>
        <v>Non UDO</v>
      </c>
    </row>
    <row r="1544" spans="1:10" x14ac:dyDescent="0.35">
      <c r="A1544" s="5" t="s">
        <v>49</v>
      </c>
      <c r="B1544" s="6">
        <v>44593</v>
      </c>
      <c r="C1544" s="7">
        <v>4200000</v>
      </c>
      <c r="D1544" s="7">
        <v>4200000</v>
      </c>
      <c r="E1544" s="7">
        <v>0</v>
      </c>
      <c r="F1544" t="str">
        <f>VLOOKUP(A1544,[1]!Table1[#All],17,FALSE)</f>
        <v>UNITED STATES</v>
      </c>
      <c r="G1544" t="str">
        <f>VLOOKUP(A1544,[1]!Table1[#All],22,FALSE)</f>
        <v>UNIVERSITY OF CALIFORNIA-SAN FRANCISCO</v>
      </c>
      <c r="H1544" s="8">
        <f>VLOOKUP(A1544,[1]!Table1[#All],32,FALSE)</f>
        <v>43845</v>
      </c>
      <c r="I1544" s="8">
        <f>VLOOKUP(A1544,[1]!Table1[#All],33,FALSE)</f>
        <v>45564</v>
      </c>
      <c r="J1544" t="str">
        <f t="shared" ca="1" si="24"/>
        <v>Non UDO</v>
      </c>
    </row>
    <row r="1545" spans="1:10" x14ac:dyDescent="0.35">
      <c r="A1545" s="9" t="s">
        <v>49</v>
      </c>
      <c r="B1545" s="10">
        <v>44621</v>
      </c>
      <c r="C1545" s="11">
        <v>4200000</v>
      </c>
      <c r="D1545" s="11">
        <v>4200000</v>
      </c>
      <c r="E1545" s="11">
        <v>0</v>
      </c>
      <c r="F1545" t="str">
        <f>VLOOKUP(A1545,[1]!Table1[#All],17,FALSE)</f>
        <v>UNITED STATES</v>
      </c>
      <c r="G1545" t="str">
        <f>VLOOKUP(A1545,[1]!Table1[#All],22,FALSE)</f>
        <v>UNIVERSITY OF CALIFORNIA-SAN FRANCISCO</v>
      </c>
      <c r="H1545" s="8">
        <f>VLOOKUP(A1545,[1]!Table1[#All],32,FALSE)</f>
        <v>43845</v>
      </c>
      <c r="I1545" s="8">
        <f>VLOOKUP(A1545,[1]!Table1[#All],33,FALSE)</f>
        <v>45564</v>
      </c>
      <c r="J1545" t="str">
        <f t="shared" ca="1" si="24"/>
        <v>Non UDO</v>
      </c>
    </row>
    <row r="1546" spans="1:10" x14ac:dyDescent="0.35">
      <c r="A1546" s="5" t="s">
        <v>49</v>
      </c>
      <c r="B1546" s="6">
        <v>44652</v>
      </c>
      <c r="C1546" s="7">
        <v>4200000</v>
      </c>
      <c r="D1546" s="7">
        <v>4200000</v>
      </c>
      <c r="E1546" s="7">
        <v>0</v>
      </c>
      <c r="F1546" t="str">
        <f>VLOOKUP(A1546,[1]!Table1[#All],17,FALSE)</f>
        <v>UNITED STATES</v>
      </c>
      <c r="G1546" t="str">
        <f>VLOOKUP(A1546,[1]!Table1[#All],22,FALSE)</f>
        <v>UNIVERSITY OF CALIFORNIA-SAN FRANCISCO</v>
      </c>
      <c r="H1546" s="8">
        <f>VLOOKUP(A1546,[1]!Table1[#All],32,FALSE)</f>
        <v>43845</v>
      </c>
      <c r="I1546" s="8">
        <f>VLOOKUP(A1546,[1]!Table1[#All],33,FALSE)</f>
        <v>45564</v>
      </c>
      <c r="J1546" t="str">
        <f t="shared" ca="1" si="24"/>
        <v>Non UDO</v>
      </c>
    </row>
    <row r="1547" spans="1:10" x14ac:dyDescent="0.35">
      <c r="A1547" s="9" t="s">
        <v>49</v>
      </c>
      <c r="B1547" s="10">
        <v>44682</v>
      </c>
      <c r="C1547" s="11">
        <v>4200000</v>
      </c>
      <c r="D1547" s="11">
        <v>4200000</v>
      </c>
      <c r="E1547" s="11">
        <v>0</v>
      </c>
      <c r="F1547" t="str">
        <f>VLOOKUP(A1547,[1]!Table1[#All],17,FALSE)</f>
        <v>UNITED STATES</v>
      </c>
      <c r="G1547" t="str">
        <f>VLOOKUP(A1547,[1]!Table1[#All],22,FALSE)</f>
        <v>UNIVERSITY OF CALIFORNIA-SAN FRANCISCO</v>
      </c>
      <c r="H1547" s="8">
        <f>VLOOKUP(A1547,[1]!Table1[#All],32,FALSE)</f>
        <v>43845</v>
      </c>
      <c r="I1547" s="8">
        <f>VLOOKUP(A1547,[1]!Table1[#All],33,FALSE)</f>
        <v>45564</v>
      </c>
      <c r="J1547" t="str">
        <f t="shared" ca="1" si="24"/>
        <v>Non UDO</v>
      </c>
    </row>
    <row r="1548" spans="1:10" x14ac:dyDescent="0.35">
      <c r="A1548" s="5" t="s">
        <v>49</v>
      </c>
      <c r="B1548" s="6">
        <v>44713</v>
      </c>
      <c r="C1548" s="7">
        <v>4200000</v>
      </c>
      <c r="D1548" s="7">
        <v>4200000</v>
      </c>
      <c r="E1548" s="7">
        <v>0</v>
      </c>
      <c r="F1548" t="str">
        <f>VLOOKUP(A1548,[1]!Table1[#All],17,FALSE)</f>
        <v>UNITED STATES</v>
      </c>
      <c r="G1548" t="str">
        <f>VLOOKUP(A1548,[1]!Table1[#All],22,FALSE)</f>
        <v>UNIVERSITY OF CALIFORNIA-SAN FRANCISCO</v>
      </c>
      <c r="H1548" s="8">
        <f>VLOOKUP(A1548,[1]!Table1[#All],32,FALSE)</f>
        <v>43845</v>
      </c>
      <c r="I1548" s="8">
        <f>VLOOKUP(A1548,[1]!Table1[#All],33,FALSE)</f>
        <v>45564</v>
      </c>
      <c r="J1548" t="str">
        <f t="shared" ca="1" si="24"/>
        <v>Non UDO</v>
      </c>
    </row>
    <row r="1549" spans="1:10" x14ac:dyDescent="0.35">
      <c r="A1549" s="9" t="s">
        <v>49</v>
      </c>
      <c r="B1549" s="10">
        <v>44743</v>
      </c>
      <c r="C1549" s="11">
        <v>4200000</v>
      </c>
      <c r="D1549" s="11">
        <v>4200000</v>
      </c>
      <c r="E1549" s="11">
        <v>0</v>
      </c>
      <c r="F1549" t="str">
        <f>VLOOKUP(A1549,[1]!Table1[#All],17,FALSE)</f>
        <v>UNITED STATES</v>
      </c>
      <c r="G1549" t="str">
        <f>VLOOKUP(A1549,[1]!Table1[#All],22,FALSE)</f>
        <v>UNIVERSITY OF CALIFORNIA-SAN FRANCISCO</v>
      </c>
      <c r="H1549" s="8">
        <f>VLOOKUP(A1549,[1]!Table1[#All],32,FALSE)</f>
        <v>43845</v>
      </c>
      <c r="I1549" s="8">
        <f>VLOOKUP(A1549,[1]!Table1[#All],33,FALSE)</f>
        <v>45564</v>
      </c>
      <c r="J1549" t="str">
        <f t="shared" ca="1" si="24"/>
        <v>Non UDO</v>
      </c>
    </row>
    <row r="1550" spans="1:10" x14ac:dyDescent="0.35">
      <c r="A1550" s="5" t="s">
        <v>49</v>
      </c>
      <c r="B1550" s="6">
        <v>44774</v>
      </c>
      <c r="C1550" s="7">
        <v>4200000</v>
      </c>
      <c r="D1550" s="7">
        <v>4200000</v>
      </c>
      <c r="E1550" s="7">
        <v>0</v>
      </c>
      <c r="F1550" t="str">
        <f>VLOOKUP(A1550,[1]!Table1[#All],17,FALSE)</f>
        <v>UNITED STATES</v>
      </c>
      <c r="G1550" t="str">
        <f>VLOOKUP(A1550,[1]!Table1[#All],22,FALSE)</f>
        <v>UNIVERSITY OF CALIFORNIA-SAN FRANCISCO</v>
      </c>
      <c r="H1550" s="8">
        <f>VLOOKUP(A1550,[1]!Table1[#All],32,FALSE)</f>
        <v>43845</v>
      </c>
      <c r="I1550" s="8">
        <f>VLOOKUP(A1550,[1]!Table1[#All],33,FALSE)</f>
        <v>45564</v>
      </c>
      <c r="J1550" t="str">
        <f t="shared" ca="1" si="24"/>
        <v>Non UDO</v>
      </c>
    </row>
    <row r="1551" spans="1:10" x14ac:dyDescent="0.35">
      <c r="A1551" s="9" t="s">
        <v>49</v>
      </c>
      <c r="B1551" s="10">
        <v>44805</v>
      </c>
      <c r="C1551" s="11">
        <v>4200000</v>
      </c>
      <c r="D1551" s="11">
        <v>4200000</v>
      </c>
      <c r="E1551" s="11">
        <v>0</v>
      </c>
      <c r="F1551" t="str">
        <f>VLOOKUP(A1551,[1]!Table1[#All],17,FALSE)</f>
        <v>UNITED STATES</v>
      </c>
      <c r="G1551" t="str">
        <f>VLOOKUP(A1551,[1]!Table1[#All],22,FALSE)</f>
        <v>UNIVERSITY OF CALIFORNIA-SAN FRANCISCO</v>
      </c>
      <c r="H1551" s="8">
        <f>VLOOKUP(A1551,[1]!Table1[#All],32,FALSE)</f>
        <v>43845</v>
      </c>
      <c r="I1551" s="8">
        <f>VLOOKUP(A1551,[1]!Table1[#All],33,FALSE)</f>
        <v>45564</v>
      </c>
      <c r="J1551" t="str">
        <f t="shared" ca="1" si="24"/>
        <v>Non UDO</v>
      </c>
    </row>
    <row r="1552" spans="1:10" x14ac:dyDescent="0.35">
      <c r="A1552" s="5" t="s">
        <v>49</v>
      </c>
      <c r="B1552" s="6">
        <v>44835</v>
      </c>
      <c r="C1552" s="7">
        <v>4200000</v>
      </c>
      <c r="D1552" s="7">
        <v>4200000</v>
      </c>
      <c r="E1552" s="7">
        <v>0</v>
      </c>
      <c r="F1552" t="str">
        <f>VLOOKUP(A1552,[1]!Table1[#All],17,FALSE)</f>
        <v>UNITED STATES</v>
      </c>
      <c r="G1552" t="str">
        <f>VLOOKUP(A1552,[1]!Table1[#All],22,FALSE)</f>
        <v>UNIVERSITY OF CALIFORNIA-SAN FRANCISCO</v>
      </c>
      <c r="H1552" s="8">
        <f>VLOOKUP(A1552,[1]!Table1[#All],32,FALSE)</f>
        <v>43845</v>
      </c>
      <c r="I1552" s="8">
        <f>VLOOKUP(A1552,[1]!Table1[#All],33,FALSE)</f>
        <v>45564</v>
      </c>
      <c r="J1552" t="str">
        <f t="shared" ca="1" si="24"/>
        <v>Non UDO</v>
      </c>
    </row>
    <row r="1553" spans="1:10" x14ac:dyDescent="0.35">
      <c r="A1553" s="9" t="s">
        <v>49</v>
      </c>
      <c r="B1553" s="10">
        <v>44866</v>
      </c>
      <c r="C1553" s="11">
        <v>4200000</v>
      </c>
      <c r="D1553" s="11">
        <v>4200000</v>
      </c>
      <c r="E1553" s="11">
        <v>0</v>
      </c>
      <c r="F1553" t="str">
        <f>VLOOKUP(A1553,[1]!Table1[#All],17,FALSE)</f>
        <v>UNITED STATES</v>
      </c>
      <c r="G1553" t="str">
        <f>VLOOKUP(A1553,[1]!Table1[#All],22,FALSE)</f>
        <v>UNIVERSITY OF CALIFORNIA-SAN FRANCISCO</v>
      </c>
      <c r="H1553" s="8">
        <f>VLOOKUP(A1553,[1]!Table1[#All],32,FALSE)</f>
        <v>43845</v>
      </c>
      <c r="I1553" s="8">
        <f>VLOOKUP(A1553,[1]!Table1[#All],33,FALSE)</f>
        <v>45564</v>
      </c>
      <c r="J1553" t="str">
        <f t="shared" ca="1" si="24"/>
        <v>Non UDO</v>
      </c>
    </row>
    <row r="1554" spans="1:10" x14ac:dyDescent="0.35">
      <c r="A1554" s="5" t="s">
        <v>49</v>
      </c>
      <c r="B1554" s="6">
        <v>44896</v>
      </c>
      <c r="C1554" s="7">
        <v>4200000</v>
      </c>
      <c r="D1554" s="7">
        <v>4200000</v>
      </c>
      <c r="E1554" s="7">
        <v>0</v>
      </c>
      <c r="F1554" t="str">
        <f>VLOOKUP(A1554,[1]!Table1[#All],17,FALSE)</f>
        <v>UNITED STATES</v>
      </c>
      <c r="G1554" t="str">
        <f>VLOOKUP(A1554,[1]!Table1[#All],22,FALSE)</f>
        <v>UNIVERSITY OF CALIFORNIA-SAN FRANCISCO</v>
      </c>
      <c r="H1554" s="8">
        <f>VLOOKUP(A1554,[1]!Table1[#All],32,FALSE)</f>
        <v>43845</v>
      </c>
      <c r="I1554" s="8">
        <f>VLOOKUP(A1554,[1]!Table1[#All],33,FALSE)</f>
        <v>45564</v>
      </c>
      <c r="J1554" t="str">
        <f t="shared" ca="1" si="24"/>
        <v>Non UDO</v>
      </c>
    </row>
    <row r="1555" spans="1:10" x14ac:dyDescent="0.35">
      <c r="A1555" s="9" t="s">
        <v>49</v>
      </c>
      <c r="B1555" s="10">
        <v>44927</v>
      </c>
      <c r="C1555" s="11">
        <v>4200000</v>
      </c>
      <c r="D1555" s="11">
        <v>4200000</v>
      </c>
      <c r="E1555" s="11">
        <v>0</v>
      </c>
      <c r="F1555" t="str">
        <f>VLOOKUP(A1555,[1]!Table1[#All],17,FALSE)</f>
        <v>UNITED STATES</v>
      </c>
      <c r="G1555" t="str">
        <f>VLOOKUP(A1555,[1]!Table1[#All],22,FALSE)</f>
        <v>UNIVERSITY OF CALIFORNIA-SAN FRANCISCO</v>
      </c>
      <c r="H1555" s="8">
        <f>VLOOKUP(A1555,[1]!Table1[#All],32,FALSE)</f>
        <v>43845</v>
      </c>
      <c r="I1555" s="8">
        <f>VLOOKUP(A1555,[1]!Table1[#All],33,FALSE)</f>
        <v>45564</v>
      </c>
      <c r="J1555" t="str">
        <f t="shared" ca="1" si="24"/>
        <v>Non UDO</v>
      </c>
    </row>
    <row r="1556" spans="1:10" x14ac:dyDescent="0.35">
      <c r="A1556" s="5" t="s">
        <v>49</v>
      </c>
      <c r="B1556" s="6">
        <v>44958</v>
      </c>
      <c r="C1556" s="7">
        <v>4200000</v>
      </c>
      <c r="D1556" s="7">
        <v>4200000</v>
      </c>
      <c r="E1556" s="7">
        <v>0</v>
      </c>
      <c r="F1556" t="str">
        <f>VLOOKUP(A1556,[1]!Table1[#All],17,FALSE)</f>
        <v>UNITED STATES</v>
      </c>
      <c r="G1556" t="str">
        <f>VLOOKUP(A1556,[1]!Table1[#All],22,FALSE)</f>
        <v>UNIVERSITY OF CALIFORNIA-SAN FRANCISCO</v>
      </c>
      <c r="H1556" s="8">
        <f>VLOOKUP(A1556,[1]!Table1[#All],32,FALSE)</f>
        <v>43845</v>
      </c>
      <c r="I1556" s="8">
        <f>VLOOKUP(A1556,[1]!Table1[#All],33,FALSE)</f>
        <v>45564</v>
      </c>
      <c r="J1556" t="str">
        <f t="shared" ca="1" si="24"/>
        <v>Non UDO</v>
      </c>
    </row>
    <row r="1557" spans="1:10" x14ac:dyDescent="0.35">
      <c r="A1557" s="9" t="s">
        <v>49</v>
      </c>
      <c r="B1557" s="10">
        <v>44986</v>
      </c>
      <c r="C1557" s="11">
        <v>4200000</v>
      </c>
      <c r="D1557" s="11">
        <v>4200000</v>
      </c>
      <c r="E1557" s="11">
        <v>0</v>
      </c>
      <c r="F1557" t="str">
        <f>VLOOKUP(A1557,[1]!Table1[#All],17,FALSE)</f>
        <v>UNITED STATES</v>
      </c>
      <c r="G1557" t="str">
        <f>VLOOKUP(A1557,[1]!Table1[#All],22,FALSE)</f>
        <v>UNIVERSITY OF CALIFORNIA-SAN FRANCISCO</v>
      </c>
      <c r="H1557" s="8">
        <f>VLOOKUP(A1557,[1]!Table1[#All],32,FALSE)</f>
        <v>43845</v>
      </c>
      <c r="I1557" s="8">
        <f>VLOOKUP(A1557,[1]!Table1[#All],33,FALSE)</f>
        <v>45564</v>
      </c>
      <c r="J1557" t="str">
        <f t="shared" ca="1" si="24"/>
        <v>Non UDO</v>
      </c>
    </row>
    <row r="1558" spans="1:10" x14ac:dyDescent="0.35">
      <c r="A1558" s="5" t="s">
        <v>49</v>
      </c>
      <c r="B1558" s="6">
        <v>45017</v>
      </c>
      <c r="C1558" s="7">
        <v>4200000</v>
      </c>
      <c r="D1558" s="7">
        <v>4200000</v>
      </c>
      <c r="E1558" s="7">
        <v>0</v>
      </c>
      <c r="F1558" t="str">
        <f>VLOOKUP(A1558,[1]!Table1[#All],17,FALSE)</f>
        <v>UNITED STATES</v>
      </c>
      <c r="G1558" t="str">
        <f>VLOOKUP(A1558,[1]!Table1[#All],22,FALSE)</f>
        <v>UNIVERSITY OF CALIFORNIA-SAN FRANCISCO</v>
      </c>
      <c r="H1558" s="8">
        <f>VLOOKUP(A1558,[1]!Table1[#All],32,FALSE)</f>
        <v>43845</v>
      </c>
      <c r="I1558" s="8">
        <f>VLOOKUP(A1558,[1]!Table1[#All],33,FALSE)</f>
        <v>45564</v>
      </c>
      <c r="J1558" t="str">
        <f t="shared" ca="1" si="24"/>
        <v>Non UDO</v>
      </c>
    </row>
    <row r="1559" spans="1:10" x14ac:dyDescent="0.35">
      <c r="A1559" s="9" t="s">
        <v>49</v>
      </c>
      <c r="B1559" s="10">
        <v>45047</v>
      </c>
      <c r="C1559" s="11">
        <v>4200000</v>
      </c>
      <c r="D1559" s="11">
        <v>4200000</v>
      </c>
      <c r="E1559" s="11">
        <v>0</v>
      </c>
      <c r="F1559" t="str">
        <f>VLOOKUP(A1559,[1]!Table1[#All],17,FALSE)</f>
        <v>UNITED STATES</v>
      </c>
      <c r="G1559" t="str">
        <f>VLOOKUP(A1559,[1]!Table1[#All],22,FALSE)</f>
        <v>UNIVERSITY OF CALIFORNIA-SAN FRANCISCO</v>
      </c>
      <c r="H1559" s="8">
        <f>VLOOKUP(A1559,[1]!Table1[#All],32,FALSE)</f>
        <v>43845</v>
      </c>
      <c r="I1559" s="8">
        <f>VLOOKUP(A1559,[1]!Table1[#All],33,FALSE)</f>
        <v>45564</v>
      </c>
      <c r="J1559" t="str">
        <f t="shared" ca="1" si="24"/>
        <v>Non UDO</v>
      </c>
    </row>
    <row r="1560" spans="1:10" x14ac:dyDescent="0.35">
      <c r="A1560" s="5" t="s">
        <v>49</v>
      </c>
      <c r="B1560" s="6">
        <v>45078</v>
      </c>
      <c r="C1560" s="7">
        <v>4200000</v>
      </c>
      <c r="D1560" s="7">
        <v>4200000</v>
      </c>
      <c r="E1560" s="7">
        <v>0</v>
      </c>
      <c r="F1560" t="str">
        <f>VLOOKUP(A1560,[1]!Table1[#All],17,FALSE)</f>
        <v>UNITED STATES</v>
      </c>
      <c r="G1560" t="str">
        <f>VLOOKUP(A1560,[1]!Table1[#All],22,FALSE)</f>
        <v>UNIVERSITY OF CALIFORNIA-SAN FRANCISCO</v>
      </c>
      <c r="H1560" s="8">
        <f>VLOOKUP(A1560,[1]!Table1[#All],32,FALSE)</f>
        <v>43845</v>
      </c>
      <c r="I1560" s="8">
        <f>VLOOKUP(A1560,[1]!Table1[#All],33,FALSE)</f>
        <v>45564</v>
      </c>
      <c r="J1560" t="str">
        <f t="shared" ca="1" si="24"/>
        <v>Non UDO</v>
      </c>
    </row>
    <row r="1561" spans="1:10" x14ac:dyDescent="0.35">
      <c r="A1561" s="9" t="s">
        <v>49</v>
      </c>
      <c r="B1561" s="10">
        <v>45108</v>
      </c>
      <c r="C1561" s="11">
        <v>4200000</v>
      </c>
      <c r="D1561" s="11">
        <v>4200000</v>
      </c>
      <c r="E1561" s="11">
        <v>0</v>
      </c>
      <c r="F1561" t="str">
        <f>VLOOKUP(A1561,[1]!Table1[#All],17,FALSE)</f>
        <v>UNITED STATES</v>
      </c>
      <c r="G1561" t="str">
        <f>VLOOKUP(A1561,[1]!Table1[#All],22,FALSE)</f>
        <v>UNIVERSITY OF CALIFORNIA-SAN FRANCISCO</v>
      </c>
      <c r="H1561" s="8">
        <f>VLOOKUP(A1561,[1]!Table1[#All],32,FALSE)</f>
        <v>43845</v>
      </c>
      <c r="I1561" s="8">
        <f>VLOOKUP(A1561,[1]!Table1[#All],33,FALSE)</f>
        <v>45564</v>
      </c>
      <c r="J1561" t="str">
        <f t="shared" ca="1" si="24"/>
        <v>Non UDO</v>
      </c>
    </row>
    <row r="1562" spans="1:10" x14ac:dyDescent="0.35">
      <c r="A1562" s="5" t="s">
        <v>49</v>
      </c>
      <c r="B1562" s="6">
        <v>45139</v>
      </c>
      <c r="C1562" s="7">
        <v>4200000</v>
      </c>
      <c r="D1562" s="7">
        <v>4200000</v>
      </c>
      <c r="E1562" s="7">
        <v>0</v>
      </c>
      <c r="F1562" t="str">
        <f>VLOOKUP(A1562,[1]!Table1[#All],17,FALSE)</f>
        <v>UNITED STATES</v>
      </c>
      <c r="G1562" t="str">
        <f>VLOOKUP(A1562,[1]!Table1[#All],22,FALSE)</f>
        <v>UNIVERSITY OF CALIFORNIA-SAN FRANCISCO</v>
      </c>
      <c r="H1562" s="8">
        <f>VLOOKUP(A1562,[1]!Table1[#All],32,FALSE)</f>
        <v>43845</v>
      </c>
      <c r="I1562" s="8">
        <f>VLOOKUP(A1562,[1]!Table1[#All],33,FALSE)</f>
        <v>45564</v>
      </c>
      <c r="J1562" t="str">
        <f t="shared" ca="1" si="24"/>
        <v>Non UDO</v>
      </c>
    </row>
    <row r="1563" spans="1:10" x14ac:dyDescent="0.35">
      <c r="A1563" s="9" t="s">
        <v>49</v>
      </c>
      <c r="B1563" s="10">
        <v>45170</v>
      </c>
      <c r="C1563" s="11">
        <v>4200000</v>
      </c>
      <c r="D1563" s="11">
        <v>4200000</v>
      </c>
      <c r="E1563" s="11">
        <v>0</v>
      </c>
      <c r="F1563" t="str">
        <f>VLOOKUP(A1563,[1]!Table1[#All],17,FALSE)</f>
        <v>UNITED STATES</v>
      </c>
      <c r="G1563" t="str">
        <f>VLOOKUP(A1563,[1]!Table1[#All],22,FALSE)</f>
        <v>UNIVERSITY OF CALIFORNIA-SAN FRANCISCO</v>
      </c>
      <c r="H1563" s="8">
        <f>VLOOKUP(A1563,[1]!Table1[#All],32,FALSE)</f>
        <v>43845</v>
      </c>
      <c r="I1563" s="8">
        <f>VLOOKUP(A1563,[1]!Table1[#All],33,FALSE)</f>
        <v>45564</v>
      </c>
      <c r="J1563" t="str">
        <f t="shared" ca="1" si="24"/>
        <v>Non UDO</v>
      </c>
    </row>
    <row r="1564" spans="1:10" x14ac:dyDescent="0.35">
      <c r="A1564" s="5" t="s">
        <v>50</v>
      </c>
      <c r="B1564" s="6">
        <v>44105</v>
      </c>
      <c r="C1564" s="7">
        <v>3710615</v>
      </c>
      <c r="D1564" s="7">
        <v>0</v>
      </c>
      <c r="E1564" s="7">
        <v>3710615</v>
      </c>
      <c r="F1564" t="str">
        <f>VLOOKUP(A1564,[1]!Table1[#All],17,FALSE)</f>
        <v>ZAMBIA</v>
      </c>
      <c r="G1564" t="str">
        <f>VLOOKUP(A1564,[1]!Table1[#All],22,FALSE)</f>
        <v>MINISTRY OF HEALTH</v>
      </c>
      <c r="H1564" s="8">
        <f>VLOOKUP(A1564,[1]!Table1[#All],32,FALSE)</f>
        <v>44104</v>
      </c>
      <c r="I1564" s="8">
        <f>VLOOKUP(A1564,[1]!Table1[#All],33,FALSE)</f>
        <v>45929</v>
      </c>
      <c r="J1564" t="str">
        <f t="shared" ca="1" si="24"/>
        <v>Non UDO</v>
      </c>
    </row>
    <row r="1565" spans="1:10" x14ac:dyDescent="0.35">
      <c r="A1565" s="9" t="s">
        <v>50</v>
      </c>
      <c r="B1565" s="10">
        <v>44136</v>
      </c>
      <c r="C1565" s="11">
        <v>3710615</v>
      </c>
      <c r="D1565" s="11">
        <v>0</v>
      </c>
      <c r="E1565" s="11">
        <v>3710615</v>
      </c>
      <c r="F1565" t="str">
        <f>VLOOKUP(A1565,[1]!Table1[#All],17,FALSE)</f>
        <v>ZAMBIA</v>
      </c>
      <c r="G1565" t="str">
        <f>VLOOKUP(A1565,[1]!Table1[#All],22,FALSE)</f>
        <v>MINISTRY OF HEALTH</v>
      </c>
      <c r="H1565" s="8">
        <f>VLOOKUP(A1565,[1]!Table1[#All],32,FALSE)</f>
        <v>44104</v>
      </c>
      <c r="I1565" s="8">
        <f>VLOOKUP(A1565,[1]!Table1[#All],33,FALSE)</f>
        <v>45929</v>
      </c>
      <c r="J1565" t="str">
        <f t="shared" ca="1" si="24"/>
        <v>Non UDO</v>
      </c>
    </row>
    <row r="1566" spans="1:10" x14ac:dyDescent="0.35">
      <c r="A1566" s="5" t="s">
        <v>50</v>
      </c>
      <c r="B1566" s="6">
        <v>44166</v>
      </c>
      <c r="C1566" s="7">
        <v>3710615</v>
      </c>
      <c r="D1566" s="7">
        <v>0</v>
      </c>
      <c r="E1566" s="7">
        <v>3710615</v>
      </c>
      <c r="F1566" t="str">
        <f>VLOOKUP(A1566,[1]!Table1[#All],17,FALSE)</f>
        <v>ZAMBIA</v>
      </c>
      <c r="G1566" t="str">
        <f>VLOOKUP(A1566,[1]!Table1[#All],22,FALSE)</f>
        <v>MINISTRY OF HEALTH</v>
      </c>
      <c r="H1566" s="8">
        <f>VLOOKUP(A1566,[1]!Table1[#All],32,FALSE)</f>
        <v>44104</v>
      </c>
      <c r="I1566" s="8">
        <f>VLOOKUP(A1566,[1]!Table1[#All],33,FALSE)</f>
        <v>45929</v>
      </c>
      <c r="J1566" t="str">
        <f t="shared" ca="1" si="24"/>
        <v>Non UDO</v>
      </c>
    </row>
    <row r="1567" spans="1:10" x14ac:dyDescent="0.35">
      <c r="A1567" s="9" t="s">
        <v>50</v>
      </c>
      <c r="B1567" s="10">
        <v>44197</v>
      </c>
      <c r="C1567" s="11">
        <v>3710615</v>
      </c>
      <c r="D1567" s="11">
        <v>498361.62</v>
      </c>
      <c r="E1567" s="11">
        <v>3212253.38</v>
      </c>
      <c r="F1567" t="str">
        <f>VLOOKUP(A1567,[1]!Table1[#All],17,FALSE)</f>
        <v>ZAMBIA</v>
      </c>
      <c r="G1567" t="str">
        <f>VLOOKUP(A1567,[1]!Table1[#All],22,FALSE)</f>
        <v>MINISTRY OF HEALTH</v>
      </c>
      <c r="H1567" s="8">
        <f>VLOOKUP(A1567,[1]!Table1[#All],32,FALSE)</f>
        <v>44104</v>
      </c>
      <c r="I1567" s="8">
        <f>VLOOKUP(A1567,[1]!Table1[#All],33,FALSE)</f>
        <v>45929</v>
      </c>
      <c r="J1567" t="str">
        <f t="shared" ca="1" si="24"/>
        <v>Non UDO</v>
      </c>
    </row>
    <row r="1568" spans="1:10" x14ac:dyDescent="0.35">
      <c r="A1568" s="5" t="s">
        <v>50</v>
      </c>
      <c r="B1568" s="6">
        <v>44228</v>
      </c>
      <c r="C1568" s="7">
        <v>3710615</v>
      </c>
      <c r="D1568" s="7">
        <v>803310.91</v>
      </c>
      <c r="E1568" s="7">
        <v>2907304.09</v>
      </c>
      <c r="F1568" t="str">
        <f>VLOOKUP(A1568,[1]!Table1[#All],17,FALSE)</f>
        <v>ZAMBIA</v>
      </c>
      <c r="G1568" t="str">
        <f>VLOOKUP(A1568,[1]!Table1[#All],22,FALSE)</f>
        <v>MINISTRY OF HEALTH</v>
      </c>
      <c r="H1568" s="8">
        <f>VLOOKUP(A1568,[1]!Table1[#All],32,FALSE)</f>
        <v>44104</v>
      </c>
      <c r="I1568" s="8">
        <f>VLOOKUP(A1568,[1]!Table1[#All],33,FALSE)</f>
        <v>45929</v>
      </c>
      <c r="J1568" t="str">
        <f t="shared" ca="1" si="24"/>
        <v>Non UDO</v>
      </c>
    </row>
    <row r="1569" spans="1:10" x14ac:dyDescent="0.35">
      <c r="A1569" s="9" t="s">
        <v>50</v>
      </c>
      <c r="B1569" s="10">
        <v>44256</v>
      </c>
      <c r="C1569" s="11">
        <v>3710615</v>
      </c>
      <c r="D1569" s="11">
        <v>1183077.23</v>
      </c>
      <c r="E1569" s="11">
        <v>2527537.77</v>
      </c>
      <c r="F1569" t="str">
        <f>VLOOKUP(A1569,[1]!Table1[#All],17,FALSE)</f>
        <v>ZAMBIA</v>
      </c>
      <c r="G1569" t="str">
        <f>VLOOKUP(A1569,[1]!Table1[#All],22,FALSE)</f>
        <v>MINISTRY OF HEALTH</v>
      </c>
      <c r="H1569" s="8">
        <f>VLOOKUP(A1569,[1]!Table1[#All],32,FALSE)</f>
        <v>44104</v>
      </c>
      <c r="I1569" s="8">
        <f>VLOOKUP(A1569,[1]!Table1[#All],33,FALSE)</f>
        <v>45929</v>
      </c>
      <c r="J1569" t="str">
        <f t="shared" ca="1" si="24"/>
        <v>Non UDO</v>
      </c>
    </row>
    <row r="1570" spans="1:10" x14ac:dyDescent="0.35">
      <c r="A1570" s="5" t="s">
        <v>50</v>
      </c>
      <c r="B1570" s="6">
        <v>44287</v>
      </c>
      <c r="C1570" s="7">
        <v>425000</v>
      </c>
      <c r="D1570" s="7">
        <v>143197.91</v>
      </c>
      <c r="E1570" s="7">
        <v>281802.09000000003</v>
      </c>
      <c r="F1570" t="str">
        <f>VLOOKUP(A1570,[1]!Table1[#All],17,FALSE)</f>
        <v>ZAMBIA</v>
      </c>
      <c r="G1570" t="str">
        <f>VLOOKUP(A1570,[1]!Table1[#All],22,FALSE)</f>
        <v>MINISTRY OF HEALTH</v>
      </c>
      <c r="H1570" s="8">
        <f>VLOOKUP(A1570,[1]!Table1[#All],32,FALSE)</f>
        <v>44104</v>
      </c>
      <c r="I1570" s="8">
        <f>VLOOKUP(A1570,[1]!Table1[#All],33,FALSE)</f>
        <v>45929</v>
      </c>
      <c r="J1570" t="str">
        <f t="shared" ca="1" si="24"/>
        <v>Non UDO</v>
      </c>
    </row>
    <row r="1571" spans="1:10" x14ac:dyDescent="0.35">
      <c r="A1571" s="9" t="s">
        <v>50</v>
      </c>
      <c r="B1571" s="10">
        <v>44317</v>
      </c>
      <c r="C1571" s="11">
        <v>3710615</v>
      </c>
      <c r="D1571" s="11">
        <v>1868896.0499999998</v>
      </c>
      <c r="E1571" s="11">
        <v>1841718.9500000002</v>
      </c>
      <c r="F1571" t="str">
        <f>VLOOKUP(A1571,[1]!Table1[#All],17,FALSE)</f>
        <v>ZAMBIA</v>
      </c>
      <c r="G1571" t="str">
        <f>VLOOKUP(A1571,[1]!Table1[#All],22,FALSE)</f>
        <v>MINISTRY OF HEALTH</v>
      </c>
      <c r="H1571" s="8">
        <f>VLOOKUP(A1571,[1]!Table1[#All],32,FALSE)</f>
        <v>44104</v>
      </c>
      <c r="I1571" s="8">
        <f>VLOOKUP(A1571,[1]!Table1[#All],33,FALSE)</f>
        <v>45929</v>
      </c>
      <c r="J1571" t="str">
        <f t="shared" ca="1" si="24"/>
        <v>Non UDO</v>
      </c>
    </row>
    <row r="1572" spans="1:10" x14ac:dyDescent="0.35">
      <c r="A1572" s="5" t="s">
        <v>50</v>
      </c>
      <c r="B1572" s="6">
        <v>44348</v>
      </c>
      <c r="C1572" s="7">
        <v>3710615</v>
      </c>
      <c r="D1572" s="7">
        <v>2474365.0200000005</v>
      </c>
      <c r="E1572" s="7">
        <v>1236249.98</v>
      </c>
      <c r="F1572" t="str">
        <f>VLOOKUP(A1572,[1]!Table1[#All],17,FALSE)</f>
        <v>ZAMBIA</v>
      </c>
      <c r="G1572" t="str">
        <f>VLOOKUP(A1572,[1]!Table1[#All],22,FALSE)</f>
        <v>MINISTRY OF HEALTH</v>
      </c>
      <c r="H1572" s="8">
        <f>VLOOKUP(A1572,[1]!Table1[#All],32,FALSE)</f>
        <v>44104</v>
      </c>
      <c r="I1572" s="8">
        <f>VLOOKUP(A1572,[1]!Table1[#All],33,FALSE)</f>
        <v>45929</v>
      </c>
      <c r="J1572" t="str">
        <f t="shared" ca="1" si="24"/>
        <v>Non UDO</v>
      </c>
    </row>
    <row r="1573" spans="1:10" x14ac:dyDescent="0.35">
      <c r="A1573" s="9" t="s">
        <v>50</v>
      </c>
      <c r="B1573" s="10">
        <v>44378</v>
      </c>
      <c r="C1573" s="11">
        <v>3710615</v>
      </c>
      <c r="D1573" s="11">
        <v>2821138.22</v>
      </c>
      <c r="E1573" s="11">
        <v>889476.78</v>
      </c>
      <c r="F1573" t="str">
        <f>VLOOKUP(A1573,[1]!Table1[#All],17,FALSE)</f>
        <v>ZAMBIA</v>
      </c>
      <c r="G1573" t="str">
        <f>VLOOKUP(A1573,[1]!Table1[#All],22,FALSE)</f>
        <v>MINISTRY OF HEALTH</v>
      </c>
      <c r="H1573" s="8">
        <f>VLOOKUP(A1573,[1]!Table1[#All],32,FALSE)</f>
        <v>44104</v>
      </c>
      <c r="I1573" s="8">
        <f>VLOOKUP(A1573,[1]!Table1[#All],33,FALSE)</f>
        <v>45929</v>
      </c>
      <c r="J1573" t="str">
        <f t="shared" ca="1" si="24"/>
        <v>Non UDO</v>
      </c>
    </row>
    <row r="1574" spans="1:10" x14ac:dyDescent="0.35">
      <c r="A1574" s="5" t="s">
        <v>50</v>
      </c>
      <c r="B1574" s="6">
        <v>44409</v>
      </c>
      <c r="C1574" s="7">
        <v>3710615</v>
      </c>
      <c r="D1574" s="7">
        <v>3216396.54</v>
      </c>
      <c r="E1574" s="7">
        <v>494218.46</v>
      </c>
      <c r="F1574" t="str">
        <f>VLOOKUP(A1574,[1]!Table1[#All],17,FALSE)</f>
        <v>ZAMBIA</v>
      </c>
      <c r="G1574" t="str">
        <f>VLOOKUP(A1574,[1]!Table1[#All],22,FALSE)</f>
        <v>MINISTRY OF HEALTH</v>
      </c>
      <c r="H1574" s="8">
        <f>VLOOKUP(A1574,[1]!Table1[#All],32,FALSE)</f>
        <v>44104</v>
      </c>
      <c r="I1574" s="8">
        <f>VLOOKUP(A1574,[1]!Table1[#All],33,FALSE)</f>
        <v>45929</v>
      </c>
      <c r="J1574" t="str">
        <f t="shared" ca="1" si="24"/>
        <v>Non UDO</v>
      </c>
    </row>
    <row r="1575" spans="1:10" x14ac:dyDescent="0.35">
      <c r="A1575" s="9" t="s">
        <v>50</v>
      </c>
      <c r="B1575" s="10">
        <v>44440</v>
      </c>
      <c r="C1575" s="11">
        <v>3710615</v>
      </c>
      <c r="D1575" s="11">
        <v>3428061.75</v>
      </c>
      <c r="E1575" s="11">
        <v>282553.25</v>
      </c>
      <c r="F1575" t="str">
        <f>VLOOKUP(A1575,[1]!Table1[#All],17,FALSE)</f>
        <v>ZAMBIA</v>
      </c>
      <c r="G1575" t="str">
        <f>VLOOKUP(A1575,[1]!Table1[#All],22,FALSE)</f>
        <v>MINISTRY OF HEALTH</v>
      </c>
      <c r="H1575" s="8">
        <f>VLOOKUP(A1575,[1]!Table1[#All],32,FALSE)</f>
        <v>44104</v>
      </c>
      <c r="I1575" s="8">
        <f>VLOOKUP(A1575,[1]!Table1[#All],33,FALSE)</f>
        <v>45929</v>
      </c>
      <c r="J1575" t="str">
        <f t="shared" ca="1" si="24"/>
        <v>Non UDO</v>
      </c>
    </row>
    <row r="1576" spans="1:10" x14ac:dyDescent="0.35">
      <c r="A1576" s="5" t="s">
        <v>50</v>
      </c>
      <c r="B1576" s="6">
        <v>44470</v>
      </c>
      <c r="C1576" s="7">
        <v>3710615</v>
      </c>
      <c r="D1576" s="7">
        <v>3428061.75</v>
      </c>
      <c r="E1576" s="7">
        <v>282553.25</v>
      </c>
      <c r="F1576" t="str">
        <f>VLOOKUP(A1576,[1]!Table1[#All],17,FALSE)</f>
        <v>ZAMBIA</v>
      </c>
      <c r="G1576" t="str">
        <f>VLOOKUP(A1576,[1]!Table1[#All],22,FALSE)</f>
        <v>MINISTRY OF HEALTH</v>
      </c>
      <c r="H1576" s="8">
        <f>VLOOKUP(A1576,[1]!Table1[#All],32,FALSE)</f>
        <v>44104</v>
      </c>
      <c r="I1576" s="8">
        <f>VLOOKUP(A1576,[1]!Table1[#All],33,FALSE)</f>
        <v>45929</v>
      </c>
      <c r="J1576" t="str">
        <f t="shared" ca="1" si="24"/>
        <v>Non UDO</v>
      </c>
    </row>
    <row r="1577" spans="1:10" x14ac:dyDescent="0.35">
      <c r="A1577" s="9" t="s">
        <v>50</v>
      </c>
      <c r="B1577" s="10">
        <v>44501</v>
      </c>
      <c r="C1577" s="11">
        <v>3710615</v>
      </c>
      <c r="D1577" s="11">
        <v>3428061.75</v>
      </c>
      <c r="E1577" s="11">
        <v>282553.25</v>
      </c>
      <c r="F1577" t="str">
        <f>VLOOKUP(A1577,[1]!Table1[#All],17,FALSE)</f>
        <v>ZAMBIA</v>
      </c>
      <c r="G1577" t="str">
        <f>VLOOKUP(A1577,[1]!Table1[#All],22,FALSE)</f>
        <v>MINISTRY OF HEALTH</v>
      </c>
      <c r="H1577" s="8">
        <f>VLOOKUP(A1577,[1]!Table1[#All],32,FALSE)</f>
        <v>44104</v>
      </c>
      <c r="I1577" s="8">
        <f>VLOOKUP(A1577,[1]!Table1[#All],33,FALSE)</f>
        <v>45929</v>
      </c>
      <c r="J1577" t="str">
        <f t="shared" ca="1" si="24"/>
        <v>Non UDO</v>
      </c>
    </row>
    <row r="1578" spans="1:10" x14ac:dyDescent="0.35">
      <c r="A1578" s="5" t="s">
        <v>50</v>
      </c>
      <c r="B1578" s="6">
        <v>44531</v>
      </c>
      <c r="C1578" s="7">
        <v>3710615</v>
      </c>
      <c r="D1578" s="7">
        <v>3428061.75</v>
      </c>
      <c r="E1578" s="7">
        <v>282553.25</v>
      </c>
      <c r="F1578" t="str">
        <f>VLOOKUP(A1578,[1]!Table1[#All],17,FALSE)</f>
        <v>ZAMBIA</v>
      </c>
      <c r="G1578" t="str">
        <f>VLOOKUP(A1578,[1]!Table1[#All],22,FALSE)</f>
        <v>MINISTRY OF HEALTH</v>
      </c>
      <c r="H1578" s="8">
        <f>VLOOKUP(A1578,[1]!Table1[#All],32,FALSE)</f>
        <v>44104</v>
      </c>
      <c r="I1578" s="8">
        <f>VLOOKUP(A1578,[1]!Table1[#All],33,FALSE)</f>
        <v>45929</v>
      </c>
      <c r="J1578" t="str">
        <f t="shared" ca="1" si="24"/>
        <v>Non UDO</v>
      </c>
    </row>
    <row r="1579" spans="1:10" x14ac:dyDescent="0.35">
      <c r="A1579" s="9" t="s">
        <v>50</v>
      </c>
      <c r="B1579" s="10">
        <v>44562</v>
      </c>
      <c r="C1579" s="11">
        <v>3710615</v>
      </c>
      <c r="D1579" s="11">
        <v>3428061.75</v>
      </c>
      <c r="E1579" s="11">
        <v>282553.25</v>
      </c>
      <c r="F1579" t="str">
        <f>VLOOKUP(A1579,[1]!Table1[#All],17,FALSE)</f>
        <v>ZAMBIA</v>
      </c>
      <c r="G1579" t="str">
        <f>VLOOKUP(A1579,[1]!Table1[#All],22,FALSE)</f>
        <v>MINISTRY OF HEALTH</v>
      </c>
      <c r="H1579" s="8">
        <f>VLOOKUP(A1579,[1]!Table1[#All],32,FALSE)</f>
        <v>44104</v>
      </c>
      <c r="I1579" s="8">
        <f>VLOOKUP(A1579,[1]!Table1[#All],33,FALSE)</f>
        <v>45929</v>
      </c>
      <c r="J1579" t="str">
        <f t="shared" ca="1" si="24"/>
        <v>Non UDO</v>
      </c>
    </row>
    <row r="1580" spans="1:10" x14ac:dyDescent="0.35">
      <c r="A1580" s="5" t="s">
        <v>50</v>
      </c>
      <c r="B1580" s="6">
        <v>44593</v>
      </c>
      <c r="C1580" s="7">
        <v>3710615</v>
      </c>
      <c r="D1580" s="7">
        <v>3428061.75</v>
      </c>
      <c r="E1580" s="7">
        <v>282553.25</v>
      </c>
      <c r="F1580" t="str">
        <f>VLOOKUP(A1580,[1]!Table1[#All],17,FALSE)</f>
        <v>ZAMBIA</v>
      </c>
      <c r="G1580" t="str">
        <f>VLOOKUP(A1580,[1]!Table1[#All],22,FALSE)</f>
        <v>MINISTRY OF HEALTH</v>
      </c>
      <c r="H1580" s="8">
        <f>VLOOKUP(A1580,[1]!Table1[#All],32,FALSE)</f>
        <v>44104</v>
      </c>
      <c r="I1580" s="8">
        <f>VLOOKUP(A1580,[1]!Table1[#All],33,FALSE)</f>
        <v>45929</v>
      </c>
      <c r="J1580" t="str">
        <f t="shared" ca="1" si="24"/>
        <v>Non UDO</v>
      </c>
    </row>
    <row r="1581" spans="1:10" x14ac:dyDescent="0.35">
      <c r="A1581" s="9" t="s">
        <v>50</v>
      </c>
      <c r="B1581" s="10">
        <v>44621</v>
      </c>
      <c r="C1581" s="11">
        <v>3710615</v>
      </c>
      <c r="D1581" s="11">
        <v>3428061.75</v>
      </c>
      <c r="E1581" s="11">
        <v>282553.25</v>
      </c>
      <c r="F1581" t="str">
        <f>VLOOKUP(A1581,[1]!Table1[#All],17,FALSE)</f>
        <v>ZAMBIA</v>
      </c>
      <c r="G1581" t="str">
        <f>VLOOKUP(A1581,[1]!Table1[#All],22,FALSE)</f>
        <v>MINISTRY OF HEALTH</v>
      </c>
      <c r="H1581" s="8">
        <f>VLOOKUP(A1581,[1]!Table1[#All],32,FALSE)</f>
        <v>44104</v>
      </c>
      <c r="I1581" s="8">
        <f>VLOOKUP(A1581,[1]!Table1[#All],33,FALSE)</f>
        <v>45929</v>
      </c>
      <c r="J1581" t="str">
        <f t="shared" ca="1" si="24"/>
        <v>Non UDO</v>
      </c>
    </row>
    <row r="1582" spans="1:10" x14ac:dyDescent="0.35">
      <c r="A1582" s="5" t="s">
        <v>50</v>
      </c>
      <c r="B1582" s="6">
        <v>44652</v>
      </c>
      <c r="C1582" s="7">
        <v>3710615</v>
      </c>
      <c r="D1582" s="7">
        <v>3428061.75</v>
      </c>
      <c r="E1582" s="7">
        <v>282553.25</v>
      </c>
      <c r="F1582" t="str">
        <f>VLOOKUP(A1582,[1]!Table1[#All],17,FALSE)</f>
        <v>ZAMBIA</v>
      </c>
      <c r="G1582" t="str">
        <f>VLOOKUP(A1582,[1]!Table1[#All],22,FALSE)</f>
        <v>MINISTRY OF HEALTH</v>
      </c>
      <c r="H1582" s="8">
        <f>VLOOKUP(A1582,[1]!Table1[#All],32,FALSE)</f>
        <v>44104</v>
      </c>
      <c r="I1582" s="8">
        <f>VLOOKUP(A1582,[1]!Table1[#All],33,FALSE)</f>
        <v>45929</v>
      </c>
      <c r="J1582" t="str">
        <f t="shared" ca="1" si="24"/>
        <v>Non UDO</v>
      </c>
    </row>
    <row r="1583" spans="1:10" x14ac:dyDescent="0.35">
      <c r="A1583" s="9" t="s">
        <v>50</v>
      </c>
      <c r="B1583" s="10">
        <v>44682</v>
      </c>
      <c r="C1583" s="11">
        <v>3710615</v>
      </c>
      <c r="D1583" s="11">
        <v>3428061.75</v>
      </c>
      <c r="E1583" s="11">
        <v>282553.25</v>
      </c>
      <c r="F1583" t="str">
        <f>VLOOKUP(A1583,[1]!Table1[#All],17,FALSE)</f>
        <v>ZAMBIA</v>
      </c>
      <c r="G1583" t="str">
        <f>VLOOKUP(A1583,[1]!Table1[#All],22,FALSE)</f>
        <v>MINISTRY OF HEALTH</v>
      </c>
      <c r="H1583" s="8">
        <f>VLOOKUP(A1583,[1]!Table1[#All],32,FALSE)</f>
        <v>44104</v>
      </c>
      <c r="I1583" s="8">
        <f>VLOOKUP(A1583,[1]!Table1[#All],33,FALSE)</f>
        <v>45929</v>
      </c>
      <c r="J1583" t="str">
        <f t="shared" ca="1" si="24"/>
        <v>Non UDO</v>
      </c>
    </row>
    <row r="1584" spans="1:10" x14ac:dyDescent="0.35">
      <c r="A1584" s="5" t="s">
        <v>50</v>
      </c>
      <c r="B1584" s="6">
        <v>44713</v>
      </c>
      <c r="C1584" s="7">
        <v>3710615</v>
      </c>
      <c r="D1584" s="7">
        <v>3446824.25</v>
      </c>
      <c r="E1584" s="7">
        <v>263790.75</v>
      </c>
      <c r="F1584" t="str">
        <f>VLOOKUP(A1584,[1]!Table1[#All],17,FALSE)</f>
        <v>ZAMBIA</v>
      </c>
      <c r="G1584" t="str">
        <f>VLOOKUP(A1584,[1]!Table1[#All],22,FALSE)</f>
        <v>MINISTRY OF HEALTH</v>
      </c>
      <c r="H1584" s="8">
        <f>VLOOKUP(A1584,[1]!Table1[#All],32,FALSE)</f>
        <v>44104</v>
      </c>
      <c r="I1584" s="8">
        <f>VLOOKUP(A1584,[1]!Table1[#All],33,FALSE)</f>
        <v>45929</v>
      </c>
      <c r="J1584" t="str">
        <f t="shared" ca="1" si="24"/>
        <v>Non UDO</v>
      </c>
    </row>
    <row r="1585" spans="1:10" x14ac:dyDescent="0.35">
      <c r="A1585" s="9" t="s">
        <v>50</v>
      </c>
      <c r="B1585" s="10">
        <v>44743</v>
      </c>
      <c r="C1585" s="11">
        <v>3710615</v>
      </c>
      <c r="D1585" s="11">
        <v>3473744.2800000003</v>
      </c>
      <c r="E1585" s="11">
        <v>236870.72</v>
      </c>
      <c r="F1585" t="str">
        <f>VLOOKUP(A1585,[1]!Table1[#All],17,FALSE)</f>
        <v>ZAMBIA</v>
      </c>
      <c r="G1585" t="str">
        <f>VLOOKUP(A1585,[1]!Table1[#All],22,FALSE)</f>
        <v>MINISTRY OF HEALTH</v>
      </c>
      <c r="H1585" s="8">
        <f>VLOOKUP(A1585,[1]!Table1[#All],32,FALSE)</f>
        <v>44104</v>
      </c>
      <c r="I1585" s="8">
        <f>VLOOKUP(A1585,[1]!Table1[#All],33,FALSE)</f>
        <v>45929</v>
      </c>
      <c r="J1585" t="str">
        <f t="shared" ca="1" si="24"/>
        <v>Non UDO</v>
      </c>
    </row>
    <row r="1586" spans="1:10" x14ac:dyDescent="0.35">
      <c r="A1586" s="5" t="s">
        <v>50</v>
      </c>
      <c r="B1586" s="6">
        <v>44774</v>
      </c>
      <c r="C1586" s="7">
        <v>3710615</v>
      </c>
      <c r="D1586" s="7">
        <v>3494733.9699999997</v>
      </c>
      <c r="E1586" s="7">
        <v>215881.03</v>
      </c>
      <c r="F1586" t="str">
        <f>VLOOKUP(A1586,[1]!Table1[#All],17,FALSE)</f>
        <v>ZAMBIA</v>
      </c>
      <c r="G1586" t="str">
        <f>VLOOKUP(A1586,[1]!Table1[#All],22,FALSE)</f>
        <v>MINISTRY OF HEALTH</v>
      </c>
      <c r="H1586" s="8">
        <f>VLOOKUP(A1586,[1]!Table1[#All],32,FALSE)</f>
        <v>44104</v>
      </c>
      <c r="I1586" s="8">
        <f>VLOOKUP(A1586,[1]!Table1[#All],33,FALSE)</f>
        <v>45929</v>
      </c>
      <c r="J1586" t="str">
        <f t="shared" ca="1" si="24"/>
        <v>Non UDO</v>
      </c>
    </row>
    <row r="1587" spans="1:10" x14ac:dyDescent="0.35">
      <c r="A1587" s="9" t="s">
        <v>50</v>
      </c>
      <c r="B1587" s="10">
        <v>44805</v>
      </c>
      <c r="C1587" s="11">
        <v>3710615</v>
      </c>
      <c r="D1587" s="11">
        <v>3569621.1199999996</v>
      </c>
      <c r="E1587" s="11">
        <v>140993.88</v>
      </c>
      <c r="F1587" t="str">
        <f>VLOOKUP(A1587,[1]!Table1[#All],17,FALSE)</f>
        <v>ZAMBIA</v>
      </c>
      <c r="G1587" t="str">
        <f>VLOOKUP(A1587,[1]!Table1[#All],22,FALSE)</f>
        <v>MINISTRY OF HEALTH</v>
      </c>
      <c r="H1587" s="8">
        <f>VLOOKUP(A1587,[1]!Table1[#All],32,FALSE)</f>
        <v>44104</v>
      </c>
      <c r="I1587" s="8">
        <f>VLOOKUP(A1587,[1]!Table1[#All],33,FALSE)</f>
        <v>45929</v>
      </c>
      <c r="J1587" t="str">
        <f t="shared" ca="1" si="24"/>
        <v>Non UDO</v>
      </c>
    </row>
    <row r="1588" spans="1:10" x14ac:dyDescent="0.35">
      <c r="A1588" s="5" t="s">
        <v>50</v>
      </c>
      <c r="B1588" s="6">
        <v>44835</v>
      </c>
      <c r="C1588" s="7">
        <v>3710615</v>
      </c>
      <c r="D1588" s="7">
        <v>3605652.3899999997</v>
      </c>
      <c r="E1588" s="7">
        <v>104962.61</v>
      </c>
      <c r="F1588" t="str">
        <f>VLOOKUP(A1588,[1]!Table1[#All],17,FALSE)</f>
        <v>ZAMBIA</v>
      </c>
      <c r="G1588" t="str">
        <f>VLOOKUP(A1588,[1]!Table1[#All],22,FALSE)</f>
        <v>MINISTRY OF HEALTH</v>
      </c>
      <c r="H1588" s="8">
        <f>VLOOKUP(A1588,[1]!Table1[#All],32,FALSE)</f>
        <v>44104</v>
      </c>
      <c r="I1588" s="8">
        <f>VLOOKUP(A1588,[1]!Table1[#All],33,FALSE)</f>
        <v>45929</v>
      </c>
      <c r="J1588" t="str">
        <f t="shared" ca="1" si="24"/>
        <v>Non UDO</v>
      </c>
    </row>
    <row r="1589" spans="1:10" x14ac:dyDescent="0.35">
      <c r="A1589" s="9" t="s">
        <v>50</v>
      </c>
      <c r="B1589" s="10">
        <v>44866</v>
      </c>
      <c r="C1589" s="11">
        <v>3710615</v>
      </c>
      <c r="D1589" s="11">
        <v>3605652.3899999997</v>
      </c>
      <c r="E1589" s="11">
        <v>104962.61</v>
      </c>
      <c r="F1589" t="str">
        <f>VLOOKUP(A1589,[1]!Table1[#All],17,FALSE)</f>
        <v>ZAMBIA</v>
      </c>
      <c r="G1589" t="str">
        <f>VLOOKUP(A1589,[1]!Table1[#All],22,FALSE)</f>
        <v>MINISTRY OF HEALTH</v>
      </c>
      <c r="H1589" s="8">
        <f>VLOOKUP(A1589,[1]!Table1[#All],32,FALSE)</f>
        <v>44104</v>
      </c>
      <c r="I1589" s="8">
        <f>VLOOKUP(A1589,[1]!Table1[#All],33,FALSE)</f>
        <v>45929</v>
      </c>
      <c r="J1589" t="str">
        <f t="shared" ca="1" si="24"/>
        <v>Non UDO</v>
      </c>
    </row>
    <row r="1590" spans="1:10" x14ac:dyDescent="0.35">
      <c r="A1590" s="5" t="s">
        <v>50</v>
      </c>
      <c r="B1590" s="6">
        <v>44896</v>
      </c>
      <c r="C1590" s="7">
        <v>3710615</v>
      </c>
      <c r="D1590" s="7">
        <v>3623605.67</v>
      </c>
      <c r="E1590" s="7">
        <v>87009.33</v>
      </c>
      <c r="F1590" t="str">
        <f>VLOOKUP(A1590,[1]!Table1[#All],17,FALSE)</f>
        <v>ZAMBIA</v>
      </c>
      <c r="G1590" t="str">
        <f>VLOOKUP(A1590,[1]!Table1[#All],22,FALSE)</f>
        <v>MINISTRY OF HEALTH</v>
      </c>
      <c r="H1590" s="8">
        <f>VLOOKUP(A1590,[1]!Table1[#All],32,FALSE)</f>
        <v>44104</v>
      </c>
      <c r="I1590" s="8">
        <f>VLOOKUP(A1590,[1]!Table1[#All],33,FALSE)</f>
        <v>45929</v>
      </c>
      <c r="J1590" t="str">
        <f t="shared" ca="1" si="24"/>
        <v>Non UDO</v>
      </c>
    </row>
    <row r="1591" spans="1:10" x14ac:dyDescent="0.35">
      <c r="A1591" s="9" t="s">
        <v>50</v>
      </c>
      <c r="B1591" s="10">
        <v>44927</v>
      </c>
      <c r="C1591" s="11">
        <v>3710615</v>
      </c>
      <c r="D1591" s="11">
        <v>3623605.67</v>
      </c>
      <c r="E1591" s="11">
        <v>87009.33</v>
      </c>
      <c r="F1591" t="str">
        <f>VLOOKUP(A1591,[1]!Table1[#All],17,FALSE)</f>
        <v>ZAMBIA</v>
      </c>
      <c r="G1591" t="str">
        <f>VLOOKUP(A1591,[1]!Table1[#All],22,FALSE)</f>
        <v>MINISTRY OF HEALTH</v>
      </c>
      <c r="H1591" s="8">
        <f>VLOOKUP(A1591,[1]!Table1[#All],32,FALSE)</f>
        <v>44104</v>
      </c>
      <c r="I1591" s="8">
        <f>VLOOKUP(A1591,[1]!Table1[#All],33,FALSE)</f>
        <v>45929</v>
      </c>
      <c r="J1591" t="str">
        <f t="shared" ca="1" si="24"/>
        <v>Non UDO</v>
      </c>
    </row>
    <row r="1592" spans="1:10" x14ac:dyDescent="0.35">
      <c r="A1592" s="5" t="s">
        <v>50</v>
      </c>
      <c r="B1592" s="6">
        <v>44958</v>
      </c>
      <c r="C1592" s="7">
        <v>3710615</v>
      </c>
      <c r="D1592" s="7">
        <v>3625169.35</v>
      </c>
      <c r="E1592" s="7">
        <v>85445.65</v>
      </c>
      <c r="F1592" t="str">
        <f>VLOOKUP(A1592,[1]!Table1[#All],17,FALSE)</f>
        <v>ZAMBIA</v>
      </c>
      <c r="G1592" t="str">
        <f>VLOOKUP(A1592,[1]!Table1[#All],22,FALSE)</f>
        <v>MINISTRY OF HEALTH</v>
      </c>
      <c r="H1592" s="8">
        <f>VLOOKUP(A1592,[1]!Table1[#All],32,FALSE)</f>
        <v>44104</v>
      </c>
      <c r="I1592" s="8">
        <f>VLOOKUP(A1592,[1]!Table1[#All],33,FALSE)</f>
        <v>45929</v>
      </c>
      <c r="J1592" t="str">
        <f t="shared" ca="1" si="24"/>
        <v>Non UDO</v>
      </c>
    </row>
    <row r="1593" spans="1:10" x14ac:dyDescent="0.35">
      <c r="A1593" s="9" t="s">
        <v>50</v>
      </c>
      <c r="B1593" s="10">
        <v>44986</v>
      </c>
      <c r="C1593" s="11">
        <v>3710615</v>
      </c>
      <c r="D1593" s="11">
        <v>3625169.35</v>
      </c>
      <c r="E1593" s="11">
        <v>85445.65</v>
      </c>
      <c r="F1593" t="str">
        <f>VLOOKUP(A1593,[1]!Table1[#All],17,FALSE)</f>
        <v>ZAMBIA</v>
      </c>
      <c r="G1593" t="str">
        <f>VLOOKUP(A1593,[1]!Table1[#All],22,FALSE)</f>
        <v>MINISTRY OF HEALTH</v>
      </c>
      <c r="H1593" s="8">
        <f>VLOOKUP(A1593,[1]!Table1[#All],32,FALSE)</f>
        <v>44104</v>
      </c>
      <c r="I1593" s="8">
        <f>VLOOKUP(A1593,[1]!Table1[#All],33,FALSE)</f>
        <v>45929</v>
      </c>
      <c r="J1593" t="str">
        <f t="shared" ca="1" si="24"/>
        <v>Non UDO</v>
      </c>
    </row>
    <row r="1594" spans="1:10" x14ac:dyDescent="0.35">
      <c r="A1594" s="5" t="s">
        <v>50</v>
      </c>
      <c r="B1594" s="6">
        <v>45017</v>
      </c>
      <c r="C1594" s="7">
        <v>3710615</v>
      </c>
      <c r="D1594" s="7">
        <v>3625169.35</v>
      </c>
      <c r="E1594" s="7">
        <v>85445.65</v>
      </c>
      <c r="F1594" t="str">
        <f>VLOOKUP(A1594,[1]!Table1[#All],17,FALSE)</f>
        <v>ZAMBIA</v>
      </c>
      <c r="G1594" t="str">
        <f>VLOOKUP(A1594,[1]!Table1[#All],22,FALSE)</f>
        <v>MINISTRY OF HEALTH</v>
      </c>
      <c r="H1594" s="8">
        <f>VLOOKUP(A1594,[1]!Table1[#All],32,FALSE)</f>
        <v>44104</v>
      </c>
      <c r="I1594" s="8">
        <f>VLOOKUP(A1594,[1]!Table1[#All],33,FALSE)</f>
        <v>45929</v>
      </c>
      <c r="J1594" t="str">
        <f t="shared" ca="1" si="24"/>
        <v>Non UDO</v>
      </c>
    </row>
    <row r="1595" spans="1:10" x14ac:dyDescent="0.35">
      <c r="A1595" s="9" t="s">
        <v>50</v>
      </c>
      <c r="B1595" s="10">
        <v>45047</v>
      </c>
      <c r="C1595" s="11">
        <v>3710615</v>
      </c>
      <c r="D1595" s="11">
        <v>3625169.35</v>
      </c>
      <c r="E1595" s="11">
        <v>85445.65</v>
      </c>
      <c r="F1595" t="str">
        <f>VLOOKUP(A1595,[1]!Table1[#All],17,FALSE)</f>
        <v>ZAMBIA</v>
      </c>
      <c r="G1595" t="str">
        <f>VLOOKUP(A1595,[1]!Table1[#All],22,FALSE)</f>
        <v>MINISTRY OF HEALTH</v>
      </c>
      <c r="H1595" s="8">
        <f>VLOOKUP(A1595,[1]!Table1[#All],32,FALSE)</f>
        <v>44104</v>
      </c>
      <c r="I1595" s="8">
        <f>VLOOKUP(A1595,[1]!Table1[#All],33,FALSE)</f>
        <v>45929</v>
      </c>
      <c r="J1595" t="str">
        <f t="shared" ca="1" si="24"/>
        <v>Non UDO</v>
      </c>
    </row>
    <row r="1596" spans="1:10" x14ac:dyDescent="0.35">
      <c r="A1596" s="5" t="s">
        <v>50</v>
      </c>
      <c r="B1596" s="6">
        <v>45078</v>
      </c>
      <c r="C1596" s="7">
        <v>3710615</v>
      </c>
      <c r="D1596" s="7">
        <v>3625169.35</v>
      </c>
      <c r="E1596" s="7">
        <v>85445.65</v>
      </c>
      <c r="F1596" t="str">
        <f>VLOOKUP(A1596,[1]!Table1[#All],17,FALSE)</f>
        <v>ZAMBIA</v>
      </c>
      <c r="G1596" t="str">
        <f>VLOOKUP(A1596,[1]!Table1[#All],22,FALSE)</f>
        <v>MINISTRY OF HEALTH</v>
      </c>
      <c r="H1596" s="8">
        <f>VLOOKUP(A1596,[1]!Table1[#All],32,FALSE)</f>
        <v>44104</v>
      </c>
      <c r="I1596" s="8">
        <f>VLOOKUP(A1596,[1]!Table1[#All],33,FALSE)</f>
        <v>45929</v>
      </c>
      <c r="J1596" t="str">
        <f t="shared" ca="1" si="24"/>
        <v>Non UDO</v>
      </c>
    </row>
    <row r="1597" spans="1:10" x14ac:dyDescent="0.35">
      <c r="A1597" s="9" t="s">
        <v>50</v>
      </c>
      <c r="B1597" s="10">
        <v>45108</v>
      </c>
      <c r="C1597" s="11">
        <v>3710615</v>
      </c>
      <c r="D1597" s="11">
        <v>3625169.35</v>
      </c>
      <c r="E1597" s="11">
        <v>85445.65</v>
      </c>
      <c r="F1597" t="str">
        <f>VLOOKUP(A1597,[1]!Table1[#All],17,FALSE)</f>
        <v>ZAMBIA</v>
      </c>
      <c r="G1597" t="str">
        <f>VLOOKUP(A1597,[1]!Table1[#All],22,FALSE)</f>
        <v>MINISTRY OF HEALTH</v>
      </c>
      <c r="H1597" s="8">
        <f>VLOOKUP(A1597,[1]!Table1[#All],32,FALSE)</f>
        <v>44104</v>
      </c>
      <c r="I1597" s="8">
        <f>VLOOKUP(A1597,[1]!Table1[#All],33,FALSE)</f>
        <v>45929</v>
      </c>
      <c r="J1597" t="str">
        <f t="shared" ca="1" si="24"/>
        <v>Non UDO</v>
      </c>
    </row>
    <row r="1598" spans="1:10" x14ac:dyDescent="0.35">
      <c r="A1598" s="5" t="s">
        <v>50</v>
      </c>
      <c r="B1598" s="6">
        <v>45139</v>
      </c>
      <c r="C1598" s="7">
        <v>3710615</v>
      </c>
      <c r="D1598" s="7">
        <v>3625169.35</v>
      </c>
      <c r="E1598" s="7">
        <v>85445.65</v>
      </c>
      <c r="F1598" t="str">
        <f>VLOOKUP(A1598,[1]!Table1[#All],17,FALSE)</f>
        <v>ZAMBIA</v>
      </c>
      <c r="G1598" t="str">
        <f>VLOOKUP(A1598,[1]!Table1[#All],22,FALSE)</f>
        <v>MINISTRY OF HEALTH</v>
      </c>
      <c r="H1598" s="8">
        <f>VLOOKUP(A1598,[1]!Table1[#All],32,FALSE)</f>
        <v>44104</v>
      </c>
      <c r="I1598" s="8">
        <f>VLOOKUP(A1598,[1]!Table1[#All],33,FALSE)</f>
        <v>45929</v>
      </c>
      <c r="J1598" t="str">
        <f t="shared" ca="1" si="24"/>
        <v>Non UDO</v>
      </c>
    </row>
    <row r="1599" spans="1:10" x14ac:dyDescent="0.35">
      <c r="A1599" s="9" t="s">
        <v>50</v>
      </c>
      <c r="B1599" s="10">
        <v>45170</v>
      </c>
      <c r="C1599" s="11">
        <v>3710615</v>
      </c>
      <c r="D1599" s="11">
        <v>3710615</v>
      </c>
      <c r="E1599" s="11">
        <v>0</v>
      </c>
      <c r="F1599" t="str">
        <f>VLOOKUP(A1599,[1]!Table1[#All],17,FALSE)</f>
        <v>ZAMBIA</v>
      </c>
      <c r="G1599" t="str">
        <f>VLOOKUP(A1599,[1]!Table1[#All],22,FALSE)</f>
        <v>MINISTRY OF HEALTH</v>
      </c>
      <c r="H1599" s="8">
        <f>VLOOKUP(A1599,[1]!Table1[#All],32,FALSE)</f>
        <v>44104</v>
      </c>
      <c r="I1599" s="8">
        <f>VLOOKUP(A1599,[1]!Table1[#All],33,FALSE)</f>
        <v>45929</v>
      </c>
      <c r="J1599" t="str">
        <f t="shared" ca="1" si="24"/>
        <v>Non UDO</v>
      </c>
    </row>
    <row r="1600" spans="1:10" x14ac:dyDescent="0.35">
      <c r="A1600" s="5" t="s">
        <v>51</v>
      </c>
      <c r="B1600" s="6">
        <v>44105</v>
      </c>
      <c r="C1600" s="7">
        <v>645000</v>
      </c>
      <c r="D1600" s="7">
        <v>0</v>
      </c>
      <c r="E1600" s="7">
        <v>645000</v>
      </c>
      <c r="F1600" t="str">
        <f>VLOOKUP(A1600,[1]!Table1[#All],17,FALSE)</f>
        <v>UNITED STATES</v>
      </c>
      <c r="G1600" t="str">
        <f>VLOOKUP(A1600,[1]!Table1[#All],22,FALSE)</f>
        <v>UNIVERSITY OF CALIFORNIA-SAN FRANCISCO</v>
      </c>
      <c r="H1600" s="8">
        <f>VLOOKUP(A1600,[1]!Table1[#All],32,FALSE)</f>
        <v>44104</v>
      </c>
      <c r="I1600" s="8">
        <f>VLOOKUP(A1600,[1]!Table1[#All],33,FALSE)</f>
        <v>45929</v>
      </c>
      <c r="J1600" t="str">
        <f t="shared" ca="1" si="24"/>
        <v>Non UDO</v>
      </c>
    </row>
    <row r="1601" spans="1:10" x14ac:dyDescent="0.35">
      <c r="A1601" s="9" t="s">
        <v>51</v>
      </c>
      <c r="B1601" s="10">
        <v>44136</v>
      </c>
      <c r="C1601" s="11">
        <v>645000</v>
      </c>
      <c r="D1601" s="11">
        <v>0</v>
      </c>
      <c r="E1601" s="11">
        <v>645000</v>
      </c>
      <c r="F1601" t="str">
        <f>VLOOKUP(A1601,[1]!Table1[#All],17,FALSE)</f>
        <v>UNITED STATES</v>
      </c>
      <c r="G1601" t="str">
        <f>VLOOKUP(A1601,[1]!Table1[#All],22,FALSE)</f>
        <v>UNIVERSITY OF CALIFORNIA-SAN FRANCISCO</v>
      </c>
      <c r="H1601" s="8">
        <f>VLOOKUP(A1601,[1]!Table1[#All],32,FALSE)</f>
        <v>44104</v>
      </c>
      <c r="I1601" s="8">
        <f>VLOOKUP(A1601,[1]!Table1[#All],33,FALSE)</f>
        <v>45929</v>
      </c>
      <c r="J1601" t="str">
        <f t="shared" ca="1" si="24"/>
        <v>Non UDO</v>
      </c>
    </row>
    <row r="1602" spans="1:10" x14ac:dyDescent="0.35">
      <c r="A1602" s="5" t="s">
        <v>51</v>
      </c>
      <c r="B1602" s="6">
        <v>44166</v>
      </c>
      <c r="C1602" s="7">
        <v>645000</v>
      </c>
      <c r="D1602" s="7">
        <v>0</v>
      </c>
      <c r="E1602" s="7">
        <v>645000</v>
      </c>
      <c r="F1602" t="str">
        <f>VLOOKUP(A1602,[1]!Table1[#All],17,FALSE)</f>
        <v>UNITED STATES</v>
      </c>
      <c r="G1602" t="str">
        <f>VLOOKUP(A1602,[1]!Table1[#All],22,FALSE)</f>
        <v>UNIVERSITY OF CALIFORNIA-SAN FRANCISCO</v>
      </c>
      <c r="H1602" s="8">
        <f>VLOOKUP(A1602,[1]!Table1[#All],32,FALSE)</f>
        <v>44104</v>
      </c>
      <c r="I1602" s="8">
        <f>VLOOKUP(A1602,[1]!Table1[#All],33,FALSE)</f>
        <v>45929</v>
      </c>
      <c r="J1602" t="str">
        <f t="shared" ca="1" si="24"/>
        <v>Non UDO</v>
      </c>
    </row>
    <row r="1603" spans="1:10" x14ac:dyDescent="0.35">
      <c r="A1603" s="9" t="s">
        <v>51</v>
      </c>
      <c r="B1603" s="10">
        <v>44197</v>
      </c>
      <c r="C1603" s="11">
        <v>645000</v>
      </c>
      <c r="D1603" s="11">
        <v>170410.03</v>
      </c>
      <c r="E1603" s="11">
        <v>474589.97</v>
      </c>
      <c r="F1603" t="str">
        <f>VLOOKUP(A1603,[1]!Table1[#All],17,FALSE)</f>
        <v>UNITED STATES</v>
      </c>
      <c r="G1603" t="str">
        <f>VLOOKUP(A1603,[1]!Table1[#All],22,FALSE)</f>
        <v>UNIVERSITY OF CALIFORNIA-SAN FRANCISCO</v>
      </c>
      <c r="H1603" s="8">
        <f>VLOOKUP(A1603,[1]!Table1[#All],32,FALSE)</f>
        <v>44104</v>
      </c>
      <c r="I1603" s="8">
        <f>VLOOKUP(A1603,[1]!Table1[#All],33,FALSE)</f>
        <v>45929</v>
      </c>
      <c r="J1603" t="str">
        <f t="shared" ref="J1603:J1666" ca="1" si="25">IF(AND( E1603&gt;0,TODAY()&gt;I1603),"UDO","Non UDO")</f>
        <v>Non UDO</v>
      </c>
    </row>
    <row r="1604" spans="1:10" x14ac:dyDescent="0.35">
      <c r="A1604" s="5" t="s">
        <v>51</v>
      </c>
      <c r="B1604" s="6">
        <v>44228</v>
      </c>
      <c r="C1604" s="7">
        <v>645000</v>
      </c>
      <c r="D1604" s="7">
        <v>295656.13</v>
      </c>
      <c r="E1604" s="7">
        <v>349343.87</v>
      </c>
      <c r="F1604" t="str">
        <f>VLOOKUP(A1604,[1]!Table1[#All],17,FALSE)</f>
        <v>UNITED STATES</v>
      </c>
      <c r="G1604" t="str">
        <f>VLOOKUP(A1604,[1]!Table1[#All],22,FALSE)</f>
        <v>UNIVERSITY OF CALIFORNIA-SAN FRANCISCO</v>
      </c>
      <c r="H1604" s="8">
        <f>VLOOKUP(A1604,[1]!Table1[#All],32,FALSE)</f>
        <v>44104</v>
      </c>
      <c r="I1604" s="8">
        <f>VLOOKUP(A1604,[1]!Table1[#All],33,FALSE)</f>
        <v>45929</v>
      </c>
      <c r="J1604" t="str">
        <f t="shared" ca="1" si="25"/>
        <v>Non UDO</v>
      </c>
    </row>
    <row r="1605" spans="1:10" x14ac:dyDescent="0.35">
      <c r="A1605" s="9" t="s">
        <v>51</v>
      </c>
      <c r="B1605" s="10">
        <v>44256</v>
      </c>
      <c r="C1605" s="11">
        <v>645000</v>
      </c>
      <c r="D1605" s="11">
        <v>307688.06000000006</v>
      </c>
      <c r="E1605" s="11">
        <v>337311.93999999994</v>
      </c>
      <c r="F1605" t="str">
        <f>VLOOKUP(A1605,[1]!Table1[#All],17,FALSE)</f>
        <v>UNITED STATES</v>
      </c>
      <c r="G1605" t="str">
        <f>VLOOKUP(A1605,[1]!Table1[#All],22,FALSE)</f>
        <v>UNIVERSITY OF CALIFORNIA-SAN FRANCISCO</v>
      </c>
      <c r="H1605" s="8">
        <f>VLOOKUP(A1605,[1]!Table1[#All],32,FALSE)</f>
        <v>44104</v>
      </c>
      <c r="I1605" s="8">
        <f>VLOOKUP(A1605,[1]!Table1[#All],33,FALSE)</f>
        <v>45929</v>
      </c>
      <c r="J1605" t="str">
        <f t="shared" ca="1" si="25"/>
        <v>Non UDO</v>
      </c>
    </row>
    <row r="1606" spans="1:10" x14ac:dyDescent="0.35">
      <c r="A1606" s="5" t="s">
        <v>51</v>
      </c>
      <c r="B1606" s="6">
        <v>44287</v>
      </c>
      <c r="C1606" s="7">
        <v>295000</v>
      </c>
      <c r="D1606" s="7">
        <v>134378.18</v>
      </c>
      <c r="E1606" s="7">
        <v>160621.82</v>
      </c>
      <c r="F1606" t="str">
        <f>VLOOKUP(A1606,[1]!Table1[#All],17,FALSE)</f>
        <v>UNITED STATES</v>
      </c>
      <c r="G1606" t="str">
        <f>VLOOKUP(A1606,[1]!Table1[#All],22,FALSE)</f>
        <v>UNIVERSITY OF CALIFORNIA-SAN FRANCISCO</v>
      </c>
      <c r="H1606" s="8">
        <f>VLOOKUP(A1606,[1]!Table1[#All],32,FALSE)</f>
        <v>44104</v>
      </c>
      <c r="I1606" s="8">
        <f>VLOOKUP(A1606,[1]!Table1[#All],33,FALSE)</f>
        <v>45929</v>
      </c>
      <c r="J1606" t="str">
        <f t="shared" ca="1" si="25"/>
        <v>Non UDO</v>
      </c>
    </row>
    <row r="1607" spans="1:10" x14ac:dyDescent="0.35">
      <c r="A1607" s="9" t="s">
        <v>51</v>
      </c>
      <c r="B1607" s="10">
        <v>44317</v>
      </c>
      <c r="C1607" s="11">
        <v>645000</v>
      </c>
      <c r="D1607" s="11">
        <v>506733.85</v>
      </c>
      <c r="E1607" s="11">
        <v>138266.15</v>
      </c>
      <c r="F1607" t="str">
        <f>VLOOKUP(A1607,[1]!Table1[#All],17,FALSE)</f>
        <v>UNITED STATES</v>
      </c>
      <c r="G1607" t="str">
        <f>VLOOKUP(A1607,[1]!Table1[#All],22,FALSE)</f>
        <v>UNIVERSITY OF CALIFORNIA-SAN FRANCISCO</v>
      </c>
      <c r="H1607" s="8">
        <f>VLOOKUP(A1607,[1]!Table1[#All],32,FALSE)</f>
        <v>44104</v>
      </c>
      <c r="I1607" s="8">
        <f>VLOOKUP(A1607,[1]!Table1[#All],33,FALSE)</f>
        <v>45929</v>
      </c>
      <c r="J1607" t="str">
        <f t="shared" ca="1" si="25"/>
        <v>Non UDO</v>
      </c>
    </row>
    <row r="1608" spans="1:10" x14ac:dyDescent="0.35">
      <c r="A1608" s="5" t="s">
        <v>51</v>
      </c>
      <c r="B1608" s="6">
        <v>44348</v>
      </c>
      <c r="C1608" s="7">
        <v>645000</v>
      </c>
      <c r="D1608" s="7">
        <v>511713.15</v>
      </c>
      <c r="E1608" s="7">
        <v>133286.85</v>
      </c>
      <c r="F1608" t="str">
        <f>VLOOKUP(A1608,[1]!Table1[#All],17,FALSE)</f>
        <v>UNITED STATES</v>
      </c>
      <c r="G1608" t="str">
        <f>VLOOKUP(A1608,[1]!Table1[#All],22,FALSE)</f>
        <v>UNIVERSITY OF CALIFORNIA-SAN FRANCISCO</v>
      </c>
      <c r="H1608" s="8">
        <f>VLOOKUP(A1608,[1]!Table1[#All],32,FALSE)</f>
        <v>44104</v>
      </c>
      <c r="I1608" s="8">
        <f>VLOOKUP(A1608,[1]!Table1[#All],33,FALSE)</f>
        <v>45929</v>
      </c>
      <c r="J1608" t="str">
        <f t="shared" ca="1" si="25"/>
        <v>Non UDO</v>
      </c>
    </row>
    <row r="1609" spans="1:10" x14ac:dyDescent="0.35">
      <c r="A1609" s="9" t="s">
        <v>51</v>
      </c>
      <c r="B1609" s="10">
        <v>44378</v>
      </c>
      <c r="C1609" s="11">
        <v>645000</v>
      </c>
      <c r="D1609" s="11">
        <v>514081.89</v>
      </c>
      <c r="E1609" s="11">
        <v>130918.11</v>
      </c>
      <c r="F1609" t="str">
        <f>VLOOKUP(A1609,[1]!Table1[#All],17,FALSE)</f>
        <v>UNITED STATES</v>
      </c>
      <c r="G1609" t="str">
        <f>VLOOKUP(A1609,[1]!Table1[#All],22,FALSE)</f>
        <v>UNIVERSITY OF CALIFORNIA-SAN FRANCISCO</v>
      </c>
      <c r="H1609" s="8">
        <f>VLOOKUP(A1609,[1]!Table1[#All],32,FALSE)</f>
        <v>44104</v>
      </c>
      <c r="I1609" s="8">
        <f>VLOOKUP(A1609,[1]!Table1[#All],33,FALSE)</f>
        <v>45929</v>
      </c>
      <c r="J1609" t="str">
        <f t="shared" ca="1" si="25"/>
        <v>Non UDO</v>
      </c>
    </row>
    <row r="1610" spans="1:10" x14ac:dyDescent="0.35">
      <c r="A1610" s="5" t="s">
        <v>51</v>
      </c>
      <c r="B1610" s="6">
        <v>44409</v>
      </c>
      <c r="C1610" s="7">
        <v>645000</v>
      </c>
      <c r="D1610" s="7">
        <v>428966.42</v>
      </c>
      <c r="E1610" s="7">
        <v>216033.58</v>
      </c>
      <c r="F1610" t="str">
        <f>VLOOKUP(A1610,[1]!Table1[#All],17,FALSE)</f>
        <v>UNITED STATES</v>
      </c>
      <c r="G1610" t="str">
        <f>VLOOKUP(A1610,[1]!Table1[#All],22,FALSE)</f>
        <v>UNIVERSITY OF CALIFORNIA-SAN FRANCISCO</v>
      </c>
      <c r="H1610" s="8">
        <f>VLOOKUP(A1610,[1]!Table1[#All],32,FALSE)</f>
        <v>44104</v>
      </c>
      <c r="I1610" s="8">
        <f>VLOOKUP(A1610,[1]!Table1[#All],33,FALSE)</f>
        <v>45929</v>
      </c>
      <c r="J1610" t="str">
        <f t="shared" ca="1" si="25"/>
        <v>Non UDO</v>
      </c>
    </row>
    <row r="1611" spans="1:10" x14ac:dyDescent="0.35">
      <c r="A1611" s="9" t="s">
        <v>51</v>
      </c>
      <c r="B1611" s="10">
        <v>44440</v>
      </c>
      <c r="C1611" s="11">
        <v>645000</v>
      </c>
      <c r="D1611" s="11">
        <v>484511.72</v>
      </c>
      <c r="E1611" s="11">
        <v>160488.28</v>
      </c>
      <c r="F1611" t="str">
        <f>VLOOKUP(A1611,[1]!Table1[#All],17,FALSE)</f>
        <v>UNITED STATES</v>
      </c>
      <c r="G1611" t="str">
        <f>VLOOKUP(A1611,[1]!Table1[#All],22,FALSE)</f>
        <v>UNIVERSITY OF CALIFORNIA-SAN FRANCISCO</v>
      </c>
      <c r="H1611" s="8">
        <f>VLOOKUP(A1611,[1]!Table1[#All],32,FALSE)</f>
        <v>44104</v>
      </c>
      <c r="I1611" s="8">
        <f>VLOOKUP(A1611,[1]!Table1[#All],33,FALSE)</f>
        <v>45929</v>
      </c>
      <c r="J1611" t="str">
        <f t="shared" ca="1" si="25"/>
        <v>Non UDO</v>
      </c>
    </row>
    <row r="1612" spans="1:10" x14ac:dyDescent="0.35">
      <c r="A1612" s="5" t="s">
        <v>51</v>
      </c>
      <c r="B1612" s="6">
        <v>44470</v>
      </c>
      <c r="C1612" s="7">
        <v>645000</v>
      </c>
      <c r="D1612" s="7">
        <v>486926.62</v>
      </c>
      <c r="E1612" s="7">
        <v>158073.38</v>
      </c>
      <c r="F1612" t="str">
        <f>VLOOKUP(A1612,[1]!Table1[#All],17,FALSE)</f>
        <v>UNITED STATES</v>
      </c>
      <c r="G1612" t="str">
        <f>VLOOKUP(A1612,[1]!Table1[#All],22,FALSE)</f>
        <v>UNIVERSITY OF CALIFORNIA-SAN FRANCISCO</v>
      </c>
      <c r="H1612" s="8">
        <f>VLOOKUP(A1612,[1]!Table1[#All],32,FALSE)</f>
        <v>44104</v>
      </c>
      <c r="I1612" s="8">
        <f>VLOOKUP(A1612,[1]!Table1[#All],33,FALSE)</f>
        <v>45929</v>
      </c>
      <c r="J1612" t="str">
        <f t="shared" ca="1" si="25"/>
        <v>Non UDO</v>
      </c>
    </row>
    <row r="1613" spans="1:10" x14ac:dyDescent="0.35">
      <c r="A1613" s="9" t="s">
        <v>51</v>
      </c>
      <c r="B1613" s="10">
        <v>44501</v>
      </c>
      <c r="C1613" s="11">
        <v>645000</v>
      </c>
      <c r="D1613" s="11">
        <v>493567.48</v>
      </c>
      <c r="E1613" s="11">
        <v>151432.51999999999</v>
      </c>
      <c r="F1613" t="str">
        <f>VLOOKUP(A1613,[1]!Table1[#All],17,FALSE)</f>
        <v>UNITED STATES</v>
      </c>
      <c r="G1613" t="str">
        <f>VLOOKUP(A1613,[1]!Table1[#All],22,FALSE)</f>
        <v>UNIVERSITY OF CALIFORNIA-SAN FRANCISCO</v>
      </c>
      <c r="H1613" s="8">
        <f>VLOOKUP(A1613,[1]!Table1[#All],32,FALSE)</f>
        <v>44104</v>
      </c>
      <c r="I1613" s="8">
        <f>VLOOKUP(A1613,[1]!Table1[#All],33,FALSE)</f>
        <v>45929</v>
      </c>
      <c r="J1613" t="str">
        <f t="shared" ca="1" si="25"/>
        <v>Non UDO</v>
      </c>
    </row>
    <row r="1614" spans="1:10" x14ac:dyDescent="0.35">
      <c r="A1614" s="5" t="s">
        <v>51</v>
      </c>
      <c r="B1614" s="6">
        <v>44531</v>
      </c>
      <c r="C1614" s="7">
        <v>645000</v>
      </c>
      <c r="D1614" s="7">
        <v>448596.29</v>
      </c>
      <c r="E1614" s="7">
        <v>196403.71</v>
      </c>
      <c r="F1614" t="str">
        <f>VLOOKUP(A1614,[1]!Table1[#All],17,FALSE)</f>
        <v>UNITED STATES</v>
      </c>
      <c r="G1614" t="str">
        <f>VLOOKUP(A1614,[1]!Table1[#All],22,FALSE)</f>
        <v>UNIVERSITY OF CALIFORNIA-SAN FRANCISCO</v>
      </c>
      <c r="H1614" s="8">
        <f>VLOOKUP(A1614,[1]!Table1[#All],32,FALSE)</f>
        <v>44104</v>
      </c>
      <c r="I1614" s="8">
        <f>VLOOKUP(A1614,[1]!Table1[#All],33,FALSE)</f>
        <v>45929</v>
      </c>
      <c r="J1614" t="str">
        <f t="shared" ca="1" si="25"/>
        <v>Non UDO</v>
      </c>
    </row>
    <row r="1615" spans="1:10" x14ac:dyDescent="0.35">
      <c r="A1615" s="9" t="s">
        <v>51</v>
      </c>
      <c r="B1615" s="10">
        <v>44562</v>
      </c>
      <c r="C1615" s="11">
        <v>645000</v>
      </c>
      <c r="D1615" s="11">
        <v>486293.14</v>
      </c>
      <c r="E1615" s="11">
        <v>158706.85999999999</v>
      </c>
      <c r="F1615" t="str">
        <f>VLOOKUP(A1615,[1]!Table1[#All],17,FALSE)</f>
        <v>UNITED STATES</v>
      </c>
      <c r="G1615" t="str">
        <f>VLOOKUP(A1615,[1]!Table1[#All],22,FALSE)</f>
        <v>UNIVERSITY OF CALIFORNIA-SAN FRANCISCO</v>
      </c>
      <c r="H1615" s="8">
        <f>VLOOKUP(A1615,[1]!Table1[#All],32,FALSE)</f>
        <v>44104</v>
      </c>
      <c r="I1615" s="8">
        <f>VLOOKUP(A1615,[1]!Table1[#All],33,FALSE)</f>
        <v>45929</v>
      </c>
      <c r="J1615" t="str">
        <f t="shared" ca="1" si="25"/>
        <v>Non UDO</v>
      </c>
    </row>
    <row r="1616" spans="1:10" x14ac:dyDescent="0.35">
      <c r="A1616" s="5" t="s">
        <v>51</v>
      </c>
      <c r="B1616" s="6">
        <v>44593</v>
      </c>
      <c r="C1616" s="7">
        <v>645000</v>
      </c>
      <c r="D1616" s="7">
        <v>495183.58999999997</v>
      </c>
      <c r="E1616" s="7">
        <v>149816.41</v>
      </c>
      <c r="F1616" t="str">
        <f>VLOOKUP(A1616,[1]!Table1[#All],17,FALSE)</f>
        <v>UNITED STATES</v>
      </c>
      <c r="G1616" t="str">
        <f>VLOOKUP(A1616,[1]!Table1[#All],22,FALSE)</f>
        <v>UNIVERSITY OF CALIFORNIA-SAN FRANCISCO</v>
      </c>
      <c r="H1616" s="8">
        <f>VLOOKUP(A1616,[1]!Table1[#All],32,FALSE)</f>
        <v>44104</v>
      </c>
      <c r="I1616" s="8">
        <f>VLOOKUP(A1616,[1]!Table1[#All],33,FALSE)</f>
        <v>45929</v>
      </c>
      <c r="J1616" t="str">
        <f t="shared" ca="1" si="25"/>
        <v>Non UDO</v>
      </c>
    </row>
    <row r="1617" spans="1:10" x14ac:dyDescent="0.35">
      <c r="A1617" s="9" t="s">
        <v>51</v>
      </c>
      <c r="B1617" s="10">
        <v>44621</v>
      </c>
      <c r="C1617" s="11">
        <v>645000</v>
      </c>
      <c r="D1617" s="11">
        <v>505668.11</v>
      </c>
      <c r="E1617" s="11">
        <v>139331.89000000001</v>
      </c>
      <c r="F1617" t="str">
        <f>VLOOKUP(A1617,[1]!Table1[#All],17,FALSE)</f>
        <v>UNITED STATES</v>
      </c>
      <c r="G1617" t="str">
        <f>VLOOKUP(A1617,[1]!Table1[#All],22,FALSE)</f>
        <v>UNIVERSITY OF CALIFORNIA-SAN FRANCISCO</v>
      </c>
      <c r="H1617" s="8">
        <f>VLOOKUP(A1617,[1]!Table1[#All],32,FALSE)</f>
        <v>44104</v>
      </c>
      <c r="I1617" s="8">
        <f>VLOOKUP(A1617,[1]!Table1[#All],33,FALSE)</f>
        <v>45929</v>
      </c>
      <c r="J1617" t="str">
        <f t="shared" ca="1" si="25"/>
        <v>Non UDO</v>
      </c>
    </row>
    <row r="1618" spans="1:10" x14ac:dyDescent="0.35">
      <c r="A1618" s="5" t="s">
        <v>51</v>
      </c>
      <c r="B1618" s="6">
        <v>44652</v>
      </c>
      <c r="C1618" s="7">
        <v>645000</v>
      </c>
      <c r="D1618" s="7">
        <v>537537.04</v>
      </c>
      <c r="E1618" s="7">
        <v>107462.96</v>
      </c>
      <c r="F1618" t="str">
        <f>VLOOKUP(A1618,[1]!Table1[#All],17,FALSE)</f>
        <v>UNITED STATES</v>
      </c>
      <c r="G1618" t="str">
        <f>VLOOKUP(A1618,[1]!Table1[#All],22,FALSE)</f>
        <v>UNIVERSITY OF CALIFORNIA-SAN FRANCISCO</v>
      </c>
      <c r="H1618" s="8">
        <f>VLOOKUP(A1618,[1]!Table1[#All],32,FALSE)</f>
        <v>44104</v>
      </c>
      <c r="I1618" s="8">
        <f>VLOOKUP(A1618,[1]!Table1[#All],33,FALSE)</f>
        <v>45929</v>
      </c>
      <c r="J1618" t="str">
        <f t="shared" ca="1" si="25"/>
        <v>Non UDO</v>
      </c>
    </row>
    <row r="1619" spans="1:10" x14ac:dyDescent="0.35">
      <c r="A1619" s="9" t="s">
        <v>51</v>
      </c>
      <c r="B1619" s="10">
        <v>44682</v>
      </c>
      <c r="C1619" s="11">
        <v>645000</v>
      </c>
      <c r="D1619" s="11">
        <v>541622.82000000007</v>
      </c>
      <c r="E1619" s="11">
        <v>103377.18</v>
      </c>
      <c r="F1619" t="str">
        <f>VLOOKUP(A1619,[1]!Table1[#All],17,FALSE)</f>
        <v>UNITED STATES</v>
      </c>
      <c r="G1619" t="str">
        <f>VLOOKUP(A1619,[1]!Table1[#All],22,FALSE)</f>
        <v>UNIVERSITY OF CALIFORNIA-SAN FRANCISCO</v>
      </c>
      <c r="H1619" s="8">
        <f>VLOOKUP(A1619,[1]!Table1[#All],32,FALSE)</f>
        <v>44104</v>
      </c>
      <c r="I1619" s="8">
        <f>VLOOKUP(A1619,[1]!Table1[#All],33,FALSE)</f>
        <v>45929</v>
      </c>
      <c r="J1619" t="str">
        <f t="shared" ca="1" si="25"/>
        <v>Non UDO</v>
      </c>
    </row>
    <row r="1620" spans="1:10" x14ac:dyDescent="0.35">
      <c r="A1620" s="5" t="s">
        <v>51</v>
      </c>
      <c r="B1620" s="6">
        <v>44713</v>
      </c>
      <c r="C1620" s="7">
        <v>645000</v>
      </c>
      <c r="D1620" s="7">
        <v>545973.27</v>
      </c>
      <c r="E1620" s="7">
        <v>99026.73</v>
      </c>
      <c r="F1620" t="str">
        <f>VLOOKUP(A1620,[1]!Table1[#All],17,FALSE)</f>
        <v>UNITED STATES</v>
      </c>
      <c r="G1620" t="str">
        <f>VLOOKUP(A1620,[1]!Table1[#All],22,FALSE)</f>
        <v>UNIVERSITY OF CALIFORNIA-SAN FRANCISCO</v>
      </c>
      <c r="H1620" s="8">
        <f>VLOOKUP(A1620,[1]!Table1[#All],32,FALSE)</f>
        <v>44104</v>
      </c>
      <c r="I1620" s="8">
        <f>VLOOKUP(A1620,[1]!Table1[#All],33,FALSE)</f>
        <v>45929</v>
      </c>
      <c r="J1620" t="str">
        <f t="shared" ca="1" si="25"/>
        <v>Non UDO</v>
      </c>
    </row>
    <row r="1621" spans="1:10" x14ac:dyDescent="0.35">
      <c r="A1621" s="9" t="s">
        <v>51</v>
      </c>
      <c r="B1621" s="10">
        <v>44743</v>
      </c>
      <c r="C1621" s="11">
        <v>645000</v>
      </c>
      <c r="D1621" s="11">
        <v>545973.27</v>
      </c>
      <c r="E1621" s="11">
        <v>99026.73</v>
      </c>
      <c r="F1621" t="str">
        <f>VLOOKUP(A1621,[1]!Table1[#All],17,FALSE)</f>
        <v>UNITED STATES</v>
      </c>
      <c r="G1621" t="str">
        <f>VLOOKUP(A1621,[1]!Table1[#All],22,FALSE)</f>
        <v>UNIVERSITY OF CALIFORNIA-SAN FRANCISCO</v>
      </c>
      <c r="H1621" s="8">
        <f>VLOOKUP(A1621,[1]!Table1[#All],32,FALSE)</f>
        <v>44104</v>
      </c>
      <c r="I1621" s="8">
        <f>VLOOKUP(A1621,[1]!Table1[#All],33,FALSE)</f>
        <v>45929</v>
      </c>
      <c r="J1621" t="str">
        <f t="shared" ca="1" si="25"/>
        <v>Non UDO</v>
      </c>
    </row>
    <row r="1622" spans="1:10" x14ac:dyDescent="0.35">
      <c r="A1622" s="5" t="s">
        <v>51</v>
      </c>
      <c r="B1622" s="6">
        <v>44774</v>
      </c>
      <c r="C1622" s="7">
        <v>645000</v>
      </c>
      <c r="D1622" s="7">
        <v>638690.47</v>
      </c>
      <c r="E1622" s="7">
        <v>6309.53</v>
      </c>
      <c r="F1622" t="str">
        <f>VLOOKUP(A1622,[1]!Table1[#All],17,FALSE)</f>
        <v>UNITED STATES</v>
      </c>
      <c r="G1622" t="str">
        <f>VLOOKUP(A1622,[1]!Table1[#All],22,FALSE)</f>
        <v>UNIVERSITY OF CALIFORNIA-SAN FRANCISCO</v>
      </c>
      <c r="H1622" s="8">
        <f>VLOOKUP(A1622,[1]!Table1[#All],32,FALSE)</f>
        <v>44104</v>
      </c>
      <c r="I1622" s="8">
        <f>VLOOKUP(A1622,[1]!Table1[#All],33,FALSE)</f>
        <v>45929</v>
      </c>
      <c r="J1622" t="str">
        <f t="shared" ca="1" si="25"/>
        <v>Non UDO</v>
      </c>
    </row>
    <row r="1623" spans="1:10" x14ac:dyDescent="0.35">
      <c r="A1623" s="9" t="s">
        <v>51</v>
      </c>
      <c r="B1623" s="10">
        <v>44805</v>
      </c>
      <c r="C1623" s="11">
        <v>645000</v>
      </c>
      <c r="D1623" s="11">
        <v>642382.91999999993</v>
      </c>
      <c r="E1623" s="11">
        <v>2617.08</v>
      </c>
      <c r="F1623" t="str">
        <f>VLOOKUP(A1623,[1]!Table1[#All],17,FALSE)</f>
        <v>UNITED STATES</v>
      </c>
      <c r="G1623" t="str">
        <f>VLOOKUP(A1623,[1]!Table1[#All],22,FALSE)</f>
        <v>UNIVERSITY OF CALIFORNIA-SAN FRANCISCO</v>
      </c>
      <c r="H1623" s="8">
        <f>VLOOKUP(A1623,[1]!Table1[#All],32,FALSE)</f>
        <v>44104</v>
      </c>
      <c r="I1623" s="8">
        <f>VLOOKUP(A1623,[1]!Table1[#All],33,FALSE)</f>
        <v>45929</v>
      </c>
      <c r="J1623" t="str">
        <f t="shared" ca="1" si="25"/>
        <v>Non UDO</v>
      </c>
    </row>
    <row r="1624" spans="1:10" x14ac:dyDescent="0.35">
      <c r="A1624" s="5" t="s">
        <v>51</v>
      </c>
      <c r="B1624" s="6">
        <v>44835</v>
      </c>
      <c r="C1624" s="7">
        <v>645000</v>
      </c>
      <c r="D1624" s="7">
        <v>642382.91999999993</v>
      </c>
      <c r="E1624" s="7">
        <v>2617.08</v>
      </c>
      <c r="F1624" t="str">
        <f>VLOOKUP(A1624,[1]!Table1[#All],17,FALSE)</f>
        <v>UNITED STATES</v>
      </c>
      <c r="G1624" t="str">
        <f>VLOOKUP(A1624,[1]!Table1[#All],22,FALSE)</f>
        <v>UNIVERSITY OF CALIFORNIA-SAN FRANCISCO</v>
      </c>
      <c r="H1624" s="8">
        <f>VLOOKUP(A1624,[1]!Table1[#All],32,FALSE)</f>
        <v>44104</v>
      </c>
      <c r="I1624" s="8">
        <f>VLOOKUP(A1624,[1]!Table1[#All],33,FALSE)</f>
        <v>45929</v>
      </c>
      <c r="J1624" t="str">
        <f t="shared" ca="1" si="25"/>
        <v>Non UDO</v>
      </c>
    </row>
    <row r="1625" spans="1:10" x14ac:dyDescent="0.35">
      <c r="A1625" s="9" t="s">
        <v>51</v>
      </c>
      <c r="B1625" s="10">
        <v>44866</v>
      </c>
      <c r="C1625" s="11">
        <v>645000</v>
      </c>
      <c r="D1625" s="11">
        <v>642382.91999999993</v>
      </c>
      <c r="E1625" s="11">
        <v>2617.08</v>
      </c>
      <c r="F1625" t="str">
        <f>VLOOKUP(A1625,[1]!Table1[#All],17,FALSE)</f>
        <v>UNITED STATES</v>
      </c>
      <c r="G1625" t="str">
        <f>VLOOKUP(A1625,[1]!Table1[#All],22,FALSE)</f>
        <v>UNIVERSITY OF CALIFORNIA-SAN FRANCISCO</v>
      </c>
      <c r="H1625" s="8">
        <f>VLOOKUP(A1625,[1]!Table1[#All],32,FALSE)</f>
        <v>44104</v>
      </c>
      <c r="I1625" s="8">
        <f>VLOOKUP(A1625,[1]!Table1[#All],33,FALSE)</f>
        <v>45929</v>
      </c>
      <c r="J1625" t="str">
        <f t="shared" ca="1" si="25"/>
        <v>Non UDO</v>
      </c>
    </row>
    <row r="1626" spans="1:10" x14ac:dyDescent="0.35">
      <c r="A1626" s="5" t="s">
        <v>51</v>
      </c>
      <c r="B1626" s="6">
        <v>44896</v>
      </c>
      <c r="C1626" s="7">
        <v>645000</v>
      </c>
      <c r="D1626" s="7">
        <v>645000</v>
      </c>
      <c r="E1626" s="7">
        <v>0</v>
      </c>
      <c r="F1626" t="str">
        <f>VLOOKUP(A1626,[1]!Table1[#All],17,FALSE)</f>
        <v>UNITED STATES</v>
      </c>
      <c r="G1626" t="str">
        <f>VLOOKUP(A1626,[1]!Table1[#All],22,FALSE)</f>
        <v>UNIVERSITY OF CALIFORNIA-SAN FRANCISCO</v>
      </c>
      <c r="H1626" s="8">
        <f>VLOOKUP(A1626,[1]!Table1[#All],32,FALSE)</f>
        <v>44104</v>
      </c>
      <c r="I1626" s="8">
        <f>VLOOKUP(A1626,[1]!Table1[#All],33,FALSE)</f>
        <v>45929</v>
      </c>
      <c r="J1626" t="str">
        <f t="shared" ca="1" si="25"/>
        <v>Non UDO</v>
      </c>
    </row>
    <row r="1627" spans="1:10" x14ac:dyDescent="0.35">
      <c r="A1627" s="9" t="s">
        <v>51</v>
      </c>
      <c r="B1627" s="10">
        <v>44927</v>
      </c>
      <c r="C1627" s="11">
        <v>645000</v>
      </c>
      <c r="D1627" s="11">
        <v>645000</v>
      </c>
      <c r="E1627" s="11">
        <v>0</v>
      </c>
      <c r="F1627" t="str">
        <f>VLOOKUP(A1627,[1]!Table1[#All],17,FALSE)</f>
        <v>UNITED STATES</v>
      </c>
      <c r="G1627" t="str">
        <f>VLOOKUP(A1627,[1]!Table1[#All],22,FALSE)</f>
        <v>UNIVERSITY OF CALIFORNIA-SAN FRANCISCO</v>
      </c>
      <c r="H1627" s="8">
        <f>VLOOKUP(A1627,[1]!Table1[#All],32,FALSE)</f>
        <v>44104</v>
      </c>
      <c r="I1627" s="8">
        <f>VLOOKUP(A1627,[1]!Table1[#All],33,FALSE)</f>
        <v>45929</v>
      </c>
      <c r="J1627" t="str">
        <f t="shared" ca="1" si="25"/>
        <v>Non UDO</v>
      </c>
    </row>
    <row r="1628" spans="1:10" x14ac:dyDescent="0.35">
      <c r="A1628" s="5" t="s">
        <v>51</v>
      </c>
      <c r="B1628" s="6">
        <v>44958</v>
      </c>
      <c r="C1628" s="7">
        <v>645000</v>
      </c>
      <c r="D1628" s="7">
        <v>645000</v>
      </c>
      <c r="E1628" s="7">
        <v>0</v>
      </c>
      <c r="F1628" t="str">
        <f>VLOOKUP(A1628,[1]!Table1[#All],17,FALSE)</f>
        <v>UNITED STATES</v>
      </c>
      <c r="G1628" t="str">
        <f>VLOOKUP(A1628,[1]!Table1[#All],22,FALSE)</f>
        <v>UNIVERSITY OF CALIFORNIA-SAN FRANCISCO</v>
      </c>
      <c r="H1628" s="8">
        <f>VLOOKUP(A1628,[1]!Table1[#All],32,FALSE)</f>
        <v>44104</v>
      </c>
      <c r="I1628" s="8">
        <f>VLOOKUP(A1628,[1]!Table1[#All],33,FALSE)</f>
        <v>45929</v>
      </c>
      <c r="J1628" t="str">
        <f t="shared" ca="1" si="25"/>
        <v>Non UDO</v>
      </c>
    </row>
    <row r="1629" spans="1:10" x14ac:dyDescent="0.35">
      <c r="A1629" s="9" t="s">
        <v>51</v>
      </c>
      <c r="B1629" s="10">
        <v>44986</v>
      </c>
      <c r="C1629" s="11">
        <v>645000</v>
      </c>
      <c r="D1629" s="11">
        <v>645000</v>
      </c>
      <c r="E1629" s="11">
        <v>0</v>
      </c>
      <c r="F1629" t="str">
        <f>VLOOKUP(A1629,[1]!Table1[#All],17,FALSE)</f>
        <v>UNITED STATES</v>
      </c>
      <c r="G1629" t="str">
        <f>VLOOKUP(A1629,[1]!Table1[#All],22,FALSE)</f>
        <v>UNIVERSITY OF CALIFORNIA-SAN FRANCISCO</v>
      </c>
      <c r="H1629" s="8">
        <f>VLOOKUP(A1629,[1]!Table1[#All],32,FALSE)</f>
        <v>44104</v>
      </c>
      <c r="I1629" s="8">
        <f>VLOOKUP(A1629,[1]!Table1[#All],33,FALSE)</f>
        <v>45929</v>
      </c>
      <c r="J1629" t="str">
        <f t="shared" ca="1" si="25"/>
        <v>Non UDO</v>
      </c>
    </row>
    <row r="1630" spans="1:10" x14ac:dyDescent="0.35">
      <c r="A1630" s="5" t="s">
        <v>51</v>
      </c>
      <c r="B1630" s="6">
        <v>45017</v>
      </c>
      <c r="C1630" s="7">
        <v>645000</v>
      </c>
      <c r="D1630" s="7">
        <v>645000</v>
      </c>
      <c r="E1630" s="7">
        <v>0</v>
      </c>
      <c r="F1630" t="str">
        <f>VLOOKUP(A1630,[1]!Table1[#All],17,FALSE)</f>
        <v>UNITED STATES</v>
      </c>
      <c r="G1630" t="str">
        <f>VLOOKUP(A1630,[1]!Table1[#All],22,FALSE)</f>
        <v>UNIVERSITY OF CALIFORNIA-SAN FRANCISCO</v>
      </c>
      <c r="H1630" s="8">
        <f>VLOOKUP(A1630,[1]!Table1[#All],32,FALSE)</f>
        <v>44104</v>
      </c>
      <c r="I1630" s="8">
        <f>VLOOKUP(A1630,[1]!Table1[#All],33,FALSE)</f>
        <v>45929</v>
      </c>
      <c r="J1630" t="str">
        <f t="shared" ca="1" si="25"/>
        <v>Non UDO</v>
      </c>
    </row>
    <row r="1631" spans="1:10" x14ac:dyDescent="0.35">
      <c r="A1631" s="9" t="s">
        <v>51</v>
      </c>
      <c r="B1631" s="10">
        <v>45047</v>
      </c>
      <c r="C1631" s="11">
        <v>645000</v>
      </c>
      <c r="D1631" s="11">
        <v>645000</v>
      </c>
      <c r="E1631" s="11">
        <v>0</v>
      </c>
      <c r="F1631" t="str">
        <f>VLOOKUP(A1631,[1]!Table1[#All],17,FALSE)</f>
        <v>UNITED STATES</v>
      </c>
      <c r="G1631" t="str">
        <f>VLOOKUP(A1631,[1]!Table1[#All],22,FALSE)</f>
        <v>UNIVERSITY OF CALIFORNIA-SAN FRANCISCO</v>
      </c>
      <c r="H1631" s="8">
        <f>VLOOKUP(A1631,[1]!Table1[#All],32,FALSE)</f>
        <v>44104</v>
      </c>
      <c r="I1631" s="8">
        <f>VLOOKUP(A1631,[1]!Table1[#All],33,FALSE)</f>
        <v>45929</v>
      </c>
      <c r="J1631" t="str">
        <f t="shared" ca="1" si="25"/>
        <v>Non UDO</v>
      </c>
    </row>
    <row r="1632" spans="1:10" x14ac:dyDescent="0.35">
      <c r="A1632" s="5" t="s">
        <v>51</v>
      </c>
      <c r="B1632" s="6">
        <v>45078</v>
      </c>
      <c r="C1632" s="7">
        <v>645000</v>
      </c>
      <c r="D1632" s="7">
        <v>645000</v>
      </c>
      <c r="E1632" s="7">
        <v>0</v>
      </c>
      <c r="F1632" t="str">
        <f>VLOOKUP(A1632,[1]!Table1[#All],17,FALSE)</f>
        <v>UNITED STATES</v>
      </c>
      <c r="G1632" t="str">
        <f>VLOOKUP(A1632,[1]!Table1[#All],22,FALSE)</f>
        <v>UNIVERSITY OF CALIFORNIA-SAN FRANCISCO</v>
      </c>
      <c r="H1632" s="8">
        <f>VLOOKUP(A1632,[1]!Table1[#All],32,FALSE)</f>
        <v>44104</v>
      </c>
      <c r="I1632" s="8">
        <f>VLOOKUP(A1632,[1]!Table1[#All],33,FALSE)</f>
        <v>45929</v>
      </c>
      <c r="J1632" t="str">
        <f t="shared" ca="1" si="25"/>
        <v>Non UDO</v>
      </c>
    </row>
    <row r="1633" spans="1:10" x14ac:dyDescent="0.35">
      <c r="A1633" s="9" t="s">
        <v>51</v>
      </c>
      <c r="B1633" s="10">
        <v>45108</v>
      </c>
      <c r="C1633" s="11">
        <v>645000</v>
      </c>
      <c r="D1633" s="11">
        <v>645000</v>
      </c>
      <c r="E1633" s="11">
        <v>0</v>
      </c>
      <c r="F1633" t="str">
        <f>VLOOKUP(A1633,[1]!Table1[#All],17,FALSE)</f>
        <v>UNITED STATES</v>
      </c>
      <c r="G1633" t="str">
        <f>VLOOKUP(A1633,[1]!Table1[#All],22,FALSE)</f>
        <v>UNIVERSITY OF CALIFORNIA-SAN FRANCISCO</v>
      </c>
      <c r="H1633" s="8">
        <f>VLOOKUP(A1633,[1]!Table1[#All],32,FALSE)</f>
        <v>44104</v>
      </c>
      <c r="I1633" s="8">
        <f>VLOOKUP(A1633,[1]!Table1[#All],33,FALSE)</f>
        <v>45929</v>
      </c>
      <c r="J1633" t="str">
        <f t="shared" ca="1" si="25"/>
        <v>Non UDO</v>
      </c>
    </row>
    <row r="1634" spans="1:10" x14ac:dyDescent="0.35">
      <c r="A1634" s="5" t="s">
        <v>51</v>
      </c>
      <c r="B1634" s="6">
        <v>45139</v>
      </c>
      <c r="C1634" s="7">
        <v>645000</v>
      </c>
      <c r="D1634" s="7">
        <v>645000</v>
      </c>
      <c r="E1634" s="7">
        <v>0</v>
      </c>
      <c r="F1634" t="str">
        <f>VLOOKUP(A1634,[1]!Table1[#All],17,FALSE)</f>
        <v>UNITED STATES</v>
      </c>
      <c r="G1634" t="str">
        <f>VLOOKUP(A1634,[1]!Table1[#All],22,FALSE)</f>
        <v>UNIVERSITY OF CALIFORNIA-SAN FRANCISCO</v>
      </c>
      <c r="H1634" s="8">
        <f>VLOOKUP(A1634,[1]!Table1[#All],32,FALSE)</f>
        <v>44104</v>
      </c>
      <c r="I1634" s="8">
        <f>VLOOKUP(A1634,[1]!Table1[#All],33,FALSE)</f>
        <v>45929</v>
      </c>
      <c r="J1634" t="str">
        <f t="shared" ca="1" si="25"/>
        <v>Non UDO</v>
      </c>
    </row>
    <row r="1635" spans="1:10" x14ac:dyDescent="0.35">
      <c r="A1635" s="9" t="s">
        <v>51</v>
      </c>
      <c r="B1635" s="10">
        <v>45170</v>
      </c>
      <c r="C1635" s="11">
        <v>645000</v>
      </c>
      <c r="D1635" s="11">
        <v>645000</v>
      </c>
      <c r="E1635" s="11">
        <v>0</v>
      </c>
      <c r="F1635" t="str">
        <f>VLOOKUP(A1635,[1]!Table1[#All],17,FALSE)</f>
        <v>UNITED STATES</v>
      </c>
      <c r="G1635" t="str">
        <f>VLOOKUP(A1635,[1]!Table1[#All],22,FALSE)</f>
        <v>UNIVERSITY OF CALIFORNIA-SAN FRANCISCO</v>
      </c>
      <c r="H1635" s="8">
        <f>VLOOKUP(A1635,[1]!Table1[#All],32,FALSE)</f>
        <v>44104</v>
      </c>
      <c r="I1635" s="8">
        <f>VLOOKUP(A1635,[1]!Table1[#All],33,FALSE)</f>
        <v>45929</v>
      </c>
      <c r="J1635" t="str">
        <f t="shared" ca="1" si="25"/>
        <v>Non UDO</v>
      </c>
    </row>
    <row r="1636" spans="1:10" x14ac:dyDescent="0.35">
      <c r="A1636" s="5" t="s">
        <v>52</v>
      </c>
      <c r="B1636" s="6">
        <v>44743</v>
      </c>
      <c r="C1636" s="7">
        <v>744210</v>
      </c>
      <c r="D1636" s="7">
        <v>0</v>
      </c>
      <c r="E1636" s="7">
        <v>744210</v>
      </c>
      <c r="F1636" t="str">
        <f>VLOOKUP(A1636,[1]!Table1[#All],17,FALSE)</f>
        <v>UNITED STATES</v>
      </c>
      <c r="G1636" t="str">
        <f>VLOOKUP(A1636,[1]!Table1[#All],22,FALSE)</f>
        <v>JOHNS HOPKINS UNIVERSITY</v>
      </c>
      <c r="H1636" s="8">
        <f>VLOOKUP(A1636,[1]!Table1[#All],32,FALSE)</f>
        <v>44104</v>
      </c>
      <c r="I1636" s="8">
        <f>VLOOKUP(A1636,[1]!Table1[#All],33,FALSE)</f>
        <v>45929</v>
      </c>
      <c r="J1636" t="str">
        <f t="shared" ca="1" si="25"/>
        <v>Non UDO</v>
      </c>
    </row>
    <row r="1637" spans="1:10" x14ac:dyDescent="0.35">
      <c r="A1637" s="9" t="s">
        <v>52</v>
      </c>
      <c r="B1637" s="10">
        <v>44774</v>
      </c>
      <c r="C1637" s="11">
        <v>744210</v>
      </c>
      <c r="D1637" s="11">
        <v>0</v>
      </c>
      <c r="E1637" s="11">
        <v>744210</v>
      </c>
      <c r="F1637" t="str">
        <f>VLOOKUP(A1637,[1]!Table1[#All],17,FALSE)</f>
        <v>UNITED STATES</v>
      </c>
      <c r="G1637" t="str">
        <f>VLOOKUP(A1637,[1]!Table1[#All],22,FALSE)</f>
        <v>JOHNS HOPKINS UNIVERSITY</v>
      </c>
      <c r="H1637" s="8">
        <f>VLOOKUP(A1637,[1]!Table1[#All],32,FALSE)</f>
        <v>44104</v>
      </c>
      <c r="I1637" s="8">
        <f>VLOOKUP(A1637,[1]!Table1[#All],33,FALSE)</f>
        <v>45929</v>
      </c>
      <c r="J1637" t="str">
        <f t="shared" ca="1" si="25"/>
        <v>Non UDO</v>
      </c>
    </row>
    <row r="1638" spans="1:10" x14ac:dyDescent="0.35">
      <c r="A1638" s="5" t="s">
        <v>52</v>
      </c>
      <c r="B1638" s="6">
        <v>44805</v>
      </c>
      <c r="C1638" s="7">
        <v>744210</v>
      </c>
      <c r="D1638" s="7">
        <v>0</v>
      </c>
      <c r="E1638" s="7">
        <v>744210</v>
      </c>
      <c r="F1638" t="str">
        <f>VLOOKUP(A1638,[1]!Table1[#All],17,FALSE)</f>
        <v>UNITED STATES</v>
      </c>
      <c r="G1638" t="str">
        <f>VLOOKUP(A1638,[1]!Table1[#All],22,FALSE)</f>
        <v>JOHNS HOPKINS UNIVERSITY</v>
      </c>
      <c r="H1638" s="8">
        <f>VLOOKUP(A1638,[1]!Table1[#All],32,FALSE)</f>
        <v>44104</v>
      </c>
      <c r="I1638" s="8">
        <f>VLOOKUP(A1638,[1]!Table1[#All],33,FALSE)</f>
        <v>45929</v>
      </c>
      <c r="J1638" t="str">
        <f t="shared" ca="1" si="25"/>
        <v>Non UDO</v>
      </c>
    </row>
    <row r="1639" spans="1:10" x14ac:dyDescent="0.35">
      <c r="A1639" s="9" t="s">
        <v>52</v>
      </c>
      <c r="B1639" s="10">
        <v>44835</v>
      </c>
      <c r="C1639" s="11">
        <v>744210</v>
      </c>
      <c r="D1639" s="11">
        <v>26263.83</v>
      </c>
      <c r="E1639" s="11">
        <v>717946.16999999993</v>
      </c>
      <c r="F1639" t="str">
        <f>VLOOKUP(A1639,[1]!Table1[#All],17,FALSE)</f>
        <v>UNITED STATES</v>
      </c>
      <c r="G1639" t="str">
        <f>VLOOKUP(A1639,[1]!Table1[#All],22,FALSE)</f>
        <v>JOHNS HOPKINS UNIVERSITY</v>
      </c>
      <c r="H1639" s="8">
        <f>VLOOKUP(A1639,[1]!Table1[#All],32,FALSE)</f>
        <v>44104</v>
      </c>
      <c r="I1639" s="8">
        <f>VLOOKUP(A1639,[1]!Table1[#All],33,FALSE)</f>
        <v>45929</v>
      </c>
      <c r="J1639" t="str">
        <f t="shared" ca="1" si="25"/>
        <v>Non UDO</v>
      </c>
    </row>
    <row r="1640" spans="1:10" x14ac:dyDescent="0.35">
      <c r="A1640" s="5" t="s">
        <v>52</v>
      </c>
      <c r="B1640" s="6">
        <v>44866</v>
      </c>
      <c r="C1640" s="7">
        <v>744210</v>
      </c>
      <c r="D1640" s="7">
        <v>65611.34</v>
      </c>
      <c r="E1640" s="7">
        <v>678598.66</v>
      </c>
      <c r="F1640" t="str">
        <f>VLOOKUP(A1640,[1]!Table1[#All],17,FALSE)</f>
        <v>UNITED STATES</v>
      </c>
      <c r="G1640" t="str">
        <f>VLOOKUP(A1640,[1]!Table1[#All],22,FALSE)</f>
        <v>JOHNS HOPKINS UNIVERSITY</v>
      </c>
      <c r="H1640" s="8">
        <f>VLOOKUP(A1640,[1]!Table1[#All],32,FALSE)</f>
        <v>44104</v>
      </c>
      <c r="I1640" s="8">
        <f>VLOOKUP(A1640,[1]!Table1[#All],33,FALSE)</f>
        <v>45929</v>
      </c>
      <c r="J1640" t="str">
        <f t="shared" ca="1" si="25"/>
        <v>Non UDO</v>
      </c>
    </row>
    <row r="1641" spans="1:10" x14ac:dyDescent="0.35">
      <c r="A1641" s="9" t="s">
        <v>52</v>
      </c>
      <c r="B1641" s="10">
        <v>44896</v>
      </c>
      <c r="C1641" s="11">
        <v>744210</v>
      </c>
      <c r="D1641" s="11">
        <v>117754.09999999999</v>
      </c>
      <c r="E1641" s="11">
        <v>626455.89999999991</v>
      </c>
      <c r="F1641" t="str">
        <f>VLOOKUP(A1641,[1]!Table1[#All],17,FALSE)</f>
        <v>UNITED STATES</v>
      </c>
      <c r="G1641" t="str">
        <f>VLOOKUP(A1641,[1]!Table1[#All],22,FALSE)</f>
        <v>JOHNS HOPKINS UNIVERSITY</v>
      </c>
      <c r="H1641" s="8">
        <f>VLOOKUP(A1641,[1]!Table1[#All],32,FALSE)</f>
        <v>44104</v>
      </c>
      <c r="I1641" s="8">
        <f>VLOOKUP(A1641,[1]!Table1[#All],33,FALSE)</f>
        <v>45929</v>
      </c>
      <c r="J1641" t="str">
        <f t="shared" ca="1" si="25"/>
        <v>Non UDO</v>
      </c>
    </row>
    <row r="1642" spans="1:10" x14ac:dyDescent="0.35">
      <c r="A1642" s="5" t="s">
        <v>52</v>
      </c>
      <c r="B1642" s="6">
        <v>44927</v>
      </c>
      <c r="C1642" s="7">
        <v>744210</v>
      </c>
      <c r="D1642" s="7">
        <v>155569.84</v>
      </c>
      <c r="E1642" s="7">
        <v>588640.16</v>
      </c>
      <c r="F1642" t="str">
        <f>VLOOKUP(A1642,[1]!Table1[#All],17,FALSE)</f>
        <v>UNITED STATES</v>
      </c>
      <c r="G1642" t="str">
        <f>VLOOKUP(A1642,[1]!Table1[#All],22,FALSE)</f>
        <v>JOHNS HOPKINS UNIVERSITY</v>
      </c>
      <c r="H1642" s="8">
        <f>VLOOKUP(A1642,[1]!Table1[#All],32,FALSE)</f>
        <v>44104</v>
      </c>
      <c r="I1642" s="8">
        <f>VLOOKUP(A1642,[1]!Table1[#All],33,FALSE)</f>
        <v>45929</v>
      </c>
      <c r="J1642" t="str">
        <f t="shared" ca="1" si="25"/>
        <v>Non UDO</v>
      </c>
    </row>
    <row r="1643" spans="1:10" x14ac:dyDescent="0.35">
      <c r="A1643" s="9" t="s">
        <v>52</v>
      </c>
      <c r="B1643" s="10">
        <v>44958</v>
      </c>
      <c r="C1643" s="11">
        <v>744210</v>
      </c>
      <c r="D1643" s="11">
        <v>204387.88</v>
      </c>
      <c r="E1643" s="11">
        <v>539822.12</v>
      </c>
      <c r="F1643" t="str">
        <f>VLOOKUP(A1643,[1]!Table1[#All],17,FALSE)</f>
        <v>UNITED STATES</v>
      </c>
      <c r="G1643" t="str">
        <f>VLOOKUP(A1643,[1]!Table1[#All],22,FALSE)</f>
        <v>JOHNS HOPKINS UNIVERSITY</v>
      </c>
      <c r="H1643" s="8">
        <f>VLOOKUP(A1643,[1]!Table1[#All],32,FALSE)</f>
        <v>44104</v>
      </c>
      <c r="I1643" s="8">
        <f>VLOOKUP(A1643,[1]!Table1[#All],33,FALSE)</f>
        <v>45929</v>
      </c>
      <c r="J1643" t="str">
        <f t="shared" ca="1" si="25"/>
        <v>Non UDO</v>
      </c>
    </row>
    <row r="1644" spans="1:10" x14ac:dyDescent="0.35">
      <c r="A1644" s="5" t="s">
        <v>52</v>
      </c>
      <c r="B1644" s="6">
        <v>44986</v>
      </c>
      <c r="C1644" s="7">
        <v>744210</v>
      </c>
      <c r="D1644" s="7">
        <v>250911.08000000002</v>
      </c>
      <c r="E1644" s="7">
        <v>493298.92</v>
      </c>
      <c r="F1644" t="str">
        <f>VLOOKUP(A1644,[1]!Table1[#All],17,FALSE)</f>
        <v>UNITED STATES</v>
      </c>
      <c r="G1644" t="str">
        <f>VLOOKUP(A1644,[1]!Table1[#All],22,FALSE)</f>
        <v>JOHNS HOPKINS UNIVERSITY</v>
      </c>
      <c r="H1644" s="8">
        <f>VLOOKUP(A1644,[1]!Table1[#All],32,FALSE)</f>
        <v>44104</v>
      </c>
      <c r="I1644" s="8">
        <f>VLOOKUP(A1644,[1]!Table1[#All],33,FALSE)</f>
        <v>45929</v>
      </c>
      <c r="J1644" t="str">
        <f t="shared" ca="1" si="25"/>
        <v>Non UDO</v>
      </c>
    </row>
    <row r="1645" spans="1:10" x14ac:dyDescent="0.35">
      <c r="A1645" s="9" t="s">
        <v>52</v>
      </c>
      <c r="B1645" s="10">
        <v>45017</v>
      </c>
      <c r="C1645" s="11">
        <v>744210</v>
      </c>
      <c r="D1645" s="11">
        <v>306309.07</v>
      </c>
      <c r="E1645" s="11">
        <v>437900.93000000005</v>
      </c>
      <c r="F1645" t="str">
        <f>VLOOKUP(A1645,[1]!Table1[#All],17,FALSE)</f>
        <v>UNITED STATES</v>
      </c>
      <c r="G1645" t="str">
        <f>VLOOKUP(A1645,[1]!Table1[#All],22,FALSE)</f>
        <v>JOHNS HOPKINS UNIVERSITY</v>
      </c>
      <c r="H1645" s="8">
        <f>VLOOKUP(A1645,[1]!Table1[#All],32,FALSE)</f>
        <v>44104</v>
      </c>
      <c r="I1645" s="8">
        <f>VLOOKUP(A1645,[1]!Table1[#All],33,FALSE)</f>
        <v>45929</v>
      </c>
      <c r="J1645" t="str">
        <f t="shared" ca="1" si="25"/>
        <v>Non UDO</v>
      </c>
    </row>
    <row r="1646" spans="1:10" x14ac:dyDescent="0.35">
      <c r="A1646" s="5" t="s">
        <v>52</v>
      </c>
      <c r="B1646" s="6">
        <v>45047</v>
      </c>
      <c r="C1646" s="7">
        <v>744210</v>
      </c>
      <c r="D1646" s="7">
        <v>354185.9</v>
      </c>
      <c r="E1646" s="7">
        <v>390024.1</v>
      </c>
      <c r="F1646" t="str">
        <f>VLOOKUP(A1646,[1]!Table1[#All],17,FALSE)</f>
        <v>UNITED STATES</v>
      </c>
      <c r="G1646" t="str">
        <f>VLOOKUP(A1646,[1]!Table1[#All],22,FALSE)</f>
        <v>JOHNS HOPKINS UNIVERSITY</v>
      </c>
      <c r="H1646" s="8">
        <f>VLOOKUP(A1646,[1]!Table1[#All],32,FALSE)</f>
        <v>44104</v>
      </c>
      <c r="I1646" s="8">
        <f>VLOOKUP(A1646,[1]!Table1[#All],33,FALSE)</f>
        <v>45929</v>
      </c>
      <c r="J1646" t="str">
        <f t="shared" ca="1" si="25"/>
        <v>Non UDO</v>
      </c>
    </row>
    <row r="1647" spans="1:10" x14ac:dyDescent="0.35">
      <c r="A1647" s="9" t="s">
        <v>52</v>
      </c>
      <c r="B1647" s="10">
        <v>45078</v>
      </c>
      <c r="C1647" s="11">
        <v>744210</v>
      </c>
      <c r="D1647" s="11">
        <v>407305.72</v>
      </c>
      <c r="E1647" s="11">
        <v>336904.27999999997</v>
      </c>
      <c r="F1647" t="str">
        <f>VLOOKUP(A1647,[1]!Table1[#All],17,FALSE)</f>
        <v>UNITED STATES</v>
      </c>
      <c r="G1647" t="str">
        <f>VLOOKUP(A1647,[1]!Table1[#All],22,FALSE)</f>
        <v>JOHNS HOPKINS UNIVERSITY</v>
      </c>
      <c r="H1647" s="8">
        <f>VLOOKUP(A1647,[1]!Table1[#All],32,FALSE)</f>
        <v>44104</v>
      </c>
      <c r="I1647" s="8">
        <f>VLOOKUP(A1647,[1]!Table1[#All],33,FALSE)</f>
        <v>45929</v>
      </c>
      <c r="J1647" t="str">
        <f t="shared" ca="1" si="25"/>
        <v>Non UDO</v>
      </c>
    </row>
    <row r="1648" spans="1:10" x14ac:dyDescent="0.35">
      <c r="A1648" s="5" t="s">
        <v>52</v>
      </c>
      <c r="B1648" s="6">
        <v>45108</v>
      </c>
      <c r="C1648" s="7">
        <v>744210</v>
      </c>
      <c r="D1648" s="7">
        <v>470830.57</v>
      </c>
      <c r="E1648" s="7">
        <v>273379.43</v>
      </c>
      <c r="F1648" t="str">
        <f>VLOOKUP(A1648,[1]!Table1[#All],17,FALSE)</f>
        <v>UNITED STATES</v>
      </c>
      <c r="G1648" t="str">
        <f>VLOOKUP(A1648,[1]!Table1[#All],22,FALSE)</f>
        <v>JOHNS HOPKINS UNIVERSITY</v>
      </c>
      <c r="H1648" s="8">
        <f>VLOOKUP(A1648,[1]!Table1[#All],32,FALSE)</f>
        <v>44104</v>
      </c>
      <c r="I1648" s="8">
        <f>VLOOKUP(A1648,[1]!Table1[#All],33,FALSE)</f>
        <v>45929</v>
      </c>
      <c r="J1648" t="str">
        <f t="shared" ca="1" si="25"/>
        <v>Non UDO</v>
      </c>
    </row>
    <row r="1649" spans="1:10" x14ac:dyDescent="0.35">
      <c r="A1649" s="9" t="s">
        <v>52</v>
      </c>
      <c r="B1649" s="10">
        <v>45139</v>
      </c>
      <c r="C1649" s="11">
        <v>744210</v>
      </c>
      <c r="D1649" s="11">
        <v>576192.90999999992</v>
      </c>
      <c r="E1649" s="11">
        <v>168017.09</v>
      </c>
      <c r="F1649" t="str">
        <f>VLOOKUP(A1649,[1]!Table1[#All],17,FALSE)</f>
        <v>UNITED STATES</v>
      </c>
      <c r="G1649" t="str">
        <f>VLOOKUP(A1649,[1]!Table1[#All],22,FALSE)</f>
        <v>JOHNS HOPKINS UNIVERSITY</v>
      </c>
      <c r="H1649" s="8">
        <f>VLOOKUP(A1649,[1]!Table1[#All],32,FALSE)</f>
        <v>44104</v>
      </c>
      <c r="I1649" s="8">
        <f>VLOOKUP(A1649,[1]!Table1[#All],33,FALSE)</f>
        <v>45929</v>
      </c>
      <c r="J1649" t="str">
        <f t="shared" ca="1" si="25"/>
        <v>Non UDO</v>
      </c>
    </row>
    <row r="1650" spans="1:10" x14ac:dyDescent="0.35">
      <c r="A1650" s="5" t="s">
        <v>52</v>
      </c>
      <c r="B1650" s="6">
        <v>45170</v>
      </c>
      <c r="C1650" s="7">
        <v>744210</v>
      </c>
      <c r="D1650" s="7">
        <v>743948.07</v>
      </c>
      <c r="E1650" s="7">
        <v>261.93</v>
      </c>
      <c r="F1650" t="str">
        <f>VLOOKUP(A1650,[1]!Table1[#All],17,FALSE)</f>
        <v>UNITED STATES</v>
      </c>
      <c r="G1650" t="str">
        <f>VLOOKUP(A1650,[1]!Table1[#All],22,FALSE)</f>
        <v>JOHNS HOPKINS UNIVERSITY</v>
      </c>
      <c r="H1650" s="8">
        <f>VLOOKUP(A1650,[1]!Table1[#All],32,FALSE)</f>
        <v>44104</v>
      </c>
      <c r="I1650" s="8">
        <f>VLOOKUP(A1650,[1]!Table1[#All],33,FALSE)</f>
        <v>45929</v>
      </c>
      <c r="J1650" t="str">
        <f t="shared" ca="1" si="25"/>
        <v>Non UDO</v>
      </c>
    </row>
    <row r="1651" spans="1:10" x14ac:dyDescent="0.35">
      <c r="A1651" s="9" t="s">
        <v>53</v>
      </c>
      <c r="B1651" s="10">
        <v>44105</v>
      </c>
      <c r="C1651" s="11">
        <v>1100000</v>
      </c>
      <c r="D1651" s="11">
        <v>0</v>
      </c>
      <c r="E1651" s="11">
        <v>1100000</v>
      </c>
      <c r="F1651" t="str">
        <f>VLOOKUP(A1651,[1]!Table1[#All],17,FALSE)</f>
        <v>UNITED STATES</v>
      </c>
      <c r="G1651" t="str">
        <f>VLOOKUP(A1651,[1]!Table1[#All],22,FALSE)</f>
        <v>Trustees Of Columbia University In The City Of New</v>
      </c>
      <c r="H1651" s="8">
        <f>VLOOKUP(A1651,[1]!Table1[#All],32,FALSE)</f>
        <v>44104</v>
      </c>
      <c r="I1651" s="8">
        <f>VLOOKUP(A1651,[1]!Table1[#All],33,FALSE)</f>
        <v>45929</v>
      </c>
      <c r="J1651" t="str">
        <f t="shared" ca="1" si="25"/>
        <v>Non UDO</v>
      </c>
    </row>
    <row r="1652" spans="1:10" x14ac:dyDescent="0.35">
      <c r="A1652" s="5" t="s">
        <v>53</v>
      </c>
      <c r="B1652" s="6">
        <v>44136</v>
      </c>
      <c r="C1652" s="7">
        <v>1100000</v>
      </c>
      <c r="D1652" s="7">
        <v>0</v>
      </c>
      <c r="E1652" s="7">
        <v>1100000</v>
      </c>
      <c r="F1652" t="str">
        <f>VLOOKUP(A1652,[1]!Table1[#All],17,FALSE)</f>
        <v>UNITED STATES</v>
      </c>
      <c r="G1652" t="str">
        <f>VLOOKUP(A1652,[1]!Table1[#All],22,FALSE)</f>
        <v>Trustees Of Columbia University In The City Of New</v>
      </c>
      <c r="H1652" s="8">
        <f>VLOOKUP(A1652,[1]!Table1[#All],32,FALSE)</f>
        <v>44104</v>
      </c>
      <c r="I1652" s="8">
        <f>VLOOKUP(A1652,[1]!Table1[#All],33,FALSE)</f>
        <v>45929</v>
      </c>
      <c r="J1652" t="str">
        <f t="shared" ca="1" si="25"/>
        <v>Non UDO</v>
      </c>
    </row>
    <row r="1653" spans="1:10" x14ac:dyDescent="0.35">
      <c r="A1653" s="9" t="s">
        <v>53</v>
      </c>
      <c r="B1653" s="10">
        <v>44166</v>
      </c>
      <c r="C1653" s="11">
        <v>1100000</v>
      </c>
      <c r="D1653" s="11">
        <v>11589.13</v>
      </c>
      <c r="E1653" s="11">
        <v>1088410.8700000001</v>
      </c>
      <c r="F1653" t="str">
        <f>VLOOKUP(A1653,[1]!Table1[#All],17,FALSE)</f>
        <v>UNITED STATES</v>
      </c>
      <c r="G1653" t="str">
        <f>VLOOKUP(A1653,[1]!Table1[#All],22,FALSE)</f>
        <v>Trustees Of Columbia University In The City Of New</v>
      </c>
      <c r="H1653" s="8">
        <f>VLOOKUP(A1653,[1]!Table1[#All],32,FALSE)</f>
        <v>44104</v>
      </c>
      <c r="I1653" s="8">
        <f>VLOOKUP(A1653,[1]!Table1[#All],33,FALSE)</f>
        <v>45929</v>
      </c>
      <c r="J1653" t="str">
        <f t="shared" ca="1" si="25"/>
        <v>Non UDO</v>
      </c>
    </row>
    <row r="1654" spans="1:10" x14ac:dyDescent="0.35">
      <c r="A1654" s="5" t="s">
        <v>53</v>
      </c>
      <c r="B1654" s="6">
        <v>44197</v>
      </c>
      <c r="C1654" s="7">
        <v>1100000</v>
      </c>
      <c r="D1654" s="7">
        <v>84172.38</v>
      </c>
      <c r="E1654" s="7">
        <v>1015827.62</v>
      </c>
      <c r="F1654" t="str">
        <f>VLOOKUP(A1654,[1]!Table1[#All],17,FALSE)</f>
        <v>UNITED STATES</v>
      </c>
      <c r="G1654" t="str">
        <f>VLOOKUP(A1654,[1]!Table1[#All],22,FALSE)</f>
        <v>Trustees Of Columbia University In The City Of New</v>
      </c>
      <c r="H1654" s="8">
        <f>VLOOKUP(A1654,[1]!Table1[#All],32,FALSE)</f>
        <v>44104</v>
      </c>
      <c r="I1654" s="8">
        <f>VLOOKUP(A1654,[1]!Table1[#All],33,FALSE)</f>
        <v>45929</v>
      </c>
      <c r="J1654" t="str">
        <f t="shared" ca="1" si="25"/>
        <v>Non UDO</v>
      </c>
    </row>
    <row r="1655" spans="1:10" x14ac:dyDescent="0.35">
      <c r="A1655" s="9" t="s">
        <v>53</v>
      </c>
      <c r="B1655" s="10">
        <v>44228</v>
      </c>
      <c r="C1655" s="11">
        <v>1100000</v>
      </c>
      <c r="D1655" s="11">
        <v>118770.45</v>
      </c>
      <c r="E1655" s="11">
        <v>981229.55</v>
      </c>
      <c r="F1655" t="str">
        <f>VLOOKUP(A1655,[1]!Table1[#All],17,FALSE)</f>
        <v>UNITED STATES</v>
      </c>
      <c r="G1655" t="str">
        <f>VLOOKUP(A1655,[1]!Table1[#All],22,FALSE)</f>
        <v>Trustees Of Columbia University In The City Of New</v>
      </c>
      <c r="H1655" s="8">
        <f>VLOOKUP(A1655,[1]!Table1[#All],32,FALSE)</f>
        <v>44104</v>
      </c>
      <c r="I1655" s="8">
        <f>VLOOKUP(A1655,[1]!Table1[#All],33,FALSE)</f>
        <v>45929</v>
      </c>
      <c r="J1655" t="str">
        <f t="shared" ca="1" si="25"/>
        <v>Non UDO</v>
      </c>
    </row>
    <row r="1656" spans="1:10" x14ac:dyDescent="0.35">
      <c r="A1656" s="5" t="s">
        <v>53</v>
      </c>
      <c r="B1656" s="6">
        <v>44256</v>
      </c>
      <c r="C1656" s="7">
        <v>1100000</v>
      </c>
      <c r="D1656" s="7">
        <v>148991.67999999999</v>
      </c>
      <c r="E1656" s="7">
        <v>951008.32</v>
      </c>
      <c r="F1656" t="str">
        <f>VLOOKUP(A1656,[1]!Table1[#All],17,FALSE)</f>
        <v>UNITED STATES</v>
      </c>
      <c r="G1656" t="str">
        <f>VLOOKUP(A1656,[1]!Table1[#All],22,FALSE)</f>
        <v>Trustees Of Columbia University In The City Of New</v>
      </c>
      <c r="H1656" s="8">
        <f>VLOOKUP(A1656,[1]!Table1[#All],32,FALSE)</f>
        <v>44104</v>
      </c>
      <c r="I1656" s="8">
        <f>VLOOKUP(A1656,[1]!Table1[#All],33,FALSE)</f>
        <v>45929</v>
      </c>
      <c r="J1656" t="str">
        <f t="shared" ca="1" si="25"/>
        <v>Non UDO</v>
      </c>
    </row>
    <row r="1657" spans="1:10" x14ac:dyDescent="0.35">
      <c r="A1657" s="9" t="s">
        <v>53</v>
      </c>
      <c r="B1657" s="10">
        <v>44317</v>
      </c>
      <c r="C1657" s="11">
        <v>1100000</v>
      </c>
      <c r="D1657" s="11">
        <v>236249.64</v>
      </c>
      <c r="E1657" s="11">
        <v>863750.36</v>
      </c>
      <c r="F1657" t="str">
        <f>VLOOKUP(A1657,[1]!Table1[#All],17,FALSE)</f>
        <v>UNITED STATES</v>
      </c>
      <c r="G1657" t="str">
        <f>VLOOKUP(A1657,[1]!Table1[#All],22,FALSE)</f>
        <v>Trustees Of Columbia University In The City Of New</v>
      </c>
      <c r="H1657" s="8">
        <f>VLOOKUP(A1657,[1]!Table1[#All],32,FALSE)</f>
        <v>44104</v>
      </c>
      <c r="I1657" s="8">
        <f>VLOOKUP(A1657,[1]!Table1[#All],33,FALSE)</f>
        <v>45929</v>
      </c>
      <c r="J1657" t="str">
        <f t="shared" ca="1" si="25"/>
        <v>Non UDO</v>
      </c>
    </row>
    <row r="1658" spans="1:10" x14ac:dyDescent="0.35">
      <c r="A1658" s="5" t="s">
        <v>53</v>
      </c>
      <c r="B1658" s="6">
        <v>44348</v>
      </c>
      <c r="C1658" s="7">
        <v>1100000</v>
      </c>
      <c r="D1658" s="7">
        <v>297663.32</v>
      </c>
      <c r="E1658" s="7">
        <v>802336.68</v>
      </c>
      <c r="F1658" t="str">
        <f>VLOOKUP(A1658,[1]!Table1[#All],17,FALSE)</f>
        <v>UNITED STATES</v>
      </c>
      <c r="G1658" t="str">
        <f>VLOOKUP(A1658,[1]!Table1[#All],22,FALSE)</f>
        <v>Trustees Of Columbia University In The City Of New</v>
      </c>
      <c r="H1658" s="8">
        <f>VLOOKUP(A1658,[1]!Table1[#All],32,FALSE)</f>
        <v>44104</v>
      </c>
      <c r="I1658" s="8">
        <f>VLOOKUP(A1658,[1]!Table1[#All],33,FALSE)</f>
        <v>45929</v>
      </c>
      <c r="J1658" t="str">
        <f t="shared" ca="1" si="25"/>
        <v>Non UDO</v>
      </c>
    </row>
    <row r="1659" spans="1:10" x14ac:dyDescent="0.35">
      <c r="A1659" s="9" t="s">
        <v>53</v>
      </c>
      <c r="B1659" s="10">
        <v>44378</v>
      </c>
      <c r="C1659" s="11">
        <v>1100000</v>
      </c>
      <c r="D1659" s="11">
        <v>352526.47</v>
      </c>
      <c r="E1659" s="11">
        <v>747473.53</v>
      </c>
      <c r="F1659" t="str">
        <f>VLOOKUP(A1659,[1]!Table1[#All],17,FALSE)</f>
        <v>UNITED STATES</v>
      </c>
      <c r="G1659" t="str">
        <f>VLOOKUP(A1659,[1]!Table1[#All],22,FALSE)</f>
        <v>Trustees Of Columbia University In The City Of New</v>
      </c>
      <c r="H1659" s="8">
        <f>VLOOKUP(A1659,[1]!Table1[#All],32,FALSE)</f>
        <v>44104</v>
      </c>
      <c r="I1659" s="8">
        <f>VLOOKUP(A1659,[1]!Table1[#All],33,FALSE)</f>
        <v>45929</v>
      </c>
      <c r="J1659" t="str">
        <f t="shared" ca="1" si="25"/>
        <v>Non UDO</v>
      </c>
    </row>
    <row r="1660" spans="1:10" x14ac:dyDescent="0.35">
      <c r="A1660" s="5" t="s">
        <v>53</v>
      </c>
      <c r="B1660" s="6">
        <v>44409</v>
      </c>
      <c r="C1660" s="7">
        <v>1100000</v>
      </c>
      <c r="D1660" s="7">
        <v>412412.04</v>
      </c>
      <c r="E1660" s="7">
        <v>687587.96</v>
      </c>
      <c r="F1660" t="str">
        <f>VLOOKUP(A1660,[1]!Table1[#All],17,FALSE)</f>
        <v>UNITED STATES</v>
      </c>
      <c r="G1660" t="str">
        <f>VLOOKUP(A1660,[1]!Table1[#All],22,FALSE)</f>
        <v>Trustees Of Columbia University In The City Of New</v>
      </c>
      <c r="H1660" s="8">
        <f>VLOOKUP(A1660,[1]!Table1[#All],32,FALSE)</f>
        <v>44104</v>
      </c>
      <c r="I1660" s="8">
        <f>VLOOKUP(A1660,[1]!Table1[#All],33,FALSE)</f>
        <v>45929</v>
      </c>
      <c r="J1660" t="str">
        <f t="shared" ca="1" si="25"/>
        <v>Non UDO</v>
      </c>
    </row>
    <row r="1661" spans="1:10" x14ac:dyDescent="0.35">
      <c r="A1661" s="9" t="s">
        <v>53</v>
      </c>
      <c r="B1661" s="10">
        <v>44440</v>
      </c>
      <c r="C1661" s="11">
        <v>1100000</v>
      </c>
      <c r="D1661" s="11">
        <v>786765.98</v>
      </c>
      <c r="E1661" s="11">
        <v>313234.02</v>
      </c>
      <c r="F1661" t="str">
        <f>VLOOKUP(A1661,[1]!Table1[#All],17,FALSE)</f>
        <v>UNITED STATES</v>
      </c>
      <c r="G1661" t="str">
        <f>VLOOKUP(A1661,[1]!Table1[#All],22,FALSE)</f>
        <v>Trustees Of Columbia University In The City Of New</v>
      </c>
      <c r="H1661" s="8">
        <f>VLOOKUP(A1661,[1]!Table1[#All],32,FALSE)</f>
        <v>44104</v>
      </c>
      <c r="I1661" s="8">
        <f>VLOOKUP(A1661,[1]!Table1[#All],33,FALSE)</f>
        <v>45929</v>
      </c>
      <c r="J1661" t="str">
        <f t="shared" ca="1" si="25"/>
        <v>Non UDO</v>
      </c>
    </row>
    <row r="1662" spans="1:10" x14ac:dyDescent="0.35">
      <c r="A1662" s="5" t="s">
        <v>53</v>
      </c>
      <c r="B1662" s="6">
        <v>44470</v>
      </c>
      <c r="C1662" s="7">
        <v>1100000</v>
      </c>
      <c r="D1662" s="7">
        <v>771528.18</v>
      </c>
      <c r="E1662" s="7">
        <v>328471.82</v>
      </c>
      <c r="F1662" t="str">
        <f>VLOOKUP(A1662,[1]!Table1[#All],17,FALSE)</f>
        <v>UNITED STATES</v>
      </c>
      <c r="G1662" t="str">
        <f>VLOOKUP(A1662,[1]!Table1[#All],22,FALSE)</f>
        <v>Trustees Of Columbia University In The City Of New</v>
      </c>
      <c r="H1662" s="8">
        <f>VLOOKUP(A1662,[1]!Table1[#All],32,FALSE)</f>
        <v>44104</v>
      </c>
      <c r="I1662" s="8">
        <f>VLOOKUP(A1662,[1]!Table1[#All],33,FALSE)</f>
        <v>45929</v>
      </c>
      <c r="J1662" t="str">
        <f t="shared" ca="1" si="25"/>
        <v>Non UDO</v>
      </c>
    </row>
    <row r="1663" spans="1:10" x14ac:dyDescent="0.35">
      <c r="A1663" s="9" t="s">
        <v>53</v>
      </c>
      <c r="B1663" s="10">
        <v>44501</v>
      </c>
      <c r="C1663" s="11">
        <v>1100000</v>
      </c>
      <c r="D1663" s="11">
        <v>835702</v>
      </c>
      <c r="E1663" s="11">
        <v>264298</v>
      </c>
      <c r="F1663" t="str">
        <f>VLOOKUP(A1663,[1]!Table1[#All],17,FALSE)</f>
        <v>UNITED STATES</v>
      </c>
      <c r="G1663" t="str">
        <f>VLOOKUP(A1663,[1]!Table1[#All],22,FALSE)</f>
        <v>Trustees Of Columbia University In The City Of New</v>
      </c>
      <c r="H1663" s="8">
        <f>VLOOKUP(A1663,[1]!Table1[#All],32,FALSE)</f>
        <v>44104</v>
      </c>
      <c r="I1663" s="8">
        <f>VLOOKUP(A1663,[1]!Table1[#All],33,FALSE)</f>
        <v>45929</v>
      </c>
      <c r="J1663" t="str">
        <f t="shared" ca="1" si="25"/>
        <v>Non UDO</v>
      </c>
    </row>
    <row r="1664" spans="1:10" x14ac:dyDescent="0.35">
      <c r="A1664" s="5" t="s">
        <v>53</v>
      </c>
      <c r="B1664" s="6">
        <v>44531</v>
      </c>
      <c r="C1664" s="7">
        <v>1100000</v>
      </c>
      <c r="D1664" s="7">
        <v>899962.59</v>
      </c>
      <c r="E1664" s="7">
        <v>200037.41</v>
      </c>
      <c r="F1664" t="str">
        <f>VLOOKUP(A1664,[1]!Table1[#All],17,FALSE)</f>
        <v>UNITED STATES</v>
      </c>
      <c r="G1664" t="str">
        <f>VLOOKUP(A1664,[1]!Table1[#All],22,FALSE)</f>
        <v>Trustees Of Columbia University In The City Of New</v>
      </c>
      <c r="H1664" s="8">
        <f>VLOOKUP(A1664,[1]!Table1[#All],32,FALSE)</f>
        <v>44104</v>
      </c>
      <c r="I1664" s="8">
        <f>VLOOKUP(A1664,[1]!Table1[#All],33,FALSE)</f>
        <v>45929</v>
      </c>
      <c r="J1664" t="str">
        <f t="shared" ca="1" si="25"/>
        <v>Non UDO</v>
      </c>
    </row>
    <row r="1665" spans="1:10" x14ac:dyDescent="0.35">
      <c r="A1665" s="9" t="s">
        <v>53</v>
      </c>
      <c r="B1665" s="10">
        <v>44562</v>
      </c>
      <c r="C1665" s="11">
        <v>1100000</v>
      </c>
      <c r="D1665" s="11">
        <v>997695.07</v>
      </c>
      <c r="E1665" s="11">
        <v>102304.93</v>
      </c>
      <c r="F1665" t="str">
        <f>VLOOKUP(A1665,[1]!Table1[#All],17,FALSE)</f>
        <v>UNITED STATES</v>
      </c>
      <c r="G1665" t="str">
        <f>VLOOKUP(A1665,[1]!Table1[#All],22,FALSE)</f>
        <v>Trustees Of Columbia University In The City Of New</v>
      </c>
      <c r="H1665" s="8">
        <f>VLOOKUP(A1665,[1]!Table1[#All],32,FALSE)</f>
        <v>44104</v>
      </c>
      <c r="I1665" s="8">
        <f>VLOOKUP(A1665,[1]!Table1[#All],33,FALSE)</f>
        <v>45929</v>
      </c>
      <c r="J1665" t="str">
        <f t="shared" ca="1" si="25"/>
        <v>Non UDO</v>
      </c>
    </row>
    <row r="1666" spans="1:10" x14ac:dyDescent="0.35">
      <c r="A1666" s="5" t="s">
        <v>53</v>
      </c>
      <c r="B1666" s="6">
        <v>44593</v>
      </c>
      <c r="C1666" s="7">
        <v>1100000</v>
      </c>
      <c r="D1666" s="7">
        <v>1079179.3999999999</v>
      </c>
      <c r="E1666" s="7">
        <v>20820.599999999999</v>
      </c>
      <c r="F1666" t="str">
        <f>VLOOKUP(A1666,[1]!Table1[#All],17,FALSE)</f>
        <v>UNITED STATES</v>
      </c>
      <c r="G1666" t="str">
        <f>VLOOKUP(A1666,[1]!Table1[#All],22,FALSE)</f>
        <v>Trustees Of Columbia University In The City Of New</v>
      </c>
      <c r="H1666" s="8">
        <f>VLOOKUP(A1666,[1]!Table1[#All],32,FALSE)</f>
        <v>44104</v>
      </c>
      <c r="I1666" s="8">
        <f>VLOOKUP(A1666,[1]!Table1[#All],33,FALSE)</f>
        <v>45929</v>
      </c>
      <c r="J1666" t="str">
        <f t="shared" ca="1" si="25"/>
        <v>Non UDO</v>
      </c>
    </row>
    <row r="1667" spans="1:10" x14ac:dyDescent="0.35">
      <c r="A1667" s="9" t="s">
        <v>53</v>
      </c>
      <c r="B1667" s="10">
        <v>44621</v>
      </c>
      <c r="C1667" s="11">
        <v>1100000</v>
      </c>
      <c r="D1667" s="11">
        <v>1100000</v>
      </c>
      <c r="E1667" s="11">
        <v>0</v>
      </c>
      <c r="F1667" t="str">
        <f>VLOOKUP(A1667,[1]!Table1[#All],17,FALSE)</f>
        <v>UNITED STATES</v>
      </c>
      <c r="G1667" t="str">
        <f>VLOOKUP(A1667,[1]!Table1[#All],22,FALSE)</f>
        <v>Trustees Of Columbia University In The City Of New</v>
      </c>
      <c r="H1667" s="8">
        <f>VLOOKUP(A1667,[1]!Table1[#All],32,FALSE)</f>
        <v>44104</v>
      </c>
      <c r="I1667" s="8">
        <f>VLOOKUP(A1667,[1]!Table1[#All],33,FALSE)</f>
        <v>45929</v>
      </c>
      <c r="J1667" t="str">
        <f t="shared" ref="J1667:J1730" ca="1" si="26">IF(AND( E1667&gt;0,TODAY()&gt;I1667),"UDO","Non UDO")</f>
        <v>Non UDO</v>
      </c>
    </row>
    <row r="1668" spans="1:10" x14ac:dyDescent="0.35">
      <c r="A1668" s="5" t="s">
        <v>53</v>
      </c>
      <c r="B1668" s="6">
        <v>44652</v>
      </c>
      <c r="C1668" s="7">
        <v>1100000</v>
      </c>
      <c r="D1668" s="7">
        <v>1100000</v>
      </c>
      <c r="E1668" s="7">
        <v>0</v>
      </c>
      <c r="F1668" t="str">
        <f>VLOOKUP(A1668,[1]!Table1[#All],17,FALSE)</f>
        <v>UNITED STATES</v>
      </c>
      <c r="G1668" t="str">
        <f>VLOOKUP(A1668,[1]!Table1[#All],22,FALSE)</f>
        <v>Trustees Of Columbia University In The City Of New</v>
      </c>
      <c r="H1668" s="8">
        <f>VLOOKUP(A1668,[1]!Table1[#All],32,FALSE)</f>
        <v>44104</v>
      </c>
      <c r="I1668" s="8">
        <f>VLOOKUP(A1668,[1]!Table1[#All],33,FALSE)</f>
        <v>45929</v>
      </c>
      <c r="J1668" t="str">
        <f t="shared" ca="1" si="26"/>
        <v>Non UDO</v>
      </c>
    </row>
    <row r="1669" spans="1:10" x14ac:dyDescent="0.35">
      <c r="A1669" s="9" t="s">
        <v>53</v>
      </c>
      <c r="B1669" s="10">
        <v>44682</v>
      </c>
      <c r="C1669" s="11">
        <v>1100000</v>
      </c>
      <c r="D1669" s="11">
        <v>1100000</v>
      </c>
      <c r="E1669" s="11">
        <v>0</v>
      </c>
      <c r="F1669" t="str">
        <f>VLOOKUP(A1669,[1]!Table1[#All],17,FALSE)</f>
        <v>UNITED STATES</v>
      </c>
      <c r="G1669" t="str">
        <f>VLOOKUP(A1669,[1]!Table1[#All],22,FALSE)</f>
        <v>Trustees Of Columbia University In The City Of New</v>
      </c>
      <c r="H1669" s="8">
        <f>VLOOKUP(A1669,[1]!Table1[#All],32,FALSE)</f>
        <v>44104</v>
      </c>
      <c r="I1669" s="8">
        <f>VLOOKUP(A1669,[1]!Table1[#All],33,FALSE)</f>
        <v>45929</v>
      </c>
      <c r="J1669" t="str">
        <f t="shared" ca="1" si="26"/>
        <v>Non UDO</v>
      </c>
    </row>
    <row r="1670" spans="1:10" x14ac:dyDescent="0.35">
      <c r="A1670" s="5" t="s">
        <v>53</v>
      </c>
      <c r="B1670" s="6">
        <v>44713</v>
      </c>
      <c r="C1670" s="7">
        <v>1100000</v>
      </c>
      <c r="D1670" s="7">
        <v>1100000</v>
      </c>
      <c r="E1670" s="7">
        <v>0</v>
      </c>
      <c r="F1670" t="str">
        <f>VLOOKUP(A1670,[1]!Table1[#All],17,FALSE)</f>
        <v>UNITED STATES</v>
      </c>
      <c r="G1670" t="str">
        <f>VLOOKUP(A1670,[1]!Table1[#All],22,FALSE)</f>
        <v>Trustees Of Columbia University In The City Of New</v>
      </c>
      <c r="H1670" s="8">
        <f>VLOOKUP(A1670,[1]!Table1[#All],32,FALSE)</f>
        <v>44104</v>
      </c>
      <c r="I1670" s="8">
        <f>VLOOKUP(A1670,[1]!Table1[#All],33,FALSE)</f>
        <v>45929</v>
      </c>
      <c r="J1670" t="str">
        <f t="shared" ca="1" si="26"/>
        <v>Non UDO</v>
      </c>
    </row>
    <row r="1671" spans="1:10" x14ac:dyDescent="0.35">
      <c r="A1671" s="9" t="s">
        <v>53</v>
      </c>
      <c r="B1671" s="10">
        <v>44743</v>
      </c>
      <c r="C1671" s="11">
        <v>1100000</v>
      </c>
      <c r="D1671" s="11">
        <v>1100000</v>
      </c>
      <c r="E1671" s="11">
        <v>0</v>
      </c>
      <c r="F1671" t="str">
        <f>VLOOKUP(A1671,[1]!Table1[#All],17,FALSE)</f>
        <v>UNITED STATES</v>
      </c>
      <c r="G1671" t="str">
        <f>VLOOKUP(A1671,[1]!Table1[#All],22,FALSE)</f>
        <v>Trustees Of Columbia University In The City Of New</v>
      </c>
      <c r="H1671" s="8">
        <f>VLOOKUP(A1671,[1]!Table1[#All],32,FALSE)</f>
        <v>44104</v>
      </c>
      <c r="I1671" s="8">
        <f>VLOOKUP(A1671,[1]!Table1[#All],33,FALSE)</f>
        <v>45929</v>
      </c>
      <c r="J1671" t="str">
        <f t="shared" ca="1" si="26"/>
        <v>Non UDO</v>
      </c>
    </row>
    <row r="1672" spans="1:10" x14ac:dyDescent="0.35">
      <c r="A1672" s="5" t="s">
        <v>53</v>
      </c>
      <c r="B1672" s="6">
        <v>44774</v>
      </c>
      <c r="C1672" s="7">
        <v>1100000</v>
      </c>
      <c r="D1672" s="7">
        <v>1100000</v>
      </c>
      <c r="E1672" s="7">
        <v>0</v>
      </c>
      <c r="F1672" t="str">
        <f>VLOOKUP(A1672,[1]!Table1[#All],17,FALSE)</f>
        <v>UNITED STATES</v>
      </c>
      <c r="G1672" t="str">
        <f>VLOOKUP(A1672,[1]!Table1[#All],22,FALSE)</f>
        <v>Trustees Of Columbia University In The City Of New</v>
      </c>
      <c r="H1672" s="8">
        <f>VLOOKUP(A1672,[1]!Table1[#All],32,FALSE)</f>
        <v>44104</v>
      </c>
      <c r="I1672" s="8">
        <f>VLOOKUP(A1672,[1]!Table1[#All],33,FALSE)</f>
        <v>45929</v>
      </c>
      <c r="J1672" t="str">
        <f t="shared" ca="1" si="26"/>
        <v>Non UDO</v>
      </c>
    </row>
    <row r="1673" spans="1:10" x14ac:dyDescent="0.35">
      <c r="A1673" s="9" t="s">
        <v>53</v>
      </c>
      <c r="B1673" s="10">
        <v>44805</v>
      </c>
      <c r="C1673" s="11">
        <v>1100000</v>
      </c>
      <c r="D1673" s="11">
        <v>1100000</v>
      </c>
      <c r="E1673" s="11">
        <v>0</v>
      </c>
      <c r="F1673" t="str">
        <f>VLOOKUP(A1673,[1]!Table1[#All],17,FALSE)</f>
        <v>UNITED STATES</v>
      </c>
      <c r="G1673" t="str">
        <f>VLOOKUP(A1673,[1]!Table1[#All],22,FALSE)</f>
        <v>Trustees Of Columbia University In The City Of New</v>
      </c>
      <c r="H1673" s="8">
        <f>VLOOKUP(A1673,[1]!Table1[#All],32,FALSE)</f>
        <v>44104</v>
      </c>
      <c r="I1673" s="8">
        <f>VLOOKUP(A1673,[1]!Table1[#All],33,FALSE)</f>
        <v>45929</v>
      </c>
      <c r="J1673" t="str">
        <f t="shared" ca="1" si="26"/>
        <v>Non UDO</v>
      </c>
    </row>
    <row r="1674" spans="1:10" x14ac:dyDescent="0.35">
      <c r="A1674" s="5" t="s">
        <v>53</v>
      </c>
      <c r="B1674" s="6">
        <v>44835</v>
      </c>
      <c r="C1674" s="7">
        <v>1100000</v>
      </c>
      <c r="D1674" s="7">
        <v>1100000</v>
      </c>
      <c r="E1674" s="7">
        <v>0</v>
      </c>
      <c r="F1674" t="str">
        <f>VLOOKUP(A1674,[1]!Table1[#All],17,FALSE)</f>
        <v>UNITED STATES</v>
      </c>
      <c r="G1674" t="str">
        <f>VLOOKUP(A1674,[1]!Table1[#All],22,FALSE)</f>
        <v>Trustees Of Columbia University In The City Of New</v>
      </c>
      <c r="H1674" s="8">
        <f>VLOOKUP(A1674,[1]!Table1[#All],32,FALSE)</f>
        <v>44104</v>
      </c>
      <c r="I1674" s="8">
        <f>VLOOKUP(A1674,[1]!Table1[#All],33,FALSE)</f>
        <v>45929</v>
      </c>
      <c r="J1674" t="str">
        <f t="shared" ca="1" si="26"/>
        <v>Non UDO</v>
      </c>
    </row>
    <row r="1675" spans="1:10" x14ac:dyDescent="0.35">
      <c r="A1675" s="9" t="s">
        <v>53</v>
      </c>
      <c r="B1675" s="10">
        <v>44866</v>
      </c>
      <c r="C1675" s="11">
        <v>1100000</v>
      </c>
      <c r="D1675" s="11">
        <v>1100000</v>
      </c>
      <c r="E1675" s="11">
        <v>0</v>
      </c>
      <c r="F1675" t="str">
        <f>VLOOKUP(A1675,[1]!Table1[#All],17,FALSE)</f>
        <v>UNITED STATES</v>
      </c>
      <c r="G1675" t="str">
        <f>VLOOKUP(A1675,[1]!Table1[#All],22,FALSE)</f>
        <v>Trustees Of Columbia University In The City Of New</v>
      </c>
      <c r="H1675" s="8">
        <f>VLOOKUP(A1675,[1]!Table1[#All],32,FALSE)</f>
        <v>44104</v>
      </c>
      <c r="I1675" s="8">
        <f>VLOOKUP(A1675,[1]!Table1[#All],33,FALSE)</f>
        <v>45929</v>
      </c>
      <c r="J1675" t="str">
        <f t="shared" ca="1" si="26"/>
        <v>Non UDO</v>
      </c>
    </row>
    <row r="1676" spans="1:10" x14ac:dyDescent="0.35">
      <c r="A1676" s="5" t="s">
        <v>53</v>
      </c>
      <c r="B1676" s="6">
        <v>44896</v>
      </c>
      <c r="C1676" s="7">
        <v>1100000</v>
      </c>
      <c r="D1676" s="7">
        <v>1100000</v>
      </c>
      <c r="E1676" s="7">
        <v>0</v>
      </c>
      <c r="F1676" t="str">
        <f>VLOOKUP(A1676,[1]!Table1[#All],17,FALSE)</f>
        <v>UNITED STATES</v>
      </c>
      <c r="G1676" t="str">
        <f>VLOOKUP(A1676,[1]!Table1[#All],22,FALSE)</f>
        <v>Trustees Of Columbia University In The City Of New</v>
      </c>
      <c r="H1676" s="8">
        <f>VLOOKUP(A1676,[1]!Table1[#All],32,FALSE)</f>
        <v>44104</v>
      </c>
      <c r="I1676" s="8">
        <f>VLOOKUP(A1676,[1]!Table1[#All],33,FALSE)</f>
        <v>45929</v>
      </c>
      <c r="J1676" t="str">
        <f t="shared" ca="1" si="26"/>
        <v>Non UDO</v>
      </c>
    </row>
    <row r="1677" spans="1:10" x14ac:dyDescent="0.35">
      <c r="A1677" s="9" t="s">
        <v>53</v>
      </c>
      <c r="B1677" s="10">
        <v>44927</v>
      </c>
      <c r="C1677" s="11">
        <v>1100000</v>
      </c>
      <c r="D1677" s="11">
        <v>1100000</v>
      </c>
      <c r="E1677" s="11">
        <v>0</v>
      </c>
      <c r="F1677" t="str">
        <f>VLOOKUP(A1677,[1]!Table1[#All],17,FALSE)</f>
        <v>UNITED STATES</v>
      </c>
      <c r="G1677" t="str">
        <f>VLOOKUP(A1677,[1]!Table1[#All],22,FALSE)</f>
        <v>Trustees Of Columbia University In The City Of New</v>
      </c>
      <c r="H1677" s="8">
        <f>VLOOKUP(A1677,[1]!Table1[#All],32,FALSE)</f>
        <v>44104</v>
      </c>
      <c r="I1677" s="8">
        <f>VLOOKUP(A1677,[1]!Table1[#All],33,FALSE)</f>
        <v>45929</v>
      </c>
      <c r="J1677" t="str">
        <f t="shared" ca="1" si="26"/>
        <v>Non UDO</v>
      </c>
    </row>
    <row r="1678" spans="1:10" x14ac:dyDescent="0.35">
      <c r="A1678" s="5" t="s">
        <v>53</v>
      </c>
      <c r="B1678" s="6">
        <v>44958</v>
      </c>
      <c r="C1678" s="7">
        <v>1100000</v>
      </c>
      <c r="D1678" s="7">
        <v>1100000</v>
      </c>
      <c r="E1678" s="7">
        <v>0</v>
      </c>
      <c r="F1678" t="str">
        <f>VLOOKUP(A1678,[1]!Table1[#All],17,FALSE)</f>
        <v>UNITED STATES</v>
      </c>
      <c r="G1678" t="str">
        <f>VLOOKUP(A1678,[1]!Table1[#All],22,FALSE)</f>
        <v>Trustees Of Columbia University In The City Of New</v>
      </c>
      <c r="H1678" s="8">
        <f>VLOOKUP(A1678,[1]!Table1[#All],32,FALSE)</f>
        <v>44104</v>
      </c>
      <c r="I1678" s="8">
        <f>VLOOKUP(A1678,[1]!Table1[#All],33,FALSE)</f>
        <v>45929</v>
      </c>
      <c r="J1678" t="str">
        <f t="shared" ca="1" si="26"/>
        <v>Non UDO</v>
      </c>
    </row>
    <row r="1679" spans="1:10" x14ac:dyDescent="0.35">
      <c r="A1679" s="9" t="s">
        <v>53</v>
      </c>
      <c r="B1679" s="10">
        <v>44986</v>
      </c>
      <c r="C1679" s="11">
        <v>1100000</v>
      </c>
      <c r="D1679" s="11">
        <v>1100000</v>
      </c>
      <c r="E1679" s="11">
        <v>0</v>
      </c>
      <c r="F1679" t="str">
        <f>VLOOKUP(A1679,[1]!Table1[#All],17,FALSE)</f>
        <v>UNITED STATES</v>
      </c>
      <c r="G1679" t="str">
        <f>VLOOKUP(A1679,[1]!Table1[#All],22,FALSE)</f>
        <v>Trustees Of Columbia University In The City Of New</v>
      </c>
      <c r="H1679" s="8">
        <f>VLOOKUP(A1679,[1]!Table1[#All],32,FALSE)</f>
        <v>44104</v>
      </c>
      <c r="I1679" s="8">
        <f>VLOOKUP(A1679,[1]!Table1[#All],33,FALSE)</f>
        <v>45929</v>
      </c>
      <c r="J1679" t="str">
        <f t="shared" ca="1" si="26"/>
        <v>Non UDO</v>
      </c>
    </row>
    <row r="1680" spans="1:10" x14ac:dyDescent="0.35">
      <c r="A1680" s="5" t="s">
        <v>53</v>
      </c>
      <c r="B1680" s="6">
        <v>45017</v>
      </c>
      <c r="C1680" s="7">
        <v>1100000</v>
      </c>
      <c r="D1680" s="7">
        <v>1100000</v>
      </c>
      <c r="E1680" s="7">
        <v>0</v>
      </c>
      <c r="F1680" t="str">
        <f>VLOOKUP(A1680,[1]!Table1[#All],17,FALSE)</f>
        <v>UNITED STATES</v>
      </c>
      <c r="G1680" t="str">
        <f>VLOOKUP(A1680,[1]!Table1[#All],22,FALSE)</f>
        <v>Trustees Of Columbia University In The City Of New</v>
      </c>
      <c r="H1680" s="8">
        <f>VLOOKUP(A1680,[1]!Table1[#All],32,FALSE)</f>
        <v>44104</v>
      </c>
      <c r="I1680" s="8">
        <f>VLOOKUP(A1680,[1]!Table1[#All],33,FALSE)</f>
        <v>45929</v>
      </c>
      <c r="J1680" t="str">
        <f t="shared" ca="1" si="26"/>
        <v>Non UDO</v>
      </c>
    </row>
    <row r="1681" spans="1:10" x14ac:dyDescent="0.35">
      <c r="A1681" s="9" t="s">
        <v>53</v>
      </c>
      <c r="B1681" s="10">
        <v>45047</v>
      </c>
      <c r="C1681" s="11">
        <v>1100000</v>
      </c>
      <c r="D1681" s="11">
        <v>1100000</v>
      </c>
      <c r="E1681" s="11">
        <v>0</v>
      </c>
      <c r="F1681" t="str">
        <f>VLOOKUP(A1681,[1]!Table1[#All],17,FALSE)</f>
        <v>UNITED STATES</v>
      </c>
      <c r="G1681" t="str">
        <f>VLOOKUP(A1681,[1]!Table1[#All],22,FALSE)</f>
        <v>Trustees Of Columbia University In The City Of New</v>
      </c>
      <c r="H1681" s="8">
        <f>VLOOKUP(A1681,[1]!Table1[#All],32,FALSE)</f>
        <v>44104</v>
      </c>
      <c r="I1681" s="8">
        <f>VLOOKUP(A1681,[1]!Table1[#All],33,FALSE)</f>
        <v>45929</v>
      </c>
      <c r="J1681" t="str">
        <f t="shared" ca="1" si="26"/>
        <v>Non UDO</v>
      </c>
    </row>
    <row r="1682" spans="1:10" x14ac:dyDescent="0.35">
      <c r="A1682" s="5" t="s">
        <v>53</v>
      </c>
      <c r="B1682" s="6">
        <v>45078</v>
      </c>
      <c r="C1682" s="7">
        <v>1100000</v>
      </c>
      <c r="D1682" s="7">
        <v>1100000</v>
      </c>
      <c r="E1682" s="7">
        <v>0</v>
      </c>
      <c r="F1682" t="str">
        <f>VLOOKUP(A1682,[1]!Table1[#All],17,FALSE)</f>
        <v>UNITED STATES</v>
      </c>
      <c r="G1682" t="str">
        <f>VLOOKUP(A1682,[1]!Table1[#All],22,FALSE)</f>
        <v>Trustees Of Columbia University In The City Of New</v>
      </c>
      <c r="H1682" s="8">
        <f>VLOOKUP(A1682,[1]!Table1[#All],32,FALSE)</f>
        <v>44104</v>
      </c>
      <c r="I1682" s="8">
        <f>VLOOKUP(A1682,[1]!Table1[#All],33,FALSE)</f>
        <v>45929</v>
      </c>
      <c r="J1682" t="str">
        <f t="shared" ca="1" si="26"/>
        <v>Non UDO</v>
      </c>
    </row>
    <row r="1683" spans="1:10" x14ac:dyDescent="0.35">
      <c r="A1683" s="9" t="s">
        <v>53</v>
      </c>
      <c r="B1683" s="10">
        <v>45108</v>
      </c>
      <c r="C1683" s="11">
        <v>1100000</v>
      </c>
      <c r="D1683" s="11">
        <v>1100000</v>
      </c>
      <c r="E1683" s="11">
        <v>0</v>
      </c>
      <c r="F1683" t="str">
        <f>VLOOKUP(A1683,[1]!Table1[#All],17,FALSE)</f>
        <v>UNITED STATES</v>
      </c>
      <c r="G1683" t="str">
        <f>VLOOKUP(A1683,[1]!Table1[#All],22,FALSE)</f>
        <v>Trustees Of Columbia University In The City Of New</v>
      </c>
      <c r="H1683" s="8">
        <f>VLOOKUP(A1683,[1]!Table1[#All],32,FALSE)</f>
        <v>44104</v>
      </c>
      <c r="I1683" s="8">
        <f>VLOOKUP(A1683,[1]!Table1[#All],33,FALSE)</f>
        <v>45929</v>
      </c>
      <c r="J1683" t="str">
        <f t="shared" ca="1" si="26"/>
        <v>Non UDO</v>
      </c>
    </row>
    <row r="1684" spans="1:10" x14ac:dyDescent="0.35">
      <c r="A1684" s="5" t="s">
        <v>53</v>
      </c>
      <c r="B1684" s="6">
        <v>45139</v>
      </c>
      <c r="C1684" s="7">
        <v>1100000</v>
      </c>
      <c r="D1684" s="7">
        <v>1100000</v>
      </c>
      <c r="E1684" s="7">
        <v>0</v>
      </c>
      <c r="F1684" t="str">
        <f>VLOOKUP(A1684,[1]!Table1[#All],17,FALSE)</f>
        <v>UNITED STATES</v>
      </c>
      <c r="G1684" t="str">
        <f>VLOOKUP(A1684,[1]!Table1[#All],22,FALSE)</f>
        <v>Trustees Of Columbia University In The City Of New</v>
      </c>
      <c r="H1684" s="8">
        <f>VLOOKUP(A1684,[1]!Table1[#All],32,FALSE)</f>
        <v>44104</v>
      </c>
      <c r="I1684" s="8">
        <f>VLOOKUP(A1684,[1]!Table1[#All],33,FALSE)</f>
        <v>45929</v>
      </c>
      <c r="J1684" t="str">
        <f t="shared" ca="1" si="26"/>
        <v>Non UDO</v>
      </c>
    </row>
    <row r="1685" spans="1:10" x14ac:dyDescent="0.35">
      <c r="A1685" s="9" t="s">
        <v>53</v>
      </c>
      <c r="B1685" s="10">
        <v>45170</v>
      </c>
      <c r="C1685" s="11">
        <v>1100000</v>
      </c>
      <c r="D1685" s="11">
        <v>1100000</v>
      </c>
      <c r="E1685" s="11">
        <v>0</v>
      </c>
      <c r="F1685" t="str">
        <f>VLOOKUP(A1685,[1]!Table1[#All],17,FALSE)</f>
        <v>UNITED STATES</v>
      </c>
      <c r="G1685" t="str">
        <f>VLOOKUP(A1685,[1]!Table1[#All],22,FALSE)</f>
        <v>Trustees Of Columbia University In The City Of New</v>
      </c>
      <c r="H1685" s="8">
        <f>VLOOKUP(A1685,[1]!Table1[#All],32,FALSE)</f>
        <v>44104</v>
      </c>
      <c r="I1685" s="8">
        <f>VLOOKUP(A1685,[1]!Table1[#All],33,FALSE)</f>
        <v>45929</v>
      </c>
      <c r="J1685" t="str">
        <f t="shared" ca="1" si="26"/>
        <v>Non UDO</v>
      </c>
    </row>
    <row r="1686" spans="1:10" x14ac:dyDescent="0.35">
      <c r="A1686" s="5" t="s">
        <v>54</v>
      </c>
      <c r="B1686" s="6">
        <v>44105</v>
      </c>
      <c r="C1686" s="7">
        <v>1323910</v>
      </c>
      <c r="D1686" s="7">
        <v>0</v>
      </c>
      <c r="E1686" s="7">
        <v>1323910</v>
      </c>
      <c r="F1686" t="str">
        <f>VLOOKUP(A1686,[1]!Table1[#All],17,FALSE)</f>
        <v>UNITED STATES</v>
      </c>
      <c r="G1686" t="str">
        <f>VLOOKUP(A1686,[1]!Table1[#All],22,FALSE)</f>
        <v>Trustees Of Columbia University In The City Of New</v>
      </c>
      <c r="H1686" s="8">
        <f>VLOOKUP(A1686,[1]!Table1[#All],32,FALSE)</f>
        <v>44104</v>
      </c>
      <c r="I1686" s="8">
        <f>VLOOKUP(A1686,[1]!Table1[#All],33,FALSE)</f>
        <v>45929</v>
      </c>
      <c r="J1686" t="str">
        <f t="shared" ca="1" si="26"/>
        <v>Non UDO</v>
      </c>
    </row>
    <row r="1687" spans="1:10" x14ac:dyDescent="0.35">
      <c r="A1687" s="9" t="s">
        <v>54</v>
      </c>
      <c r="B1687" s="10">
        <v>44136</v>
      </c>
      <c r="C1687" s="11">
        <v>1323910</v>
      </c>
      <c r="D1687" s="11">
        <v>0</v>
      </c>
      <c r="E1687" s="11">
        <v>1323910</v>
      </c>
      <c r="F1687" t="str">
        <f>VLOOKUP(A1687,[1]!Table1[#All],17,FALSE)</f>
        <v>UNITED STATES</v>
      </c>
      <c r="G1687" t="str">
        <f>VLOOKUP(A1687,[1]!Table1[#All],22,FALSE)</f>
        <v>Trustees Of Columbia University In The City Of New</v>
      </c>
      <c r="H1687" s="8">
        <f>VLOOKUP(A1687,[1]!Table1[#All],32,FALSE)</f>
        <v>44104</v>
      </c>
      <c r="I1687" s="8">
        <f>VLOOKUP(A1687,[1]!Table1[#All],33,FALSE)</f>
        <v>45929</v>
      </c>
      <c r="J1687" t="str">
        <f t="shared" ca="1" si="26"/>
        <v>Non UDO</v>
      </c>
    </row>
    <row r="1688" spans="1:10" x14ac:dyDescent="0.35">
      <c r="A1688" s="5" t="s">
        <v>54</v>
      </c>
      <c r="B1688" s="6">
        <v>44166</v>
      </c>
      <c r="C1688" s="7">
        <v>1323910</v>
      </c>
      <c r="D1688" s="7">
        <v>0</v>
      </c>
      <c r="E1688" s="7">
        <v>1323910</v>
      </c>
      <c r="F1688" t="str">
        <f>VLOOKUP(A1688,[1]!Table1[#All],17,FALSE)</f>
        <v>UNITED STATES</v>
      </c>
      <c r="G1688" t="str">
        <f>VLOOKUP(A1688,[1]!Table1[#All],22,FALSE)</f>
        <v>Trustees Of Columbia University In The City Of New</v>
      </c>
      <c r="H1688" s="8">
        <f>VLOOKUP(A1688,[1]!Table1[#All],32,FALSE)</f>
        <v>44104</v>
      </c>
      <c r="I1688" s="8">
        <f>VLOOKUP(A1688,[1]!Table1[#All],33,FALSE)</f>
        <v>45929</v>
      </c>
      <c r="J1688" t="str">
        <f t="shared" ca="1" si="26"/>
        <v>Non UDO</v>
      </c>
    </row>
    <row r="1689" spans="1:10" x14ac:dyDescent="0.35">
      <c r="A1689" s="9" t="s">
        <v>54</v>
      </c>
      <c r="B1689" s="10">
        <v>44197</v>
      </c>
      <c r="C1689" s="11">
        <v>1323910</v>
      </c>
      <c r="D1689" s="11">
        <v>251271.80000000002</v>
      </c>
      <c r="E1689" s="11">
        <v>1072638.2</v>
      </c>
      <c r="F1689" t="str">
        <f>VLOOKUP(A1689,[1]!Table1[#All],17,FALSE)</f>
        <v>UNITED STATES</v>
      </c>
      <c r="G1689" t="str">
        <f>VLOOKUP(A1689,[1]!Table1[#All],22,FALSE)</f>
        <v>Trustees Of Columbia University In The City Of New</v>
      </c>
      <c r="H1689" s="8">
        <f>VLOOKUP(A1689,[1]!Table1[#All],32,FALSE)</f>
        <v>44104</v>
      </c>
      <c r="I1689" s="8">
        <f>VLOOKUP(A1689,[1]!Table1[#All],33,FALSE)</f>
        <v>45929</v>
      </c>
      <c r="J1689" t="str">
        <f t="shared" ca="1" si="26"/>
        <v>Non UDO</v>
      </c>
    </row>
    <row r="1690" spans="1:10" x14ac:dyDescent="0.35">
      <c r="A1690" s="5" t="s">
        <v>54</v>
      </c>
      <c r="B1690" s="6">
        <v>44228</v>
      </c>
      <c r="C1690" s="7">
        <v>1323910</v>
      </c>
      <c r="D1690" s="7">
        <v>366505.77</v>
      </c>
      <c r="E1690" s="7">
        <v>957404.2300000001</v>
      </c>
      <c r="F1690" t="str">
        <f>VLOOKUP(A1690,[1]!Table1[#All],17,FALSE)</f>
        <v>UNITED STATES</v>
      </c>
      <c r="G1690" t="str">
        <f>VLOOKUP(A1690,[1]!Table1[#All],22,FALSE)</f>
        <v>Trustees Of Columbia University In The City Of New</v>
      </c>
      <c r="H1690" s="8">
        <f>VLOOKUP(A1690,[1]!Table1[#All],32,FALSE)</f>
        <v>44104</v>
      </c>
      <c r="I1690" s="8">
        <f>VLOOKUP(A1690,[1]!Table1[#All],33,FALSE)</f>
        <v>45929</v>
      </c>
      <c r="J1690" t="str">
        <f t="shared" ca="1" si="26"/>
        <v>Non UDO</v>
      </c>
    </row>
    <row r="1691" spans="1:10" x14ac:dyDescent="0.35">
      <c r="A1691" s="9" t="s">
        <v>54</v>
      </c>
      <c r="B1691" s="10">
        <v>44256</v>
      </c>
      <c r="C1691" s="11">
        <v>1323910</v>
      </c>
      <c r="D1691" s="11">
        <v>544847.19999999995</v>
      </c>
      <c r="E1691" s="11">
        <v>779062.8</v>
      </c>
      <c r="F1691" t="str">
        <f>VLOOKUP(A1691,[1]!Table1[#All],17,FALSE)</f>
        <v>UNITED STATES</v>
      </c>
      <c r="G1691" t="str">
        <f>VLOOKUP(A1691,[1]!Table1[#All],22,FALSE)</f>
        <v>Trustees Of Columbia University In The City Of New</v>
      </c>
      <c r="H1691" s="8">
        <f>VLOOKUP(A1691,[1]!Table1[#All],32,FALSE)</f>
        <v>44104</v>
      </c>
      <c r="I1691" s="8">
        <f>VLOOKUP(A1691,[1]!Table1[#All],33,FALSE)</f>
        <v>45929</v>
      </c>
      <c r="J1691" t="str">
        <f t="shared" ca="1" si="26"/>
        <v>Non UDO</v>
      </c>
    </row>
    <row r="1692" spans="1:10" x14ac:dyDescent="0.35">
      <c r="A1692" s="5" t="s">
        <v>54</v>
      </c>
      <c r="B1692" s="6">
        <v>44287</v>
      </c>
      <c r="C1692" s="7">
        <v>1323910</v>
      </c>
      <c r="D1692" s="7">
        <v>544847.19999999995</v>
      </c>
      <c r="E1692" s="7">
        <v>779062.8</v>
      </c>
      <c r="F1692" t="str">
        <f>VLOOKUP(A1692,[1]!Table1[#All],17,FALSE)</f>
        <v>UNITED STATES</v>
      </c>
      <c r="G1692" t="str">
        <f>VLOOKUP(A1692,[1]!Table1[#All],22,FALSE)</f>
        <v>Trustees Of Columbia University In The City Of New</v>
      </c>
      <c r="H1692" s="8">
        <f>VLOOKUP(A1692,[1]!Table1[#All],32,FALSE)</f>
        <v>44104</v>
      </c>
      <c r="I1692" s="8">
        <f>VLOOKUP(A1692,[1]!Table1[#All],33,FALSE)</f>
        <v>45929</v>
      </c>
      <c r="J1692" t="str">
        <f t="shared" ca="1" si="26"/>
        <v>Non UDO</v>
      </c>
    </row>
    <row r="1693" spans="1:10" x14ac:dyDescent="0.35">
      <c r="A1693" s="9" t="s">
        <v>54</v>
      </c>
      <c r="B1693" s="10">
        <v>44317</v>
      </c>
      <c r="C1693" s="11">
        <v>1323910</v>
      </c>
      <c r="D1693" s="11">
        <v>853213.09</v>
      </c>
      <c r="E1693" s="11">
        <v>470696.91</v>
      </c>
      <c r="F1693" t="str">
        <f>VLOOKUP(A1693,[1]!Table1[#All],17,FALSE)</f>
        <v>UNITED STATES</v>
      </c>
      <c r="G1693" t="str">
        <f>VLOOKUP(A1693,[1]!Table1[#All],22,FALSE)</f>
        <v>Trustees Of Columbia University In The City Of New</v>
      </c>
      <c r="H1693" s="8">
        <f>VLOOKUP(A1693,[1]!Table1[#All],32,FALSE)</f>
        <v>44104</v>
      </c>
      <c r="I1693" s="8">
        <f>VLOOKUP(A1693,[1]!Table1[#All],33,FALSE)</f>
        <v>45929</v>
      </c>
      <c r="J1693" t="str">
        <f t="shared" ca="1" si="26"/>
        <v>Non UDO</v>
      </c>
    </row>
    <row r="1694" spans="1:10" x14ac:dyDescent="0.35">
      <c r="A1694" s="5" t="s">
        <v>54</v>
      </c>
      <c r="B1694" s="6">
        <v>44348</v>
      </c>
      <c r="C1694" s="7">
        <v>1323910</v>
      </c>
      <c r="D1694" s="7">
        <v>1041844.13</v>
      </c>
      <c r="E1694" s="7">
        <v>282065.87</v>
      </c>
      <c r="F1694" t="str">
        <f>VLOOKUP(A1694,[1]!Table1[#All],17,FALSE)</f>
        <v>UNITED STATES</v>
      </c>
      <c r="G1694" t="str">
        <f>VLOOKUP(A1694,[1]!Table1[#All],22,FALSE)</f>
        <v>Trustees Of Columbia University In The City Of New</v>
      </c>
      <c r="H1694" s="8">
        <f>VLOOKUP(A1694,[1]!Table1[#All],32,FALSE)</f>
        <v>44104</v>
      </c>
      <c r="I1694" s="8">
        <f>VLOOKUP(A1694,[1]!Table1[#All],33,FALSE)</f>
        <v>45929</v>
      </c>
      <c r="J1694" t="str">
        <f t="shared" ca="1" si="26"/>
        <v>Non UDO</v>
      </c>
    </row>
    <row r="1695" spans="1:10" x14ac:dyDescent="0.35">
      <c r="A1695" s="9" t="s">
        <v>54</v>
      </c>
      <c r="B1695" s="10">
        <v>44378</v>
      </c>
      <c r="C1695" s="11">
        <v>1323910</v>
      </c>
      <c r="D1695" s="11">
        <v>1207463.49</v>
      </c>
      <c r="E1695" s="11">
        <v>116446.51000000001</v>
      </c>
      <c r="F1695" t="str">
        <f>VLOOKUP(A1695,[1]!Table1[#All],17,FALSE)</f>
        <v>UNITED STATES</v>
      </c>
      <c r="G1695" t="str">
        <f>VLOOKUP(A1695,[1]!Table1[#All],22,FALSE)</f>
        <v>Trustees Of Columbia University In The City Of New</v>
      </c>
      <c r="H1695" s="8">
        <f>VLOOKUP(A1695,[1]!Table1[#All],32,FALSE)</f>
        <v>44104</v>
      </c>
      <c r="I1695" s="8">
        <f>VLOOKUP(A1695,[1]!Table1[#All],33,FALSE)</f>
        <v>45929</v>
      </c>
      <c r="J1695" t="str">
        <f t="shared" ca="1" si="26"/>
        <v>Non UDO</v>
      </c>
    </row>
    <row r="1696" spans="1:10" x14ac:dyDescent="0.35">
      <c r="A1696" s="5" t="s">
        <v>54</v>
      </c>
      <c r="B1696" s="6">
        <v>44409</v>
      </c>
      <c r="C1696" s="7">
        <v>1323910</v>
      </c>
      <c r="D1696" s="7">
        <v>1274124.82</v>
      </c>
      <c r="E1696" s="7">
        <v>49785.18</v>
      </c>
      <c r="F1696" t="str">
        <f>VLOOKUP(A1696,[1]!Table1[#All],17,FALSE)</f>
        <v>UNITED STATES</v>
      </c>
      <c r="G1696" t="str">
        <f>VLOOKUP(A1696,[1]!Table1[#All],22,FALSE)</f>
        <v>Trustees Of Columbia University In The City Of New</v>
      </c>
      <c r="H1696" s="8">
        <f>VLOOKUP(A1696,[1]!Table1[#All],32,FALSE)</f>
        <v>44104</v>
      </c>
      <c r="I1696" s="8">
        <f>VLOOKUP(A1696,[1]!Table1[#All],33,FALSE)</f>
        <v>45929</v>
      </c>
      <c r="J1696" t="str">
        <f t="shared" ca="1" si="26"/>
        <v>Non UDO</v>
      </c>
    </row>
    <row r="1697" spans="1:10" x14ac:dyDescent="0.35">
      <c r="A1697" s="9" t="s">
        <v>54</v>
      </c>
      <c r="B1697" s="10">
        <v>44440</v>
      </c>
      <c r="C1697" s="11">
        <v>1323910</v>
      </c>
      <c r="D1697" s="11">
        <v>1277518.75</v>
      </c>
      <c r="E1697" s="11">
        <v>46391.25</v>
      </c>
      <c r="F1697" t="str">
        <f>VLOOKUP(A1697,[1]!Table1[#All],17,FALSE)</f>
        <v>UNITED STATES</v>
      </c>
      <c r="G1697" t="str">
        <f>VLOOKUP(A1697,[1]!Table1[#All],22,FALSE)</f>
        <v>Trustees Of Columbia University In The City Of New</v>
      </c>
      <c r="H1697" s="8">
        <f>VLOOKUP(A1697,[1]!Table1[#All],32,FALSE)</f>
        <v>44104</v>
      </c>
      <c r="I1697" s="8">
        <f>VLOOKUP(A1697,[1]!Table1[#All],33,FALSE)</f>
        <v>45929</v>
      </c>
      <c r="J1697" t="str">
        <f t="shared" ca="1" si="26"/>
        <v>Non UDO</v>
      </c>
    </row>
    <row r="1698" spans="1:10" x14ac:dyDescent="0.35">
      <c r="A1698" s="5" t="s">
        <v>54</v>
      </c>
      <c r="B1698" s="6">
        <v>44470</v>
      </c>
      <c r="C1698" s="7">
        <v>1323910</v>
      </c>
      <c r="D1698" s="7">
        <v>1277624.3400000001</v>
      </c>
      <c r="E1698" s="7">
        <v>46285.66</v>
      </c>
      <c r="F1698" t="str">
        <f>VLOOKUP(A1698,[1]!Table1[#All],17,FALSE)</f>
        <v>UNITED STATES</v>
      </c>
      <c r="G1698" t="str">
        <f>VLOOKUP(A1698,[1]!Table1[#All],22,FALSE)</f>
        <v>Trustees Of Columbia University In The City Of New</v>
      </c>
      <c r="H1698" s="8">
        <f>VLOOKUP(A1698,[1]!Table1[#All],32,FALSE)</f>
        <v>44104</v>
      </c>
      <c r="I1698" s="8">
        <f>VLOOKUP(A1698,[1]!Table1[#All],33,FALSE)</f>
        <v>45929</v>
      </c>
      <c r="J1698" t="str">
        <f t="shared" ca="1" si="26"/>
        <v>Non UDO</v>
      </c>
    </row>
    <row r="1699" spans="1:10" x14ac:dyDescent="0.35">
      <c r="A1699" s="9" t="s">
        <v>54</v>
      </c>
      <c r="B1699" s="10">
        <v>44501</v>
      </c>
      <c r="C1699" s="11">
        <v>1323910</v>
      </c>
      <c r="D1699" s="11">
        <v>1285113.1200000001</v>
      </c>
      <c r="E1699" s="11">
        <v>38796.879999999997</v>
      </c>
      <c r="F1699" t="str">
        <f>VLOOKUP(A1699,[1]!Table1[#All],17,FALSE)</f>
        <v>UNITED STATES</v>
      </c>
      <c r="G1699" t="str">
        <f>VLOOKUP(A1699,[1]!Table1[#All],22,FALSE)</f>
        <v>Trustees Of Columbia University In The City Of New</v>
      </c>
      <c r="H1699" s="8">
        <f>VLOOKUP(A1699,[1]!Table1[#All],32,FALSE)</f>
        <v>44104</v>
      </c>
      <c r="I1699" s="8">
        <f>VLOOKUP(A1699,[1]!Table1[#All],33,FALSE)</f>
        <v>45929</v>
      </c>
      <c r="J1699" t="str">
        <f t="shared" ca="1" si="26"/>
        <v>Non UDO</v>
      </c>
    </row>
    <row r="1700" spans="1:10" x14ac:dyDescent="0.35">
      <c r="A1700" s="5" t="s">
        <v>54</v>
      </c>
      <c r="B1700" s="6">
        <v>44531</v>
      </c>
      <c r="C1700" s="7">
        <v>1323910</v>
      </c>
      <c r="D1700" s="7">
        <v>1321838.78</v>
      </c>
      <c r="E1700" s="7">
        <v>2071.2199999999998</v>
      </c>
      <c r="F1700" t="str">
        <f>VLOOKUP(A1700,[1]!Table1[#All],17,FALSE)</f>
        <v>UNITED STATES</v>
      </c>
      <c r="G1700" t="str">
        <f>VLOOKUP(A1700,[1]!Table1[#All],22,FALSE)</f>
        <v>Trustees Of Columbia University In The City Of New</v>
      </c>
      <c r="H1700" s="8">
        <f>VLOOKUP(A1700,[1]!Table1[#All],32,FALSE)</f>
        <v>44104</v>
      </c>
      <c r="I1700" s="8">
        <f>VLOOKUP(A1700,[1]!Table1[#All],33,FALSE)</f>
        <v>45929</v>
      </c>
      <c r="J1700" t="str">
        <f t="shared" ca="1" si="26"/>
        <v>Non UDO</v>
      </c>
    </row>
    <row r="1701" spans="1:10" x14ac:dyDescent="0.35">
      <c r="A1701" s="9" t="s">
        <v>54</v>
      </c>
      <c r="B1701" s="10">
        <v>44562</v>
      </c>
      <c r="C1701" s="11">
        <v>1323910</v>
      </c>
      <c r="D1701" s="11">
        <v>1321838.78</v>
      </c>
      <c r="E1701" s="11">
        <v>2071.2199999999998</v>
      </c>
      <c r="F1701" t="str">
        <f>VLOOKUP(A1701,[1]!Table1[#All],17,FALSE)</f>
        <v>UNITED STATES</v>
      </c>
      <c r="G1701" t="str">
        <f>VLOOKUP(A1701,[1]!Table1[#All],22,FALSE)</f>
        <v>Trustees Of Columbia University In The City Of New</v>
      </c>
      <c r="H1701" s="8">
        <f>VLOOKUP(A1701,[1]!Table1[#All],32,FALSE)</f>
        <v>44104</v>
      </c>
      <c r="I1701" s="8">
        <f>VLOOKUP(A1701,[1]!Table1[#All],33,FALSE)</f>
        <v>45929</v>
      </c>
      <c r="J1701" t="str">
        <f t="shared" ca="1" si="26"/>
        <v>Non UDO</v>
      </c>
    </row>
    <row r="1702" spans="1:10" x14ac:dyDescent="0.35">
      <c r="A1702" s="5" t="s">
        <v>54</v>
      </c>
      <c r="B1702" s="6">
        <v>44593</v>
      </c>
      <c r="C1702" s="7">
        <v>1323910</v>
      </c>
      <c r="D1702" s="7">
        <v>1321107.01</v>
      </c>
      <c r="E1702" s="7">
        <v>2802.99</v>
      </c>
      <c r="F1702" t="str">
        <f>VLOOKUP(A1702,[1]!Table1[#All],17,FALSE)</f>
        <v>UNITED STATES</v>
      </c>
      <c r="G1702" t="str">
        <f>VLOOKUP(A1702,[1]!Table1[#All],22,FALSE)</f>
        <v>Trustees Of Columbia University In The City Of New</v>
      </c>
      <c r="H1702" s="8">
        <f>VLOOKUP(A1702,[1]!Table1[#All],32,FALSE)</f>
        <v>44104</v>
      </c>
      <c r="I1702" s="8">
        <f>VLOOKUP(A1702,[1]!Table1[#All],33,FALSE)</f>
        <v>45929</v>
      </c>
      <c r="J1702" t="str">
        <f t="shared" ca="1" si="26"/>
        <v>Non UDO</v>
      </c>
    </row>
    <row r="1703" spans="1:10" x14ac:dyDescent="0.35">
      <c r="A1703" s="9" t="s">
        <v>54</v>
      </c>
      <c r="B1703" s="10">
        <v>44621</v>
      </c>
      <c r="C1703" s="11">
        <v>1323910</v>
      </c>
      <c r="D1703" s="11">
        <v>1321107.01</v>
      </c>
      <c r="E1703" s="11">
        <v>2802.99</v>
      </c>
      <c r="F1703" t="str">
        <f>VLOOKUP(A1703,[1]!Table1[#All],17,FALSE)</f>
        <v>UNITED STATES</v>
      </c>
      <c r="G1703" t="str">
        <f>VLOOKUP(A1703,[1]!Table1[#All],22,FALSE)</f>
        <v>Trustees Of Columbia University In The City Of New</v>
      </c>
      <c r="H1703" s="8">
        <f>VLOOKUP(A1703,[1]!Table1[#All],32,FALSE)</f>
        <v>44104</v>
      </c>
      <c r="I1703" s="8">
        <f>VLOOKUP(A1703,[1]!Table1[#All],33,FALSE)</f>
        <v>45929</v>
      </c>
      <c r="J1703" t="str">
        <f t="shared" ca="1" si="26"/>
        <v>Non UDO</v>
      </c>
    </row>
    <row r="1704" spans="1:10" x14ac:dyDescent="0.35">
      <c r="A1704" s="5" t="s">
        <v>54</v>
      </c>
      <c r="B1704" s="6">
        <v>44652</v>
      </c>
      <c r="C1704" s="7">
        <v>1323910</v>
      </c>
      <c r="D1704" s="7">
        <v>1321107.01</v>
      </c>
      <c r="E1704" s="7">
        <v>2802.99</v>
      </c>
      <c r="F1704" t="str">
        <f>VLOOKUP(A1704,[1]!Table1[#All],17,FALSE)</f>
        <v>UNITED STATES</v>
      </c>
      <c r="G1704" t="str">
        <f>VLOOKUP(A1704,[1]!Table1[#All],22,FALSE)</f>
        <v>Trustees Of Columbia University In The City Of New</v>
      </c>
      <c r="H1704" s="8">
        <f>VLOOKUP(A1704,[1]!Table1[#All],32,FALSE)</f>
        <v>44104</v>
      </c>
      <c r="I1704" s="8">
        <f>VLOOKUP(A1704,[1]!Table1[#All],33,FALSE)</f>
        <v>45929</v>
      </c>
      <c r="J1704" t="str">
        <f t="shared" ca="1" si="26"/>
        <v>Non UDO</v>
      </c>
    </row>
    <row r="1705" spans="1:10" x14ac:dyDescent="0.35">
      <c r="A1705" s="9" t="s">
        <v>54</v>
      </c>
      <c r="B1705" s="10">
        <v>44682</v>
      </c>
      <c r="C1705" s="11">
        <v>1323910</v>
      </c>
      <c r="D1705" s="11">
        <v>1321107.01</v>
      </c>
      <c r="E1705" s="11">
        <v>2802.99</v>
      </c>
      <c r="F1705" t="str">
        <f>VLOOKUP(A1705,[1]!Table1[#All],17,FALSE)</f>
        <v>UNITED STATES</v>
      </c>
      <c r="G1705" t="str">
        <f>VLOOKUP(A1705,[1]!Table1[#All],22,FALSE)</f>
        <v>Trustees Of Columbia University In The City Of New</v>
      </c>
      <c r="H1705" s="8">
        <f>VLOOKUP(A1705,[1]!Table1[#All],32,FALSE)</f>
        <v>44104</v>
      </c>
      <c r="I1705" s="8">
        <f>VLOOKUP(A1705,[1]!Table1[#All],33,FALSE)</f>
        <v>45929</v>
      </c>
      <c r="J1705" t="str">
        <f t="shared" ca="1" si="26"/>
        <v>Non UDO</v>
      </c>
    </row>
    <row r="1706" spans="1:10" x14ac:dyDescent="0.35">
      <c r="A1706" s="5" t="s">
        <v>54</v>
      </c>
      <c r="B1706" s="6">
        <v>44713</v>
      </c>
      <c r="C1706" s="7">
        <v>1323910</v>
      </c>
      <c r="D1706" s="7">
        <v>1321107.01</v>
      </c>
      <c r="E1706" s="7">
        <v>2802.99</v>
      </c>
      <c r="F1706" t="str">
        <f>VLOOKUP(A1706,[1]!Table1[#All],17,FALSE)</f>
        <v>UNITED STATES</v>
      </c>
      <c r="G1706" t="str">
        <f>VLOOKUP(A1706,[1]!Table1[#All],22,FALSE)</f>
        <v>Trustees Of Columbia University In The City Of New</v>
      </c>
      <c r="H1706" s="8">
        <f>VLOOKUP(A1706,[1]!Table1[#All],32,FALSE)</f>
        <v>44104</v>
      </c>
      <c r="I1706" s="8">
        <f>VLOOKUP(A1706,[1]!Table1[#All],33,FALSE)</f>
        <v>45929</v>
      </c>
      <c r="J1706" t="str">
        <f t="shared" ca="1" si="26"/>
        <v>Non UDO</v>
      </c>
    </row>
    <row r="1707" spans="1:10" x14ac:dyDescent="0.35">
      <c r="A1707" s="9" t="s">
        <v>54</v>
      </c>
      <c r="B1707" s="10">
        <v>44743</v>
      </c>
      <c r="C1707" s="11">
        <v>1323910</v>
      </c>
      <c r="D1707" s="11">
        <v>1321107.01</v>
      </c>
      <c r="E1707" s="11">
        <v>2802.99</v>
      </c>
      <c r="F1707" t="str">
        <f>VLOOKUP(A1707,[1]!Table1[#All],17,FALSE)</f>
        <v>UNITED STATES</v>
      </c>
      <c r="G1707" t="str">
        <f>VLOOKUP(A1707,[1]!Table1[#All],22,FALSE)</f>
        <v>Trustees Of Columbia University In The City Of New</v>
      </c>
      <c r="H1707" s="8">
        <f>VLOOKUP(A1707,[1]!Table1[#All],32,FALSE)</f>
        <v>44104</v>
      </c>
      <c r="I1707" s="8">
        <f>VLOOKUP(A1707,[1]!Table1[#All],33,FALSE)</f>
        <v>45929</v>
      </c>
      <c r="J1707" t="str">
        <f t="shared" ca="1" si="26"/>
        <v>Non UDO</v>
      </c>
    </row>
    <row r="1708" spans="1:10" x14ac:dyDescent="0.35">
      <c r="A1708" s="5" t="s">
        <v>54</v>
      </c>
      <c r="B1708" s="6">
        <v>44774</v>
      </c>
      <c r="C1708" s="7">
        <v>1323910</v>
      </c>
      <c r="D1708" s="7">
        <v>1321107.01</v>
      </c>
      <c r="E1708" s="7">
        <v>2802.99</v>
      </c>
      <c r="F1708" t="str">
        <f>VLOOKUP(A1708,[1]!Table1[#All],17,FALSE)</f>
        <v>UNITED STATES</v>
      </c>
      <c r="G1708" t="str">
        <f>VLOOKUP(A1708,[1]!Table1[#All],22,FALSE)</f>
        <v>Trustees Of Columbia University In The City Of New</v>
      </c>
      <c r="H1708" s="8">
        <f>VLOOKUP(A1708,[1]!Table1[#All],32,FALSE)</f>
        <v>44104</v>
      </c>
      <c r="I1708" s="8">
        <f>VLOOKUP(A1708,[1]!Table1[#All],33,FALSE)</f>
        <v>45929</v>
      </c>
      <c r="J1708" t="str">
        <f t="shared" ca="1" si="26"/>
        <v>Non UDO</v>
      </c>
    </row>
    <row r="1709" spans="1:10" x14ac:dyDescent="0.35">
      <c r="A1709" s="9" t="s">
        <v>54</v>
      </c>
      <c r="B1709" s="10">
        <v>44805</v>
      </c>
      <c r="C1709" s="11">
        <v>1323910</v>
      </c>
      <c r="D1709" s="11">
        <v>1323910</v>
      </c>
      <c r="E1709" s="11">
        <v>0</v>
      </c>
      <c r="F1709" t="str">
        <f>VLOOKUP(A1709,[1]!Table1[#All],17,FALSE)</f>
        <v>UNITED STATES</v>
      </c>
      <c r="G1709" t="str">
        <f>VLOOKUP(A1709,[1]!Table1[#All],22,FALSE)</f>
        <v>Trustees Of Columbia University In The City Of New</v>
      </c>
      <c r="H1709" s="8">
        <f>VLOOKUP(A1709,[1]!Table1[#All],32,FALSE)</f>
        <v>44104</v>
      </c>
      <c r="I1709" s="8">
        <f>VLOOKUP(A1709,[1]!Table1[#All],33,FALSE)</f>
        <v>45929</v>
      </c>
      <c r="J1709" t="str">
        <f t="shared" ca="1" si="26"/>
        <v>Non UDO</v>
      </c>
    </row>
    <row r="1710" spans="1:10" x14ac:dyDescent="0.35">
      <c r="A1710" s="5" t="s">
        <v>54</v>
      </c>
      <c r="B1710" s="6">
        <v>44835</v>
      </c>
      <c r="C1710" s="7">
        <v>1323910</v>
      </c>
      <c r="D1710" s="7">
        <v>1323910</v>
      </c>
      <c r="E1710" s="7">
        <v>0</v>
      </c>
      <c r="F1710" t="str">
        <f>VLOOKUP(A1710,[1]!Table1[#All],17,FALSE)</f>
        <v>UNITED STATES</v>
      </c>
      <c r="G1710" t="str">
        <f>VLOOKUP(A1710,[1]!Table1[#All],22,FALSE)</f>
        <v>Trustees Of Columbia University In The City Of New</v>
      </c>
      <c r="H1710" s="8">
        <f>VLOOKUP(A1710,[1]!Table1[#All],32,FALSE)</f>
        <v>44104</v>
      </c>
      <c r="I1710" s="8">
        <f>VLOOKUP(A1710,[1]!Table1[#All],33,FALSE)</f>
        <v>45929</v>
      </c>
      <c r="J1710" t="str">
        <f t="shared" ca="1" si="26"/>
        <v>Non UDO</v>
      </c>
    </row>
    <row r="1711" spans="1:10" x14ac:dyDescent="0.35">
      <c r="A1711" s="9" t="s">
        <v>54</v>
      </c>
      <c r="B1711" s="10">
        <v>44866</v>
      </c>
      <c r="C1711" s="11">
        <v>1323910</v>
      </c>
      <c r="D1711" s="11">
        <v>1323910</v>
      </c>
      <c r="E1711" s="11">
        <v>0</v>
      </c>
      <c r="F1711" t="str">
        <f>VLOOKUP(A1711,[1]!Table1[#All],17,FALSE)</f>
        <v>UNITED STATES</v>
      </c>
      <c r="G1711" t="str">
        <f>VLOOKUP(A1711,[1]!Table1[#All],22,FALSE)</f>
        <v>Trustees Of Columbia University In The City Of New</v>
      </c>
      <c r="H1711" s="8">
        <f>VLOOKUP(A1711,[1]!Table1[#All],32,FALSE)</f>
        <v>44104</v>
      </c>
      <c r="I1711" s="8">
        <f>VLOOKUP(A1711,[1]!Table1[#All],33,FALSE)</f>
        <v>45929</v>
      </c>
      <c r="J1711" t="str">
        <f t="shared" ca="1" si="26"/>
        <v>Non UDO</v>
      </c>
    </row>
    <row r="1712" spans="1:10" x14ac:dyDescent="0.35">
      <c r="A1712" s="5" t="s">
        <v>54</v>
      </c>
      <c r="B1712" s="6">
        <v>44896</v>
      </c>
      <c r="C1712" s="7">
        <v>1323910</v>
      </c>
      <c r="D1712" s="7">
        <v>1323910</v>
      </c>
      <c r="E1712" s="7">
        <v>0</v>
      </c>
      <c r="F1712" t="str">
        <f>VLOOKUP(A1712,[1]!Table1[#All],17,FALSE)</f>
        <v>UNITED STATES</v>
      </c>
      <c r="G1712" t="str">
        <f>VLOOKUP(A1712,[1]!Table1[#All],22,FALSE)</f>
        <v>Trustees Of Columbia University In The City Of New</v>
      </c>
      <c r="H1712" s="8">
        <f>VLOOKUP(A1712,[1]!Table1[#All],32,FALSE)</f>
        <v>44104</v>
      </c>
      <c r="I1712" s="8">
        <f>VLOOKUP(A1712,[1]!Table1[#All],33,FALSE)</f>
        <v>45929</v>
      </c>
      <c r="J1712" t="str">
        <f t="shared" ca="1" si="26"/>
        <v>Non UDO</v>
      </c>
    </row>
    <row r="1713" spans="1:10" x14ac:dyDescent="0.35">
      <c r="A1713" s="9" t="s">
        <v>54</v>
      </c>
      <c r="B1713" s="10">
        <v>44927</v>
      </c>
      <c r="C1713" s="11">
        <v>1323910</v>
      </c>
      <c r="D1713" s="11">
        <v>1323910</v>
      </c>
      <c r="E1713" s="11">
        <v>0</v>
      </c>
      <c r="F1713" t="str">
        <f>VLOOKUP(A1713,[1]!Table1[#All],17,FALSE)</f>
        <v>UNITED STATES</v>
      </c>
      <c r="G1713" t="str">
        <f>VLOOKUP(A1713,[1]!Table1[#All],22,FALSE)</f>
        <v>Trustees Of Columbia University In The City Of New</v>
      </c>
      <c r="H1713" s="8">
        <f>VLOOKUP(A1713,[1]!Table1[#All],32,FALSE)</f>
        <v>44104</v>
      </c>
      <c r="I1713" s="8">
        <f>VLOOKUP(A1713,[1]!Table1[#All],33,FALSE)</f>
        <v>45929</v>
      </c>
      <c r="J1713" t="str">
        <f t="shared" ca="1" si="26"/>
        <v>Non UDO</v>
      </c>
    </row>
    <row r="1714" spans="1:10" x14ac:dyDescent="0.35">
      <c r="A1714" s="5" t="s">
        <v>54</v>
      </c>
      <c r="B1714" s="6">
        <v>44958</v>
      </c>
      <c r="C1714" s="7">
        <v>1323910</v>
      </c>
      <c r="D1714" s="7">
        <v>1323910</v>
      </c>
      <c r="E1714" s="7">
        <v>0</v>
      </c>
      <c r="F1714" t="str">
        <f>VLOOKUP(A1714,[1]!Table1[#All],17,FALSE)</f>
        <v>UNITED STATES</v>
      </c>
      <c r="G1714" t="str">
        <f>VLOOKUP(A1714,[1]!Table1[#All],22,FALSE)</f>
        <v>Trustees Of Columbia University In The City Of New</v>
      </c>
      <c r="H1714" s="8">
        <f>VLOOKUP(A1714,[1]!Table1[#All],32,FALSE)</f>
        <v>44104</v>
      </c>
      <c r="I1714" s="8">
        <f>VLOOKUP(A1714,[1]!Table1[#All],33,FALSE)</f>
        <v>45929</v>
      </c>
      <c r="J1714" t="str">
        <f t="shared" ca="1" si="26"/>
        <v>Non UDO</v>
      </c>
    </row>
    <row r="1715" spans="1:10" x14ac:dyDescent="0.35">
      <c r="A1715" s="9" t="s">
        <v>54</v>
      </c>
      <c r="B1715" s="10">
        <v>44986</v>
      </c>
      <c r="C1715" s="11">
        <v>1323910</v>
      </c>
      <c r="D1715" s="11">
        <v>1323910</v>
      </c>
      <c r="E1715" s="11">
        <v>0</v>
      </c>
      <c r="F1715" t="str">
        <f>VLOOKUP(A1715,[1]!Table1[#All],17,FALSE)</f>
        <v>UNITED STATES</v>
      </c>
      <c r="G1715" t="str">
        <f>VLOOKUP(A1715,[1]!Table1[#All],22,FALSE)</f>
        <v>Trustees Of Columbia University In The City Of New</v>
      </c>
      <c r="H1715" s="8">
        <f>VLOOKUP(A1715,[1]!Table1[#All],32,FALSE)</f>
        <v>44104</v>
      </c>
      <c r="I1715" s="8">
        <f>VLOOKUP(A1715,[1]!Table1[#All],33,FALSE)</f>
        <v>45929</v>
      </c>
      <c r="J1715" t="str">
        <f t="shared" ca="1" si="26"/>
        <v>Non UDO</v>
      </c>
    </row>
    <row r="1716" spans="1:10" x14ac:dyDescent="0.35">
      <c r="A1716" s="5" t="s">
        <v>54</v>
      </c>
      <c r="B1716" s="6">
        <v>45017</v>
      </c>
      <c r="C1716" s="7">
        <v>1323910</v>
      </c>
      <c r="D1716" s="7">
        <v>1323910</v>
      </c>
      <c r="E1716" s="7">
        <v>0</v>
      </c>
      <c r="F1716" t="str">
        <f>VLOOKUP(A1716,[1]!Table1[#All],17,FALSE)</f>
        <v>UNITED STATES</v>
      </c>
      <c r="G1716" t="str">
        <f>VLOOKUP(A1716,[1]!Table1[#All],22,FALSE)</f>
        <v>Trustees Of Columbia University In The City Of New</v>
      </c>
      <c r="H1716" s="8">
        <f>VLOOKUP(A1716,[1]!Table1[#All],32,FALSE)</f>
        <v>44104</v>
      </c>
      <c r="I1716" s="8">
        <f>VLOOKUP(A1716,[1]!Table1[#All],33,FALSE)</f>
        <v>45929</v>
      </c>
      <c r="J1716" t="str">
        <f t="shared" ca="1" si="26"/>
        <v>Non UDO</v>
      </c>
    </row>
    <row r="1717" spans="1:10" x14ac:dyDescent="0.35">
      <c r="A1717" s="9" t="s">
        <v>54</v>
      </c>
      <c r="B1717" s="10">
        <v>45047</v>
      </c>
      <c r="C1717" s="11">
        <v>1323910</v>
      </c>
      <c r="D1717" s="11">
        <v>1323910</v>
      </c>
      <c r="E1717" s="11">
        <v>0</v>
      </c>
      <c r="F1717" t="str">
        <f>VLOOKUP(A1717,[1]!Table1[#All],17,FALSE)</f>
        <v>UNITED STATES</v>
      </c>
      <c r="G1717" t="str">
        <f>VLOOKUP(A1717,[1]!Table1[#All],22,FALSE)</f>
        <v>Trustees Of Columbia University In The City Of New</v>
      </c>
      <c r="H1717" s="8">
        <f>VLOOKUP(A1717,[1]!Table1[#All],32,FALSE)</f>
        <v>44104</v>
      </c>
      <c r="I1717" s="8">
        <f>VLOOKUP(A1717,[1]!Table1[#All],33,FALSE)</f>
        <v>45929</v>
      </c>
      <c r="J1717" t="str">
        <f t="shared" ca="1" si="26"/>
        <v>Non UDO</v>
      </c>
    </row>
    <row r="1718" spans="1:10" x14ac:dyDescent="0.35">
      <c r="A1718" s="5" t="s">
        <v>54</v>
      </c>
      <c r="B1718" s="6">
        <v>45078</v>
      </c>
      <c r="C1718" s="7">
        <v>1323910</v>
      </c>
      <c r="D1718" s="7">
        <v>1323910</v>
      </c>
      <c r="E1718" s="7">
        <v>0</v>
      </c>
      <c r="F1718" t="str">
        <f>VLOOKUP(A1718,[1]!Table1[#All],17,FALSE)</f>
        <v>UNITED STATES</v>
      </c>
      <c r="G1718" t="str">
        <f>VLOOKUP(A1718,[1]!Table1[#All],22,FALSE)</f>
        <v>Trustees Of Columbia University In The City Of New</v>
      </c>
      <c r="H1718" s="8">
        <f>VLOOKUP(A1718,[1]!Table1[#All],32,FALSE)</f>
        <v>44104</v>
      </c>
      <c r="I1718" s="8">
        <f>VLOOKUP(A1718,[1]!Table1[#All],33,FALSE)</f>
        <v>45929</v>
      </c>
      <c r="J1718" t="str">
        <f t="shared" ca="1" si="26"/>
        <v>Non UDO</v>
      </c>
    </row>
    <row r="1719" spans="1:10" x14ac:dyDescent="0.35">
      <c r="A1719" s="9" t="s">
        <v>54</v>
      </c>
      <c r="B1719" s="10">
        <v>45108</v>
      </c>
      <c r="C1719" s="11">
        <v>1323910</v>
      </c>
      <c r="D1719" s="11">
        <v>1323910</v>
      </c>
      <c r="E1719" s="11">
        <v>0</v>
      </c>
      <c r="F1719" t="str">
        <f>VLOOKUP(A1719,[1]!Table1[#All],17,FALSE)</f>
        <v>UNITED STATES</v>
      </c>
      <c r="G1719" t="str">
        <f>VLOOKUP(A1719,[1]!Table1[#All],22,FALSE)</f>
        <v>Trustees Of Columbia University In The City Of New</v>
      </c>
      <c r="H1719" s="8">
        <f>VLOOKUP(A1719,[1]!Table1[#All],32,FALSE)</f>
        <v>44104</v>
      </c>
      <c r="I1719" s="8">
        <f>VLOOKUP(A1719,[1]!Table1[#All],33,FALSE)</f>
        <v>45929</v>
      </c>
      <c r="J1719" t="str">
        <f t="shared" ca="1" si="26"/>
        <v>Non UDO</v>
      </c>
    </row>
    <row r="1720" spans="1:10" x14ac:dyDescent="0.35">
      <c r="A1720" s="5" t="s">
        <v>54</v>
      </c>
      <c r="B1720" s="6">
        <v>45139</v>
      </c>
      <c r="C1720" s="7">
        <v>1323910</v>
      </c>
      <c r="D1720" s="7">
        <v>1323910</v>
      </c>
      <c r="E1720" s="7">
        <v>0</v>
      </c>
      <c r="F1720" t="str">
        <f>VLOOKUP(A1720,[1]!Table1[#All],17,FALSE)</f>
        <v>UNITED STATES</v>
      </c>
      <c r="G1720" t="str">
        <f>VLOOKUP(A1720,[1]!Table1[#All],22,FALSE)</f>
        <v>Trustees Of Columbia University In The City Of New</v>
      </c>
      <c r="H1720" s="8">
        <f>VLOOKUP(A1720,[1]!Table1[#All],32,FALSE)</f>
        <v>44104</v>
      </c>
      <c r="I1720" s="8">
        <f>VLOOKUP(A1720,[1]!Table1[#All],33,FALSE)</f>
        <v>45929</v>
      </c>
      <c r="J1720" t="str">
        <f t="shared" ca="1" si="26"/>
        <v>Non UDO</v>
      </c>
    </row>
    <row r="1721" spans="1:10" x14ac:dyDescent="0.35">
      <c r="A1721" s="9" t="s">
        <v>54</v>
      </c>
      <c r="B1721" s="10">
        <v>45170</v>
      </c>
      <c r="C1721" s="11">
        <v>1323910</v>
      </c>
      <c r="D1721" s="11">
        <v>1323910</v>
      </c>
      <c r="E1721" s="11">
        <v>0</v>
      </c>
      <c r="F1721" t="str">
        <f>VLOOKUP(A1721,[1]!Table1[#All],17,FALSE)</f>
        <v>UNITED STATES</v>
      </c>
      <c r="G1721" t="str">
        <f>VLOOKUP(A1721,[1]!Table1[#All],22,FALSE)</f>
        <v>Trustees Of Columbia University In The City Of New</v>
      </c>
      <c r="H1721" s="8">
        <f>VLOOKUP(A1721,[1]!Table1[#All],32,FALSE)</f>
        <v>44104</v>
      </c>
      <c r="I1721" s="8">
        <f>VLOOKUP(A1721,[1]!Table1[#All],33,FALSE)</f>
        <v>45929</v>
      </c>
      <c r="J1721" t="str">
        <f t="shared" ca="1" si="26"/>
        <v>Non UDO</v>
      </c>
    </row>
    <row r="1722" spans="1:10" x14ac:dyDescent="0.35">
      <c r="A1722" s="5" t="s">
        <v>55</v>
      </c>
      <c r="B1722" s="6">
        <v>44105</v>
      </c>
      <c r="C1722" s="7">
        <v>3210799</v>
      </c>
      <c r="D1722" s="7">
        <v>0</v>
      </c>
      <c r="E1722" s="7">
        <v>3210799</v>
      </c>
      <c r="F1722" t="str">
        <f>VLOOKUP(A1722,[1]!Table1[#All],17,FALSE)</f>
        <v>UNITED STATES</v>
      </c>
      <c r="G1722" t="str">
        <f>VLOOKUP(A1722,[1]!Table1[#All],22,FALSE)</f>
        <v>Trustees Of Columbia University In The City Of New</v>
      </c>
      <c r="H1722" s="8">
        <f>VLOOKUP(A1722,[1]!Table1[#All],32,FALSE)</f>
        <v>44104</v>
      </c>
      <c r="I1722" s="8">
        <f>VLOOKUP(A1722,[1]!Table1[#All],33,FALSE)</f>
        <v>45929</v>
      </c>
      <c r="J1722" t="str">
        <f t="shared" ca="1" si="26"/>
        <v>Non UDO</v>
      </c>
    </row>
    <row r="1723" spans="1:10" x14ac:dyDescent="0.35">
      <c r="A1723" s="9" t="s">
        <v>55</v>
      </c>
      <c r="B1723" s="10">
        <v>44136</v>
      </c>
      <c r="C1723" s="11">
        <v>3210799</v>
      </c>
      <c r="D1723" s="11">
        <v>0</v>
      </c>
      <c r="E1723" s="11">
        <v>3210799</v>
      </c>
      <c r="F1723" t="str">
        <f>VLOOKUP(A1723,[1]!Table1[#All],17,FALSE)</f>
        <v>UNITED STATES</v>
      </c>
      <c r="G1723" t="str">
        <f>VLOOKUP(A1723,[1]!Table1[#All],22,FALSE)</f>
        <v>Trustees Of Columbia University In The City Of New</v>
      </c>
      <c r="H1723" s="8">
        <f>VLOOKUP(A1723,[1]!Table1[#All],32,FALSE)</f>
        <v>44104</v>
      </c>
      <c r="I1723" s="8">
        <f>VLOOKUP(A1723,[1]!Table1[#All],33,FALSE)</f>
        <v>45929</v>
      </c>
      <c r="J1723" t="str">
        <f t="shared" ca="1" si="26"/>
        <v>Non UDO</v>
      </c>
    </row>
    <row r="1724" spans="1:10" x14ac:dyDescent="0.35">
      <c r="A1724" s="5" t="s">
        <v>55</v>
      </c>
      <c r="B1724" s="6">
        <v>44166</v>
      </c>
      <c r="C1724" s="7">
        <v>3210799</v>
      </c>
      <c r="D1724" s="7">
        <v>0</v>
      </c>
      <c r="E1724" s="7">
        <v>3210799</v>
      </c>
      <c r="F1724" t="str">
        <f>VLOOKUP(A1724,[1]!Table1[#All],17,FALSE)</f>
        <v>UNITED STATES</v>
      </c>
      <c r="G1724" t="str">
        <f>VLOOKUP(A1724,[1]!Table1[#All],22,FALSE)</f>
        <v>Trustees Of Columbia University In The City Of New</v>
      </c>
      <c r="H1724" s="8">
        <f>VLOOKUP(A1724,[1]!Table1[#All],32,FALSE)</f>
        <v>44104</v>
      </c>
      <c r="I1724" s="8">
        <f>VLOOKUP(A1724,[1]!Table1[#All],33,FALSE)</f>
        <v>45929</v>
      </c>
      <c r="J1724" t="str">
        <f t="shared" ca="1" si="26"/>
        <v>Non UDO</v>
      </c>
    </row>
    <row r="1725" spans="1:10" x14ac:dyDescent="0.35">
      <c r="A1725" s="9" t="s">
        <v>55</v>
      </c>
      <c r="B1725" s="10">
        <v>44197</v>
      </c>
      <c r="C1725" s="11">
        <v>3210799</v>
      </c>
      <c r="D1725" s="11">
        <v>264169.32</v>
      </c>
      <c r="E1725" s="11">
        <v>2946629.68</v>
      </c>
      <c r="F1725" t="str">
        <f>VLOOKUP(A1725,[1]!Table1[#All],17,FALSE)</f>
        <v>UNITED STATES</v>
      </c>
      <c r="G1725" t="str">
        <f>VLOOKUP(A1725,[1]!Table1[#All],22,FALSE)</f>
        <v>Trustees Of Columbia University In The City Of New</v>
      </c>
      <c r="H1725" s="8">
        <f>VLOOKUP(A1725,[1]!Table1[#All],32,FALSE)</f>
        <v>44104</v>
      </c>
      <c r="I1725" s="8">
        <f>VLOOKUP(A1725,[1]!Table1[#All],33,FALSE)</f>
        <v>45929</v>
      </c>
      <c r="J1725" t="str">
        <f t="shared" ca="1" si="26"/>
        <v>Non UDO</v>
      </c>
    </row>
    <row r="1726" spans="1:10" x14ac:dyDescent="0.35">
      <c r="A1726" s="5" t="s">
        <v>55</v>
      </c>
      <c r="B1726" s="6">
        <v>44228</v>
      </c>
      <c r="C1726" s="7">
        <v>3210799</v>
      </c>
      <c r="D1726" s="7">
        <v>365671.09</v>
      </c>
      <c r="E1726" s="7">
        <v>2845127.91</v>
      </c>
      <c r="F1726" t="str">
        <f>VLOOKUP(A1726,[1]!Table1[#All],17,FALSE)</f>
        <v>UNITED STATES</v>
      </c>
      <c r="G1726" t="str">
        <f>VLOOKUP(A1726,[1]!Table1[#All],22,FALSE)</f>
        <v>Trustees Of Columbia University In The City Of New</v>
      </c>
      <c r="H1726" s="8">
        <f>VLOOKUP(A1726,[1]!Table1[#All],32,FALSE)</f>
        <v>44104</v>
      </c>
      <c r="I1726" s="8">
        <f>VLOOKUP(A1726,[1]!Table1[#All],33,FALSE)</f>
        <v>45929</v>
      </c>
      <c r="J1726" t="str">
        <f t="shared" ca="1" si="26"/>
        <v>Non UDO</v>
      </c>
    </row>
    <row r="1727" spans="1:10" x14ac:dyDescent="0.35">
      <c r="A1727" s="9" t="s">
        <v>55</v>
      </c>
      <c r="B1727" s="10">
        <v>44256</v>
      </c>
      <c r="C1727" s="11">
        <v>3210799</v>
      </c>
      <c r="D1727" s="11">
        <v>666156.77999999991</v>
      </c>
      <c r="E1727" s="11">
        <v>2544642.2199999997</v>
      </c>
      <c r="F1727" t="str">
        <f>VLOOKUP(A1727,[1]!Table1[#All],17,FALSE)</f>
        <v>UNITED STATES</v>
      </c>
      <c r="G1727" t="str">
        <f>VLOOKUP(A1727,[1]!Table1[#All],22,FALSE)</f>
        <v>Trustees Of Columbia University In The City Of New</v>
      </c>
      <c r="H1727" s="8">
        <f>VLOOKUP(A1727,[1]!Table1[#All],32,FALSE)</f>
        <v>44104</v>
      </c>
      <c r="I1727" s="8">
        <f>VLOOKUP(A1727,[1]!Table1[#All],33,FALSE)</f>
        <v>45929</v>
      </c>
      <c r="J1727" t="str">
        <f t="shared" ca="1" si="26"/>
        <v>Non UDO</v>
      </c>
    </row>
    <row r="1728" spans="1:10" x14ac:dyDescent="0.35">
      <c r="A1728" s="5" t="s">
        <v>55</v>
      </c>
      <c r="B1728" s="6">
        <v>44287</v>
      </c>
      <c r="C1728" s="7">
        <v>3210799</v>
      </c>
      <c r="D1728" s="7">
        <v>630596.55999999994</v>
      </c>
      <c r="E1728" s="7">
        <v>2580202.44</v>
      </c>
      <c r="F1728" t="str">
        <f>VLOOKUP(A1728,[1]!Table1[#All],17,FALSE)</f>
        <v>UNITED STATES</v>
      </c>
      <c r="G1728" t="str">
        <f>VLOOKUP(A1728,[1]!Table1[#All],22,FALSE)</f>
        <v>Trustees Of Columbia University In The City Of New</v>
      </c>
      <c r="H1728" s="8">
        <f>VLOOKUP(A1728,[1]!Table1[#All],32,FALSE)</f>
        <v>44104</v>
      </c>
      <c r="I1728" s="8">
        <f>VLOOKUP(A1728,[1]!Table1[#All],33,FALSE)</f>
        <v>45929</v>
      </c>
      <c r="J1728" t="str">
        <f t="shared" ca="1" si="26"/>
        <v>Non UDO</v>
      </c>
    </row>
    <row r="1729" spans="1:10" x14ac:dyDescent="0.35">
      <c r="A1729" s="9" t="s">
        <v>55</v>
      </c>
      <c r="B1729" s="10">
        <v>44317</v>
      </c>
      <c r="C1729" s="11">
        <v>3210799</v>
      </c>
      <c r="D1729" s="11">
        <v>1037605.7</v>
      </c>
      <c r="E1729" s="11">
        <v>2173193.2999999998</v>
      </c>
      <c r="F1729" t="str">
        <f>VLOOKUP(A1729,[1]!Table1[#All],17,FALSE)</f>
        <v>UNITED STATES</v>
      </c>
      <c r="G1729" t="str">
        <f>VLOOKUP(A1729,[1]!Table1[#All],22,FALSE)</f>
        <v>Trustees Of Columbia University In The City Of New</v>
      </c>
      <c r="H1729" s="8">
        <f>VLOOKUP(A1729,[1]!Table1[#All],32,FALSE)</f>
        <v>44104</v>
      </c>
      <c r="I1729" s="8">
        <f>VLOOKUP(A1729,[1]!Table1[#All],33,FALSE)</f>
        <v>45929</v>
      </c>
      <c r="J1729" t="str">
        <f t="shared" ca="1" si="26"/>
        <v>Non UDO</v>
      </c>
    </row>
    <row r="1730" spans="1:10" x14ac:dyDescent="0.35">
      <c r="A1730" s="5" t="s">
        <v>55</v>
      </c>
      <c r="B1730" s="6">
        <v>44348</v>
      </c>
      <c r="C1730" s="7">
        <v>3210799</v>
      </c>
      <c r="D1730" s="7">
        <v>1247668.02</v>
      </c>
      <c r="E1730" s="7">
        <v>1963130.98</v>
      </c>
      <c r="F1730" t="str">
        <f>VLOOKUP(A1730,[1]!Table1[#All],17,FALSE)</f>
        <v>UNITED STATES</v>
      </c>
      <c r="G1730" t="str">
        <f>VLOOKUP(A1730,[1]!Table1[#All],22,FALSE)</f>
        <v>Trustees Of Columbia University In The City Of New</v>
      </c>
      <c r="H1730" s="8">
        <f>VLOOKUP(A1730,[1]!Table1[#All],32,FALSE)</f>
        <v>44104</v>
      </c>
      <c r="I1730" s="8">
        <f>VLOOKUP(A1730,[1]!Table1[#All],33,FALSE)</f>
        <v>45929</v>
      </c>
      <c r="J1730" t="str">
        <f t="shared" ca="1" si="26"/>
        <v>Non UDO</v>
      </c>
    </row>
    <row r="1731" spans="1:10" x14ac:dyDescent="0.35">
      <c r="A1731" s="9" t="s">
        <v>55</v>
      </c>
      <c r="B1731" s="10">
        <v>44378</v>
      </c>
      <c r="C1731" s="11">
        <v>3210799</v>
      </c>
      <c r="D1731" s="11">
        <v>1436592.15</v>
      </c>
      <c r="E1731" s="11">
        <v>1774206.85</v>
      </c>
      <c r="F1731" t="str">
        <f>VLOOKUP(A1731,[1]!Table1[#All],17,FALSE)</f>
        <v>UNITED STATES</v>
      </c>
      <c r="G1731" t="str">
        <f>VLOOKUP(A1731,[1]!Table1[#All],22,FALSE)</f>
        <v>Trustees Of Columbia University In The City Of New</v>
      </c>
      <c r="H1731" s="8">
        <f>VLOOKUP(A1731,[1]!Table1[#All],32,FALSE)</f>
        <v>44104</v>
      </c>
      <c r="I1731" s="8">
        <f>VLOOKUP(A1731,[1]!Table1[#All],33,FALSE)</f>
        <v>45929</v>
      </c>
      <c r="J1731" t="str">
        <f t="shared" ref="J1731:J1794" ca="1" si="27">IF(AND( E1731&gt;0,TODAY()&gt;I1731),"UDO","Non UDO")</f>
        <v>Non UDO</v>
      </c>
    </row>
    <row r="1732" spans="1:10" x14ac:dyDescent="0.35">
      <c r="A1732" s="5" t="s">
        <v>55</v>
      </c>
      <c r="B1732" s="6">
        <v>44409</v>
      </c>
      <c r="C1732" s="7">
        <v>3210799</v>
      </c>
      <c r="D1732" s="7">
        <v>1548118.8</v>
      </c>
      <c r="E1732" s="7">
        <v>1662680.2</v>
      </c>
      <c r="F1732" t="str">
        <f>VLOOKUP(A1732,[1]!Table1[#All],17,FALSE)</f>
        <v>UNITED STATES</v>
      </c>
      <c r="G1732" t="str">
        <f>VLOOKUP(A1732,[1]!Table1[#All],22,FALSE)</f>
        <v>Trustees Of Columbia University In The City Of New</v>
      </c>
      <c r="H1732" s="8">
        <f>VLOOKUP(A1732,[1]!Table1[#All],32,FALSE)</f>
        <v>44104</v>
      </c>
      <c r="I1732" s="8">
        <f>VLOOKUP(A1732,[1]!Table1[#All],33,FALSE)</f>
        <v>45929</v>
      </c>
      <c r="J1732" t="str">
        <f t="shared" ca="1" si="27"/>
        <v>Non UDO</v>
      </c>
    </row>
    <row r="1733" spans="1:10" x14ac:dyDescent="0.35">
      <c r="A1733" s="9" t="s">
        <v>55</v>
      </c>
      <c r="B1733" s="10">
        <v>44440</v>
      </c>
      <c r="C1733" s="11">
        <v>3210799</v>
      </c>
      <c r="D1733" s="11">
        <v>2245308.0799999996</v>
      </c>
      <c r="E1733" s="11">
        <v>965490.91999999993</v>
      </c>
      <c r="F1733" t="str">
        <f>VLOOKUP(A1733,[1]!Table1[#All],17,FALSE)</f>
        <v>UNITED STATES</v>
      </c>
      <c r="G1733" t="str">
        <f>VLOOKUP(A1733,[1]!Table1[#All],22,FALSE)</f>
        <v>Trustees Of Columbia University In The City Of New</v>
      </c>
      <c r="H1733" s="8">
        <f>VLOOKUP(A1733,[1]!Table1[#All],32,FALSE)</f>
        <v>44104</v>
      </c>
      <c r="I1733" s="8">
        <f>VLOOKUP(A1733,[1]!Table1[#All],33,FALSE)</f>
        <v>45929</v>
      </c>
      <c r="J1733" t="str">
        <f t="shared" ca="1" si="27"/>
        <v>Non UDO</v>
      </c>
    </row>
    <row r="1734" spans="1:10" x14ac:dyDescent="0.35">
      <c r="A1734" s="5" t="s">
        <v>55</v>
      </c>
      <c r="B1734" s="6">
        <v>44470</v>
      </c>
      <c r="C1734" s="7">
        <v>3210799</v>
      </c>
      <c r="D1734" s="7">
        <v>2227940.77</v>
      </c>
      <c r="E1734" s="7">
        <v>982858.23</v>
      </c>
      <c r="F1734" t="str">
        <f>VLOOKUP(A1734,[1]!Table1[#All],17,FALSE)</f>
        <v>UNITED STATES</v>
      </c>
      <c r="G1734" t="str">
        <f>VLOOKUP(A1734,[1]!Table1[#All],22,FALSE)</f>
        <v>Trustees Of Columbia University In The City Of New</v>
      </c>
      <c r="H1734" s="8">
        <f>VLOOKUP(A1734,[1]!Table1[#All],32,FALSE)</f>
        <v>44104</v>
      </c>
      <c r="I1734" s="8">
        <f>VLOOKUP(A1734,[1]!Table1[#All],33,FALSE)</f>
        <v>45929</v>
      </c>
      <c r="J1734" t="str">
        <f t="shared" ca="1" si="27"/>
        <v>Non UDO</v>
      </c>
    </row>
    <row r="1735" spans="1:10" x14ac:dyDescent="0.35">
      <c r="A1735" s="9" t="s">
        <v>55</v>
      </c>
      <c r="B1735" s="10">
        <v>44501</v>
      </c>
      <c r="C1735" s="11">
        <v>3210799</v>
      </c>
      <c r="D1735" s="11">
        <v>2310525.1</v>
      </c>
      <c r="E1735" s="11">
        <v>900273.9</v>
      </c>
      <c r="F1735" t="str">
        <f>VLOOKUP(A1735,[1]!Table1[#All],17,FALSE)</f>
        <v>UNITED STATES</v>
      </c>
      <c r="G1735" t="str">
        <f>VLOOKUP(A1735,[1]!Table1[#All],22,FALSE)</f>
        <v>Trustees Of Columbia University In The City Of New</v>
      </c>
      <c r="H1735" s="8">
        <f>VLOOKUP(A1735,[1]!Table1[#All],32,FALSE)</f>
        <v>44104</v>
      </c>
      <c r="I1735" s="8">
        <f>VLOOKUP(A1735,[1]!Table1[#All],33,FALSE)</f>
        <v>45929</v>
      </c>
      <c r="J1735" t="str">
        <f t="shared" ca="1" si="27"/>
        <v>Non UDO</v>
      </c>
    </row>
    <row r="1736" spans="1:10" x14ac:dyDescent="0.35">
      <c r="A1736" s="5" t="s">
        <v>55</v>
      </c>
      <c r="B1736" s="6">
        <v>44531</v>
      </c>
      <c r="C1736" s="7">
        <v>3210799</v>
      </c>
      <c r="D1736" s="7">
        <v>2659212.5099999998</v>
      </c>
      <c r="E1736" s="7">
        <v>551586.49</v>
      </c>
      <c r="F1736" t="str">
        <f>VLOOKUP(A1736,[1]!Table1[#All],17,FALSE)</f>
        <v>UNITED STATES</v>
      </c>
      <c r="G1736" t="str">
        <f>VLOOKUP(A1736,[1]!Table1[#All],22,FALSE)</f>
        <v>Trustees Of Columbia University In The City Of New</v>
      </c>
      <c r="H1736" s="8">
        <f>VLOOKUP(A1736,[1]!Table1[#All],32,FALSE)</f>
        <v>44104</v>
      </c>
      <c r="I1736" s="8">
        <f>VLOOKUP(A1736,[1]!Table1[#All],33,FALSE)</f>
        <v>45929</v>
      </c>
      <c r="J1736" t="str">
        <f t="shared" ca="1" si="27"/>
        <v>Non UDO</v>
      </c>
    </row>
    <row r="1737" spans="1:10" x14ac:dyDescent="0.35">
      <c r="A1737" s="9" t="s">
        <v>55</v>
      </c>
      <c r="B1737" s="10">
        <v>44562</v>
      </c>
      <c r="C1737" s="11">
        <v>3210799</v>
      </c>
      <c r="D1737" s="11">
        <v>2807157.83</v>
      </c>
      <c r="E1737" s="11">
        <v>403641.17</v>
      </c>
      <c r="F1737" t="str">
        <f>VLOOKUP(A1737,[1]!Table1[#All],17,FALSE)</f>
        <v>UNITED STATES</v>
      </c>
      <c r="G1737" t="str">
        <f>VLOOKUP(A1737,[1]!Table1[#All],22,FALSE)</f>
        <v>Trustees Of Columbia University In The City Of New</v>
      </c>
      <c r="H1737" s="8">
        <f>VLOOKUP(A1737,[1]!Table1[#All],32,FALSE)</f>
        <v>44104</v>
      </c>
      <c r="I1737" s="8">
        <f>VLOOKUP(A1737,[1]!Table1[#All],33,FALSE)</f>
        <v>45929</v>
      </c>
      <c r="J1737" t="str">
        <f t="shared" ca="1" si="27"/>
        <v>Non UDO</v>
      </c>
    </row>
    <row r="1738" spans="1:10" x14ac:dyDescent="0.35">
      <c r="A1738" s="5" t="s">
        <v>55</v>
      </c>
      <c r="B1738" s="6">
        <v>44593</v>
      </c>
      <c r="C1738" s="7">
        <v>3210799</v>
      </c>
      <c r="D1738" s="7">
        <v>3086011.9400000004</v>
      </c>
      <c r="E1738" s="7">
        <v>124787.06</v>
      </c>
      <c r="F1738" t="str">
        <f>VLOOKUP(A1738,[1]!Table1[#All],17,FALSE)</f>
        <v>UNITED STATES</v>
      </c>
      <c r="G1738" t="str">
        <f>VLOOKUP(A1738,[1]!Table1[#All],22,FALSE)</f>
        <v>Trustees Of Columbia University In The City Of New</v>
      </c>
      <c r="H1738" s="8">
        <f>VLOOKUP(A1738,[1]!Table1[#All],32,FALSE)</f>
        <v>44104</v>
      </c>
      <c r="I1738" s="8">
        <f>VLOOKUP(A1738,[1]!Table1[#All],33,FALSE)</f>
        <v>45929</v>
      </c>
      <c r="J1738" t="str">
        <f t="shared" ca="1" si="27"/>
        <v>Non UDO</v>
      </c>
    </row>
    <row r="1739" spans="1:10" x14ac:dyDescent="0.35">
      <c r="A1739" s="9" t="s">
        <v>55</v>
      </c>
      <c r="B1739" s="10">
        <v>44621</v>
      </c>
      <c r="C1739" s="11">
        <v>3210799</v>
      </c>
      <c r="D1739" s="11">
        <v>3207565.74</v>
      </c>
      <c r="E1739" s="11">
        <v>3233.26</v>
      </c>
      <c r="F1739" t="str">
        <f>VLOOKUP(A1739,[1]!Table1[#All],17,FALSE)</f>
        <v>UNITED STATES</v>
      </c>
      <c r="G1739" t="str">
        <f>VLOOKUP(A1739,[1]!Table1[#All],22,FALSE)</f>
        <v>Trustees Of Columbia University In The City Of New</v>
      </c>
      <c r="H1739" s="8">
        <f>VLOOKUP(A1739,[1]!Table1[#All],32,FALSE)</f>
        <v>44104</v>
      </c>
      <c r="I1739" s="8">
        <f>VLOOKUP(A1739,[1]!Table1[#All],33,FALSE)</f>
        <v>45929</v>
      </c>
      <c r="J1739" t="str">
        <f t="shared" ca="1" si="27"/>
        <v>Non UDO</v>
      </c>
    </row>
    <row r="1740" spans="1:10" x14ac:dyDescent="0.35">
      <c r="A1740" s="5" t="s">
        <v>55</v>
      </c>
      <c r="B1740" s="6">
        <v>44652</v>
      </c>
      <c r="C1740" s="7">
        <v>3210799</v>
      </c>
      <c r="D1740" s="7">
        <v>3207565.74</v>
      </c>
      <c r="E1740" s="7">
        <v>3233.26</v>
      </c>
      <c r="F1740" t="str">
        <f>VLOOKUP(A1740,[1]!Table1[#All],17,FALSE)</f>
        <v>UNITED STATES</v>
      </c>
      <c r="G1740" t="str">
        <f>VLOOKUP(A1740,[1]!Table1[#All],22,FALSE)</f>
        <v>Trustees Of Columbia University In The City Of New</v>
      </c>
      <c r="H1740" s="8">
        <f>VLOOKUP(A1740,[1]!Table1[#All],32,FALSE)</f>
        <v>44104</v>
      </c>
      <c r="I1740" s="8">
        <f>VLOOKUP(A1740,[1]!Table1[#All],33,FALSE)</f>
        <v>45929</v>
      </c>
      <c r="J1740" t="str">
        <f t="shared" ca="1" si="27"/>
        <v>Non UDO</v>
      </c>
    </row>
    <row r="1741" spans="1:10" x14ac:dyDescent="0.35">
      <c r="A1741" s="9" t="s">
        <v>55</v>
      </c>
      <c r="B1741" s="10">
        <v>44682</v>
      </c>
      <c r="C1741" s="11">
        <v>3210799</v>
      </c>
      <c r="D1741" s="11">
        <v>3207565.74</v>
      </c>
      <c r="E1741" s="11">
        <v>3233.26</v>
      </c>
      <c r="F1741" t="str">
        <f>VLOOKUP(A1741,[1]!Table1[#All],17,FALSE)</f>
        <v>UNITED STATES</v>
      </c>
      <c r="G1741" t="str">
        <f>VLOOKUP(A1741,[1]!Table1[#All],22,FALSE)</f>
        <v>Trustees Of Columbia University In The City Of New</v>
      </c>
      <c r="H1741" s="8">
        <f>VLOOKUP(A1741,[1]!Table1[#All],32,FALSE)</f>
        <v>44104</v>
      </c>
      <c r="I1741" s="8">
        <f>VLOOKUP(A1741,[1]!Table1[#All],33,FALSE)</f>
        <v>45929</v>
      </c>
      <c r="J1741" t="str">
        <f t="shared" ca="1" si="27"/>
        <v>Non UDO</v>
      </c>
    </row>
    <row r="1742" spans="1:10" x14ac:dyDescent="0.35">
      <c r="A1742" s="5" t="s">
        <v>55</v>
      </c>
      <c r="B1742" s="6">
        <v>44713</v>
      </c>
      <c r="C1742" s="7">
        <v>3210799</v>
      </c>
      <c r="D1742" s="7">
        <v>3207565.74</v>
      </c>
      <c r="E1742" s="7">
        <v>3233.26</v>
      </c>
      <c r="F1742" t="str">
        <f>VLOOKUP(A1742,[1]!Table1[#All],17,FALSE)</f>
        <v>UNITED STATES</v>
      </c>
      <c r="G1742" t="str">
        <f>VLOOKUP(A1742,[1]!Table1[#All],22,FALSE)</f>
        <v>Trustees Of Columbia University In The City Of New</v>
      </c>
      <c r="H1742" s="8">
        <f>VLOOKUP(A1742,[1]!Table1[#All],32,FALSE)</f>
        <v>44104</v>
      </c>
      <c r="I1742" s="8">
        <f>VLOOKUP(A1742,[1]!Table1[#All],33,FALSE)</f>
        <v>45929</v>
      </c>
      <c r="J1742" t="str">
        <f t="shared" ca="1" si="27"/>
        <v>Non UDO</v>
      </c>
    </row>
    <row r="1743" spans="1:10" x14ac:dyDescent="0.35">
      <c r="A1743" s="9" t="s">
        <v>55</v>
      </c>
      <c r="B1743" s="10">
        <v>44743</v>
      </c>
      <c r="C1743" s="11">
        <v>3210799</v>
      </c>
      <c r="D1743" s="11">
        <v>3207565.74</v>
      </c>
      <c r="E1743" s="11">
        <v>3233.26</v>
      </c>
      <c r="F1743" t="str">
        <f>VLOOKUP(A1743,[1]!Table1[#All],17,FALSE)</f>
        <v>UNITED STATES</v>
      </c>
      <c r="G1743" t="str">
        <f>VLOOKUP(A1743,[1]!Table1[#All],22,FALSE)</f>
        <v>Trustees Of Columbia University In The City Of New</v>
      </c>
      <c r="H1743" s="8">
        <f>VLOOKUP(A1743,[1]!Table1[#All],32,FALSE)</f>
        <v>44104</v>
      </c>
      <c r="I1743" s="8">
        <f>VLOOKUP(A1743,[1]!Table1[#All],33,FALSE)</f>
        <v>45929</v>
      </c>
      <c r="J1743" t="str">
        <f t="shared" ca="1" si="27"/>
        <v>Non UDO</v>
      </c>
    </row>
    <row r="1744" spans="1:10" x14ac:dyDescent="0.35">
      <c r="A1744" s="5" t="s">
        <v>55</v>
      </c>
      <c r="B1744" s="6">
        <v>44774</v>
      </c>
      <c r="C1744" s="7">
        <v>3210799</v>
      </c>
      <c r="D1744" s="7">
        <v>3207565.74</v>
      </c>
      <c r="E1744" s="7">
        <v>3233.26</v>
      </c>
      <c r="F1744" t="str">
        <f>VLOOKUP(A1744,[1]!Table1[#All],17,FALSE)</f>
        <v>UNITED STATES</v>
      </c>
      <c r="G1744" t="str">
        <f>VLOOKUP(A1744,[1]!Table1[#All],22,FALSE)</f>
        <v>Trustees Of Columbia University In The City Of New</v>
      </c>
      <c r="H1744" s="8">
        <f>VLOOKUP(A1744,[1]!Table1[#All],32,FALSE)</f>
        <v>44104</v>
      </c>
      <c r="I1744" s="8">
        <f>VLOOKUP(A1744,[1]!Table1[#All],33,FALSE)</f>
        <v>45929</v>
      </c>
      <c r="J1744" t="str">
        <f t="shared" ca="1" si="27"/>
        <v>Non UDO</v>
      </c>
    </row>
    <row r="1745" spans="1:10" x14ac:dyDescent="0.35">
      <c r="A1745" s="9" t="s">
        <v>55</v>
      </c>
      <c r="B1745" s="10">
        <v>44805</v>
      </c>
      <c r="C1745" s="11">
        <v>3210799</v>
      </c>
      <c r="D1745" s="11">
        <v>3207565.74</v>
      </c>
      <c r="E1745" s="11">
        <v>3233.26</v>
      </c>
      <c r="F1745" t="str">
        <f>VLOOKUP(A1745,[1]!Table1[#All],17,FALSE)</f>
        <v>UNITED STATES</v>
      </c>
      <c r="G1745" t="str">
        <f>VLOOKUP(A1745,[1]!Table1[#All],22,FALSE)</f>
        <v>Trustees Of Columbia University In The City Of New</v>
      </c>
      <c r="H1745" s="8">
        <f>VLOOKUP(A1745,[1]!Table1[#All],32,FALSE)</f>
        <v>44104</v>
      </c>
      <c r="I1745" s="8">
        <f>VLOOKUP(A1745,[1]!Table1[#All],33,FALSE)</f>
        <v>45929</v>
      </c>
      <c r="J1745" t="str">
        <f t="shared" ca="1" si="27"/>
        <v>Non UDO</v>
      </c>
    </row>
    <row r="1746" spans="1:10" x14ac:dyDescent="0.35">
      <c r="A1746" s="5" t="s">
        <v>55</v>
      </c>
      <c r="B1746" s="6">
        <v>44835</v>
      </c>
      <c r="C1746" s="7">
        <v>3210799</v>
      </c>
      <c r="D1746" s="7">
        <v>3207565.74</v>
      </c>
      <c r="E1746" s="7">
        <v>3233.26</v>
      </c>
      <c r="F1746" t="str">
        <f>VLOOKUP(A1746,[1]!Table1[#All],17,FALSE)</f>
        <v>UNITED STATES</v>
      </c>
      <c r="G1746" t="str">
        <f>VLOOKUP(A1746,[1]!Table1[#All],22,FALSE)</f>
        <v>Trustees Of Columbia University In The City Of New</v>
      </c>
      <c r="H1746" s="8">
        <f>VLOOKUP(A1746,[1]!Table1[#All],32,FALSE)</f>
        <v>44104</v>
      </c>
      <c r="I1746" s="8">
        <f>VLOOKUP(A1746,[1]!Table1[#All],33,FALSE)</f>
        <v>45929</v>
      </c>
      <c r="J1746" t="str">
        <f t="shared" ca="1" si="27"/>
        <v>Non UDO</v>
      </c>
    </row>
    <row r="1747" spans="1:10" x14ac:dyDescent="0.35">
      <c r="A1747" s="9" t="s">
        <v>55</v>
      </c>
      <c r="B1747" s="10">
        <v>44866</v>
      </c>
      <c r="C1747" s="11">
        <v>3210799</v>
      </c>
      <c r="D1747" s="11">
        <v>3207565.74</v>
      </c>
      <c r="E1747" s="11">
        <v>3233.26</v>
      </c>
      <c r="F1747" t="str">
        <f>VLOOKUP(A1747,[1]!Table1[#All],17,FALSE)</f>
        <v>UNITED STATES</v>
      </c>
      <c r="G1747" t="str">
        <f>VLOOKUP(A1747,[1]!Table1[#All],22,FALSE)</f>
        <v>Trustees Of Columbia University In The City Of New</v>
      </c>
      <c r="H1747" s="8">
        <f>VLOOKUP(A1747,[1]!Table1[#All],32,FALSE)</f>
        <v>44104</v>
      </c>
      <c r="I1747" s="8">
        <f>VLOOKUP(A1747,[1]!Table1[#All],33,FALSE)</f>
        <v>45929</v>
      </c>
      <c r="J1747" t="str">
        <f t="shared" ca="1" si="27"/>
        <v>Non UDO</v>
      </c>
    </row>
    <row r="1748" spans="1:10" x14ac:dyDescent="0.35">
      <c r="A1748" s="5" t="s">
        <v>55</v>
      </c>
      <c r="B1748" s="6">
        <v>44896</v>
      </c>
      <c r="C1748" s="7">
        <v>3210799</v>
      </c>
      <c r="D1748" s="7">
        <v>3207565.74</v>
      </c>
      <c r="E1748" s="7">
        <v>3233.26</v>
      </c>
      <c r="F1748" t="str">
        <f>VLOOKUP(A1748,[1]!Table1[#All],17,FALSE)</f>
        <v>UNITED STATES</v>
      </c>
      <c r="G1748" t="str">
        <f>VLOOKUP(A1748,[1]!Table1[#All],22,FALSE)</f>
        <v>Trustees Of Columbia University In The City Of New</v>
      </c>
      <c r="H1748" s="8">
        <f>VLOOKUP(A1748,[1]!Table1[#All],32,FALSE)</f>
        <v>44104</v>
      </c>
      <c r="I1748" s="8">
        <f>VLOOKUP(A1748,[1]!Table1[#All],33,FALSE)</f>
        <v>45929</v>
      </c>
      <c r="J1748" t="str">
        <f t="shared" ca="1" si="27"/>
        <v>Non UDO</v>
      </c>
    </row>
    <row r="1749" spans="1:10" x14ac:dyDescent="0.35">
      <c r="A1749" s="9" t="s">
        <v>55</v>
      </c>
      <c r="B1749" s="10">
        <v>44927</v>
      </c>
      <c r="C1749" s="11">
        <v>3210799</v>
      </c>
      <c r="D1749" s="11">
        <v>3207565.74</v>
      </c>
      <c r="E1749" s="11">
        <v>3233.26</v>
      </c>
      <c r="F1749" t="str">
        <f>VLOOKUP(A1749,[1]!Table1[#All],17,FALSE)</f>
        <v>UNITED STATES</v>
      </c>
      <c r="G1749" t="str">
        <f>VLOOKUP(A1749,[1]!Table1[#All],22,FALSE)</f>
        <v>Trustees Of Columbia University In The City Of New</v>
      </c>
      <c r="H1749" s="8">
        <f>VLOOKUP(A1749,[1]!Table1[#All],32,FALSE)</f>
        <v>44104</v>
      </c>
      <c r="I1749" s="8">
        <f>VLOOKUP(A1749,[1]!Table1[#All],33,FALSE)</f>
        <v>45929</v>
      </c>
      <c r="J1749" t="str">
        <f t="shared" ca="1" si="27"/>
        <v>Non UDO</v>
      </c>
    </row>
    <row r="1750" spans="1:10" x14ac:dyDescent="0.35">
      <c r="A1750" s="5" t="s">
        <v>55</v>
      </c>
      <c r="B1750" s="6">
        <v>44958</v>
      </c>
      <c r="C1750" s="7">
        <v>3210799</v>
      </c>
      <c r="D1750" s="7">
        <v>3207565.74</v>
      </c>
      <c r="E1750" s="7">
        <v>3233.26</v>
      </c>
      <c r="F1750" t="str">
        <f>VLOOKUP(A1750,[1]!Table1[#All],17,FALSE)</f>
        <v>UNITED STATES</v>
      </c>
      <c r="G1750" t="str">
        <f>VLOOKUP(A1750,[1]!Table1[#All],22,FALSE)</f>
        <v>Trustees Of Columbia University In The City Of New</v>
      </c>
      <c r="H1750" s="8">
        <f>VLOOKUP(A1750,[1]!Table1[#All],32,FALSE)</f>
        <v>44104</v>
      </c>
      <c r="I1750" s="8">
        <f>VLOOKUP(A1750,[1]!Table1[#All],33,FALSE)</f>
        <v>45929</v>
      </c>
      <c r="J1750" t="str">
        <f t="shared" ca="1" si="27"/>
        <v>Non UDO</v>
      </c>
    </row>
    <row r="1751" spans="1:10" x14ac:dyDescent="0.35">
      <c r="A1751" s="9" t="s">
        <v>55</v>
      </c>
      <c r="B1751" s="10">
        <v>44986</v>
      </c>
      <c r="C1751" s="11">
        <v>3210799</v>
      </c>
      <c r="D1751" s="11">
        <v>3207565.74</v>
      </c>
      <c r="E1751" s="11">
        <v>3233.26</v>
      </c>
      <c r="F1751" t="str">
        <f>VLOOKUP(A1751,[1]!Table1[#All],17,FALSE)</f>
        <v>UNITED STATES</v>
      </c>
      <c r="G1751" t="str">
        <f>VLOOKUP(A1751,[1]!Table1[#All],22,FALSE)</f>
        <v>Trustees Of Columbia University In The City Of New</v>
      </c>
      <c r="H1751" s="8">
        <f>VLOOKUP(A1751,[1]!Table1[#All],32,FALSE)</f>
        <v>44104</v>
      </c>
      <c r="I1751" s="8">
        <f>VLOOKUP(A1751,[1]!Table1[#All],33,FALSE)</f>
        <v>45929</v>
      </c>
      <c r="J1751" t="str">
        <f t="shared" ca="1" si="27"/>
        <v>Non UDO</v>
      </c>
    </row>
    <row r="1752" spans="1:10" x14ac:dyDescent="0.35">
      <c r="A1752" s="5" t="s">
        <v>55</v>
      </c>
      <c r="B1752" s="6">
        <v>45017</v>
      </c>
      <c r="C1752" s="7">
        <v>3210799</v>
      </c>
      <c r="D1752" s="7">
        <v>3207565.74</v>
      </c>
      <c r="E1752" s="7">
        <v>3233.26</v>
      </c>
      <c r="F1752" t="str">
        <f>VLOOKUP(A1752,[1]!Table1[#All],17,FALSE)</f>
        <v>UNITED STATES</v>
      </c>
      <c r="G1752" t="str">
        <f>VLOOKUP(A1752,[1]!Table1[#All],22,FALSE)</f>
        <v>Trustees Of Columbia University In The City Of New</v>
      </c>
      <c r="H1752" s="8">
        <f>VLOOKUP(A1752,[1]!Table1[#All],32,FALSE)</f>
        <v>44104</v>
      </c>
      <c r="I1752" s="8">
        <f>VLOOKUP(A1752,[1]!Table1[#All],33,FALSE)</f>
        <v>45929</v>
      </c>
      <c r="J1752" t="str">
        <f t="shared" ca="1" si="27"/>
        <v>Non UDO</v>
      </c>
    </row>
    <row r="1753" spans="1:10" x14ac:dyDescent="0.35">
      <c r="A1753" s="9" t="s">
        <v>55</v>
      </c>
      <c r="B1753" s="10">
        <v>45047</v>
      </c>
      <c r="C1753" s="11">
        <v>3210799</v>
      </c>
      <c r="D1753" s="11">
        <v>3207565.74</v>
      </c>
      <c r="E1753" s="11">
        <v>3233.26</v>
      </c>
      <c r="F1753" t="str">
        <f>VLOOKUP(A1753,[1]!Table1[#All],17,FALSE)</f>
        <v>UNITED STATES</v>
      </c>
      <c r="G1753" t="str">
        <f>VLOOKUP(A1753,[1]!Table1[#All],22,FALSE)</f>
        <v>Trustees Of Columbia University In The City Of New</v>
      </c>
      <c r="H1753" s="8">
        <f>VLOOKUP(A1753,[1]!Table1[#All],32,FALSE)</f>
        <v>44104</v>
      </c>
      <c r="I1753" s="8">
        <f>VLOOKUP(A1753,[1]!Table1[#All],33,FALSE)</f>
        <v>45929</v>
      </c>
      <c r="J1753" t="str">
        <f t="shared" ca="1" si="27"/>
        <v>Non UDO</v>
      </c>
    </row>
    <row r="1754" spans="1:10" x14ac:dyDescent="0.35">
      <c r="A1754" s="5" t="s">
        <v>55</v>
      </c>
      <c r="B1754" s="6">
        <v>45078</v>
      </c>
      <c r="C1754" s="7">
        <v>3210799</v>
      </c>
      <c r="D1754" s="7">
        <v>3207565.74</v>
      </c>
      <c r="E1754" s="7">
        <v>3233.26</v>
      </c>
      <c r="F1754" t="str">
        <f>VLOOKUP(A1754,[1]!Table1[#All],17,FALSE)</f>
        <v>UNITED STATES</v>
      </c>
      <c r="G1754" t="str">
        <f>VLOOKUP(A1754,[1]!Table1[#All],22,FALSE)</f>
        <v>Trustees Of Columbia University In The City Of New</v>
      </c>
      <c r="H1754" s="8">
        <f>VLOOKUP(A1754,[1]!Table1[#All],32,FALSE)</f>
        <v>44104</v>
      </c>
      <c r="I1754" s="8">
        <f>VLOOKUP(A1754,[1]!Table1[#All],33,FALSE)</f>
        <v>45929</v>
      </c>
      <c r="J1754" t="str">
        <f t="shared" ca="1" si="27"/>
        <v>Non UDO</v>
      </c>
    </row>
    <row r="1755" spans="1:10" x14ac:dyDescent="0.35">
      <c r="A1755" s="9" t="s">
        <v>55</v>
      </c>
      <c r="B1755" s="10">
        <v>45108</v>
      </c>
      <c r="C1755" s="11">
        <v>3210799</v>
      </c>
      <c r="D1755" s="11">
        <v>3207565.74</v>
      </c>
      <c r="E1755" s="11">
        <v>3233.26</v>
      </c>
      <c r="F1755" t="str">
        <f>VLOOKUP(A1755,[1]!Table1[#All],17,FALSE)</f>
        <v>UNITED STATES</v>
      </c>
      <c r="G1755" t="str">
        <f>VLOOKUP(A1755,[1]!Table1[#All],22,FALSE)</f>
        <v>Trustees Of Columbia University In The City Of New</v>
      </c>
      <c r="H1755" s="8">
        <f>VLOOKUP(A1755,[1]!Table1[#All],32,FALSE)</f>
        <v>44104</v>
      </c>
      <c r="I1755" s="8">
        <f>VLOOKUP(A1755,[1]!Table1[#All],33,FALSE)</f>
        <v>45929</v>
      </c>
      <c r="J1755" t="str">
        <f t="shared" ca="1" si="27"/>
        <v>Non UDO</v>
      </c>
    </row>
    <row r="1756" spans="1:10" x14ac:dyDescent="0.35">
      <c r="A1756" s="5" t="s">
        <v>55</v>
      </c>
      <c r="B1756" s="6">
        <v>45139</v>
      </c>
      <c r="C1756" s="7">
        <v>3210799</v>
      </c>
      <c r="D1756" s="7">
        <v>3207565.74</v>
      </c>
      <c r="E1756" s="7">
        <v>3233.26</v>
      </c>
      <c r="F1756" t="str">
        <f>VLOOKUP(A1756,[1]!Table1[#All],17,FALSE)</f>
        <v>UNITED STATES</v>
      </c>
      <c r="G1756" t="str">
        <f>VLOOKUP(A1756,[1]!Table1[#All],22,FALSE)</f>
        <v>Trustees Of Columbia University In The City Of New</v>
      </c>
      <c r="H1756" s="8">
        <f>VLOOKUP(A1756,[1]!Table1[#All],32,FALSE)</f>
        <v>44104</v>
      </c>
      <c r="I1756" s="8">
        <f>VLOOKUP(A1756,[1]!Table1[#All],33,FALSE)</f>
        <v>45929</v>
      </c>
      <c r="J1756" t="str">
        <f t="shared" ca="1" si="27"/>
        <v>Non UDO</v>
      </c>
    </row>
    <row r="1757" spans="1:10" x14ac:dyDescent="0.35">
      <c r="A1757" s="9" t="s">
        <v>55</v>
      </c>
      <c r="B1757" s="10">
        <v>45170</v>
      </c>
      <c r="C1757" s="11">
        <v>3210799</v>
      </c>
      <c r="D1757" s="11">
        <v>3207565.74</v>
      </c>
      <c r="E1757" s="11">
        <v>3233.26</v>
      </c>
      <c r="F1757" t="str">
        <f>VLOOKUP(A1757,[1]!Table1[#All],17,FALSE)</f>
        <v>UNITED STATES</v>
      </c>
      <c r="G1757" t="str">
        <f>VLOOKUP(A1757,[1]!Table1[#All],22,FALSE)</f>
        <v>Trustees Of Columbia University In The City Of New</v>
      </c>
      <c r="H1757" s="8">
        <f>VLOOKUP(A1757,[1]!Table1[#All],32,FALSE)</f>
        <v>44104</v>
      </c>
      <c r="I1757" s="8">
        <f>VLOOKUP(A1757,[1]!Table1[#All],33,FALSE)</f>
        <v>45929</v>
      </c>
      <c r="J1757" t="str">
        <f t="shared" ca="1" si="27"/>
        <v>Non UDO</v>
      </c>
    </row>
    <row r="1758" spans="1:10" x14ac:dyDescent="0.35">
      <c r="A1758" s="5" t="s">
        <v>56</v>
      </c>
      <c r="B1758" s="6">
        <v>44105</v>
      </c>
      <c r="C1758" s="7">
        <v>6918519</v>
      </c>
      <c r="D1758" s="7">
        <v>0</v>
      </c>
      <c r="E1758" s="7">
        <v>6918519</v>
      </c>
      <c r="F1758" t="str">
        <f>VLOOKUP(A1758,[1]!Table1[#All],17,FALSE)</f>
        <v>UGANDA</v>
      </c>
      <c r="G1758" t="str">
        <f>VLOOKUP(A1758,[1]!Table1[#All],22,FALSE)</f>
        <v>INFECTIOUS DISEASES INSTITUTE AT MAKERERE UNIVERSI</v>
      </c>
      <c r="H1758" s="8">
        <f>VLOOKUP(A1758,[1]!Table1[#All],32,FALSE)</f>
        <v>44104</v>
      </c>
      <c r="I1758" s="8">
        <f>VLOOKUP(A1758,[1]!Table1[#All],33,FALSE)</f>
        <v>45929</v>
      </c>
      <c r="J1758" t="str">
        <f t="shared" ca="1" si="27"/>
        <v>Non UDO</v>
      </c>
    </row>
    <row r="1759" spans="1:10" x14ac:dyDescent="0.35">
      <c r="A1759" s="9" t="s">
        <v>56</v>
      </c>
      <c r="B1759" s="10">
        <v>44136</v>
      </c>
      <c r="C1759" s="11">
        <v>6918519</v>
      </c>
      <c r="D1759" s="11">
        <v>95003.209999999992</v>
      </c>
      <c r="E1759" s="11">
        <v>6823515.79</v>
      </c>
      <c r="F1759" t="str">
        <f>VLOOKUP(A1759,[1]!Table1[#All],17,FALSE)</f>
        <v>UGANDA</v>
      </c>
      <c r="G1759" t="str">
        <f>VLOOKUP(A1759,[1]!Table1[#All],22,FALSE)</f>
        <v>INFECTIOUS DISEASES INSTITUTE AT MAKERERE UNIVERSI</v>
      </c>
      <c r="H1759" s="8">
        <f>VLOOKUP(A1759,[1]!Table1[#All],32,FALSE)</f>
        <v>44104</v>
      </c>
      <c r="I1759" s="8">
        <f>VLOOKUP(A1759,[1]!Table1[#All],33,FALSE)</f>
        <v>45929</v>
      </c>
      <c r="J1759" t="str">
        <f t="shared" ca="1" si="27"/>
        <v>Non UDO</v>
      </c>
    </row>
    <row r="1760" spans="1:10" x14ac:dyDescent="0.35">
      <c r="A1760" s="5" t="s">
        <v>56</v>
      </c>
      <c r="B1760" s="6">
        <v>44166</v>
      </c>
      <c r="C1760" s="7">
        <v>6918519</v>
      </c>
      <c r="D1760" s="7">
        <v>405858.33999999997</v>
      </c>
      <c r="E1760" s="7">
        <v>6512660.6600000001</v>
      </c>
      <c r="F1760" t="str">
        <f>VLOOKUP(A1760,[1]!Table1[#All],17,FALSE)</f>
        <v>UGANDA</v>
      </c>
      <c r="G1760" t="str">
        <f>VLOOKUP(A1760,[1]!Table1[#All],22,FALSE)</f>
        <v>INFECTIOUS DISEASES INSTITUTE AT MAKERERE UNIVERSI</v>
      </c>
      <c r="H1760" s="8">
        <f>VLOOKUP(A1760,[1]!Table1[#All],32,FALSE)</f>
        <v>44104</v>
      </c>
      <c r="I1760" s="8">
        <f>VLOOKUP(A1760,[1]!Table1[#All],33,FALSE)</f>
        <v>45929</v>
      </c>
      <c r="J1760" t="str">
        <f t="shared" ca="1" si="27"/>
        <v>Non UDO</v>
      </c>
    </row>
    <row r="1761" spans="1:10" x14ac:dyDescent="0.35">
      <c r="A1761" s="9" t="s">
        <v>56</v>
      </c>
      <c r="B1761" s="10">
        <v>44197</v>
      </c>
      <c r="C1761" s="11">
        <v>6918519</v>
      </c>
      <c r="D1761" s="11">
        <v>1365910.48</v>
      </c>
      <c r="E1761" s="11">
        <v>5552608.5200000005</v>
      </c>
      <c r="F1761" t="str">
        <f>VLOOKUP(A1761,[1]!Table1[#All],17,FALSE)</f>
        <v>UGANDA</v>
      </c>
      <c r="G1761" t="str">
        <f>VLOOKUP(A1761,[1]!Table1[#All],22,FALSE)</f>
        <v>INFECTIOUS DISEASES INSTITUTE AT MAKERERE UNIVERSI</v>
      </c>
      <c r="H1761" s="8">
        <f>VLOOKUP(A1761,[1]!Table1[#All],32,FALSE)</f>
        <v>44104</v>
      </c>
      <c r="I1761" s="8">
        <f>VLOOKUP(A1761,[1]!Table1[#All],33,FALSE)</f>
        <v>45929</v>
      </c>
      <c r="J1761" t="str">
        <f t="shared" ca="1" si="27"/>
        <v>Non UDO</v>
      </c>
    </row>
    <row r="1762" spans="1:10" x14ac:dyDescent="0.35">
      <c r="A1762" s="5" t="s">
        <v>56</v>
      </c>
      <c r="B1762" s="6">
        <v>44228</v>
      </c>
      <c r="C1762" s="7">
        <v>6918519</v>
      </c>
      <c r="D1762" s="7">
        <v>2351885.88</v>
      </c>
      <c r="E1762" s="7">
        <v>4566633.1199999992</v>
      </c>
      <c r="F1762" t="str">
        <f>VLOOKUP(A1762,[1]!Table1[#All],17,FALSE)</f>
        <v>UGANDA</v>
      </c>
      <c r="G1762" t="str">
        <f>VLOOKUP(A1762,[1]!Table1[#All],22,FALSE)</f>
        <v>INFECTIOUS DISEASES INSTITUTE AT MAKERERE UNIVERSI</v>
      </c>
      <c r="H1762" s="8">
        <f>VLOOKUP(A1762,[1]!Table1[#All],32,FALSE)</f>
        <v>44104</v>
      </c>
      <c r="I1762" s="8">
        <f>VLOOKUP(A1762,[1]!Table1[#All],33,FALSE)</f>
        <v>45929</v>
      </c>
      <c r="J1762" t="str">
        <f t="shared" ca="1" si="27"/>
        <v>Non UDO</v>
      </c>
    </row>
    <row r="1763" spans="1:10" x14ac:dyDescent="0.35">
      <c r="A1763" s="9" t="s">
        <v>56</v>
      </c>
      <c r="B1763" s="10">
        <v>44256</v>
      </c>
      <c r="C1763" s="11">
        <v>6918519</v>
      </c>
      <c r="D1763" s="11">
        <v>3023126.2</v>
      </c>
      <c r="E1763" s="11">
        <v>3895392.8</v>
      </c>
      <c r="F1763" t="str">
        <f>VLOOKUP(A1763,[1]!Table1[#All],17,FALSE)</f>
        <v>UGANDA</v>
      </c>
      <c r="G1763" t="str">
        <f>VLOOKUP(A1763,[1]!Table1[#All],22,FALSE)</f>
        <v>INFECTIOUS DISEASES INSTITUTE AT MAKERERE UNIVERSI</v>
      </c>
      <c r="H1763" s="8">
        <f>VLOOKUP(A1763,[1]!Table1[#All],32,FALSE)</f>
        <v>44104</v>
      </c>
      <c r="I1763" s="8">
        <f>VLOOKUP(A1763,[1]!Table1[#All],33,FALSE)</f>
        <v>45929</v>
      </c>
      <c r="J1763" t="str">
        <f t="shared" ca="1" si="27"/>
        <v>Non UDO</v>
      </c>
    </row>
    <row r="1764" spans="1:10" x14ac:dyDescent="0.35">
      <c r="A1764" s="5" t="s">
        <v>56</v>
      </c>
      <c r="B1764" s="6">
        <v>44287</v>
      </c>
      <c r="C1764" s="7">
        <v>837500</v>
      </c>
      <c r="D1764" s="7">
        <v>141107.17000000001</v>
      </c>
      <c r="E1764" s="7">
        <v>696392.83</v>
      </c>
      <c r="F1764" t="str">
        <f>VLOOKUP(A1764,[1]!Table1[#All],17,FALSE)</f>
        <v>UGANDA</v>
      </c>
      <c r="G1764" t="str">
        <f>VLOOKUP(A1764,[1]!Table1[#All],22,FALSE)</f>
        <v>INFECTIOUS DISEASES INSTITUTE AT MAKERERE UNIVERSI</v>
      </c>
      <c r="H1764" s="8">
        <f>VLOOKUP(A1764,[1]!Table1[#All],32,FALSE)</f>
        <v>44104</v>
      </c>
      <c r="I1764" s="8">
        <f>VLOOKUP(A1764,[1]!Table1[#All],33,FALSE)</f>
        <v>45929</v>
      </c>
      <c r="J1764" t="str">
        <f t="shared" ca="1" si="27"/>
        <v>Non UDO</v>
      </c>
    </row>
    <row r="1765" spans="1:10" x14ac:dyDescent="0.35">
      <c r="A1765" s="9" t="s">
        <v>56</v>
      </c>
      <c r="B1765" s="10">
        <v>44317</v>
      </c>
      <c r="C1765" s="11">
        <v>6918519</v>
      </c>
      <c r="D1765" s="11">
        <v>4263362.32</v>
      </c>
      <c r="E1765" s="11">
        <v>2655156.6800000002</v>
      </c>
      <c r="F1765" t="str">
        <f>VLOOKUP(A1765,[1]!Table1[#All],17,FALSE)</f>
        <v>UGANDA</v>
      </c>
      <c r="G1765" t="str">
        <f>VLOOKUP(A1765,[1]!Table1[#All],22,FALSE)</f>
        <v>INFECTIOUS DISEASES INSTITUTE AT MAKERERE UNIVERSI</v>
      </c>
      <c r="H1765" s="8">
        <f>VLOOKUP(A1765,[1]!Table1[#All],32,FALSE)</f>
        <v>44104</v>
      </c>
      <c r="I1765" s="8">
        <f>VLOOKUP(A1765,[1]!Table1[#All],33,FALSE)</f>
        <v>45929</v>
      </c>
      <c r="J1765" t="str">
        <f t="shared" ca="1" si="27"/>
        <v>Non UDO</v>
      </c>
    </row>
    <row r="1766" spans="1:10" x14ac:dyDescent="0.35">
      <c r="A1766" s="5" t="s">
        <v>56</v>
      </c>
      <c r="B1766" s="6">
        <v>44348</v>
      </c>
      <c r="C1766" s="7">
        <v>6918519</v>
      </c>
      <c r="D1766" s="7">
        <v>5574785.8499999996</v>
      </c>
      <c r="E1766" s="7">
        <v>1343733.15</v>
      </c>
      <c r="F1766" t="str">
        <f>VLOOKUP(A1766,[1]!Table1[#All],17,FALSE)</f>
        <v>UGANDA</v>
      </c>
      <c r="G1766" t="str">
        <f>VLOOKUP(A1766,[1]!Table1[#All],22,FALSE)</f>
        <v>INFECTIOUS DISEASES INSTITUTE AT MAKERERE UNIVERSI</v>
      </c>
      <c r="H1766" s="8">
        <f>VLOOKUP(A1766,[1]!Table1[#All],32,FALSE)</f>
        <v>44104</v>
      </c>
      <c r="I1766" s="8">
        <f>VLOOKUP(A1766,[1]!Table1[#All],33,FALSE)</f>
        <v>45929</v>
      </c>
      <c r="J1766" t="str">
        <f t="shared" ca="1" si="27"/>
        <v>Non UDO</v>
      </c>
    </row>
    <row r="1767" spans="1:10" x14ac:dyDescent="0.35">
      <c r="A1767" s="9" t="s">
        <v>56</v>
      </c>
      <c r="B1767" s="10">
        <v>44378</v>
      </c>
      <c r="C1767" s="11">
        <v>6918519</v>
      </c>
      <c r="D1767" s="11">
        <v>6067812.8099999996</v>
      </c>
      <c r="E1767" s="11">
        <v>850706.19000000006</v>
      </c>
      <c r="F1767" t="str">
        <f>VLOOKUP(A1767,[1]!Table1[#All],17,FALSE)</f>
        <v>UGANDA</v>
      </c>
      <c r="G1767" t="str">
        <f>VLOOKUP(A1767,[1]!Table1[#All],22,FALSE)</f>
        <v>INFECTIOUS DISEASES INSTITUTE AT MAKERERE UNIVERSI</v>
      </c>
      <c r="H1767" s="8">
        <f>VLOOKUP(A1767,[1]!Table1[#All],32,FALSE)</f>
        <v>44104</v>
      </c>
      <c r="I1767" s="8">
        <f>VLOOKUP(A1767,[1]!Table1[#All],33,FALSE)</f>
        <v>45929</v>
      </c>
      <c r="J1767" t="str">
        <f t="shared" ca="1" si="27"/>
        <v>Non UDO</v>
      </c>
    </row>
    <row r="1768" spans="1:10" x14ac:dyDescent="0.35">
      <c r="A1768" s="5" t="s">
        <v>56</v>
      </c>
      <c r="B1768" s="6">
        <v>44409</v>
      </c>
      <c r="C1768" s="7">
        <v>6918519</v>
      </c>
      <c r="D1768" s="7">
        <v>6134119.5699999994</v>
      </c>
      <c r="E1768" s="7">
        <v>784399.43</v>
      </c>
      <c r="F1768" t="str">
        <f>VLOOKUP(A1768,[1]!Table1[#All],17,FALSE)</f>
        <v>UGANDA</v>
      </c>
      <c r="G1768" t="str">
        <f>VLOOKUP(A1768,[1]!Table1[#All],22,FALSE)</f>
        <v>INFECTIOUS DISEASES INSTITUTE AT MAKERERE UNIVERSI</v>
      </c>
      <c r="H1768" s="8">
        <f>VLOOKUP(A1768,[1]!Table1[#All],32,FALSE)</f>
        <v>44104</v>
      </c>
      <c r="I1768" s="8">
        <f>VLOOKUP(A1768,[1]!Table1[#All],33,FALSE)</f>
        <v>45929</v>
      </c>
      <c r="J1768" t="str">
        <f t="shared" ca="1" si="27"/>
        <v>Non UDO</v>
      </c>
    </row>
    <row r="1769" spans="1:10" x14ac:dyDescent="0.35">
      <c r="A1769" s="9" t="s">
        <v>56</v>
      </c>
      <c r="B1769" s="10">
        <v>44440</v>
      </c>
      <c r="C1769" s="11">
        <v>6918519</v>
      </c>
      <c r="D1769" s="11">
        <v>6749971.2599999998</v>
      </c>
      <c r="E1769" s="11">
        <v>168547.74</v>
      </c>
      <c r="F1769" t="str">
        <f>VLOOKUP(A1769,[1]!Table1[#All],17,FALSE)</f>
        <v>UGANDA</v>
      </c>
      <c r="G1769" t="str">
        <f>VLOOKUP(A1769,[1]!Table1[#All],22,FALSE)</f>
        <v>INFECTIOUS DISEASES INSTITUTE AT MAKERERE UNIVERSI</v>
      </c>
      <c r="H1769" s="8">
        <f>VLOOKUP(A1769,[1]!Table1[#All],32,FALSE)</f>
        <v>44104</v>
      </c>
      <c r="I1769" s="8">
        <f>VLOOKUP(A1769,[1]!Table1[#All],33,FALSE)</f>
        <v>45929</v>
      </c>
      <c r="J1769" t="str">
        <f t="shared" ca="1" si="27"/>
        <v>Non UDO</v>
      </c>
    </row>
    <row r="1770" spans="1:10" x14ac:dyDescent="0.35">
      <c r="A1770" s="5" t="s">
        <v>56</v>
      </c>
      <c r="B1770" s="6">
        <v>44470</v>
      </c>
      <c r="C1770" s="7">
        <v>6918519</v>
      </c>
      <c r="D1770" s="7">
        <v>6749971.3399999999</v>
      </c>
      <c r="E1770" s="7">
        <v>168547.66</v>
      </c>
      <c r="F1770" t="str">
        <f>VLOOKUP(A1770,[1]!Table1[#All],17,FALSE)</f>
        <v>UGANDA</v>
      </c>
      <c r="G1770" t="str">
        <f>VLOOKUP(A1770,[1]!Table1[#All],22,FALSE)</f>
        <v>INFECTIOUS DISEASES INSTITUTE AT MAKERERE UNIVERSI</v>
      </c>
      <c r="H1770" s="8">
        <f>VLOOKUP(A1770,[1]!Table1[#All],32,FALSE)</f>
        <v>44104</v>
      </c>
      <c r="I1770" s="8">
        <f>VLOOKUP(A1770,[1]!Table1[#All],33,FALSE)</f>
        <v>45929</v>
      </c>
      <c r="J1770" t="str">
        <f t="shared" ca="1" si="27"/>
        <v>Non UDO</v>
      </c>
    </row>
    <row r="1771" spans="1:10" x14ac:dyDescent="0.35">
      <c r="A1771" s="9" t="s">
        <v>56</v>
      </c>
      <c r="B1771" s="10">
        <v>44501</v>
      </c>
      <c r="C1771" s="11">
        <v>6918519</v>
      </c>
      <c r="D1771" s="11">
        <v>6873539.54</v>
      </c>
      <c r="E1771" s="11">
        <v>44979.46</v>
      </c>
      <c r="F1771" t="str">
        <f>VLOOKUP(A1771,[1]!Table1[#All],17,FALSE)</f>
        <v>UGANDA</v>
      </c>
      <c r="G1771" t="str">
        <f>VLOOKUP(A1771,[1]!Table1[#All],22,FALSE)</f>
        <v>INFECTIOUS DISEASES INSTITUTE AT MAKERERE UNIVERSI</v>
      </c>
      <c r="H1771" s="8">
        <f>VLOOKUP(A1771,[1]!Table1[#All],32,FALSE)</f>
        <v>44104</v>
      </c>
      <c r="I1771" s="8">
        <f>VLOOKUP(A1771,[1]!Table1[#All],33,FALSE)</f>
        <v>45929</v>
      </c>
      <c r="J1771" t="str">
        <f t="shared" ca="1" si="27"/>
        <v>Non UDO</v>
      </c>
    </row>
    <row r="1772" spans="1:10" x14ac:dyDescent="0.35">
      <c r="A1772" s="5" t="s">
        <v>56</v>
      </c>
      <c r="B1772" s="6">
        <v>44531</v>
      </c>
      <c r="C1772" s="7">
        <v>6918519</v>
      </c>
      <c r="D1772" s="7">
        <v>6892120.46</v>
      </c>
      <c r="E1772" s="7">
        <v>26398.54</v>
      </c>
      <c r="F1772" t="str">
        <f>VLOOKUP(A1772,[1]!Table1[#All],17,FALSE)</f>
        <v>UGANDA</v>
      </c>
      <c r="G1772" t="str">
        <f>VLOOKUP(A1772,[1]!Table1[#All],22,FALSE)</f>
        <v>INFECTIOUS DISEASES INSTITUTE AT MAKERERE UNIVERSI</v>
      </c>
      <c r="H1772" s="8">
        <f>VLOOKUP(A1772,[1]!Table1[#All],32,FALSE)</f>
        <v>44104</v>
      </c>
      <c r="I1772" s="8">
        <f>VLOOKUP(A1772,[1]!Table1[#All],33,FALSE)</f>
        <v>45929</v>
      </c>
      <c r="J1772" t="str">
        <f t="shared" ca="1" si="27"/>
        <v>Non UDO</v>
      </c>
    </row>
    <row r="1773" spans="1:10" x14ac:dyDescent="0.35">
      <c r="A1773" s="9" t="s">
        <v>56</v>
      </c>
      <c r="B1773" s="10">
        <v>44562</v>
      </c>
      <c r="C1773" s="11">
        <v>6918519</v>
      </c>
      <c r="D1773" s="11">
        <v>6909740.4000000004</v>
      </c>
      <c r="E1773" s="11">
        <v>8778.6</v>
      </c>
      <c r="F1773" t="str">
        <f>VLOOKUP(A1773,[1]!Table1[#All],17,FALSE)</f>
        <v>UGANDA</v>
      </c>
      <c r="G1773" t="str">
        <f>VLOOKUP(A1773,[1]!Table1[#All],22,FALSE)</f>
        <v>INFECTIOUS DISEASES INSTITUTE AT MAKERERE UNIVERSI</v>
      </c>
      <c r="H1773" s="8">
        <f>VLOOKUP(A1773,[1]!Table1[#All],32,FALSE)</f>
        <v>44104</v>
      </c>
      <c r="I1773" s="8">
        <f>VLOOKUP(A1773,[1]!Table1[#All],33,FALSE)</f>
        <v>45929</v>
      </c>
      <c r="J1773" t="str">
        <f t="shared" ca="1" si="27"/>
        <v>Non UDO</v>
      </c>
    </row>
    <row r="1774" spans="1:10" x14ac:dyDescent="0.35">
      <c r="A1774" s="5" t="s">
        <v>56</v>
      </c>
      <c r="B1774" s="6">
        <v>44593</v>
      </c>
      <c r="C1774" s="7">
        <v>6918519</v>
      </c>
      <c r="D1774" s="7">
        <v>6909740.4000000004</v>
      </c>
      <c r="E1774" s="7">
        <v>8778.6</v>
      </c>
      <c r="F1774" t="str">
        <f>VLOOKUP(A1774,[1]!Table1[#All],17,FALSE)</f>
        <v>UGANDA</v>
      </c>
      <c r="G1774" t="str">
        <f>VLOOKUP(A1774,[1]!Table1[#All],22,FALSE)</f>
        <v>INFECTIOUS DISEASES INSTITUTE AT MAKERERE UNIVERSI</v>
      </c>
      <c r="H1774" s="8">
        <f>VLOOKUP(A1774,[1]!Table1[#All],32,FALSE)</f>
        <v>44104</v>
      </c>
      <c r="I1774" s="8">
        <f>VLOOKUP(A1774,[1]!Table1[#All],33,FALSE)</f>
        <v>45929</v>
      </c>
      <c r="J1774" t="str">
        <f t="shared" ca="1" si="27"/>
        <v>Non UDO</v>
      </c>
    </row>
    <row r="1775" spans="1:10" x14ac:dyDescent="0.35">
      <c r="A1775" s="9" t="s">
        <v>56</v>
      </c>
      <c r="B1775" s="10">
        <v>44621</v>
      </c>
      <c r="C1775" s="11">
        <v>6918519</v>
      </c>
      <c r="D1775" s="11">
        <v>6909740.4000000004</v>
      </c>
      <c r="E1775" s="11">
        <v>8778.6</v>
      </c>
      <c r="F1775" t="str">
        <f>VLOOKUP(A1775,[1]!Table1[#All],17,FALSE)</f>
        <v>UGANDA</v>
      </c>
      <c r="G1775" t="str">
        <f>VLOOKUP(A1775,[1]!Table1[#All],22,FALSE)</f>
        <v>INFECTIOUS DISEASES INSTITUTE AT MAKERERE UNIVERSI</v>
      </c>
      <c r="H1775" s="8">
        <f>VLOOKUP(A1775,[1]!Table1[#All],32,FALSE)</f>
        <v>44104</v>
      </c>
      <c r="I1775" s="8">
        <f>VLOOKUP(A1775,[1]!Table1[#All],33,FALSE)</f>
        <v>45929</v>
      </c>
      <c r="J1775" t="str">
        <f t="shared" ca="1" si="27"/>
        <v>Non UDO</v>
      </c>
    </row>
    <row r="1776" spans="1:10" x14ac:dyDescent="0.35">
      <c r="A1776" s="5" t="s">
        <v>56</v>
      </c>
      <c r="B1776" s="6">
        <v>44652</v>
      </c>
      <c r="C1776" s="7">
        <v>6918519</v>
      </c>
      <c r="D1776" s="7">
        <v>6913240.4000000004</v>
      </c>
      <c r="E1776" s="7">
        <v>5278.6</v>
      </c>
      <c r="F1776" t="str">
        <f>VLOOKUP(A1776,[1]!Table1[#All],17,FALSE)</f>
        <v>UGANDA</v>
      </c>
      <c r="G1776" t="str">
        <f>VLOOKUP(A1776,[1]!Table1[#All],22,FALSE)</f>
        <v>INFECTIOUS DISEASES INSTITUTE AT MAKERERE UNIVERSI</v>
      </c>
      <c r="H1776" s="8">
        <f>VLOOKUP(A1776,[1]!Table1[#All],32,FALSE)</f>
        <v>44104</v>
      </c>
      <c r="I1776" s="8">
        <f>VLOOKUP(A1776,[1]!Table1[#All],33,FALSE)</f>
        <v>45929</v>
      </c>
      <c r="J1776" t="str">
        <f t="shared" ca="1" si="27"/>
        <v>Non UDO</v>
      </c>
    </row>
    <row r="1777" spans="1:10" x14ac:dyDescent="0.35">
      <c r="A1777" s="9" t="s">
        <v>56</v>
      </c>
      <c r="B1777" s="10">
        <v>44682</v>
      </c>
      <c r="C1777" s="11">
        <v>6918519</v>
      </c>
      <c r="D1777" s="11">
        <v>6913240.4000000004</v>
      </c>
      <c r="E1777" s="11">
        <v>5278.6</v>
      </c>
      <c r="F1777" t="str">
        <f>VLOOKUP(A1777,[1]!Table1[#All],17,FALSE)</f>
        <v>UGANDA</v>
      </c>
      <c r="G1777" t="str">
        <f>VLOOKUP(A1777,[1]!Table1[#All],22,FALSE)</f>
        <v>INFECTIOUS DISEASES INSTITUTE AT MAKERERE UNIVERSI</v>
      </c>
      <c r="H1777" s="8">
        <f>VLOOKUP(A1777,[1]!Table1[#All],32,FALSE)</f>
        <v>44104</v>
      </c>
      <c r="I1777" s="8">
        <f>VLOOKUP(A1777,[1]!Table1[#All],33,FALSE)</f>
        <v>45929</v>
      </c>
      <c r="J1777" t="str">
        <f t="shared" ca="1" si="27"/>
        <v>Non UDO</v>
      </c>
    </row>
    <row r="1778" spans="1:10" x14ac:dyDescent="0.35">
      <c r="A1778" s="5" t="s">
        <v>56</v>
      </c>
      <c r="B1778" s="6">
        <v>44713</v>
      </c>
      <c r="C1778" s="7">
        <v>6918519</v>
      </c>
      <c r="D1778" s="7">
        <v>6918518.9800000004</v>
      </c>
      <c r="E1778" s="7">
        <v>0.02</v>
      </c>
      <c r="F1778" t="str">
        <f>VLOOKUP(A1778,[1]!Table1[#All],17,FALSE)</f>
        <v>UGANDA</v>
      </c>
      <c r="G1778" t="str">
        <f>VLOOKUP(A1778,[1]!Table1[#All],22,FALSE)</f>
        <v>INFECTIOUS DISEASES INSTITUTE AT MAKERERE UNIVERSI</v>
      </c>
      <c r="H1778" s="8">
        <f>VLOOKUP(A1778,[1]!Table1[#All],32,FALSE)</f>
        <v>44104</v>
      </c>
      <c r="I1778" s="8">
        <f>VLOOKUP(A1778,[1]!Table1[#All],33,FALSE)</f>
        <v>45929</v>
      </c>
      <c r="J1778" t="str">
        <f t="shared" ca="1" si="27"/>
        <v>Non UDO</v>
      </c>
    </row>
    <row r="1779" spans="1:10" x14ac:dyDescent="0.35">
      <c r="A1779" s="9" t="s">
        <v>56</v>
      </c>
      <c r="B1779" s="10">
        <v>44743</v>
      </c>
      <c r="C1779" s="11">
        <v>6918519</v>
      </c>
      <c r="D1779" s="11">
        <v>6918518.9800000004</v>
      </c>
      <c r="E1779" s="11">
        <v>0.02</v>
      </c>
      <c r="F1779" t="str">
        <f>VLOOKUP(A1779,[1]!Table1[#All],17,FALSE)</f>
        <v>UGANDA</v>
      </c>
      <c r="G1779" t="str">
        <f>VLOOKUP(A1779,[1]!Table1[#All],22,FALSE)</f>
        <v>INFECTIOUS DISEASES INSTITUTE AT MAKERERE UNIVERSI</v>
      </c>
      <c r="H1779" s="8">
        <f>VLOOKUP(A1779,[1]!Table1[#All],32,FALSE)</f>
        <v>44104</v>
      </c>
      <c r="I1779" s="8">
        <f>VLOOKUP(A1779,[1]!Table1[#All],33,FALSE)</f>
        <v>45929</v>
      </c>
      <c r="J1779" t="str">
        <f t="shared" ca="1" si="27"/>
        <v>Non UDO</v>
      </c>
    </row>
    <row r="1780" spans="1:10" x14ac:dyDescent="0.35">
      <c r="A1780" s="5" t="s">
        <v>56</v>
      </c>
      <c r="B1780" s="6">
        <v>44774</v>
      </c>
      <c r="C1780" s="7">
        <v>6918519</v>
      </c>
      <c r="D1780" s="7">
        <v>6918518.9800000004</v>
      </c>
      <c r="E1780" s="7">
        <v>0.02</v>
      </c>
      <c r="F1780" t="str">
        <f>VLOOKUP(A1780,[1]!Table1[#All],17,FALSE)</f>
        <v>UGANDA</v>
      </c>
      <c r="G1780" t="str">
        <f>VLOOKUP(A1780,[1]!Table1[#All],22,FALSE)</f>
        <v>INFECTIOUS DISEASES INSTITUTE AT MAKERERE UNIVERSI</v>
      </c>
      <c r="H1780" s="8">
        <f>VLOOKUP(A1780,[1]!Table1[#All],32,FALSE)</f>
        <v>44104</v>
      </c>
      <c r="I1780" s="8">
        <f>VLOOKUP(A1780,[1]!Table1[#All],33,FALSE)</f>
        <v>45929</v>
      </c>
      <c r="J1780" t="str">
        <f t="shared" ca="1" si="27"/>
        <v>Non UDO</v>
      </c>
    </row>
    <row r="1781" spans="1:10" x14ac:dyDescent="0.35">
      <c r="A1781" s="9" t="s">
        <v>56</v>
      </c>
      <c r="B1781" s="10">
        <v>44805</v>
      </c>
      <c r="C1781" s="11">
        <v>6918519</v>
      </c>
      <c r="D1781" s="11">
        <v>6918518.9800000004</v>
      </c>
      <c r="E1781" s="11">
        <v>0.02</v>
      </c>
      <c r="F1781" t="str">
        <f>VLOOKUP(A1781,[1]!Table1[#All],17,FALSE)</f>
        <v>UGANDA</v>
      </c>
      <c r="G1781" t="str">
        <f>VLOOKUP(A1781,[1]!Table1[#All],22,FALSE)</f>
        <v>INFECTIOUS DISEASES INSTITUTE AT MAKERERE UNIVERSI</v>
      </c>
      <c r="H1781" s="8">
        <f>VLOOKUP(A1781,[1]!Table1[#All],32,FALSE)</f>
        <v>44104</v>
      </c>
      <c r="I1781" s="8">
        <f>VLOOKUP(A1781,[1]!Table1[#All],33,FALSE)</f>
        <v>45929</v>
      </c>
      <c r="J1781" t="str">
        <f t="shared" ca="1" si="27"/>
        <v>Non UDO</v>
      </c>
    </row>
    <row r="1782" spans="1:10" x14ac:dyDescent="0.35">
      <c r="A1782" s="5" t="s">
        <v>56</v>
      </c>
      <c r="B1782" s="6">
        <v>44835</v>
      </c>
      <c r="C1782" s="7">
        <v>6918519</v>
      </c>
      <c r="D1782" s="7">
        <v>6918518.9800000004</v>
      </c>
      <c r="E1782" s="7">
        <v>0.02</v>
      </c>
      <c r="F1782" t="str">
        <f>VLOOKUP(A1782,[1]!Table1[#All],17,FALSE)</f>
        <v>UGANDA</v>
      </c>
      <c r="G1782" t="str">
        <f>VLOOKUP(A1782,[1]!Table1[#All],22,FALSE)</f>
        <v>INFECTIOUS DISEASES INSTITUTE AT MAKERERE UNIVERSI</v>
      </c>
      <c r="H1782" s="8">
        <f>VLOOKUP(A1782,[1]!Table1[#All],32,FALSE)</f>
        <v>44104</v>
      </c>
      <c r="I1782" s="8">
        <f>VLOOKUP(A1782,[1]!Table1[#All],33,FALSE)</f>
        <v>45929</v>
      </c>
      <c r="J1782" t="str">
        <f t="shared" ca="1" si="27"/>
        <v>Non UDO</v>
      </c>
    </row>
    <row r="1783" spans="1:10" x14ac:dyDescent="0.35">
      <c r="A1783" s="9" t="s">
        <v>56</v>
      </c>
      <c r="B1783" s="10">
        <v>44866</v>
      </c>
      <c r="C1783" s="11">
        <v>6918519</v>
      </c>
      <c r="D1783" s="11">
        <v>6918518.9800000004</v>
      </c>
      <c r="E1783" s="11">
        <v>0.02</v>
      </c>
      <c r="F1783" t="str">
        <f>VLOOKUP(A1783,[1]!Table1[#All],17,FALSE)</f>
        <v>UGANDA</v>
      </c>
      <c r="G1783" t="str">
        <f>VLOOKUP(A1783,[1]!Table1[#All],22,FALSE)</f>
        <v>INFECTIOUS DISEASES INSTITUTE AT MAKERERE UNIVERSI</v>
      </c>
      <c r="H1783" s="8">
        <f>VLOOKUP(A1783,[1]!Table1[#All],32,FALSE)</f>
        <v>44104</v>
      </c>
      <c r="I1783" s="8">
        <f>VLOOKUP(A1783,[1]!Table1[#All],33,FALSE)</f>
        <v>45929</v>
      </c>
      <c r="J1783" t="str">
        <f t="shared" ca="1" si="27"/>
        <v>Non UDO</v>
      </c>
    </row>
    <row r="1784" spans="1:10" x14ac:dyDescent="0.35">
      <c r="A1784" s="5" t="s">
        <v>56</v>
      </c>
      <c r="B1784" s="6">
        <v>44896</v>
      </c>
      <c r="C1784" s="7">
        <v>6918519</v>
      </c>
      <c r="D1784" s="7">
        <v>6918518.9800000004</v>
      </c>
      <c r="E1784" s="7">
        <v>0.02</v>
      </c>
      <c r="F1784" t="str">
        <f>VLOOKUP(A1784,[1]!Table1[#All],17,FALSE)</f>
        <v>UGANDA</v>
      </c>
      <c r="G1784" t="str">
        <f>VLOOKUP(A1784,[1]!Table1[#All],22,FALSE)</f>
        <v>INFECTIOUS DISEASES INSTITUTE AT MAKERERE UNIVERSI</v>
      </c>
      <c r="H1784" s="8">
        <f>VLOOKUP(A1784,[1]!Table1[#All],32,FALSE)</f>
        <v>44104</v>
      </c>
      <c r="I1784" s="8">
        <f>VLOOKUP(A1784,[1]!Table1[#All],33,FALSE)</f>
        <v>45929</v>
      </c>
      <c r="J1784" t="str">
        <f t="shared" ca="1" si="27"/>
        <v>Non UDO</v>
      </c>
    </row>
    <row r="1785" spans="1:10" x14ac:dyDescent="0.35">
      <c r="A1785" s="9" t="s">
        <v>56</v>
      </c>
      <c r="B1785" s="10">
        <v>44927</v>
      </c>
      <c r="C1785" s="11">
        <v>6918519</v>
      </c>
      <c r="D1785" s="11">
        <v>6918518.9800000004</v>
      </c>
      <c r="E1785" s="11">
        <v>0.02</v>
      </c>
      <c r="F1785" t="str">
        <f>VLOOKUP(A1785,[1]!Table1[#All],17,FALSE)</f>
        <v>UGANDA</v>
      </c>
      <c r="G1785" t="str">
        <f>VLOOKUP(A1785,[1]!Table1[#All],22,FALSE)</f>
        <v>INFECTIOUS DISEASES INSTITUTE AT MAKERERE UNIVERSI</v>
      </c>
      <c r="H1785" s="8">
        <f>VLOOKUP(A1785,[1]!Table1[#All],32,FALSE)</f>
        <v>44104</v>
      </c>
      <c r="I1785" s="8">
        <f>VLOOKUP(A1785,[1]!Table1[#All],33,FALSE)</f>
        <v>45929</v>
      </c>
      <c r="J1785" t="str">
        <f t="shared" ca="1" si="27"/>
        <v>Non UDO</v>
      </c>
    </row>
    <row r="1786" spans="1:10" x14ac:dyDescent="0.35">
      <c r="A1786" s="5" t="s">
        <v>56</v>
      </c>
      <c r="B1786" s="6">
        <v>44958</v>
      </c>
      <c r="C1786" s="7">
        <v>6918519</v>
      </c>
      <c r="D1786" s="7">
        <v>6918518.9800000004</v>
      </c>
      <c r="E1786" s="7">
        <v>0.02</v>
      </c>
      <c r="F1786" t="str">
        <f>VLOOKUP(A1786,[1]!Table1[#All],17,FALSE)</f>
        <v>UGANDA</v>
      </c>
      <c r="G1786" t="str">
        <f>VLOOKUP(A1786,[1]!Table1[#All],22,FALSE)</f>
        <v>INFECTIOUS DISEASES INSTITUTE AT MAKERERE UNIVERSI</v>
      </c>
      <c r="H1786" s="8">
        <f>VLOOKUP(A1786,[1]!Table1[#All],32,FALSE)</f>
        <v>44104</v>
      </c>
      <c r="I1786" s="8">
        <f>VLOOKUP(A1786,[1]!Table1[#All],33,FALSE)</f>
        <v>45929</v>
      </c>
      <c r="J1786" t="str">
        <f t="shared" ca="1" si="27"/>
        <v>Non UDO</v>
      </c>
    </row>
    <row r="1787" spans="1:10" x14ac:dyDescent="0.35">
      <c r="A1787" s="9" t="s">
        <v>56</v>
      </c>
      <c r="B1787" s="10">
        <v>44986</v>
      </c>
      <c r="C1787" s="11">
        <v>6918519</v>
      </c>
      <c r="D1787" s="11">
        <v>6918518.9800000004</v>
      </c>
      <c r="E1787" s="11">
        <v>0.02</v>
      </c>
      <c r="F1787" t="str">
        <f>VLOOKUP(A1787,[1]!Table1[#All],17,FALSE)</f>
        <v>UGANDA</v>
      </c>
      <c r="G1787" t="str">
        <f>VLOOKUP(A1787,[1]!Table1[#All],22,FALSE)</f>
        <v>INFECTIOUS DISEASES INSTITUTE AT MAKERERE UNIVERSI</v>
      </c>
      <c r="H1787" s="8">
        <f>VLOOKUP(A1787,[1]!Table1[#All],32,FALSE)</f>
        <v>44104</v>
      </c>
      <c r="I1787" s="8">
        <f>VLOOKUP(A1787,[1]!Table1[#All],33,FALSE)</f>
        <v>45929</v>
      </c>
      <c r="J1787" t="str">
        <f t="shared" ca="1" si="27"/>
        <v>Non UDO</v>
      </c>
    </row>
    <row r="1788" spans="1:10" x14ac:dyDescent="0.35">
      <c r="A1788" s="5" t="s">
        <v>56</v>
      </c>
      <c r="B1788" s="6">
        <v>45017</v>
      </c>
      <c r="C1788" s="7">
        <v>6918519</v>
      </c>
      <c r="D1788" s="7">
        <v>6918518.9800000004</v>
      </c>
      <c r="E1788" s="7">
        <v>0.02</v>
      </c>
      <c r="F1788" t="str">
        <f>VLOOKUP(A1788,[1]!Table1[#All],17,FALSE)</f>
        <v>UGANDA</v>
      </c>
      <c r="G1788" t="str">
        <f>VLOOKUP(A1788,[1]!Table1[#All],22,FALSE)</f>
        <v>INFECTIOUS DISEASES INSTITUTE AT MAKERERE UNIVERSI</v>
      </c>
      <c r="H1788" s="8">
        <f>VLOOKUP(A1788,[1]!Table1[#All],32,FALSE)</f>
        <v>44104</v>
      </c>
      <c r="I1788" s="8">
        <f>VLOOKUP(A1788,[1]!Table1[#All],33,FALSE)</f>
        <v>45929</v>
      </c>
      <c r="J1788" t="str">
        <f t="shared" ca="1" si="27"/>
        <v>Non UDO</v>
      </c>
    </row>
    <row r="1789" spans="1:10" x14ac:dyDescent="0.35">
      <c r="A1789" s="9" t="s">
        <v>56</v>
      </c>
      <c r="B1789" s="10">
        <v>45047</v>
      </c>
      <c r="C1789" s="11">
        <v>6918519</v>
      </c>
      <c r="D1789" s="11">
        <v>6918518.9800000004</v>
      </c>
      <c r="E1789" s="11">
        <v>0.02</v>
      </c>
      <c r="F1789" t="str">
        <f>VLOOKUP(A1789,[1]!Table1[#All],17,FALSE)</f>
        <v>UGANDA</v>
      </c>
      <c r="G1789" t="str">
        <f>VLOOKUP(A1789,[1]!Table1[#All],22,FALSE)</f>
        <v>INFECTIOUS DISEASES INSTITUTE AT MAKERERE UNIVERSI</v>
      </c>
      <c r="H1789" s="8">
        <f>VLOOKUP(A1789,[1]!Table1[#All],32,FALSE)</f>
        <v>44104</v>
      </c>
      <c r="I1789" s="8">
        <f>VLOOKUP(A1789,[1]!Table1[#All],33,FALSE)</f>
        <v>45929</v>
      </c>
      <c r="J1789" t="str">
        <f t="shared" ca="1" si="27"/>
        <v>Non UDO</v>
      </c>
    </row>
    <row r="1790" spans="1:10" x14ac:dyDescent="0.35">
      <c r="A1790" s="5" t="s">
        <v>56</v>
      </c>
      <c r="B1790" s="6">
        <v>45078</v>
      </c>
      <c r="C1790" s="7">
        <v>6918519</v>
      </c>
      <c r="D1790" s="7">
        <v>6918518.9800000004</v>
      </c>
      <c r="E1790" s="7">
        <v>0.02</v>
      </c>
      <c r="F1790" t="str">
        <f>VLOOKUP(A1790,[1]!Table1[#All],17,FALSE)</f>
        <v>UGANDA</v>
      </c>
      <c r="G1790" t="str">
        <f>VLOOKUP(A1790,[1]!Table1[#All],22,FALSE)</f>
        <v>INFECTIOUS DISEASES INSTITUTE AT MAKERERE UNIVERSI</v>
      </c>
      <c r="H1790" s="8">
        <f>VLOOKUP(A1790,[1]!Table1[#All],32,FALSE)</f>
        <v>44104</v>
      </c>
      <c r="I1790" s="8">
        <f>VLOOKUP(A1790,[1]!Table1[#All],33,FALSE)</f>
        <v>45929</v>
      </c>
      <c r="J1790" t="str">
        <f t="shared" ca="1" si="27"/>
        <v>Non UDO</v>
      </c>
    </row>
    <row r="1791" spans="1:10" x14ac:dyDescent="0.35">
      <c r="A1791" s="9" t="s">
        <v>56</v>
      </c>
      <c r="B1791" s="10">
        <v>45108</v>
      </c>
      <c r="C1791" s="11">
        <v>6918519</v>
      </c>
      <c r="D1791" s="11">
        <v>6918518.9800000004</v>
      </c>
      <c r="E1791" s="11">
        <v>0.02</v>
      </c>
      <c r="F1791" t="str">
        <f>VLOOKUP(A1791,[1]!Table1[#All],17,FALSE)</f>
        <v>UGANDA</v>
      </c>
      <c r="G1791" t="str">
        <f>VLOOKUP(A1791,[1]!Table1[#All],22,FALSE)</f>
        <v>INFECTIOUS DISEASES INSTITUTE AT MAKERERE UNIVERSI</v>
      </c>
      <c r="H1791" s="8">
        <f>VLOOKUP(A1791,[1]!Table1[#All],32,FALSE)</f>
        <v>44104</v>
      </c>
      <c r="I1791" s="8">
        <f>VLOOKUP(A1791,[1]!Table1[#All],33,FALSE)</f>
        <v>45929</v>
      </c>
      <c r="J1791" t="str">
        <f t="shared" ca="1" si="27"/>
        <v>Non UDO</v>
      </c>
    </row>
    <row r="1792" spans="1:10" x14ac:dyDescent="0.35">
      <c r="A1792" s="5" t="s">
        <v>56</v>
      </c>
      <c r="B1792" s="6">
        <v>45139</v>
      </c>
      <c r="C1792" s="7">
        <v>6918519</v>
      </c>
      <c r="D1792" s="7">
        <v>6918518.9800000004</v>
      </c>
      <c r="E1792" s="7">
        <v>0.02</v>
      </c>
      <c r="F1792" t="str">
        <f>VLOOKUP(A1792,[1]!Table1[#All],17,FALSE)</f>
        <v>UGANDA</v>
      </c>
      <c r="G1792" t="str">
        <f>VLOOKUP(A1792,[1]!Table1[#All],22,FALSE)</f>
        <v>INFECTIOUS DISEASES INSTITUTE AT MAKERERE UNIVERSI</v>
      </c>
      <c r="H1792" s="8">
        <f>VLOOKUP(A1792,[1]!Table1[#All],32,FALSE)</f>
        <v>44104</v>
      </c>
      <c r="I1792" s="8">
        <f>VLOOKUP(A1792,[1]!Table1[#All],33,FALSE)</f>
        <v>45929</v>
      </c>
      <c r="J1792" t="str">
        <f t="shared" ca="1" si="27"/>
        <v>Non UDO</v>
      </c>
    </row>
    <row r="1793" spans="1:10" x14ac:dyDescent="0.35">
      <c r="A1793" s="9" t="s">
        <v>56</v>
      </c>
      <c r="B1793" s="10">
        <v>45170</v>
      </c>
      <c r="C1793" s="11">
        <v>6918519</v>
      </c>
      <c r="D1793" s="11">
        <v>6918518.9800000004</v>
      </c>
      <c r="E1793" s="11">
        <v>0.02</v>
      </c>
      <c r="F1793" t="str">
        <f>VLOOKUP(A1793,[1]!Table1[#All],17,FALSE)</f>
        <v>UGANDA</v>
      </c>
      <c r="G1793" t="str">
        <f>VLOOKUP(A1793,[1]!Table1[#All],22,FALSE)</f>
        <v>INFECTIOUS DISEASES INSTITUTE AT MAKERERE UNIVERSI</v>
      </c>
      <c r="H1793" s="8">
        <f>VLOOKUP(A1793,[1]!Table1[#All],32,FALSE)</f>
        <v>44104</v>
      </c>
      <c r="I1793" s="8">
        <f>VLOOKUP(A1793,[1]!Table1[#All],33,FALSE)</f>
        <v>45929</v>
      </c>
      <c r="J1793" t="str">
        <f t="shared" ca="1" si="27"/>
        <v>Non UDO</v>
      </c>
    </row>
    <row r="1794" spans="1:10" x14ac:dyDescent="0.35">
      <c r="A1794" s="5" t="s">
        <v>57</v>
      </c>
      <c r="B1794" s="6">
        <v>44105</v>
      </c>
      <c r="C1794" s="7">
        <v>412500</v>
      </c>
      <c r="D1794" s="7">
        <v>0</v>
      </c>
      <c r="E1794" s="7">
        <v>412500</v>
      </c>
      <c r="F1794" t="str">
        <f>VLOOKUP(A1794,[1]!Table1[#All],17,FALSE)</f>
        <v>UNITED STATES</v>
      </c>
      <c r="G1794" t="str">
        <f>VLOOKUP(A1794,[1]!Table1[#All],22,FALSE)</f>
        <v>UNIVERSITY OF ALABAMA AT BIRMINGHAM</v>
      </c>
      <c r="H1794" s="8">
        <f>VLOOKUP(A1794,[1]!Table1[#All],32,FALSE)</f>
        <v>44104</v>
      </c>
      <c r="I1794" s="8">
        <f>VLOOKUP(A1794,[1]!Table1[#All],33,FALSE)</f>
        <v>45929</v>
      </c>
      <c r="J1794" t="str">
        <f t="shared" ca="1" si="27"/>
        <v>Non UDO</v>
      </c>
    </row>
    <row r="1795" spans="1:10" x14ac:dyDescent="0.35">
      <c r="A1795" s="9" t="s">
        <v>57</v>
      </c>
      <c r="B1795" s="10">
        <v>44136</v>
      </c>
      <c r="C1795" s="11">
        <v>412500</v>
      </c>
      <c r="D1795" s="11">
        <v>0</v>
      </c>
      <c r="E1795" s="11">
        <v>412500</v>
      </c>
      <c r="F1795" t="str">
        <f>VLOOKUP(A1795,[1]!Table1[#All],17,FALSE)</f>
        <v>UNITED STATES</v>
      </c>
      <c r="G1795" t="str">
        <f>VLOOKUP(A1795,[1]!Table1[#All],22,FALSE)</f>
        <v>UNIVERSITY OF ALABAMA AT BIRMINGHAM</v>
      </c>
      <c r="H1795" s="8">
        <f>VLOOKUP(A1795,[1]!Table1[#All],32,FALSE)</f>
        <v>44104</v>
      </c>
      <c r="I1795" s="8">
        <f>VLOOKUP(A1795,[1]!Table1[#All],33,FALSE)</f>
        <v>45929</v>
      </c>
      <c r="J1795" t="str">
        <f t="shared" ref="J1795:J1858" ca="1" si="28">IF(AND( E1795&gt;0,TODAY()&gt;I1795),"UDO","Non UDO")</f>
        <v>Non UDO</v>
      </c>
    </row>
    <row r="1796" spans="1:10" x14ac:dyDescent="0.35">
      <c r="A1796" s="5" t="s">
        <v>57</v>
      </c>
      <c r="B1796" s="6">
        <v>44166</v>
      </c>
      <c r="C1796" s="7">
        <v>412500</v>
      </c>
      <c r="D1796" s="7">
        <v>1589.87</v>
      </c>
      <c r="E1796" s="7">
        <v>410910.13</v>
      </c>
      <c r="F1796" t="str">
        <f>VLOOKUP(A1796,[1]!Table1[#All],17,FALSE)</f>
        <v>UNITED STATES</v>
      </c>
      <c r="G1796" t="str">
        <f>VLOOKUP(A1796,[1]!Table1[#All],22,FALSE)</f>
        <v>UNIVERSITY OF ALABAMA AT BIRMINGHAM</v>
      </c>
      <c r="H1796" s="8">
        <f>VLOOKUP(A1796,[1]!Table1[#All],32,FALSE)</f>
        <v>44104</v>
      </c>
      <c r="I1796" s="8">
        <f>VLOOKUP(A1796,[1]!Table1[#All],33,FALSE)</f>
        <v>45929</v>
      </c>
      <c r="J1796" t="str">
        <f t="shared" ca="1" si="28"/>
        <v>Non UDO</v>
      </c>
    </row>
    <row r="1797" spans="1:10" x14ac:dyDescent="0.35">
      <c r="A1797" s="9" t="s">
        <v>57</v>
      </c>
      <c r="B1797" s="10">
        <v>44197</v>
      </c>
      <c r="C1797" s="11">
        <v>412500</v>
      </c>
      <c r="D1797" s="11">
        <v>21599.34</v>
      </c>
      <c r="E1797" s="11">
        <v>390900.66</v>
      </c>
      <c r="F1797" t="str">
        <f>VLOOKUP(A1797,[1]!Table1[#All],17,FALSE)</f>
        <v>UNITED STATES</v>
      </c>
      <c r="G1797" t="str">
        <f>VLOOKUP(A1797,[1]!Table1[#All],22,FALSE)</f>
        <v>UNIVERSITY OF ALABAMA AT BIRMINGHAM</v>
      </c>
      <c r="H1797" s="8">
        <f>VLOOKUP(A1797,[1]!Table1[#All],32,FALSE)</f>
        <v>44104</v>
      </c>
      <c r="I1797" s="8">
        <f>VLOOKUP(A1797,[1]!Table1[#All],33,FALSE)</f>
        <v>45929</v>
      </c>
      <c r="J1797" t="str">
        <f t="shared" ca="1" si="28"/>
        <v>Non UDO</v>
      </c>
    </row>
    <row r="1798" spans="1:10" x14ac:dyDescent="0.35">
      <c r="A1798" s="5" t="s">
        <v>57</v>
      </c>
      <c r="B1798" s="6">
        <v>44228</v>
      </c>
      <c r="C1798" s="7">
        <v>412500</v>
      </c>
      <c r="D1798" s="7">
        <v>35586.93</v>
      </c>
      <c r="E1798" s="7">
        <v>376913.07</v>
      </c>
      <c r="F1798" t="str">
        <f>VLOOKUP(A1798,[1]!Table1[#All],17,FALSE)</f>
        <v>UNITED STATES</v>
      </c>
      <c r="G1798" t="str">
        <f>VLOOKUP(A1798,[1]!Table1[#All],22,FALSE)</f>
        <v>UNIVERSITY OF ALABAMA AT BIRMINGHAM</v>
      </c>
      <c r="H1798" s="8">
        <f>VLOOKUP(A1798,[1]!Table1[#All],32,FALSE)</f>
        <v>44104</v>
      </c>
      <c r="I1798" s="8">
        <f>VLOOKUP(A1798,[1]!Table1[#All],33,FALSE)</f>
        <v>45929</v>
      </c>
      <c r="J1798" t="str">
        <f t="shared" ca="1" si="28"/>
        <v>Non UDO</v>
      </c>
    </row>
    <row r="1799" spans="1:10" x14ac:dyDescent="0.35">
      <c r="A1799" s="9" t="s">
        <v>57</v>
      </c>
      <c r="B1799" s="10">
        <v>44256</v>
      </c>
      <c r="C1799" s="11">
        <v>412500</v>
      </c>
      <c r="D1799" s="11">
        <v>75880.600000000006</v>
      </c>
      <c r="E1799" s="11">
        <v>336619.4</v>
      </c>
      <c r="F1799" t="str">
        <f>VLOOKUP(A1799,[1]!Table1[#All],17,FALSE)</f>
        <v>UNITED STATES</v>
      </c>
      <c r="G1799" t="str">
        <f>VLOOKUP(A1799,[1]!Table1[#All],22,FALSE)</f>
        <v>UNIVERSITY OF ALABAMA AT BIRMINGHAM</v>
      </c>
      <c r="H1799" s="8">
        <f>VLOOKUP(A1799,[1]!Table1[#All],32,FALSE)</f>
        <v>44104</v>
      </c>
      <c r="I1799" s="8">
        <f>VLOOKUP(A1799,[1]!Table1[#All],33,FALSE)</f>
        <v>45929</v>
      </c>
      <c r="J1799" t="str">
        <f t="shared" ca="1" si="28"/>
        <v>Non UDO</v>
      </c>
    </row>
    <row r="1800" spans="1:10" x14ac:dyDescent="0.35">
      <c r="A1800" s="5" t="s">
        <v>57</v>
      </c>
      <c r="B1800" s="6">
        <v>44317</v>
      </c>
      <c r="C1800" s="7">
        <v>412500</v>
      </c>
      <c r="D1800" s="7">
        <v>122995.92</v>
      </c>
      <c r="E1800" s="7">
        <v>289504.08</v>
      </c>
      <c r="F1800" t="str">
        <f>VLOOKUP(A1800,[1]!Table1[#All],17,FALSE)</f>
        <v>UNITED STATES</v>
      </c>
      <c r="G1800" t="str">
        <f>VLOOKUP(A1800,[1]!Table1[#All],22,FALSE)</f>
        <v>UNIVERSITY OF ALABAMA AT BIRMINGHAM</v>
      </c>
      <c r="H1800" s="8">
        <f>VLOOKUP(A1800,[1]!Table1[#All],32,FALSE)</f>
        <v>44104</v>
      </c>
      <c r="I1800" s="8">
        <f>VLOOKUP(A1800,[1]!Table1[#All],33,FALSE)</f>
        <v>45929</v>
      </c>
      <c r="J1800" t="str">
        <f t="shared" ca="1" si="28"/>
        <v>Non UDO</v>
      </c>
    </row>
    <row r="1801" spans="1:10" x14ac:dyDescent="0.35">
      <c r="A1801" s="9" t="s">
        <v>57</v>
      </c>
      <c r="B1801" s="10">
        <v>44348</v>
      </c>
      <c r="C1801" s="11">
        <v>412500</v>
      </c>
      <c r="D1801" s="11">
        <v>140896.13</v>
      </c>
      <c r="E1801" s="11">
        <v>271603.87</v>
      </c>
      <c r="F1801" t="str">
        <f>VLOOKUP(A1801,[1]!Table1[#All],17,FALSE)</f>
        <v>UNITED STATES</v>
      </c>
      <c r="G1801" t="str">
        <f>VLOOKUP(A1801,[1]!Table1[#All],22,FALSE)</f>
        <v>UNIVERSITY OF ALABAMA AT BIRMINGHAM</v>
      </c>
      <c r="H1801" s="8">
        <f>VLOOKUP(A1801,[1]!Table1[#All],32,FALSE)</f>
        <v>44104</v>
      </c>
      <c r="I1801" s="8">
        <f>VLOOKUP(A1801,[1]!Table1[#All],33,FALSE)</f>
        <v>45929</v>
      </c>
      <c r="J1801" t="str">
        <f t="shared" ca="1" si="28"/>
        <v>Non UDO</v>
      </c>
    </row>
    <row r="1802" spans="1:10" x14ac:dyDescent="0.35">
      <c r="A1802" s="5" t="s">
        <v>57</v>
      </c>
      <c r="B1802" s="6">
        <v>44378</v>
      </c>
      <c r="C1802" s="7">
        <v>412500</v>
      </c>
      <c r="D1802" s="7">
        <v>164704.64000000001</v>
      </c>
      <c r="E1802" s="7">
        <v>247795.36</v>
      </c>
      <c r="F1802" t="str">
        <f>VLOOKUP(A1802,[1]!Table1[#All],17,FALSE)</f>
        <v>UNITED STATES</v>
      </c>
      <c r="G1802" t="str">
        <f>VLOOKUP(A1802,[1]!Table1[#All],22,FALSE)</f>
        <v>UNIVERSITY OF ALABAMA AT BIRMINGHAM</v>
      </c>
      <c r="H1802" s="8">
        <f>VLOOKUP(A1802,[1]!Table1[#All],32,FALSE)</f>
        <v>44104</v>
      </c>
      <c r="I1802" s="8">
        <f>VLOOKUP(A1802,[1]!Table1[#All],33,FALSE)</f>
        <v>45929</v>
      </c>
      <c r="J1802" t="str">
        <f t="shared" ca="1" si="28"/>
        <v>Non UDO</v>
      </c>
    </row>
    <row r="1803" spans="1:10" x14ac:dyDescent="0.35">
      <c r="A1803" s="9" t="s">
        <v>57</v>
      </c>
      <c r="B1803" s="10">
        <v>44409</v>
      </c>
      <c r="C1803" s="11">
        <v>412500</v>
      </c>
      <c r="D1803" s="11">
        <v>180676.75</v>
      </c>
      <c r="E1803" s="11">
        <v>231823.25</v>
      </c>
      <c r="F1803" t="str">
        <f>VLOOKUP(A1803,[1]!Table1[#All],17,FALSE)</f>
        <v>UNITED STATES</v>
      </c>
      <c r="G1803" t="str">
        <f>VLOOKUP(A1803,[1]!Table1[#All],22,FALSE)</f>
        <v>UNIVERSITY OF ALABAMA AT BIRMINGHAM</v>
      </c>
      <c r="H1803" s="8">
        <f>VLOOKUP(A1803,[1]!Table1[#All],32,FALSE)</f>
        <v>44104</v>
      </c>
      <c r="I1803" s="8">
        <f>VLOOKUP(A1803,[1]!Table1[#All],33,FALSE)</f>
        <v>45929</v>
      </c>
      <c r="J1803" t="str">
        <f t="shared" ca="1" si="28"/>
        <v>Non UDO</v>
      </c>
    </row>
    <row r="1804" spans="1:10" x14ac:dyDescent="0.35">
      <c r="A1804" s="5" t="s">
        <v>57</v>
      </c>
      <c r="B1804" s="6">
        <v>44440</v>
      </c>
      <c r="C1804" s="7">
        <v>412500</v>
      </c>
      <c r="D1804" s="7">
        <v>225735</v>
      </c>
      <c r="E1804" s="7">
        <v>186765</v>
      </c>
      <c r="F1804" t="str">
        <f>VLOOKUP(A1804,[1]!Table1[#All],17,FALSE)</f>
        <v>UNITED STATES</v>
      </c>
      <c r="G1804" t="str">
        <f>VLOOKUP(A1804,[1]!Table1[#All],22,FALSE)</f>
        <v>UNIVERSITY OF ALABAMA AT BIRMINGHAM</v>
      </c>
      <c r="H1804" s="8">
        <f>VLOOKUP(A1804,[1]!Table1[#All],32,FALSE)</f>
        <v>44104</v>
      </c>
      <c r="I1804" s="8">
        <f>VLOOKUP(A1804,[1]!Table1[#All],33,FALSE)</f>
        <v>45929</v>
      </c>
      <c r="J1804" t="str">
        <f t="shared" ca="1" si="28"/>
        <v>Non UDO</v>
      </c>
    </row>
    <row r="1805" spans="1:10" x14ac:dyDescent="0.35">
      <c r="A1805" s="9" t="s">
        <v>57</v>
      </c>
      <c r="B1805" s="10">
        <v>44470</v>
      </c>
      <c r="C1805" s="11">
        <v>412500</v>
      </c>
      <c r="D1805" s="11">
        <v>255734.06</v>
      </c>
      <c r="E1805" s="11">
        <v>156765.94</v>
      </c>
      <c r="F1805" t="str">
        <f>VLOOKUP(A1805,[1]!Table1[#All],17,FALSE)</f>
        <v>UNITED STATES</v>
      </c>
      <c r="G1805" t="str">
        <f>VLOOKUP(A1805,[1]!Table1[#All],22,FALSE)</f>
        <v>UNIVERSITY OF ALABAMA AT BIRMINGHAM</v>
      </c>
      <c r="H1805" s="8">
        <f>VLOOKUP(A1805,[1]!Table1[#All],32,FALSE)</f>
        <v>44104</v>
      </c>
      <c r="I1805" s="8">
        <f>VLOOKUP(A1805,[1]!Table1[#All],33,FALSE)</f>
        <v>45929</v>
      </c>
      <c r="J1805" t="str">
        <f t="shared" ca="1" si="28"/>
        <v>Non UDO</v>
      </c>
    </row>
    <row r="1806" spans="1:10" x14ac:dyDescent="0.35">
      <c r="A1806" s="5" t="s">
        <v>57</v>
      </c>
      <c r="B1806" s="6">
        <v>44501</v>
      </c>
      <c r="C1806" s="7">
        <v>412500</v>
      </c>
      <c r="D1806" s="7">
        <v>259347.29</v>
      </c>
      <c r="E1806" s="7">
        <v>153152.71</v>
      </c>
      <c r="F1806" t="str">
        <f>VLOOKUP(A1806,[1]!Table1[#All],17,FALSE)</f>
        <v>UNITED STATES</v>
      </c>
      <c r="G1806" t="str">
        <f>VLOOKUP(A1806,[1]!Table1[#All],22,FALSE)</f>
        <v>UNIVERSITY OF ALABAMA AT BIRMINGHAM</v>
      </c>
      <c r="H1806" s="8">
        <f>VLOOKUP(A1806,[1]!Table1[#All],32,FALSE)</f>
        <v>44104</v>
      </c>
      <c r="I1806" s="8">
        <f>VLOOKUP(A1806,[1]!Table1[#All],33,FALSE)</f>
        <v>45929</v>
      </c>
      <c r="J1806" t="str">
        <f t="shared" ca="1" si="28"/>
        <v>Non UDO</v>
      </c>
    </row>
    <row r="1807" spans="1:10" x14ac:dyDescent="0.35">
      <c r="A1807" s="9" t="s">
        <v>57</v>
      </c>
      <c r="B1807" s="10">
        <v>44531</v>
      </c>
      <c r="C1807" s="11">
        <v>412500</v>
      </c>
      <c r="D1807" s="11">
        <v>264256.56</v>
      </c>
      <c r="E1807" s="11">
        <v>148243.44</v>
      </c>
      <c r="F1807" t="str">
        <f>VLOOKUP(A1807,[1]!Table1[#All],17,FALSE)</f>
        <v>UNITED STATES</v>
      </c>
      <c r="G1807" t="str">
        <f>VLOOKUP(A1807,[1]!Table1[#All],22,FALSE)</f>
        <v>UNIVERSITY OF ALABAMA AT BIRMINGHAM</v>
      </c>
      <c r="H1807" s="8">
        <f>VLOOKUP(A1807,[1]!Table1[#All],32,FALSE)</f>
        <v>44104</v>
      </c>
      <c r="I1807" s="8">
        <f>VLOOKUP(A1807,[1]!Table1[#All],33,FALSE)</f>
        <v>45929</v>
      </c>
      <c r="J1807" t="str">
        <f t="shared" ca="1" si="28"/>
        <v>Non UDO</v>
      </c>
    </row>
    <row r="1808" spans="1:10" x14ac:dyDescent="0.35">
      <c r="A1808" s="5" t="s">
        <v>57</v>
      </c>
      <c r="B1808" s="6">
        <v>44562</v>
      </c>
      <c r="C1808" s="7">
        <v>412500</v>
      </c>
      <c r="D1808" s="7">
        <v>266900.40999999997</v>
      </c>
      <c r="E1808" s="7">
        <v>145599.59</v>
      </c>
      <c r="F1808" t="str">
        <f>VLOOKUP(A1808,[1]!Table1[#All],17,FALSE)</f>
        <v>UNITED STATES</v>
      </c>
      <c r="G1808" t="str">
        <f>VLOOKUP(A1808,[1]!Table1[#All],22,FALSE)</f>
        <v>UNIVERSITY OF ALABAMA AT BIRMINGHAM</v>
      </c>
      <c r="H1808" s="8">
        <f>VLOOKUP(A1808,[1]!Table1[#All],32,FALSE)</f>
        <v>44104</v>
      </c>
      <c r="I1808" s="8">
        <f>VLOOKUP(A1808,[1]!Table1[#All],33,FALSE)</f>
        <v>45929</v>
      </c>
      <c r="J1808" t="str">
        <f t="shared" ca="1" si="28"/>
        <v>Non UDO</v>
      </c>
    </row>
    <row r="1809" spans="1:10" x14ac:dyDescent="0.35">
      <c r="A1809" s="9" t="s">
        <v>57</v>
      </c>
      <c r="B1809" s="10">
        <v>44593</v>
      </c>
      <c r="C1809" s="11">
        <v>412500</v>
      </c>
      <c r="D1809" s="11">
        <v>298080.40000000002</v>
      </c>
      <c r="E1809" s="11">
        <v>114419.6</v>
      </c>
      <c r="F1809" t="str">
        <f>VLOOKUP(A1809,[1]!Table1[#All],17,FALSE)</f>
        <v>UNITED STATES</v>
      </c>
      <c r="G1809" t="str">
        <f>VLOOKUP(A1809,[1]!Table1[#All],22,FALSE)</f>
        <v>UNIVERSITY OF ALABAMA AT BIRMINGHAM</v>
      </c>
      <c r="H1809" s="8">
        <f>VLOOKUP(A1809,[1]!Table1[#All],32,FALSE)</f>
        <v>44104</v>
      </c>
      <c r="I1809" s="8">
        <f>VLOOKUP(A1809,[1]!Table1[#All],33,FALSE)</f>
        <v>45929</v>
      </c>
      <c r="J1809" t="str">
        <f t="shared" ca="1" si="28"/>
        <v>Non UDO</v>
      </c>
    </row>
    <row r="1810" spans="1:10" x14ac:dyDescent="0.35">
      <c r="A1810" s="5" t="s">
        <v>57</v>
      </c>
      <c r="B1810" s="6">
        <v>44621</v>
      </c>
      <c r="C1810" s="7">
        <v>412500</v>
      </c>
      <c r="D1810" s="7">
        <v>347093.97</v>
      </c>
      <c r="E1810" s="7">
        <v>65406.03</v>
      </c>
      <c r="F1810" t="str">
        <f>VLOOKUP(A1810,[1]!Table1[#All],17,FALSE)</f>
        <v>UNITED STATES</v>
      </c>
      <c r="G1810" t="str">
        <f>VLOOKUP(A1810,[1]!Table1[#All],22,FALSE)</f>
        <v>UNIVERSITY OF ALABAMA AT BIRMINGHAM</v>
      </c>
      <c r="H1810" s="8">
        <f>VLOOKUP(A1810,[1]!Table1[#All],32,FALSE)</f>
        <v>44104</v>
      </c>
      <c r="I1810" s="8">
        <f>VLOOKUP(A1810,[1]!Table1[#All],33,FALSE)</f>
        <v>45929</v>
      </c>
      <c r="J1810" t="str">
        <f t="shared" ca="1" si="28"/>
        <v>Non UDO</v>
      </c>
    </row>
    <row r="1811" spans="1:10" x14ac:dyDescent="0.35">
      <c r="A1811" s="9" t="s">
        <v>57</v>
      </c>
      <c r="B1811" s="10">
        <v>44652</v>
      </c>
      <c r="C1811" s="11">
        <v>412500</v>
      </c>
      <c r="D1811" s="11">
        <v>376640.85</v>
      </c>
      <c r="E1811" s="11">
        <v>35859.15</v>
      </c>
      <c r="F1811" t="str">
        <f>VLOOKUP(A1811,[1]!Table1[#All],17,FALSE)</f>
        <v>UNITED STATES</v>
      </c>
      <c r="G1811" t="str">
        <f>VLOOKUP(A1811,[1]!Table1[#All],22,FALSE)</f>
        <v>UNIVERSITY OF ALABAMA AT BIRMINGHAM</v>
      </c>
      <c r="H1811" s="8">
        <f>VLOOKUP(A1811,[1]!Table1[#All],32,FALSE)</f>
        <v>44104</v>
      </c>
      <c r="I1811" s="8">
        <f>VLOOKUP(A1811,[1]!Table1[#All],33,FALSE)</f>
        <v>45929</v>
      </c>
      <c r="J1811" t="str">
        <f t="shared" ca="1" si="28"/>
        <v>Non UDO</v>
      </c>
    </row>
    <row r="1812" spans="1:10" x14ac:dyDescent="0.35">
      <c r="A1812" s="5" t="s">
        <v>57</v>
      </c>
      <c r="B1812" s="6">
        <v>44682</v>
      </c>
      <c r="C1812" s="7">
        <v>412500</v>
      </c>
      <c r="D1812" s="7">
        <v>397371.81</v>
      </c>
      <c r="E1812" s="7">
        <v>15128.19</v>
      </c>
      <c r="F1812" t="str">
        <f>VLOOKUP(A1812,[1]!Table1[#All],17,FALSE)</f>
        <v>UNITED STATES</v>
      </c>
      <c r="G1812" t="str">
        <f>VLOOKUP(A1812,[1]!Table1[#All],22,FALSE)</f>
        <v>UNIVERSITY OF ALABAMA AT BIRMINGHAM</v>
      </c>
      <c r="H1812" s="8">
        <f>VLOOKUP(A1812,[1]!Table1[#All],32,FALSE)</f>
        <v>44104</v>
      </c>
      <c r="I1812" s="8">
        <f>VLOOKUP(A1812,[1]!Table1[#All],33,FALSE)</f>
        <v>45929</v>
      </c>
      <c r="J1812" t="str">
        <f t="shared" ca="1" si="28"/>
        <v>Non UDO</v>
      </c>
    </row>
    <row r="1813" spans="1:10" x14ac:dyDescent="0.35">
      <c r="A1813" s="9" t="s">
        <v>57</v>
      </c>
      <c r="B1813" s="10">
        <v>44713</v>
      </c>
      <c r="C1813" s="11">
        <v>412500</v>
      </c>
      <c r="D1813" s="11">
        <v>412500</v>
      </c>
      <c r="E1813" s="11">
        <v>0</v>
      </c>
      <c r="F1813" t="str">
        <f>VLOOKUP(A1813,[1]!Table1[#All],17,FALSE)</f>
        <v>UNITED STATES</v>
      </c>
      <c r="G1813" t="str">
        <f>VLOOKUP(A1813,[1]!Table1[#All],22,FALSE)</f>
        <v>UNIVERSITY OF ALABAMA AT BIRMINGHAM</v>
      </c>
      <c r="H1813" s="8">
        <f>VLOOKUP(A1813,[1]!Table1[#All],32,FALSE)</f>
        <v>44104</v>
      </c>
      <c r="I1813" s="8">
        <f>VLOOKUP(A1813,[1]!Table1[#All],33,FALSE)</f>
        <v>45929</v>
      </c>
      <c r="J1813" t="str">
        <f t="shared" ca="1" si="28"/>
        <v>Non UDO</v>
      </c>
    </row>
    <row r="1814" spans="1:10" x14ac:dyDescent="0.35">
      <c r="A1814" s="5" t="s">
        <v>57</v>
      </c>
      <c r="B1814" s="6">
        <v>44743</v>
      </c>
      <c r="C1814" s="7">
        <v>412500</v>
      </c>
      <c r="D1814" s="7">
        <v>412500</v>
      </c>
      <c r="E1814" s="7">
        <v>0</v>
      </c>
      <c r="F1814" t="str">
        <f>VLOOKUP(A1814,[1]!Table1[#All],17,FALSE)</f>
        <v>UNITED STATES</v>
      </c>
      <c r="G1814" t="str">
        <f>VLOOKUP(A1814,[1]!Table1[#All],22,FALSE)</f>
        <v>UNIVERSITY OF ALABAMA AT BIRMINGHAM</v>
      </c>
      <c r="H1814" s="8">
        <f>VLOOKUP(A1814,[1]!Table1[#All],32,FALSE)</f>
        <v>44104</v>
      </c>
      <c r="I1814" s="8">
        <f>VLOOKUP(A1814,[1]!Table1[#All],33,FALSE)</f>
        <v>45929</v>
      </c>
      <c r="J1814" t="str">
        <f t="shared" ca="1" si="28"/>
        <v>Non UDO</v>
      </c>
    </row>
    <row r="1815" spans="1:10" x14ac:dyDescent="0.35">
      <c r="A1815" s="9" t="s">
        <v>57</v>
      </c>
      <c r="B1815" s="10">
        <v>44774</v>
      </c>
      <c r="C1815" s="11">
        <v>412500</v>
      </c>
      <c r="D1815" s="11">
        <v>412500</v>
      </c>
      <c r="E1815" s="11">
        <v>0</v>
      </c>
      <c r="F1815" t="str">
        <f>VLOOKUP(A1815,[1]!Table1[#All],17,FALSE)</f>
        <v>UNITED STATES</v>
      </c>
      <c r="G1815" t="str">
        <f>VLOOKUP(A1815,[1]!Table1[#All],22,FALSE)</f>
        <v>UNIVERSITY OF ALABAMA AT BIRMINGHAM</v>
      </c>
      <c r="H1815" s="8">
        <f>VLOOKUP(A1815,[1]!Table1[#All],32,FALSE)</f>
        <v>44104</v>
      </c>
      <c r="I1815" s="8">
        <f>VLOOKUP(A1815,[1]!Table1[#All],33,FALSE)</f>
        <v>45929</v>
      </c>
      <c r="J1815" t="str">
        <f t="shared" ca="1" si="28"/>
        <v>Non UDO</v>
      </c>
    </row>
    <row r="1816" spans="1:10" x14ac:dyDescent="0.35">
      <c r="A1816" s="5" t="s">
        <v>57</v>
      </c>
      <c r="B1816" s="6">
        <v>44805</v>
      </c>
      <c r="C1816" s="7">
        <v>412500</v>
      </c>
      <c r="D1816" s="7">
        <v>412500</v>
      </c>
      <c r="E1816" s="7">
        <v>0</v>
      </c>
      <c r="F1816" t="str">
        <f>VLOOKUP(A1816,[1]!Table1[#All],17,FALSE)</f>
        <v>UNITED STATES</v>
      </c>
      <c r="G1816" t="str">
        <f>VLOOKUP(A1816,[1]!Table1[#All],22,FALSE)</f>
        <v>UNIVERSITY OF ALABAMA AT BIRMINGHAM</v>
      </c>
      <c r="H1816" s="8">
        <f>VLOOKUP(A1816,[1]!Table1[#All],32,FALSE)</f>
        <v>44104</v>
      </c>
      <c r="I1816" s="8">
        <f>VLOOKUP(A1816,[1]!Table1[#All],33,FALSE)</f>
        <v>45929</v>
      </c>
      <c r="J1816" t="str">
        <f t="shared" ca="1" si="28"/>
        <v>Non UDO</v>
      </c>
    </row>
    <row r="1817" spans="1:10" x14ac:dyDescent="0.35">
      <c r="A1817" s="9" t="s">
        <v>57</v>
      </c>
      <c r="B1817" s="10">
        <v>44835</v>
      </c>
      <c r="C1817" s="11">
        <v>412500</v>
      </c>
      <c r="D1817" s="11">
        <v>412500</v>
      </c>
      <c r="E1817" s="11">
        <v>0</v>
      </c>
      <c r="F1817" t="str">
        <f>VLOOKUP(A1817,[1]!Table1[#All],17,FALSE)</f>
        <v>UNITED STATES</v>
      </c>
      <c r="G1817" t="str">
        <f>VLOOKUP(A1817,[1]!Table1[#All],22,FALSE)</f>
        <v>UNIVERSITY OF ALABAMA AT BIRMINGHAM</v>
      </c>
      <c r="H1817" s="8">
        <f>VLOOKUP(A1817,[1]!Table1[#All],32,FALSE)</f>
        <v>44104</v>
      </c>
      <c r="I1817" s="8">
        <f>VLOOKUP(A1817,[1]!Table1[#All],33,FALSE)</f>
        <v>45929</v>
      </c>
      <c r="J1817" t="str">
        <f t="shared" ca="1" si="28"/>
        <v>Non UDO</v>
      </c>
    </row>
    <row r="1818" spans="1:10" x14ac:dyDescent="0.35">
      <c r="A1818" s="5" t="s">
        <v>57</v>
      </c>
      <c r="B1818" s="6">
        <v>44866</v>
      </c>
      <c r="C1818" s="7">
        <v>412500</v>
      </c>
      <c r="D1818" s="7">
        <v>412500</v>
      </c>
      <c r="E1818" s="7">
        <v>0</v>
      </c>
      <c r="F1818" t="str">
        <f>VLOOKUP(A1818,[1]!Table1[#All],17,FALSE)</f>
        <v>UNITED STATES</v>
      </c>
      <c r="G1818" t="str">
        <f>VLOOKUP(A1818,[1]!Table1[#All],22,FALSE)</f>
        <v>UNIVERSITY OF ALABAMA AT BIRMINGHAM</v>
      </c>
      <c r="H1818" s="8">
        <f>VLOOKUP(A1818,[1]!Table1[#All],32,FALSE)</f>
        <v>44104</v>
      </c>
      <c r="I1818" s="8">
        <f>VLOOKUP(A1818,[1]!Table1[#All],33,FALSE)</f>
        <v>45929</v>
      </c>
      <c r="J1818" t="str">
        <f t="shared" ca="1" si="28"/>
        <v>Non UDO</v>
      </c>
    </row>
    <row r="1819" spans="1:10" x14ac:dyDescent="0.35">
      <c r="A1819" s="9" t="s">
        <v>57</v>
      </c>
      <c r="B1819" s="10">
        <v>44896</v>
      </c>
      <c r="C1819" s="11">
        <v>412500</v>
      </c>
      <c r="D1819" s="11">
        <v>412500</v>
      </c>
      <c r="E1819" s="11">
        <v>0</v>
      </c>
      <c r="F1819" t="str">
        <f>VLOOKUP(A1819,[1]!Table1[#All],17,FALSE)</f>
        <v>UNITED STATES</v>
      </c>
      <c r="G1819" t="str">
        <f>VLOOKUP(A1819,[1]!Table1[#All],22,FALSE)</f>
        <v>UNIVERSITY OF ALABAMA AT BIRMINGHAM</v>
      </c>
      <c r="H1819" s="8">
        <f>VLOOKUP(A1819,[1]!Table1[#All],32,FALSE)</f>
        <v>44104</v>
      </c>
      <c r="I1819" s="8">
        <f>VLOOKUP(A1819,[1]!Table1[#All],33,FALSE)</f>
        <v>45929</v>
      </c>
      <c r="J1819" t="str">
        <f t="shared" ca="1" si="28"/>
        <v>Non UDO</v>
      </c>
    </row>
    <row r="1820" spans="1:10" x14ac:dyDescent="0.35">
      <c r="A1820" s="5" t="s">
        <v>57</v>
      </c>
      <c r="B1820" s="6">
        <v>44927</v>
      </c>
      <c r="C1820" s="7">
        <v>412500</v>
      </c>
      <c r="D1820" s="7">
        <v>412500</v>
      </c>
      <c r="E1820" s="7">
        <v>0</v>
      </c>
      <c r="F1820" t="str">
        <f>VLOOKUP(A1820,[1]!Table1[#All],17,FALSE)</f>
        <v>UNITED STATES</v>
      </c>
      <c r="G1820" t="str">
        <f>VLOOKUP(A1820,[1]!Table1[#All],22,FALSE)</f>
        <v>UNIVERSITY OF ALABAMA AT BIRMINGHAM</v>
      </c>
      <c r="H1820" s="8">
        <f>VLOOKUP(A1820,[1]!Table1[#All],32,FALSE)</f>
        <v>44104</v>
      </c>
      <c r="I1820" s="8">
        <f>VLOOKUP(A1820,[1]!Table1[#All],33,FALSE)</f>
        <v>45929</v>
      </c>
      <c r="J1820" t="str">
        <f t="shared" ca="1" si="28"/>
        <v>Non UDO</v>
      </c>
    </row>
    <row r="1821" spans="1:10" x14ac:dyDescent="0.35">
      <c r="A1821" s="9" t="s">
        <v>57</v>
      </c>
      <c r="B1821" s="10">
        <v>44958</v>
      </c>
      <c r="C1821" s="11">
        <v>412500</v>
      </c>
      <c r="D1821" s="11">
        <v>412500</v>
      </c>
      <c r="E1821" s="11">
        <v>0</v>
      </c>
      <c r="F1821" t="str">
        <f>VLOOKUP(A1821,[1]!Table1[#All],17,FALSE)</f>
        <v>UNITED STATES</v>
      </c>
      <c r="G1821" t="str">
        <f>VLOOKUP(A1821,[1]!Table1[#All],22,FALSE)</f>
        <v>UNIVERSITY OF ALABAMA AT BIRMINGHAM</v>
      </c>
      <c r="H1821" s="8">
        <f>VLOOKUP(A1821,[1]!Table1[#All],32,FALSE)</f>
        <v>44104</v>
      </c>
      <c r="I1821" s="8">
        <f>VLOOKUP(A1821,[1]!Table1[#All],33,FALSE)</f>
        <v>45929</v>
      </c>
      <c r="J1821" t="str">
        <f t="shared" ca="1" si="28"/>
        <v>Non UDO</v>
      </c>
    </row>
    <row r="1822" spans="1:10" x14ac:dyDescent="0.35">
      <c r="A1822" s="5" t="s">
        <v>57</v>
      </c>
      <c r="B1822" s="6">
        <v>44986</v>
      </c>
      <c r="C1822" s="7">
        <v>412500</v>
      </c>
      <c r="D1822" s="7">
        <v>412500</v>
      </c>
      <c r="E1822" s="7">
        <v>0</v>
      </c>
      <c r="F1822" t="str">
        <f>VLOOKUP(A1822,[1]!Table1[#All],17,FALSE)</f>
        <v>UNITED STATES</v>
      </c>
      <c r="G1822" t="str">
        <f>VLOOKUP(A1822,[1]!Table1[#All],22,FALSE)</f>
        <v>UNIVERSITY OF ALABAMA AT BIRMINGHAM</v>
      </c>
      <c r="H1822" s="8">
        <f>VLOOKUP(A1822,[1]!Table1[#All],32,FALSE)</f>
        <v>44104</v>
      </c>
      <c r="I1822" s="8">
        <f>VLOOKUP(A1822,[1]!Table1[#All],33,FALSE)</f>
        <v>45929</v>
      </c>
      <c r="J1822" t="str">
        <f t="shared" ca="1" si="28"/>
        <v>Non UDO</v>
      </c>
    </row>
    <row r="1823" spans="1:10" x14ac:dyDescent="0.35">
      <c r="A1823" s="9" t="s">
        <v>57</v>
      </c>
      <c r="B1823" s="10">
        <v>45017</v>
      </c>
      <c r="C1823" s="11">
        <v>412500</v>
      </c>
      <c r="D1823" s="11">
        <v>412500</v>
      </c>
      <c r="E1823" s="11">
        <v>0</v>
      </c>
      <c r="F1823" t="str">
        <f>VLOOKUP(A1823,[1]!Table1[#All],17,FALSE)</f>
        <v>UNITED STATES</v>
      </c>
      <c r="G1823" t="str">
        <f>VLOOKUP(A1823,[1]!Table1[#All],22,FALSE)</f>
        <v>UNIVERSITY OF ALABAMA AT BIRMINGHAM</v>
      </c>
      <c r="H1823" s="8">
        <f>VLOOKUP(A1823,[1]!Table1[#All],32,FALSE)</f>
        <v>44104</v>
      </c>
      <c r="I1823" s="8">
        <f>VLOOKUP(A1823,[1]!Table1[#All],33,FALSE)</f>
        <v>45929</v>
      </c>
      <c r="J1823" t="str">
        <f t="shared" ca="1" si="28"/>
        <v>Non UDO</v>
      </c>
    </row>
    <row r="1824" spans="1:10" x14ac:dyDescent="0.35">
      <c r="A1824" s="5" t="s">
        <v>57</v>
      </c>
      <c r="B1824" s="6">
        <v>45047</v>
      </c>
      <c r="C1824" s="7">
        <v>412500</v>
      </c>
      <c r="D1824" s="7">
        <v>412500</v>
      </c>
      <c r="E1824" s="7">
        <v>0</v>
      </c>
      <c r="F1824" t="str">
        <f>VLOOKUP(A1824,[1]!Table1[#All],17,FALSE)</f>
        <v>UNITED STATES</v>
      </c>
      <c r="G1824" t="str">
        <f>VLOOKUP(A1824,[1]!Table1[#All],22,FALSE)</f>
        <v>UNIVERSITY OF ALABAMA AT BIRMINGHAM</v>
      </c>
      <c r="H1824" s="8">
        <f>VLOOKUP(A1824,[1]!Table1[#All],32,FALSE)</f>
        <v>44104</v>
      </c>
      <c r="I1824" s="8">
        <f>VLOOKUP(A1824,[1]!Table1[#All],33,FALSE)</f>
        <v>45929</v>
      </c>
      <c r="J1824" t="str">
        <f t="shared" ca="1" si="28"/>
        <v>Non UDO</v>
      </c>
    </row>
    <row r="1825" spans="1:10" x14ac:dyDescent="0.35">
      <c r="A1825" s="9" t="s">
        <v>57</v>
      </c>
      <c r="B1825" s="10">
        <v>45078</v>
      </c>
      <c r="C1825" s="11">
        <v>412500</v>
      </c>
      <c r="D1825" s="11">
        <v>412500</v>
      </c>
      <c r="E1825" s="11">
        <v>0</v>
      </c>
      <c r="F1825" t="str">
        <f>VLOOKUP(A1825,[1]!Table1[#All],17,FALSE)</f>
        <v>UNITED STATES</v>
      </c>
      <c r="G1825" t="str">
        <f>VLOOKUP(A1825,[1]!Table1[#All],22,FALSE)</f>
        <v>UNIVERSITY OF ALABAMA AT BIRMINGHAM</v>
      </c>
      <c r="H1825" s="8">
        <f>VLOOKUP(A1825,[1]!Table1[#All],32,FALSE)</f>
        <v>44104</v>
      </c>
      <c r="I1825" s="8">
        <f>VLOOKUP(A1825,[1]!Table1[#All],33,FALSE)</f>
        <v>45929</v>
      </c>
      <c r="J1825" t="str">
        <f t="shared" ca="1" si="28"/>
        <v>Non UDO</v>
      </c>
    </row>
    <row r="1826" spans="1:10" x14ac:dyDescent="0.35">
      <c r="A1826" s="5" t="s">
        <v>57</v>
      </c>
      <c r="B1826" s="6">
        <v>45108</v>
      </c>
      <c r="C1826" s="7">
        <v>412500</v>
      </c>
      <c r="D1826" s="7">
        <v>412500</v>
      </c>
      <c r="E1826" s="7">
        <v>0</v>
      </c>
      <c r="F1826" t="str">
        <f>VLOOKUP(A1826,[1]!Table1[#All],17,FALSE)</f>
        <v>UNITED STATES</v>
      </c>
      <c r="G1826" t="str">
        <f>VLOOKUP(A1826,[1]!Table1[#All],22,FALSE)</f>
        <v>UNIVERSITY OF ALABAMA AT BIRMINGHAM</v>
      </c>
      <c r="H1826" s="8">
        <f>VLOOKUP(A1826,[1]!Table1[#All],32,FALSE)</f>
        <v>44104</v>
      </c>
      <c r="I1826" s="8">
        <f>VLOOKUP(A1826,[1]!Table1[#All],33,FALSE)</f>
        <v>45929</v>
      </c>
      <c r="J1826" t="str">
        <f t="shared" ca="1" si="28"/>
        <v>Non UDO</v>
      </c>
    </row>
    <row r="1827" spans="1:10" x14ac:dyDescent="0.35">
      <c r="A1827" s="9" t="s">
        <v>57</v>
      </c>
      <c r="B1827" s="10">
        <v>45139</v>
      </c>
      <c r="C1827" s="11">
        <v>412500</v>
      </c>
      <c r="D1827" s="11">
        <v>412500</v>
      </c>
      <c r="E1827" s="11">
        <v>0</v>
      </c>
      <c r="F1827" t="str">
        <f>VLOOKUP(A1827,[1]!Table1[#All],17,FALSE)</f>
        <v>UNITED STATES</v>
      </c>
      <c r="G1827" t="str">
        <f>VLOOKUP(A1827,[1]!Table1[#All],22,FALSE)</f>
        <v>UNIVERSITY OF ALABAMA AT BIRMINGHAM</v>
      </c>
      <c r="H1827" s="8">
        <f>VLOOKUP(A1827,[1]!Table1[#All],32,FALSE)</f>
        <v>44104</v>
      </c>
      <c r="I1827" s="8">
        <f>VLOOKUP(A1827,[1]!Table1[#All],33,FALSE)</f>
        <v>45929</v>
      </c>
      <c r="J1827" t="str">
        <f t="shared" ca="1" si="28"/>
        <v>Non UDO</v>
      </c>
    </row>
    <row r="1828" spans="1:10" x14ac:dyDescent="0.35">
      <c r="A1828" s="5" t="s">
        <v>57</v>
      </c>
      <c r="B1828" s="6">
        <v>45170</v>
      </c>
      <c r="C1828" s="7">
        <v>412500</v>
      </c>
      <c r="D1828" s="7">
        <v>412500</v>
      </c>
      <c r="E1828" s="7">
        <v>0</v>
      </c>
      <c r="F1828" t="str">
        <f>VLOOKUP(A1828,[1]!Table1[#All],17,FALSE)</f>
        <v>UNITED STATES</v>
      </c>
      <c r="G1828" t="str">
        <f>VLOOKUP(A1828,[1]!Table1[#All],22,FALSE)</f>
        <v>UNIVERSITY OF ALABAMA AT BIRMINGHAM</v>
      </c>
      <c r="H1828" s="8">
        <f>VLOOKUP(A1828,[1]!Table1[#All],32,FALSE)</f>
        <v>44104</v>
      </c>
      <c r="I1828" s="8">
        <f>VLOOKUP(A1828,[1]!Table1[#All],33,FALSE)</f>
        <v>45929</v>
      </c>
      <c r="J1828" t="str">
        <f t="shared" ca="1" si="28"/>
        <v>Non UDO</v>
      </c>
    </row>
    <row r="1829" spans="1:10" x14ac:dyDescent="0.35">
      <c r="A1829" s="9" t="s">
        <v>58</v>
      </c>
      <c r="B1829" s="10">
        <v>44409</v>
      </c>
      <c r="C1829" s="11">
        <v>413290</v>
      </c>
      <c r="D1829" s="11">
        <v>0</v>
      </c>
      <c r="E1829" s="11">
        <v>413290</v>
      </c>
      <c r="F1829" t="str">
        <f>VLOOKUP(A1829,[1]!Table1[#All],17,FALSE)</f>
        <v>UNITED STATES</v>
      </c>
      <c r="G1829" t="str">
        <f>VLOOKUP(A1829,[1]!Table1[#All],22,FALSE)</f>
        <v>UNIVERSITY OF ALABAMA AT BIRMINGHAM</v>
      </c>
      <c r="H1829" s="8">
        <f>VLOOKUP(A1829,[1]!Table1[#All],32,FALSE)</f>
        <v>44104</v>
      </c>
      <c r="I1829" s="8">
        <f>VLOOKUP(A1829,[1]!Table1[#All],33,FALSE)</f>
        <v>45929</v>
      </c>
      <c r="J1829" t="str">
        <f t="shared" ca="1" si="28"/>
        <v>Non UDO</v>
      </c>
    </row>
    <row r="1830" spans="1:10" x14ac:dyDescent="0.35">
      <c r="A1830" s="5" t="s">
        <v>58</v>
      </c>
      <c r="B1830" s="6">
        <v>44440</v>
      </c>
      <c r="C1830" s="7">
        <v>413290</v>
      </c>
      <c r="D1830" s="7">
        <v>0</v>
      </c>
      <c r="E1830" s="7">
        <v>413290</v>
      </c>
      <c r="F1830" t="str">
        <f>VLOOKUP(A1830,[1]!Table1[#All],17,FALSE)</f>
        <v>UNITED STATES</v>
      </c>
      <c r="G1830" t="str">
        <f>VLOOKUP(A1830,[1]!Table1[#All],22,FALSE)</f>
        <v>UNIVERSITY OF ALABAMA AT BIRMINGHAM</v>
      </c>
      <c r="H1830" s="8">
        <f>VLOOKUP(A1830,[1]!Table1[#All],32,FALSE)</f>
        <v>44104</v>
      </c>
      <c r="I1830" s="8">
        <f>VLOOKUP(A1830,[1]!Table1[#All],33,FALSE)</f>
        <v>45929</v>
      </c>
      <c r="J1830" t="str">
        <f t="shared" ca="1" si="28"/>
        <v>Non UDO</v>
      </c>
    </row>
    <row r="1831" spans="1:10" x14ac:dyDescent="0.35">
      <c r="A1831" s="9" t="s">
        <v>58</v>
      </c>
      <c r="B1831" s="10">
        <v>44470</v>
      </c>
      <c r="C1831" s="11">
        <v>413290</v>
      </c>
      <c r="D1831" s="11">
        <v>0</v>
      </c>
      <c r="E1831" s="11">
        <v>413290</v>
      </c>
      <c r="F1831" t="str">
        <f>VLOOKUP(A1831,[1]!Table1[#All],17,FALSE)</f>
        <v>UNITED STATES</v>
      </c>
      <c r="G1831" t="str">
        <f>VLOOKUP(A1831,[1]!Table1[#All],22,FALSE)</f>
        <v>UNIVERSITY OF ALABAMA AT BIRMINGHAM</v>
      </c>
      <c r="H1831" s="8">
        <f>VLOOKUP(A1831,[1]!Table1[#All],32,FALSE)</f>
        <v>44104</v>
      </c>
      <c r="I1831" s="8">
        <f>VLOOKUP(A1831,[1]!Table1[#All],33,FALSE)</f>
        <v>45929</v>
      </c>
      <c r="J1831" t="str">
        <f t="shared" ca="1" si="28"/>
        <v>Non UDO</v>
      </c>
    </row>
    <row r="1832" spans="1:10" x14ac:dyDescent="0.35">
      <c r="A1832" s="5" t="s">
        <v>58</v>
      </c>
      <c r="B1832" s="6">
        <v>44501</v>
      </c>
      <c r="C1832" s="7">
        <v>413290</v>
      </c>
      <c r="D1832" s="7">
        <v>0</v>
      </c>
      <c r="E1832" s="7">
        <v>413290</v>
      </c>
      <c r="F1832" t="str">
        <f>VLOOKUP(A1832,[1]!Table1[#All],17,FALSE)</f>
        <v>UNITED STATES</v>
      </c>
      <c r="G1832" t="str">
        <f>VLOOKUP(A1832,[1]!Table1[#All],22,FALSE)</f>
        <v>UNIVERSITY OF ALABAMA AT BIRMINGHAM</v>
      </c>
      <c r="H1832" s="8">
        <f>VLOOKUP(A1832,[1]!Table1[#All],32,FALSE)</f>
        <v>44104</v>
      </c>
      <c r="I1832" s="8">
        <f>VLOOKUP(A1832,[1]!Table1[#All],33,FALSE)</f>
        <v>45929</v>
      </c>
      <c r="J1832" t="str">
        <f t="shared" ca="1" si="28"/>
        <v>Non UDO</v>
      </c>
    </row>
    <row r="1833" spans="1:10" x14ac:dyDescent="0.35">
      <c r="A1833" s="9" t="s">
        <v>58</v>
      </c>
      <c r="B1833" s="10">
        <v>44531</v>
      </c>
      <c r="C1833" s="11">
        <v>413290</v>
      </c>
      <c r="D1833" s="11">
        <v>0</v>
      </c>
      <c r="E1833" s="11">
        <v>413290</v>
      </c>
      <c r="F1833" t="str">
        <f>VLOOKUP(A1833,[1]!Table1[#All],17,FALSE)</f>
        <v>UNITED STATES</v>
      </c>
      <c r="G1833" t="str">
        <f>VLOOKUP(A1833,[1]!Table1[#All],22,FALSE)</f>
        <v>UNIVERSITY OF ALABAMA AT BIRMINGHAM</v>
      </c>
      <c r="H1833" s="8">
        <f>VLOOKUP(A1833,[1]!Table1[#All],32,FALSE)</f>
        <v>44104</v>
      </c>
      <c r="I1833" s="8">
        <f>VLOOKUP(A1833,[1]!Table1[#All],33,FALSE)</f>
        <v>45929</v>
      </c>
      <c r="J1833" t="str">
        <f t="shared" ca="1" si="28"/>
        <v>Non UDO</v>
      </c>
    </row>
    <row r="1834" spans="1:10" x14ac:dyDescent="0.35">
      <c r="A1834" s="5" t="s">
        <v>58</v>
      </c>
      <c r="B1834" s="6">
        <v>44562</v>
      </c>
      <c r="C1834" s="7">
        <v>413290</v>
      </c>
      <c r="D1834" s="7">
        <v>0</v>
      </c>
      <c r="E1834" s="7">
        <v>413290</v>
      </c>
      <c r="F1834" t="str">
        <f>VLOOKUP(A1834,[1]!Table1[#All],17,FALSE)</f>
        <v>UNITED STATES</v>
      </c>
      <c r="G1834" t="str">
        <f>VLOOKUP(A1834,[1]!Table1[#All],22,FALSE)</f>
        <v>UNIVERSITY OF ALABAMA AT BIRMINGHAM</v>
      </c>
      <c r="H1834" s="8">
        <f>VLOOKUP(A1834,[1]!Table1[#All],32,FALSE)</f>
        <v>44104</v>
      </c>
      <c r="I1834" s="8">
        <f>VLOOKUP(A1834,[1]!Table1[#All],33,FALSE)</f>
        <v>45929</v>
      </c>
      <c r="J1834" t="str">
        <f t="shared" ca="1" si="28"/>
        <v>Non UDO</v>
      </c>
    </row>
    <row r="1835" spans="1:10" x14ac:dyDescent="0.35">
      <c r="A1835" s="9" t="s">
        <v>58</v>
      </c>
      <c r="B1835" s="10">
        <v>44593</v>
      </c>
      <c r="C1835" s="11">
        <v>413290</v>
      </c>
      <c r="D1835" s="11">
        <v>0</v>
      </c>
      <c r="E1835" s="11">
        <v>413290</v>
      </c>
      <c r="F1835" t="str">
        <f>VLOOKUP(A1835,[1]!Table1[#All],17,FALSE)</f>
        <v>UNITED STATES</v>
      </c>
      <c r="G1835" t="str">
        <f>VLOOKUP(A1835,[1]!Table1[#All],22,FALSE)</f>
        <v>UNIVERSITY OF ALABAMA AT BIRMINGHAM</v>
      </c>
      <c r="H1835" s="8">
        <f>VLOOKUP(A1835,[1]!Table1[#All],32,FALSE)</f>
        <v>44104</v>
      </c>
      <c r="I1835" s="8">
        <f>VLOOKUP(A1835,[1]!Table1[#All],33,FALSE)</f>
        <v>45929</v>
      </c>
      <c r="J1835" t="str">
        <f t="shared" ca="1" si="28"/>
        <v>Non UDO</v>
      </c>
    </row>
    <row r="1836" spans="1:10" x14ac:dyDescent="0.35">
      <c r="A1836" s="5" t="s">
        <v>58</v>
      </c>
      <c r="B1836" s="6">
        <v>44621</v>
      </c>
      <c r="C1836" s="7">
        <v>413290</v>
      </c>
      <c r="D1836" s="7">
        <v>0</v>
      </c>
      <c r="E1836" s="7">
        <v>413290</v>
      </c>
      <c r="F1836" t="str">
        <f>VLOOKUP(A1836,[1]!Table1[#All],17,FALSE)</f>
        <v>UNITED STATES</v>
      </c>
      <c r="G1836" t="str">
        <f>VLOOKUP(A1836,[1]!Table1[#All],22,FALSE)</f>
        <v>UNIVERSITY OF ALABAMA AT BIRMINGHAM</v>
      </c>
      <c r="H1836" s="8">
        <f>VLOOKUP(A1836,[1]!Table1[#All],32,FALSE)</f>
        <v>44104</v>
      </c>
      <c r="I1836" s="8">
        <f>VLOOKUP(A1836,[1]!Table1[#All],33,FALSE)</f>
        <v>45929</v>
      </c>
      <c r="J1836" t="str">
        <f t="shared" ca="1" si="28"/>
        <v>Non UDO</v>
      </c>
    </row>
    <row r="1837" spans="1:10" x14ac:dyDescent="0.35">
      <c r="A1837" s="9" t="s">
        <v>58</v>
      </c>
      <c r="B1837" s="10">
        <v>44652</v>
      </c>
      <c r="C1837" s="11">
        <v>413290</v>
      </c>
      <c r="D1837" s="11">
        <v>0</v>
      </c>
      <c r="E1837" s="11">
        <v>413290</v>
      </c>
      <c r="F1837" t="str">
        <f>VLOOKUP(A1837,[1]!Table1[#All],17,FALSE)</f>
        <v>UNITED STATES</v>
      </c>
      <c r="G1837" t="str">
        <f>VLOOKUP(A1837,[1]!Table1[#All],22,FALSE)</f>
        <v>UNIVERSITY OF ALABAMA AT BIRMINGHAM</v>
      </c>
      <c r="H1837" s="8">
        <f>VLOOKUP(A1837,[1]!Table1[#All],32,FALSE)</f>
        <v>44104</v>
      </c>
      <c r="I1837" s="8">
        <f>VLOOKUP(A1837,[1]!Table1[#All],33,FALSE)</f>
        <v>45929</v>
      </c>
      <c r="J1837" t="str">
        <f t="shared" ca="1" si="28"/>
        <v>Non UDO</v>
      </c>
    </row>
    <row r="1838" spans="1:10" x14ac:dyDescent="0.35">
      <c r="A1838" s="5" t="s">
        <v>58</v>
      </c>
      <c r="B1838" s="6">
        <v>44682</v>
      </c>
      <c r="C1838" s="7">
        <v>413290</v>
      </c>
      <c r="D1838" s="7">
        <v>0</v>
      </c>
      <c r="E1838" s="7">
        <v>413290</v>
      </c>
      <c r="F1838" t="str">
        <f>VLOOKUP(A1838,[1]!Table1[#All],17,FALSE)</f>
        <v>UNITED STATES</v>
      </c>
      <c r="G1838" t="str">
        <f>VLOOKUP(A1838,[1]!Table1[#All],22,FALSE)</f>
        <v>UNIVERSITY OF ALABAMA AT BIRMINGHAM</v>
      </c>
      <c r="H1838" s="8">
        <f>VLOOKUP(A1838,[1]!Table1[#All],32,FALSE)</f>
        <v>44104</v>
      </c>
      <c r="I1838" s="8">
        <f>VLOOKUP(A1838,[1]!Table1[#All],33,FALSE)</f>
        <v>45929</v>
      </c>
      <c r="J1838" t="str">
        <f t="shared" ca="1" si="28"/>
        <v>Non UDO</v>
      </c>
    </row>
    <row r="1839" spans="1:10" x14ac:dyDescent="0.35">
      <c r="A1839" s="9" t="s">
        <v>58</v>
      </c>
      <c r="B1839" s="10">
        <v>44713</v>
      </c>
      <c r="C1839" s="11">
        <v>413290</v>
      </c>
      <c r="D1839" s="11">
        <v>34418.699999999997</v>
      </c>
      <c r="E1839" s="11">
        <v>378871.3</v>
      </c>
      <c r="F1839" t="str">
        <f>VLOOKUP(A1839,[1]!Table1[#All],17,FALSE)</f>
        <v>UNITED STATES</v>
      </c>
      <c r="G1839" t="str">
        <f>VLOOKUP(A1839,[1]!Table1[#All],22,FALSE)</f>
        <v>UNIVERSITY OF ALABAMA AT BIRMINGHAM</v>
      </c>
      <c r="H1839" s="8">
        <f>VLOOKUP(A1839,[1]!Table1[#All],32,FALSE)</f>
        <v>44104</v>
      </c>
      <c r="I1839" s="8">
        <f>VLOOKUP(A1839,[1]!Table1[#All],33,FALSE)</f>
        <v>45929</v>
      </c>
      <c r="J1839" t="str">
        <f t="shared" ca="1" si="28"/>
        <v>Non UDO</v>
      </c>
    </row>
    <row r="1840" spans="1:10" x14ac:dyDescent="0.35">
      <c r="A1840" s="5" t="s">
        <v>58</v>
      </c>
      <c r="B1840" s="6">
        <v>44743</v>
      </c>
      <c r="C1840" s="7">
        <v>413290</v>
      </c>
      <c r="D1840" s="7">
        <v>80062.259999999995</v>
      </c>
      <c r="E1840" s="7">
        <v>333227.74</v>
      </c>
      <c r="F1840" t="str">
        <f>VLOOKUP(A1840,[1]!Table1[#All],17,FALSE)</f>
        <v>UNITED STATES</v>
      </c>
      <c r="G1840" t="str">
        <f>VLOOKUP(A1840,[1]!Table1[#All],22,FALSE)</f>
        <v>UNIVERSITY OF ALABAMA AT BIRMINGHAM</v>
      </c>
      <c r="H1840" s="8">
        <f>VLOOKUP(A1840,[1]!Table1[#All],32,FALSE)</f>
        <v>44104</v>
      </c>
      <c r="I1840" s="8">
        <f>VLOOKUP(A1840,[1]!Table1[#All],33,FALSE)</f>
        <v>45929</v>
      </c>
      <c r="J1840" t="str">
        <f t="shared" ca="1" si="28"/>
        <v>Non UDO</v>
      </c>
    </row>
    <row r="1841" spans="1:10" x14ac:dyDescent="0.35">
      <c r="A1841" s="9" t="s">
        <v>58</v>
      </c>
      <c r="B1841" s="10">
        <v>44774</v>
      </c>
      <c r="C1841" s="11">
        <v>413290</v>
      </c>
      <c r="D1841" s="11">
        <v>123685.79</v>
      </c>
      <c r="E1841" s="11">
        <v>289604.21000000002</v>
      </c>
      <c r="F1841" t="str">
        <f>VLOOKUP(A1841,[1]!Table1[#All],17,FALSE)</f>
        <v>UNITED STATES</v>
      </c>
      <c r="G1841" t="str">
        <f>VLOOKUP(A1841,[1]!Table1[#All],22,FALSE)</f>
        <v>UNIVERSITY OF ALABAMA AT BIRMINGHAM</v>
      </c>
      <c r="H1841" s="8">
        <f>VLOOKUP(A1841,[1]!Table1[#All],32,FALSE)</f>
        <v>44104</v>
      </c>
      <c r="I1841" s="8">
        <f>VLOOKUP(A1841,[1]!Table1[#All],33,FALSE)</f>
        <v>45929</v>
      </c>
      <c r="J1841" t="str">
        <f t="shared" ca="1" si="28"/>
        <v>Non UDO</v>
      </c>
    </row>
    <row r="1842" spans="1:10" x14ac:dyDescent="0.35">
      <c r="A1842" s="5" t="s">
        <v>58</v>
      </c>
      <c r="B1842" s="6">
        <v>44805</v>
      </c>
      <c r="C1842" s="7">
        <v>413290</v>
      </c>
      <c r="D1842" s="7">
        <v>182245.28</v>
      </c>
      <c r="E1842" s="7">
        <v>231044.72</v>
      </c>
      <c r="F1842" t="str">
        <f>VLOOKUP(A1842,[1]!Table1[#All],17,FALSE)</f>
        <v>UNITED STATES</v>
      </c>
      <c r="G1842" t="str">
        <f>VLOOKUP(A1842,[1]!Table1[#All],22,FALSE)</f>
        <v>UNIVERSITY OF ALABAMA AT BIRMINGHAM</v>
      </c>
      <c r="H1842" s="8">
        <f>VLOOKUP(A1842,[1]!Table1[#All],32,FALSE)</f>
        <v>44104</v>
      </c>
      <c r="I1842" s="8">
        <f>VLOOKUP(A1842,[1]!Table1[#All],33,FALSE)</f>
        <v>45929</v>
      </c>
      <c r="J1842" t="str">
        <f t="shared" ca="1" si="28"/>
        <v>Non UDO</v>
      </c>
    </row>
    <row r="1843" spans="1:10" x14ac:dyDescent="0.35">
      <c r="A1843" s="9" t="s">
        <v>58</v>
      </c>
      <c r="B1843" s="10">
        <v>44835</v>
      </c>
      <c r="C1843" s="11">
        <v>413290</v>
      </c>
      <c r="D1843" s="11">
        <v>223727.57</v>
      </c>
      <c r="E1843" s="11">
        <v>189562.43</v>
      </c>
      <c r="F1843" t="str">
        <f>VLOOKUP(A1843,[1]!Table1[#All],17,FALSE)</f>
        <v>UNITED STATES</v>
      </c>
      <c r="G1843" t="str">
        <f>VLOOKUP(A1843,[1]!Table1[#All],22,FALSE)</f>
        <v>UNIVERSITY OF ALABAMA AT BIRMINGHAM</v>
      </c>
      <c r="H1843" s="8">
        <f>VLOOKUP(A1843,[1]!Table1[#All],32,FALSE)</f>
        <v>44104</v>
      </c>
      <c r="I1843" s="8">
        <f>VLOOKUP(A1843,[1]!Table1[#All],33,FALSE)</f>
        <v>45929</v>
      </c>
      <c r="J1843" t="str">
        <f t="shared" ca="1" si="28"/>
        <v>Non UDO</v>
      </c>
    </row>
    <row r="1844" spans="1:10" x14ac:dyDescent="0.35">
      <c r="A1844" s="5" t="s">
        <v>58</v>
      </c>
      <c r="B1844" s="6">
        <v>44866</v>
      </c>
      <c r="C1844" s="7">
        <v>413290</v>
      </c>
      <c r="D1844" s="7">
        <v>244267.92</v>
      </c>
      <c r="E1844" s="7">
        <v>169022.07999999999</v>
      </c>
      <c r="F1844" t="str">
        <f>VLOOKUP(A1844,[1]!Table1[#All],17,FALSE)</f>
        <v>UNITED STATES</v>
      </c>
      <c r="G1844" t="str">
        <f>VLOOKUP(A1844,[1]!Table1[#All],22,FALSE)</f>
        <v>UNIVERSITY OF ALABAMA AT BIRMINGHAM</v>
      </c>
      <c r="H1844" s="8">
        <f>VLOOKUP(A1844,[1]!Table1[#All],32,FALSE)</f>
        <v>44104</v>
      </c>
      <c r="I1844" s="8">
        <f>VLOOKUP(A1844,[1]!Table1[#All],33,FALSE)</f>
        <v>45929</v>
      </c>
      <c r="J1844" t="str">
        <f t="shared" ca="1" si="28"/>
        <v>Non UDO</v>
      </c>
    </row>
    <row r="1845" spans="1:10" x14ac:dyDescent="0.35">
      <c r="A1845" s="9" t="s">
        <v>58</v>
      </c>
      <c r="B1845" s="10">
        <v>44896</v>
      </c>
      <c r="C1845" s="11">
        <v>413290</v>
      </c>
      <c r="D1845" s="11">
        <v>270350.34000000003</v>
      </c>
      <c r="E1845" s="11">
        <v>142939.66</v>
      </c>
      <c r="F1845" t="str">
        <f>VLOOKUP(A1845,[1]!Table1[#All],17,FALSE)</f>
        <v>UNITED STATES</v>
      </c>
      <c r="G1845" t="str">
        <f>VLOOKUP(A1845,[1]!Table1[#All],22,FALSE)</f>
        <v>UNIVERSITY OF ALABAMA AT BIRMINGHAM</v>
      </c>
      <c r="H1845" s="8">
        <f>VLOOKUP(A1845,[1]!Table1[#All],32,FALSE)</f>
        <v>44104</v>
      </c>
      <c r="I1845" s="8">
        <f>VLOOKUP(A1845,[1]!Table1[#All],33,FALSE)</f>
        <v>45929</v>
      </c>
      <c r="J1845" t="str">
        <f t="shared" ca="1" si="28"/>
        <v>Non UDO</v>
      </c>
    </row>
    <row r="1846" spans="1:10" x14ac:dyDescent="0.35">
      <c r="A1846" s="5" t="s">
        <v>58</v>
      </c>
      <c r="B1846" s="6">
        <v>44927</v>
      </c>
      <c r="C1846" s="7">
        <v>413290</v>
      </c>
      <c r="D1846" s="7">
        <v>289606.36</v>
      </c>
      <c r="E1846" s="7">
        <v>123683.64</v>
      </c>
      <c r="F1846" t="str">
        <f>VLOOKUP(A1846,[1]!Table1[#All],17,FALSE)</f>
        <v>UNITED STATES</v>
      </c>
      <c r="G1846" t="str">
        <f>VLOOKUP(A1846,[1]!Table1[#All],22,FALSE)</f>
        <v>UNIVERSITY OF ALABAMA AT BIRMINGHAM</v>
      </c>
      <c r="H1846" s="8">
        <f>VLOOKUP(A1846,[1]!Table1[#All],32,FALSE)</f>
        <v>44104</v>
      </c>
      <c r="I1846" s="8">
        <f>VLOOKUP(A1846,[1]!Table1[#All],33,FALSE)</f>
        <v>45929</v>
      </c>
      <c r="J1846" t="str">
        <f t="shared" ca="1" si="28"/>
        <v>Non UDO</v>
      </c>
    </row>
    <row r="1847" spans="1:10" x14ac:dyDescent="0.35">
      <c r="A1847" s="9" t="s">
        <v>58</v>
      </c>
      <c r="B1847" s="10">
        <v>44958</v>
      </c>
      <c r="C1847" s="11">
        <v>413290</v>
      </c>
      <c r="D1847" s="11">
        <v>312151.48</v>
      </c>
      <c r="E1847" s="11">
        <v>101138.52</v>
      </c>
      <c r="F1847" t="str">
        <f>VLOOKUP(A1847,[1]!Table1[#All],17,FALSE)</f>
        <v>UNITED STATES</v>
      </c>
      <c r="G1847" t="str">
        <f>VLOOKUP(A1847,[1]!Table1[#All],22,FALSE)</f>
        <v>UNIVERSITY OF ALABAMA AT BIRMINGHAM</v>
      </c>
      <c r="H1847" s="8">
        <f>VLOOKUP(A1847,[1]!Table1[#All],32,FALSE)</f>
        <v>44104</v>
      </c>
      <c r="I1847" s="8">
        <f>VLOOKUP(A1847,[1]!Table1[#All],33,FALSE)</f>
        <v>45929</v>
      </c>
      <c r="J1847" t="str">
        <f t="shared" ca="1" si="28"/>
        <v>Non UDO</v>
      </c>
    </row>
    <row r="1848" spans="1:10" x14ac:dyDescent="0.35">
      <c r="A1848" s="5" t="s">
        <v>58</v>
      </c>
      <c r="B1848" s="6">
        <v>44986</v>
      </c>
      <c r="C1848" s="7">
        <v>413290</v>
      </c>
      <c r="D1848" s="7">
        <v>338442.21</v>
      </c>
      <c r="E1848" s="7">
        <v>74847.789999999994</v>
      </c>
      <c r="F1848" t="str">
        <f>VLOOKUP(A1848,[1]!Table1[#All],17,FALSE)</f>
        <v>UNITED STATES</v>
      </c>
      <c r="G1848" t="str">
        <f>VLOOKUP(A1848,[1]!Table1[#All],22,FALSE)</f>
        <v>UNIVERSITY OF ALABAMA AT BIRMINGHAM</v>
      </c>
      <c r="H1848" s="8">
        <f>VLOOKUP(A1848,[1]!Table1[#All],32,FALSE)</f>
        <v>44104</v>
      </c>
      <c r="I1848" s="8">
        <f>VLOOKUP(A1848,[1]!Table1[#All],33,FALSE)</f>
        <v>45929</v>
      </c>
      <c r="J1848" t="str">
        <f t="shared" ca="1" si="28"/>
        <v>Non UDO</v>
      </c>
    </row>
    <row r="1849" spans="1:10" x14ac:dyDescent="0.35">
      <c r="A1849" s="9" t="s">
        <v>58</v>
      </c>
      <c r="B1849" s="10">
        <v>45017</v>
      </c>
      <c r="C1849" s="11">
        <v>413290</v>
      </c>
      <c r="D1849" s="11">
        <v>373489.02</v>
      </c>
      <c r="E1849" s="11">
        <v>39800.980000000003</v>
      </c>
      <c r="F1849" t="str">
        <f>VLOOKUP(A1849,[1]!Table1[#All],17,FALSE)</f>
        <v>UNITED STATES</v>
      </c>
      <c r="G1849" t="str">
        <f>VLOOKUP(A1849,[1]!Table1[#All],22,FALSE)</f>
        <v>UNIVERSITY OF ALABAMA AT BIRMINGHAM</v>
      </c>
      <c r="H1849" s="8">
        <f>VLOOKUP(A1849,[1]!Table1[#All],32,FALSE)</f>
        <v>44104</v>
      </c>
      <c r="I1849" s="8">
        <f>VLOOKUP(A1849,[1]!Table1[#All],33,FALSE)</f>
        <v>45929</v>
      </c>
      <c r="J1849" t="str">
        <f t="shared" ca="1" si="28"/>
        <v>Non UDO</v>
      </c>
    </row>
    <row r="1850" spans="1:10" x14ac:dyDescent="0.35">
      <c r="A1850" s="5" t="s">
        <v>58</v>
      </c>
      <c r="B1850" s="6">
        <v>45047</v>
      </c>
      <c r="C1850" s="7">
        <v>413290</v>
      </c>
      <c r="D1850" s="7">
        <v>413290</v>
      </c>
      <c r="E1850" s="7">
        <v>0</v>
      </c>
      <c r="F1850" t="str">
        <f>VLOOKUP(A1850,[1]!Table1[#All],17,FALSE)</f>
        <v>UNITED STATES</v>
      </c>
      <c r="G1850" t="str">
        <f>VLOOKUP(A1850,[1]!Table1[#All],22,FALSE)</f>
        <v>UNIVERSITY OF ALABAMA AT BIRMINGHAM</v>
      </c>
      <c r="H1850" s="8">
        <f>VLOOKUP(A1850,[1]!Table1[#All],32,FALSE)</f>
        <v>44104</v>
      </c>
      <c r="I1850" s="8">
        <f>VLOOKUP(A1850,[1]!Table1[#All],33,FALSE)</f>
        <v>45929</v>
      </c>
      <c r="J1850" t="str">
        <f t="shared" ca="1" si="28"/>
        <v>Non UDO</v>
      </c>
    </row>
    <row r="1851" spans="1:10" x14ac:dyDescent="0.35">
      <c r="A1851" s="9" t="s">
        <v>58</v>
      </c>
      <c r="B1851" s="10">
        <v>45078</v>
      </c>
      <c r="C1851" s="11">
        <v>413290</v>
      </c>
      <c r="D1851" s="11">
        <v>413290</v>
      </c>
      <c r="E1851" s="11">
        <v>0</v>
      </c>
      <c r="F1851" t="str">
        <f>VLOOKUP(A1851,[1]!Table1[#All],17,FALSE)</f>
        <v>UNITED STATES</v>
      </c>
      <c r="G1851" t="str">
        <f>VLOOKUP(A1851,[1]!Table1[#All],22,FALSE)</f>
        <v>UNIVERSITY OF ALABAMA AT BIRMINGHAM</v>
      </c>
      <c r="H1851" s="8">
        <f>VLOOKUP(A1851,[1]!Table1[#All],32,FALSE)</f>
        <v>44104</v>
      </c>
      <c r="I1851" s="8">
        <f>VLOOKUP(A1851,[1]!Table1[#All],33,FALSE)</f>
        <v>45929</v>
      </c>
      <c r="J1851" t="str">
        <f t="shared" ca="1" si="28"/>
        <v>Non UDO</v>
      </c>
    </row>
    <row r="1852" spans="1:10" x14ac:dyDescent="0.35">
      <c r="A1852" s="5" t="s">
        <v>58</v>
      </c>
      <c r="B1852" s="6">
        <v>45108</v>
      </c>
      <c r="C1852" s="7">
        <v>413290</v>
      </c>
      <c r="D1852" s="7">
        <v>413290</v>
      </c>
      <c r="E1852" s="7">
        <v>0</v>
      </c>
      <c r="F1852" t="str">
        <f>VLOOKUP(A1852,[1]!Table1[#All],17,FALSE)</f>
        <v>UNITED STATES</v>
      </c>
      <c r="G1852" t="str">
        <f>VLOOKUP(A1852,[1]!Table1[#All],22,FALSE)</f>
        <v>UNIVERSITY OF ALABAMA AT BIRMINGHAM</v>
      </c>
      <c r="H1852" s="8">
        <f>VLOOKUP(A1852,[1]!Table1[#All],32,FALSE)</f>
        <v>44104</v>
      </c>
      <c r="I1852" s="8">
        <f>VLOOKUP(A1852,[1]!Table1[#All],33,FALSE)</f>
        <v>45929</v>
      </c>
      <c r="J1852" t="str">
        <f t="shared" ca="1" si="28"/>
        <v>Non UDO</v>
      </c>
    </row>
    <row r="1853" spans="1:10" x14ac:dyDescent="0.35">
      <c r="A1853" s="9" t="s">
        <v>58</v>
      </c>
      <c r="B1853" s="10">
        <v>45139</v>
      </c>
      <c r="C1853" s="11">
        <v>413290</v>
      </c>
      <c r="D1853" s="11">
        <v>413290</v>
      </c>
      <c r="E1853" s="11">
        <v>0</v>
      </c>
      <c r="F1853" t="str">
        <f>VLOOKUP(A1853,[1]!Table1[#All],17,FALSE)</f>
        <v>UNITED STATES</v>
      </c>
      <c r="G1853" t="str">
        <f>VLOOKUP(A1853,[1]!Table1[#All],22,FALSE)</f>
        <v>UNIVERSITY OF ALABAMA AT BIRMINGHAM</v>
      </c>
      <c r="H1853" s="8">
        <f>VLOOKUP(A1853,[1]!Table1[#All],32,FALSE)</f>
        <v>44104</v>
      </c>
      <c r="I1853" s="8">
        <f>VLOOKUP(A1853,[1]!Table1[#All],33,FALSE)</f>
        <v>45929</v>
      </c>
      <c r="J1853" t="str">
        <f t="shared" ca="1" si="28"/>
        <v>Non UDO</v>
      </c>
    </row>
    <row r="1854" spans="1:10" x14ac:dyDescent="0.35">
      <c r="A1854" s="5" t="s">
        <v>58</v>
      </c>
      <c r="B1854" s="6">
        <v>45170</v>
      </c>
      <c r="C1854" s="7">
        <v>413290</v>
      </c>
      <c r="D1854" s="7">
        <v>413290</v>
      </c>
      <c r="E1854" s="7">
        <v>0</v>
      </c>
      <c r="F1854" t="str">
        <f>VLOOKUP(A1854,[1]!Table1[#All],17,FALSE)</f>
        <v>UNITED STATES</v>
      </c>
      <c r="G1854" t="str">
        <f>VLOOKUP(A1854,[1]!Table1[#All],22,FALSE)</f>
        <v>UNIVERSITY OF ALABAMA AT BIRMINGHAM</v>
      </c>
      <c r="H1854" s="8">
        <f>VLOOKUP(A1854,[1]!Table1[#All],32,FALSE)</f>
        <v>44104</v>
      </c>
      <c r="I1854" s="8">
        <f>VLOOKUP(A1854,[1]!Table1[#All],33,FALSE)</f>
        <v>45929</v>
      </c>
      <c r="J1854" t="str">
        <f t="shared" ca="1" si="28"/>
        <v>Non UDO</v>
      </c>
    </row>
    <row r="1855" spans="1:10" x14ac:dyDescent="0.35">
      <c r="A1855" s="9" t="s">
        <v>59</v>
      </c>
      <c r="B1855" s="10">
        <v>44105</v>
      </c>
      <c r="C1855" s="11">
        <v>133334</v>
      </c>
      <c r="D1855" s="11">
        <v>0</v>
      </c>
      <c r="E1855" s="11">
        <v>133334</v>
      </c>
      <c r="F1855" t="str">
        <f>VLOOKUP(A1855,[1]!Table1[#All],17,FALSE)</f>
        <v>UNITED STATES</v>
      </c>
      <c r="G1855" t="str">
        <f>VLOOKUP(A1855,[1]!Table1[#All],22,FALSE)</f>
        <v>ALBERT EINSTEIN COLLEGE OF MEDICINE</v>
      </c>
      <c r="H1855" s="8">
        <f>VLOOKUP(A1855,[1]!Table1[#All],32,FALSE)</f>
        <v>44104</v>
      </c>
      <c r="I1855" s="8">
        <f>VLOOKUP(A1855,[1]!Table1[#All],33,FALSE)</f>
        <v>45929</v>
      </c>
      <c r="J1855" t="str">
        <f t="shared" ca="1" si="28"/>
        <v>Non UDO</v>
      </c>
    </row>
    <row r="1856" spans="1:10" x14ac:dyDescent="0.35">
      <c r="A1856" s="5" t="s">
        <v>59</v>
      </c>
      <c r="B1856" s="6">
        <v>44136</v>
      </c>
      <c r="C1856" s="7">
        <v>133334</v>
      </c>
      <c r="D1856" s="7">
        <v>124.52</v>
      </c>
      <c r="E1856" s="7">
        <v>133209.48000000001</v>
      </c>
      <c r="F1856" t="str">
        <f>VLOOKUP(A1856,[1]!Table1[#All],17,FALSE)</f>
        <v>UNITED STATES</v>
      </c>
      <c r="G1856" t="str">
        <f>VLOOKUP(A1856,[1]!Table1[#All],22,FALSE)</f>
        <v>ALBERT EINSTEIN COLLEGE OF MEDICINE</v>
      </c>
      <c r="H1856" s="8">
        <f>VLOOKUP(A1856,[1]!Table1[#All],32,FALSE)</f>
        <v>44104</v>
      </c>
      <c r="I1856" s="8">
        <f>VLOOKUP(A1856,[1]!Table1[#All],33,FALSE)</f>
        <v>45929</v>
      </c>
      <c r="J1856" t="str">
        <f t="shared" ca="1" si="28"/>
        <v>Non UDO</v>
      </c>
    </row>
    <row r="1857" spans="1:10" x14ac:dyDescent="0.35">
      <c r="A1857" s="9" t="s">
        <v>59</v>
      </c>
      <c r="B1857" s="10">
        <v>44166</v>
      </c>
      <c r="C1857" s="11">
        <v>133334</v>
      </c>
      <c r="D1857" s="11">
        <v>124.52</v>
      </c>
      <c r="E1857" s="11">
        <v>133209.48000000001</v>
      </c>
      <c r="F1857" t="str">
        <f>VLOOKUP(A1857,[1]!Table1[#All],17,FALSE)</f>
        <v>UNITED STATES</v>
      </c>
      <c r="G1857" t="str">
        <f>VLOOKUP(A1857,[1]!Table1[#All],22,FALSE)</f>
        <v>ALBERT EINSTEIN COLLEGE OF MEDICINE</v>
      </c>
      <c r="H1857" s="8">
        <f>VLOOKUP(A1857,[1]!Table1[#All],32,FALSE)</f>
        <v>44104</v>
      </c>
      <c r="I1857" s="8">
        <f>VLOOKUP(A1857,[1]!Table1[#All],33,FALSE)</f>
        <v>45929</v>
      </c>
      <c r="J1857" t="str">
        <f t="shared" ca="1" si="28"/>
        <v>Non UDO</v>
      </c>
    </row>
    <row r="1858" spans="1:10" x14ac:dyDescent="0.35">
      <c r="A1858" s="5" t="s">
        <v>59</v>
      </c>
      <c r="B1858" s="6">
        <v>44197</v>
      </c>
      <c r="C1858" s="7">
        <v>133334</v>
      </c>
      <c r="D1858" s="7">
        <v>626.79</v>
      </c>
      <c r="E1858" s="7">
        <v>132707.21</v>
      </c>
      <c r="F1858" t="str">
        <f>VLOOKUP(A1858,[1]!Table1[#All],17,FALSE)</f>
        <v>UNITED STATES</v>
      </c>
      <c r="G1858" t="str">
        <f>VLOOKUP(A1858,[1]!Table1[#All],22,FALSE)</f>
        <v>ALBERT EINSTEIN COLLEGE OF MEDICINE</v>
      </c>
      <c r="H1858" s="8">
        <f>VLOOKUP(A1858,[1]!Table1[#All],32,FALSE)</f>
        <v>44104</v>
      </c>
      <c r="I1858" s="8">
        <f>VLOOKUP(A1858,[1]!Table1[#All],33,FALSE)</f>
        <v>45929</v>
      </c>
      <c r="J1858" t="str">
        <f t="shared" ca="1" si="28"/>
        <v>Non UDO</v>
      </c>
    </row>
    <row r="1859" spans="1:10" x14ac:dyDescent="0.35">
      <c r="A1859" s="9" t="s">
        <v>59</v>
      </c>
      <c r="B1859" s="10">
        <v>44228</v>
      </c>
      <c r="C1859" s="11">
        <v>133334</v>
      </c>
      <c r="D1859" s="11">
        <v>626.79</v>
      </c>
      <c r="E1859" s="11">
        <v>132707.21</v>
      </c>
      <c r="F1859" t="str">
        <f>VLOOKUP(A1859,[1]!Table1[#All],17,FALSE)</f>
        <v>UNITED STATES</v>
      </c>
      <c r="G1859" t="str">
        <f>VLOOKUP(A1859,[1]!Table1[#All],22,FALSE)</f>
        <v>ALBERT EINSTEIN COLLEGE OF MEDICINE</v>
      </c>
      <c r="H1859" s="8">
        <f>VLOOKUP(A1859,[1]!Table1[#All],32,FALSE)</f>
        <v>44104</v>
      </c>
      <c r="I1859" s="8">
        <f>VLOOKUP(A1859,[1]!Table1[#All],33,FALSE)</f>
        <v>45929</v>
      </c>
      <c r="J1859" t="str">
        <f t="shared" ref="J1859:J1922" ca="1" si="29">IF(AND( E1859&gt;0,TODAY()&gt;I1859),"UDO","Non UDO")</f>
        <v>Non UDO</v>
      </c>
    </row>
    <row r="1860" spans="1:10" x14ac:dyDescent="0.35">
      <c r="A1860" s="5" t="s">
        <v>59</v>
      </c>
      <c r="B1860" s="6">
        <v>44256</v>
      </c>
      <c r="C1860" s="7">
        <v>133334</v>
      </c>
      <c r="D1860" s="7">
        <v>626.79</v>
      </c>
      <c r="E1860" s="7">
        <v>132707.21</v>
      </c>
      <c r="F1860" t="str">
        <f>VLOOKUP(A1860,[1]!Table1[#All],17,FALSE)</f>
        <v>UNITED STATES</v>
      </c>
      <c r="G1860" t="str">
        <f>VLOOKUP(A1860,[1]!Table1[#All],22,FALSE)</f>
        <v>ALBERT EINSTEIN COLLEGE OF MEDICINE</v>
      </c>
      <c r="H1860" s="8">
        <f>VLOOKUP(A1860,[1]!Table1[#All],32,FALSE)</f>
        <v>44104</v>
      </c>
      <c r="I1860" s="8">
        <f>VLOOKUP(A1860,[1]!Table1[#All],33,FALSE)</f>
        <v>45929</v>
      </c>
      <c r="J1860" t="str">
        <f t="shared" ca="1" si="29"/>
        <v>Non UDO</v>
      </c>
    </row>
    <row r="1861" spans="1:10" x14ac:dyDescent="0.35">
      <c r="A1861" s="9" t="s">
        <v>59</v>
      </c>
      <c r="B1861" s="10">
        <v>44317</v>
      </c>
      <c r="C1861" s="11">
        <v>133334</v>
      </c>
      <c r="D1861" s="11">
        <v>626.79</v>
      </c>
      <c r="E1861" s="11">
        <v>132707.21</v>
      </c>
      <c r="F1861" t="str">
        <f>VLOOKUP(A1861,[1]!Table1[#All],17,FALSE)</f>
        <v>UNITED STATES</v>
      </c>
      <c r="G1861" t="str">
        <f>VLOOKUP(A1861,[1]!Table1[#All],22,FALSE)</f>
        <v>ALBERT EINSTEIN COLLEGE OF MEDICINE</v>
      </c>
      <c r="H1861" s="8">
        <f>VLOOKUP(A1861,[1]!Table1[#All],32,FALSE)</f>
        <v>44104</v>
      </c>
      <c r="I1861" s="8">
        <f>VLOOKUP(A1861,[1]!Table1[#All],33,FALSE)</f>
        <v>45929</v>
      </c>
      <c r="J1861" t="str">
        <f t="shared" ca="1" si="29"/>
        <v>Non UDO</v>
      </c>
    </row>
    <row r="1862" spans="1:10" x14ac:dyDescent="0.35">
      <c r="A1862" s="5" t="s">
        <v>59</v>
      </c>
      <c r="B1862" s="6">
        <v>44348</v>
      </c>
      <c r="C1862" s="7">
        <v>133334</v>
      </c>
      <c r="D1862" s="7">
        <v>626.79</v>
      </c>
      <c r="E1862" s="7">
        <v>132707.21</v>
      </c>
      <c r="F1862" t="str">
        <f>VLOOKUP(A1862,[1]!Table1[#All],17,FALSE)</f>
        <v>UNITED STATES</v>
      </c>
      <c r="G1862" t="str">
        <f>VLOOKUP(A1862,[1]!Table1[#All],22,FALSE)</f>
        <v>ALBERT EINSTEIN COLLEGE OF MEDICINE</v>
      </c>
      <c r="H1862" s="8">
        <f>VLOOKUP(A1862,[1]!Table1[#All],32,FALSE)</f>
        <v>44104</v>
      </c>
      <c r="I1862" s="8">
        <f>VLOOKUP(A1862,[1]!Table1[#All],33,FALSE)</f>
        <v>45929</v>
      </c>
      <c r="J1862" t="str">
        <f t="shared" ca="1" si="29"/>
        <v>Non UDO</v>
      </c>
    </row>
    <row r="1863" spans="1:10" x14ac:dyDescent="0.35">
      <c r="A1863" s="9" t="s">
        <v>59</v>
      </c>
      <c r="B1863" s="10">
        <v>44378</v>
      </c>
      <c r="C1863" s="11">
        <v>133334</v>
      </c>
      <c r="D1863" s="11">
        <v>626.79</v>
      </c>
      <c r="E1863" s="11">
        <v>132707.21</v>
      </c>
      <c r="F1863" t="str">
        <f>VLOOKUP(A1863,[1]!Table1[#All],17,FALSE)</f>
        <v>UNITED STATES</v>
      </c>
      <c r="G1863" t="str">
        <f>VLOOKUP(A1863,[1]!Table1[#All],22,FALSE)</f>
        <v>ALBERT EINSTEIN COLLEGE OF MEDICINE</v>
      </c>
      <c r="H1863" s="8">
        <f>VLOOKUP(A1863,[1]!Table1[#All],32,FALSE)</f>
        <v>44104</v>
      </c>
      <c r="I1863" s="8">
        <f>VLOOKUP(A1863,[1]!Table1[#All],33,FALSE)</f>
        <v>45929</v>
      </c>
      <c r="J1863" t="str">
        <f t="shared" ca="1" si="29"/>
        <v>Non UDO</v>
      </c>
    </row>
    <row r="1864" spans="1:10" x14ac:dyDescent="0.35">
      <c r="A1864" s="5" t="s">
        <v>59</v>
      </c>
      <c r="B1864" s="6">
        <v>44409</v>
      </c>
      <c r="C1864" s="7">
        <v>133334</v>
      </c>
      <c r="D1864" s="7">
        <v>3723.12</v>
      </c>
      <c r="E1864" s="7">
        <v>129610.88</v>
      </c>
      <c r="F1864" t="str">
        <f>VLOOKUP(A1864,[1]!Table1[#All],17,FALSE)</f>
        <v>UNITED STATES</v>
      </c>
      <c r="G1864" t="str">
        <f>VLOOKUP(A1864,[1]!Table1[#All],22,FALSE)</f>
        <v>ALBERT EINSTEIN COLLEGE OF MEDICINE</v>
      </c>
      <c r="H1864" s="8">
        <f>VLOOKUP(A1864,[1]!Table1[#All],32,FALSE)</f>
        <v>44104</v>
      </c>
      <c r="I1864" s="8">
        <f>VLOOKUP(A1864,[1]!Table1[#All],33,FALSE)</f>
        <v>45929</v>
      </c>
      <c r="J1864" t="str">
        <f t="shared" ca="1" si="29"/>
        <v>Non UDO</v>
      </c>
    </row>
    <row r="1865" spans="1:10" x14ac:dyDescent="0.35">
      <c r="A1865" s="9" t="s">
        <v>59</v>
      </c>
      <c r="B1865" s="10">
        <v>44440</v>
      </c>
      <c r="C1865" s="11">
        <v>133334</v>
      </c>
      <c r="D1865" s="11">
        <v>5957.68</v>
      </c>
      <c r="E1865" s="11">
        <v>127376.32000000001</v>
      </c>
      <c r="F1865" t="str">
        <f>VLOOKUP(A1865,[1]!Table1[#All],17,FALSE)</f>
        <v>UNITED STATES</v>
      </c>
      <c r="G1865" t="str">
        <f>VLOOKUP(A1865,[1]!Table1[#All],22,FALSE)</f>
        <v>ALBERT EINSTEIN COLLEGE OF MEDICINE</v>
      </c>
      <c r="H1865" s="8">
        <f>VLOOKUP(A1865,[1]!Table1[#All],32,FALSE)</f>
        <v>44104</v>
      </c>
      <c r="I1865" s="8">
        <f>VLOOKUP(A1865,[1]!Table1[#All],33,FALSE)</f>
        <v>45929</v>
      </c>
      <c r="J1865" t="str">
        <f t="shared" ca="1" si="29"/>
        <v>Non UDO</v>
      </c>
    </row>
    <row r="1866" spans="1:10" x14ac:dyDescent="0.35">
      <c r="A1866" s="5" t="s">
        <v>59</v>
      </c>
      <c r="B1866" s="6">
        <v>44470</v>
      </c>
      <c r="C1866" s="7">
        <v>133334</v>
      </c>
      <c r="D1866" s="7">
        <v>23027.66</v>
      </c>
      <c r="E1866" s="7">
        <v>110306.34</v>
      </c>
      <c r="F1866" t="str">
        <f>VLOOKUP(A1866,[1]!Table1[#All],17,FALSE)</f>
        <v>UNITED STATES</v>
      </c>
      <c r="G1866" t="str">
        <f>VLOOKUP(A1866,[1]!Table1[#All],22,FALSE)</f>
        <v>ALBERT EINSTEIN COLLEGE OF MEDICINE</v>
      </c>
      <c r="H1866" s="8">
        <f>VLOOKUP(A1866,[1]!Table1[#All],32,FALSE)</f>
        <v>44104</v>
      </c>
      <c r="I1866" s="8">
        <f>VLOOKUP(A1866,[1]!Table1[#All],33,FALSE)</f>
        <v>45929</v>
      </c>
      <c r="J1866" t="str">
        <f t="shared" ca="1" si="29"/>
        <v>Non UDO</v>
      </c>
    </row>
    <row r="1867" spans="1:10" x14ac:dyDescent="0.35">
      <c r="A1867" s="9" t="s">
        <v>59</v>
      </c>
      <c r="B1867" s="10">
        <v>44501</v>
      </c>
      <c r="C1867" s="11">
        <v>133334</v>
      </c>
      <c r="D1867" s="11">
        <v>31837</v>
      </c>
      <c r="E1867" s="11">
        <v>101497</v>
      </c>
      <c r="F1867" t="str">
        <f>VLOOKUP(A1867,[1]!Table1[#All],17,FALSE)</f>
        <v>UNITED STATES</v>
      </c>
      <c r="G1867" t="str">
        <f>VLOOKUP(A1867,[1]!Table1[#All],22,FALSE)</f>
        <v>ALBERT EINSTEIN COLLEGE OF MEDICINE</v>
      </c>
      <c r="H1867" s="8">
        <f>VLOOKUP(A1867,[1]!Table1[#All],32,FALSE)</f>
        <v>44104</v>
      </c>
      <c r="I1867" s="8">
        <f>VLOOKUP(A1867,[1]!Table1[#All],33,FALSE)</f>
        <v>45929</v>
      </c>
      <c r="J1867" t="str">
        <f t="shared" ca="1" si="29"/>
        <v>Non UDO</v>
      </c>
    </row>
    <row r="1868" spans="1:10" x14ac:dyDescent="0.35">
      <c r="A1868" s="5" t="s">
        <v>59</v>
      </c>
      <c r="B1868" s="6">
        <v>44531</v>
      </c>
      <c r="C1868" s="7">
        <v>133334</v>
      </c>
      <c r="D1868" s="7">
        <v>45601.599999999999</v>
      </c>
      <c r="E1868" s="7">
        <v>87732.4</v>
      </c>
      <c r="F1868" t="str">
        <f>VLOOKUP(A1868,[1]!Table1[#All],17,FALSE)</f>
        <v>UNITED STATES</v>
      </c>
      <c r="G1868" t="str">
        <f>VLOOKUP(A1868,[1]!Table1[#All],22,FALSE)</f>
        <v>ALBERT EINSTEIN COLLEGE OF MEDICINE</v>
      </c>
      <c r="H1868" s="8">
        <f>VLOOKUP(A1868,[1]!Table1[#All],32,FALSE)</f>
        <v>44104</v>
      </c>
      <c r="I1868" s="8">
        <f>VLOOKUP(A1868,[1]!Table1[#All],33,FALSE)</f>
        <v>45929</v>
      </c>
      <c r="J1868" t="str">
        <f t="shared" ca="1" si="29"/>
        <v>Non UDO</v>
      </c>
    </row>
    <row r="1869" spans="1:10" x14ac:dyDescent="0.35">
      <c r="A1869" s="9" t="s">
        <v>59</v>
      </c>
      <c r="B1869" s="10">
        <v>44562</v>
      </c>
      <c r="C1869" s="11">
        <v>133334</v>
      </c>
      <c r="D1869" s="11">
        <v>35023.410000000003</v>
      </c>
      <c r="E1869" s="11">
        <v>98310.59</v>
      </c>
      <c r="F1869" t="str">
        <f>VLOOKUP(A1869,[1]!Table1[#All],17,FALSE)</f>
        <v>UNITED STATES</v>
      </c>
      <c r="G1869" t="str">
        <f>VLOOKUP(A1869,[1]!Table1[#All],22,FALSE)</f>
        <v>ALBERT EINSTEIN COLLEGE OF MEDICINE</v>
      </c>
      <c r="H1869" s="8">
        <f>VLOOKUP(A1869,[1]!Table1[#All],32,FALSE)</f>
        <v>44104</v>
      </c>
      <c r="I1869" s="8">
        <f>VLOOKUP(A1869,[1]!Table1[#All],33,FALSE)</f>
        <v>45929</v>
      </c>
      <c r="J1869" t="str">
        <f t="shared" ca="1" si="29"/>
        <v>Non UDO</v>
      </c>
    </row>
    <row r="1870" spans="1:10" x14ac:dyDescent="0.35">
      <c r="A1870" s="5" t="s">
        <v>59</v>
      </c>
      <c r="B1870" s="6">
        <v>44593</v>
      </c>
      <c r="C1870" s="7">
        <v>133334</v>
      </c>
      <c r="D1870" s="7">
        <v>43509.3</v>
      </c>
      <c r="E1870" s="7">
        <v>89824.7</v>
      </c>
      <c r="F1870" t="str">
        <f>VLOOKUP(A1870,[1]!Table1[#All],17,FALSE)</f>
        <v>UNITED STATES</v>
      </c>
      <c r="G1870" t="str">
        <f>VLOOKUP(A1870,[1]!Table1[#All],22,FALSE)</f>
        <v>ALBERT EINSTEIN COLLEGE OF MEDICINE</v>
      </c>
      <c r="H1870" s="8">
        <f>VLOOKUP(A1870,[1]!Table1[#All],32,FALSE)</f>
        <v>44104</v>
      </c>
      <c r="I1870" s="8">
        <f>VLOOKUP(A1870,[1]!Table1[#All],33,FALSE)</f>
        <v>45929</v>
      </c>
      <c r="J1870" t="str">
        <f t="shared" ca="1" si="29"/>
        <v>Non UDO</v>
      </c>
    </row>
    <row r="1871" spans="1:10" x14ac:dyDescent="0.35">
      <c r="A1871" s="9" t="s">
        <v>59</v>
      </c>
      <c r="B1871" s="10">
        <v>44621</v>
      </c>
      <c r="C1871" s="11">
        <v>133334</v>
      </c>
      <c r="D1871" s="11">
        <v>47731.37</v>
      </c>
      <c r="E1871" s="11">
        <v>85602.63</v>
      </c>
      <c r="F1871" t="str">
        <f>VLOOKUP(A1871,[1]!Table1[#All],17,FALSE)</f>
        <v>UNITED STATES</v>
      </c>
      <c r="G1871" t="str">
        <f>VLOOKUP(A1871,[1]!Table1[#All],22,FALSE)</f>
        <v>ALBERT EINSTEIN COLLEGE OF MEDICINE</v>
      </c>
      <c r="H1871" s="8">
        <f>VLOOKUP(A1871,[1]!Table1[#All],32,FALSE)</f>
        <v>44104</v>
      </c>
      <c r="I1871" s="8">
        <f>VLOOKUP(A1871,[1]!Table1[#All],33,FALSE)</f>
        <v>45929</v>
      </c>
      <c r="J1871" t="str">
        <f t="shared" ca="1" si="29"/>
        <v>Non UDO</v>
      </c>
    </row>
    <row r="1872" spans="1:10" x14ac:dyDescent="0.35">
      <c r="A1872" s="5" t="s">
        <v>59</v>
      </c>
      <c r="B1872" s="6">
        <v>44652</v>
      </c>
      <c r="C1872" s="7">
        <v>133334</v>
      </c>
      <c r="D1872" s="7">
        <v>101864.73</v>
      </c>
      <c r="E1872" s="7">
        <v>31469.27</v>
      </c>
      <c r="F1872" t="str">
        <f>VLOOKUP(A1872,[1]!Table1[#All],17,FALSE)</f>
        <v>UNITED STATES</v>
      </c>
      <c r="G1872" t="str">
        <f>VLOOKUP(A1872,[1]!Table1[#All],22,FALSE)</f>
        <v>ALBERT EINSTEIN COLLEGE OF MEDICINE</v>
      </c>
      <c r="H1872" s="8">
        <f>VLOOKUP(A1872,[1]!Table1[#All],32,FALSE)</f>
        <v>44104</v>
      </c>
      <c r="I1872" s="8">
        <f>VLOOKUP(A1872,[1]!Table1[#All],33,FALSE)</f>
        <v>45929</v>
      </c>
      <c r="J1872" t="str">
        <f t="shared" ca="1" si="29"/>
        <v>Non UDO</v>
      </c>
    </row>
    <row r="1873" spans="1:10" x14ac:dyDescent="0.35">
      <c r="A1873" s="9" t="s">
        <v>59</v>
      </c>
      <c r="B1873" s="10">
        <v>44682</v>
      </c>
      <c r="C1873" s="11">
        <v>133334</v>
      </c>
      <c r="D1873" s="11">
        <v>133334</v>
      </c>
      <c r="E1873" s="11">
        <v>0</v>
      </c>
      <c r="F1873" t="str">
        <f>VLOOKUP(A1873,[1]!Table1[#All],17,FALSE)</f>
        <v>UNITED STATES</v>
      </c>
      <c r="G1873" t="str">
        <f>VLOOKUP(A1873,[1]!Table1[#All],22,FALSE)</f>
        <v>ALBERT EINSTEIN COLLEGE OF MEDICINE</v>
      </c>
      <c r="H1873" s="8">
        <f>VLOOKUP(A1873,[1]!Table1[#All],32,FALSE)</f>
        <v>44104</v>
      </c>
      <c r="I1873" s="8">
        <f>VLOOKUP(A1873,[1]!Table1[#All],33,FALSE)</f>
        <v>45929</v>
      </c>
      <c r="J1873" t="str">
        <f t="shared" ca="1" si="29"/>
        <v>Non UDO</v>
      </c>
    </row>
    <row r="1874" spans="1:10" x14ac:dyDescent="0.35">
      <c r="A1874" s="5" t="s">
        <v>59</v>
      </c>
      <c r="B1874" s="6">
        <v>44713</v>
      </c>
      <c r="C1874" s="7">
        <v>133334</v>
      </c>
      <c r="D1874" s="7">
        <v>133334</v>
      </c>
      <c r="E1874" s="7">
        <v>0</v>
      </c>
      <c r="F1874" t="str">
        <f>VLOOKUP(A1874,[1]!Table1[#All],17,FALSE)</f>
        <v>UNITED STATES</v>
      </c>
      <c r="G1874" t="str">
        <f>VLOOKUP(A1874,[1]!Table1[#All],22,FALSE)</f>
        <v>ALBERT EINSTEIN COLLEGE OF MEDICINE</v>
      </c>
      <c r="H1874" s="8">
        <f>VLOOKUP(A1874,[1]!Table1[#All],32,FALSE)</f>
        <v>44104</v>
      </c>
      <c r="I1874" s="8">
        <f>VLOOKUP(A1874,[1]!Table1[#All],33,FALSE)</f>
        <v>45929</v>
      </c>
      <c r="J1874" t="str">
        <f t="shared" ca="1" si="29"/>
        <v>Non UDO</v>
      </c>
    </row>
    <row r="1875" spans="1:10" x14ac:dyDescent="0.35">
      <c r="A1875" s="9" t="s">
        <v>59</v>
      </c>
      <c r="B1875" s="10">
        <v>44743</v>
      </c>
      <c r="C1875" s="11">
        <v>133334</v>
      </c>
      <c r="D1875" s="11">
        <v>133334</v>
      </c>
      <c r="E1875" s="11">
        <v>0</v>
      </c>
      <c r="F1875" t="str">
        <f>VLOOKUP(A1875,[1]!Table1[#All],17,FALSE)</f>
        <v>UNITED STATES</v>
      </c>
      <c r="G1875" t="str">
        <f>VLOOKUP(A1875,[1]!Table1[#All],22,FALSE)</f>
        <v>ALBERT EINSTEIN COLLEGE OF MEDICINE</v>
      </c>
      <c r="H1875" s="8">
        <f>VLOOKUP(A1875,[1]!Table1[#All],32,FALSE)</f>
        <v>44104</v>
      </c>
      <c r="I1875" s="8">
        <f>VLOOKUP(A1875,[1]!Table1[#All],33,FALSE)</f>
        <v>45929</v>
      </c>
      <c r="J1875" t="str">
        <f t="shared" ca="1" si="29"/>
        <v>Non UDO</v>
      </c>
    </row>
    <row r="1876" spans="1:10" x14ac:dyDescent="0.35">
      <c r="A1876" s="5" t="s">
        <v>59</v>
      </c>
      <c r="B1876" s="6">
        <v>44774</v>
      </c>
      <c r="C1876" s="7">
        <v>133334</v>
      </c>
      <c r="D1876" s="7">
        <v>133334</v>
      </c>
      <c r="E1876" s="7">
        <v>0</v>
      </c>
      <c r="F1876" t="str">
        <f>VLOOKUP(A1876,[1]!Table1[#All],17,FALSE)</f>
        <v>UNITED STATES</v>
      </c>
      <c r="G1876" t="str">
        <f>VLOOKUP(A1876,[1]!Table1[#All],22,FALSE)</f>
        <v>ALBERT EINSTEIN COLLEGE OF MEDICINE</v>
      </c>
      <c r="H1876" s="8">
        <f>VLOOKUP(A1876,[1]!Table1[#All],32,FALSE)</f>
        <v>44104</v>
      </c>
      <c r="I1876" s="8">
        <f>VLOOKUP(A1876,[1]!Table1[#All],33,FALSE)</f>
        <v>45929</v>
      </c>
      <c r="J1876" t="str">
        <f t="shared" ca="1" si="29"/>
        <v>Non UDO</v>
      </c>
    </row>
    <row r="1877" spans="1:10" x14ac:dyDescent="0.35">
      <c r="A1877" s="9" t="s">
        <v>59</v>
      </c>
      <c r="B1877" s="10">
        <v>44805</v>
      </c>
      <c r="C1877" s="11">
        <v>133334</v>
      </c>
      <c r="D1877" s="11">
        <v>133334</v>
      </c>
      <c r="E1877" s="11">
        <v>0</v>
      </c>
      <c r="F1877" t="str">
        <f>VLOOKUP(A1877,[1]!Table1[#All],17,FALSE)</f>
        <v>UNITED STATES</v>
      </c>
      <c r="G1877" t="str">
        <f>VLOOKUP(A1877,[1]!Table1[#All],22,FALSE)</f>
        <v>ALBERT EINSTEIN COLLEGE OF MEDICINE</v>
      </c>
      <c r="H1877" s="8">
        <f>VLOOKUP(A1877,[1]!Table1[#All],32,FALSE)</f>
        <v>44104</v>
      </c>
      <c r="I1877" s="8">
        <f>VLOOKUP(A1877,[1]!Table1[#All],33,FALSE)</f>
        <v>45929</v>
      </c>
      <c r="J1877" t="str">
        <f t="shared" ca="1" si="29"/>
        <v>Non UDO</v>
      </c>
    </row>
    <row r="1878" spans="1:10" x14ac:dyDescent="0.35">
      <c r="A1878" s="5" t="s">
        <v>59</v>
      </c>
      <c r="B1878" s="6">
        <v>44835</v>
      </c>
      <c r="C1878" s="7">
        <v>133334</v>
      </c>
      <c r="D1878" s="7">
        <v>133334</v>
      </c>
      <c r="E1878" s="7">
        <v>0</v>
      </c>
      <c r="F1878" t="str">
        <f>VLOOKUP(A1878,[1]!Table1[#All],17,FALSE)</f>
        <v>UNITED STATES</v>
      </c>
      <c r="G1878" t="str">
        <f>VLOOKUP(A1878,[1]!Table1[#All],22,FALSE)</f>
        <v>ALBERT EINSTEIN COLLEGE OF MEDICINE</v>
      </c>
      <c r="H1878" s="8">
        <f>VLOOKUP(A1878,[1]!Table1[#All],32,FALSE)</f>
        <v>44104</v>
      </c>
      <c r="I1878" s="8">
        <f>VLOOKUP(A1878,[1]!Table1[#All],33,FALSE)</f>
        <v>45929</v>
      </c>
      <c r="J1878" t="str">
        <f t="shared" ca="1" si="29"/>
        <v>Non UDO</v>
      </c>
    </row>
    <row r="1879" spans="1:10" x14ac:dyDescent="0.35">
      <c r="A1879" s="9" t="s">
        <v>59</v>
      </c>
      <c r="B1879" s="10">
        <v>44866</v>
      </c>
      <c r="C1879" s="11">
        <v>133334</v>
      </c>
      <c r="D1879" s="11">
        <v>133334</v>
      </c>
      <c r="E1879" s="11">
        <v>0</v>
      </c>
      <c r="F1879" t="str">
        <f>VLOOKUP(A1879,[1]!Table1[#All],17,FALSE)</f>
        <v>UNITED STATES</v>
      </c>
      <c r="G1879" t="str">
        <f>VLOOKUP(A1879,[1]!Table1[#All],22,FALSE)</f>
        <v>ALBERT EINSTEIN COLLEGE OF MEDICINE</v>
      </c>
      <c r="H1879" s="8">
        <f>VLOOKUP(A1879,[1]!Table1[#All],32,FALSE)</f>
        <v>44104</v>
      </c>
      <c r="I1879" s="8">
        <f>VLOOKUP(A1879,[1]!Table1[#All],33,FALSE)</f>
        <v>45929</v>
      </c>
      <c r="J1879" t="str">
        <f t="shared" ca="1" si="29"/>
        <v>Non UDO</v>
      </c>
    </row>
    <row r="1880" spans="1:10" x14ac:dyDescent="0.35">
      <c r="A1880" s="5" t="s">
        <v>59</v>
      </c>
      <c r="B1880" s="6">
        <v>44896</v>
      </c>
      <c r="C1880" s="7">
        <v>133334</v>
      </c>
      <c r="D1880" s="7">
        <v>133334</v>
      </c>
      <c r="E1880" s="7">
        <v>0</v>
      </c>
      <c r="F1880" t="str">
        <f>VLOOKUP(A1880,[1]!Table1[#All],17,FALSE)</f>
        <v>UNITED STATES</v>
      </c>
      <c r="G1880" t="str">
        <f>VLOOKUP(A1880,[1]!Table1[#All],22,FALSE)</f>
        <v>ALBERT EINSTEIN COLLEGE OF MEDICINE</v>
      </c>
      <c r="H1880" s="8">
        <f>VLOOKUP(A1880,[1]!Table1[#All],32,FALSE)</f>
        <v>44104</v>
      </c>
      <c r="I1880" s="8">
        <f>VLOOKUP(A1880,[1]!Table1[#All],33,FALSE)</f>
        <v>45929</v>
      </c>
      <c r="J1880" t="str">
        <f t="shared" ca="1" si="29"/>
        <v>Non UDO</v>
      </c>
    </row>
    <row r="1881" spans="1:10" x14ac:dyDescent="0.35">
      <c r="A1881" s="9" t="s">
        <v>59</v>
      </c>
      <c r="B1881" s="10">
        <v>44927</v>
      </c>
      <c r="C1881" s="11">
        <v>133334</v>
      </c>
      <c r="D1881" s="11">
        <v>133334</v>
      </c>
      <c r="E1881" s="11">
        <v>0</v>
      </c>
      <c r="F1881" t="str">
        <f>VLOOKUP(A1881,[1]!Table1[#All],17,FALSE)</f>
        <v>UNITED STATES</v>
      </c>
      <c r="G1881" t="str">
        <f>VLOOKUP(A1881,[1]!Table1[#All],22,FALSE)</f>
        <v>ALBERT EINSTEIN COLLEGE OF MEDICINE</v>
      </c>
      <c r="H1881" s="8">
        <f>VLOOKUP(A1881,[1]!Table1[#All],32,FALSE)</f>
        <v>44104</v>
      </c>
      <c r="I1881" s="8">
        <f>VLOOKUP(A1881,[1]!Table1[#All],33,FALSE)</f>
        <v>45929</v>
      </c>
      <c r="J1881" t="str">
        <f t="shared" ca="1" si="29"/>
        <v>Non UDO</v>
      </c>
    </row>
    <row r="1882" spans="1:10" x14ac:dyDescent="0.35">
      <c r="A1882" s="5" t="s">
        <v>59</v>
      </c>
      <c r="B1882" s="6">
        <v>44958</v>
      </c>
      <c r="C1882" s="7">
        <v>133334</v>
      </c>
      <c r="D1882" s="7">
        <v>133334</v>
      </c>
      <c r="E1882" s="7">
        <v>0</v>
      </c>
      <c r="F1882" t="str">
        <f>VLOOKUP(A1882,[1]!Table1[#All],17,FALSE)</f>
        <v>UNITED STATES</v>
      </c>
      <c r="G1882" t="str">
        <f>VLOOKUP(A1882,[1]!Table1[#All],22,FALSE)</f>
        <v>ALBERT EINSTEIN COLLEGE OF MEDICINE</v>
      </c>
      <c r="H1882" s="8">
        <f>VLOOKUP(A1882,[1]!Table1[#All],32,FALSE)</f>
        <v>44104</v>
      </c>
      <c r="I1882" s="8">
        <f>VLOOKUP(A1882,[1]!Table1[#All],33,FALSE)</f>
        <v>45929</v>
      </c>
      <c r="J1882" t="str">
        <f t="shared" ca="1" si="29"/>
        <v>Non UDO</v>
      </c>
    </row>
    <row r="1883" spans="1:10" x14ac:dyDescent="0.35">
      <c r="A1883" s="9" t="s">
        <v>59</v>
      </c>
      <c r="B1883" s="10">
        <v>44986</v>
      </c>
      <c r="C1883" s="11">
        <v>133334</v>
      </c>
      <c r="D1883" s="11">
        <v>133334</v>
      </c>
      <c r="E1883" s="11">
        <v>0</v>
      </c>
      <c r="F1883" t="str">
        <f>VLOOKUP(A1883,[1]!Table1[#All],17,FALSE)</f>
        <v>UNITED STATES</v>
      </c>
      <c r="G1883" t="str">
        <f>VLOOKUP(A1883,[1]!Table1[#All],22,FALSE)</f>
        <v>ALBERT EINSTEIN COLLEGE OF MEDICINE</v>
      </c>
      <c r="H1883" s="8">
        <f>VLOOKUP(A1883,[1]!Table1[#All],32,FALSE)</f>
        <v>44104</v>
      </c>
      <c r="I1883" s="8">
        <f>VLOOKUP(A1883,[1]!Table1[#All],33,FALSE)</f>
        <v>45929</v>
      </c>
      <c r="J1883" t="str">
        <f t="shared" ca="1" si="29"/>
        <v>Non UDO</v>
      </c>
    </row>
    <row r="1884" spans="1:10" x14ac:dyDescent="0.35">
      <c r="A1884" s="5" t="s">
        <v>59</v>
      </c>
      <c r="B1884" s="6">
        <v>45017</v>
      </c>
      <c r="C1884" s="7">
        <v>133334</v>
      </c>
      <c r="D1884" s="7">
        <v>133334</v>
      </c>
      <c r="E1884" s="7">
        <v>0</v>
      </c>
      <c r="F1884" t="str">
        <f>VLOOKUP(A1884,[1]!Table1[#All],17,FALSE)</f>
        <v>UNITED STATES</v>
      </c>
      <c r="G1884" t="str">
        <f>VLOOKUP(A1884,[1]!Table1[#All],22,FALSE)</f>
        <v>ALBERT EINSTEIN COLLEGE OF MEDICINE</v>
      </c>
      <c r="H1884" s="8">
        <f>VLOOKUP(A1884,[1]!Table1[#All],32,FALSE)</f>
        <v>44104</v>
      </c>
      <c r="I1884" s="8">
        <f>VLOOKUP(A1884,[1]!Table1[#All],33,FALSE)</f>
        <v>45929</v>
      </c>
      <c r="J1884" t="str">
        <f t="shared" ca="1" si="29"/>
        <v>Non UDO</v>
      </c>
    </row>
    <row r="1885" spans="1:10" x14ac:dyDescent="0.35">
      <c r="A1885" s="9" t="s">
        <v>59</v>
      </c>
      <c r="B1885" s="10">
        <v>45047</v>
      </c>
      <c r="C1885" s="11">
        <v>133334</v>
      </c>
      <c r="D1885" s="11">
        <v>133334</v>
      </c>
      <c r="E1885" s="11">
        <v>0</v>
      </c>
      <c r="F1885" t="str">
        <f>VLOOKUP(A1885,[1]!Table1[#All],17,FALSE)</f>
        <v>UNITED STATES</v>
      </c>
      <c r="G1885" t="str">
        <f>VLOOKUP(A1885,[1]!Table1[#All],22,FALSE)</f>
        <v>ALBERT EINSTEIN COLLEGE OF MEDICINE</v>
      </c>
      <c r="H1885" s="8">
        <f>VLOOKUP(A1885,[1]!Table1[#All],32,FALSE)</f>
        <v>44104</v>
      </c>
      <c r="I1885" s="8">
        <f>VLOOKUP(A1885,[1]!Table1[#All],33,FALSE)</f>
        <v>45929</v>
      </c>
      <c r="J1885" t="str">
        <f t="shared" ca="1" si="29"/>
        <v>Non UDO</v>
      </c>
    </row>
    <row r="1886" spans="1:10" x14ac:dyDescent="0.35">
      <c r="A1886" s="5" t="s">
        <v>59</v>
      </c>
      <c r="B1886" s="6">
        <v>45078</v>
      </c>
      <c r="C1886" s="7">
        <v>133334</v>
      </c>
      <c r="D1886" s="7">
        <v>133334</v>
      </c>
      <c r="E1886" s="7">
        <v>0</v>
      </c>
      <c r="F1886" t="str">
        <f>VLOOKUP(A1886,[1]!Table1[#All],17,FALSE)</f>
        <v>UNITED STATES</v>
      </c>
      <c r="G1886" t="str">
        <f>VLOOKUP(A1886,[1]!Table1[#All],22,FALSE)</f>
        <v>ALBERT EINSTEIN COLLEGE OF MEDICINE</v>
      </c>
      <c r="H1886" s="8">
        <f>VLOOKUP(A1886,[1]!Table1[#All],32,FALSE)</f>
        <v>44104</v>
      </c>
      <c r="I1886" s="8">
        <f>VLOOKUP(A1886,[1]!Table1[#All],33,FALSE)</f>
        <v>45929</v>
      </c>
      <c r="J1886" t="str">
        <f t="shared" ca="1" si="29"/>
        <v>Non UDO</v>
      </c>
    </row>
    <row r="1887" spans="1:10" x14ac:dyDescent="0.35">
      <c r="A1887" s="9" t="s">
        <v>59</v>
      </c>
      <c r="B1887" s="10">
        <v>45108</v>
      </c>
      <c r="C1887" s="11">
        <v>133334</v>
      </c>
      <c r="D1887" s="11">
        <v>133334</v>
      </c>
      <c r="E1887" s="11">
        <v>0</v>
      </c>
      <c r="F1887" t="str">
        <f>VLOOKUP(A1887,[1]!Table1[#All],17,FALSE)</f>
        <v>UNITED STATES</v>
      </c>
      <c r="G1887" t="str">
        <f>VLOOKUP(A1887,[1]!Table1[#All],22,FALSE)</f>
        <v>ALBERT EINSTEIN COLLEGE OF MEDICINE</v>
      </c>
      <c r="H1887" s="8">
        <f>VLOOKUP(A1887,[1]!Table1[#All],32,FALSE)</f>
        <v>44104</v>
      </c>
      <c r="I1887" s="8">
        <f>VLOOKUP(A1887,[1]!Table1[#All],33,FALSE)</f>
        <v>45929</v>
      </c>
      <c r="J1887" t="str">
        <f t="shared" ca="1" si="29"/>
        <v>Non UDO</v>
      </c>
    </row>
    <row r="1888" spans="1:10" x14ac:dyDescent="0.35">
      <c r="A1888" s="5" t="s">
        <v>59</v>
      </c>
      <c r="B1888" s="6">
        <v>45139</v>
      </c>
      <c r="C1888" s="7">
        <v>133334</v>
      </c>
      <c r="D1888" s="7">
        <v>133334</v>
      </c>
      <c r="E1888" s="7">
        <v>0</v>
      </c>
      <c r="F1888" t="str">
        <f>VLOOKUP(A1888,[1]!Table1[#All],17,FALSE)</f>
        <v>UNITED STATES</v>
      </c>
      <c r="G1888" t="str">
        <f>VLOOKUP(A1888,[1]!Table1[#All],22,FALSE)</f>
        <v>ALBERT EINSTEIN COLLEGE OF MEDICINE</v>
      </c>
      <c r="H1888" s="8">
        <f>VLOOKUP(A1888,[1]!Table1[#All],32,FALSE)</f>
        <v>44104</v>
      </c>
      <c r="I1888" s="8">
        <f>VLOOKUP(A1888,[1]!Table1[#All],33,FALSE)</f>
        <v>45929</v>
      </c>
      <c r="J1888" t="str">
        <f t="shared" ca="1" si="29"/>
        <v>Non UDO</v>
      </c>
    </row>
    <row r="1889" spans="1:10" x14ac:dyDescent="0.35">
      <c r="A1889" s="9" t="s">
        <v>59</v>
      </c>
      <c r="B1889" s="10">
        <v>45170</v>
      </c>
      <c r="C1889" s="11">
        <v>133334</v>
      </c>
      <c r="D1889" s="11">
        <v>133334</v>
      </c>
      <c r="E1889" s="11">
        <v>0</v>
      </c>
      <c r="F1889" t="str">
        <f>VLOOKUP(A1889,[1]!Table1[#All],17,FALSE)</f>
        <v>UNITED STATES</v>
      </c>
      <c r="G1889" t="str">
        <f>VLOOKUP(A1889,[1]!Table1[#All],22,FALSE)</f>
        <v>ALBERT EINSTEIN COLLEGE OF MEDICINE</v>
      </c>
      <c r="H1889" s="8">
        <f>VLOOKUP(A1889,[1]!Table1[#All],32,FALSE)</f>
        <v>44104</v>
      </c>
      <c r="I1889" s="8">
        <f>VLOOKUP(A1889,[1]!Table1[#All],33,FALSE)</f>
        <v>45929</v>
      </c>
      <c r="J1889" t="str">
        <f t="shared" ca="1" si="29"/>
        <v>Non UDO</v>
      </c>
    </row>
    <row r="1890" spans="1:10" x14ac:dyDescent="0.35">
      <c r="A1890" s="5" t="s">
        <v>60</v>
      </c>
      <c r="B1890" s="6">
        <v>44409</v>
      </c>
      <c r="C1890" s="7">
        <v>150000</v>
      </c>
      <c r="D1890" s="7">
        <v>0</v>
      </c>
      <c r="E1890" s="7">
        <v>150000</v>
      </c>
      <c r="F1890" t="str">
        <f>VLOOKUP(A1890,[1]!Table1[#All],17,FALSE)</f>
        <v>UNITED STATES</v>
      </c>
      <c r="G1890" t="str">
        <f>VLOOKUP(A1890,[1]!Table1[#All],22,FALSE)</f>
        <v>ALBERT EINSTEIN COLLEGE OF MEDICINE</v>
      </c>
      <c r="H1890" s="8">
        <f>VLOOKUP(A1890,[1]!Table1[#All],32,FALSE)</f>
        <v>44104</v>
      </c>
      <c r="I1890" s="8">
        <f>VLOOKUP(A1890,[1]!Table1[#All],33,FALSE)</f>
        <v>45929</v>
      </c>
      <c r="J1890" t="str">
        <f t="shared" ca="1" si="29"/>
        <v>Non UDO</v>
      </c>
    </row>
    <row r="1891" spans="1:10" x14ac:dyDescent="0.35">
      <c r="A1891" s="9" t="s">
        <v>60</v>
      </c>
      <c r="B1891" s="10">
        <v>44440</v>
      </c>
      <c r="C1891" s="11">
        <v>150000</v>
      </c>
      <c r="D1891" s="11">
        <v>0</v>
      </c>
      <c r="E1891" s="11">
        <v>150000</v>
      </c>
      <c r="F1891" t="str">
        <f>VLOOKUP(A1891,[1]!Table1[#All],17,FALSE)</f>
        <v>UNITED STATES</v>
      </c>
      <c r="G1891" t="str">
        <f>VLOOKUP(A1891,[1]!Table1[#All],22,FALSE)</f>
        <v>ALBERT EINSTEIN COLLEGE OF MEDICINE</v>
      </c>
      <c r="H1891" s="8">
        <f>VLOOKUP(A1891,[1]!Table1[#All],32,FALSE)</f>
        <v>44104</v>
      </c>
      <c r="I1891" s="8">
        <f>VLOOKUP(A1891,[1]!Table1[#All],33,FALSE)</f>
        <v>45929</v>
      </c>
      <c r="J1891" t="str">
        <f t="shared" ca="1" si="29"/>
        <v>Non UDO</v>
      </c>
    </row>
    <row r="1892" spans="1:10" x14ac:dyDescent="0.35">
      <c r="A1892" s="5" t="s">
        <v>60</v>
      </c>
      <c r="B1892" s="6">
        <v>44470</v>
      </c>
      <c r="C1892" s="7">
        <v>150000</v>
      </c>
      <c r="D1892" s="7">
        <v>0</v>
      </c>
      <c r="E1892" s="7">
        <v>150000</v>
      </c>
      <c r="F1892" t="str">
        <f>VLOOKUP(A1892,[1]!Table1[#All],17,FALSE)</f>
        <v>UNITED STATES</v>
      </c>
      <c r="G1892" t="str">
        <f>VLOOKUP(A1892,[1]!Table1[#All],22,FALSE)</f>
        <v>ALBERT EINSTEIN COLLEGE OF MEDICINE</v>
      </c>
      <c r="H1892" s="8">
        <f>VLOOKUP(A1892,[1]!Table1[#All],32,FALSE)</f>
        <v>44104</v>
      </c>
      <c r="I1892" s="8">
        <f>VLOOKUP(A1892,[1]!Table1[#All],33,FALSE)</f>
        <v>45929</v>
      </c>
      <c r="J1892" t="str">
        <f t="shared" ca="1" si="29"/>
        <v>Non UDO</v>
      </c>
    </row>
    <row r="1893" spans="1:10" x14ac:dyDescent="0.35">
      <c r="A1893" s="9" t="s">
        <v>60</v>
      </c>
      <c r="B1893" s="10">
        <v>44501</v>
      </c>
      <c r="C1893" s="11">
        <v>150000</v>
      </c>
      <c r="D1893" s="11">
        <v>0</v>
      </c>
      <c r="E1893" s="11">
        <v>150000</v>
      </c>
      <c r="F1893" t="str">
        <f>VLOOKUP(A1893,[1]!Table1[#All],17,FALSE)</f>
        <v>UNITED STATES</v>
      </c>
      <c r="G1893" t="str">
        <f>VLOOKUP(A1893,[1]!Table1[#All],22,FALSE)</f>
        <v>ALBERT EINSTEIN COLLEGE OF MEDICINE</v>
      </c>
      <c r="H1893" s="8">
        <f>VLOOKUP(A1893,[1]!Table1[#All],32,FALSE)</f>
        <v>44104</v>
      </c>
      <c r="I1893" s="8">
        <f>VLOOKUP(A1893,[1]!Table1[#All],33,FALSE)</f>
        <v>45929</v>
      </c>
      <c r="J1893" t="str">
        <f t="shared" ca="1" si="29"/>
        <v>Non UDO</v>
      </c>
    </row>
    <row r="1894" spans="1:10" x14ac:dyDescent="0.35">
      <c r="A1894" s="5" t="s">
        <v>60</v>
      </c>
      <c r="B1894" s="6">
        <v>44531</v>
      </c>
      <c r="C1894" s="7">
        <v>150000</v>
      </c>
      <c r="D1894" s="7">
        <v>0</v>
      </c>
      <c r="E1894" s="7">
        <v>150000</v>
      </c>
      <c r="F1894" t="str">
        <f>VLOOKUP(A1894,[1]!Table1[#All],17,FALSE)</f>
        <v>UNITED STATES</v>
      </c>
      <c r="G1894" t="str">
        <f>VLOOKUP(A1894,[1]!Table1[#All],22,FALSE)</f>
        <v>ALBERT EINSTEIN COLLEGE OF MEDICINE</v>
      </c>
      <c r="H1894" s="8">
        <f>VLOOKUP(A1894,[1]!Table1[#All],32,FALSE)</f>
        <v>44104</v>
      </c>
      <c r="I1894" s="8">
        <f>VLOOKUP(A1894,[1]!Table1[#All],33,FALSE)</f>
        <v>45929</v>
      </c>
      <c r="J1894" t="str">
        <f t="shared" ca="1" si="29"/>
        <v>Non UDO</v>
      </c>
    </row>
    <row r="1895" spans="1:10" x14ac:dyDescent="0.35">
      <c r="A1895" s="9" t="s">
        <v>60</v>
      </c>
      <c r="B1895" s="10">
        <v>44562</v>
      </c>
      <c r="C1895" s="11">
        <v>150000</v>
      </c>
      <c r="D1895" s="11">
        <v>0</v>
      </c>
      <c r="E1895" s="11">
        <v>150000</v>
      </c>
      <c r="F1895" t="str">
        <f>VLOOKUP(A1895,[1]!Table1[#All],17,FALSE)</f>
        <v>UNITED STATES</v>
      </c>
      <c r="G1895" t="str">
        <f>VLOOKUP(A1895,[1]!Table1[#All],22,FALSE)</f>
        <v>ALBERT EINSTEIN COLLEGE OF MEDICINE</v>
      </c>
      <c r="H1895" s="8">
        <f>VLOOKUP(A1895,[1]!Table1[#All],32,FALSE)</f>
        <v>44104</v>
      </c>
      <c r="I1895" s="8">
        <f>VLOOKUP(A1895,[1]!Table1[#All],33,FALSE)</f>
        <v>45929</v>
      </c>
      <c r="J1895" t="str">
        <f t="shared" ca="1" si="29"/>
        <v>Non UDO</v>
      </c>
    </row>
    <row r="1896" spans="1:10" x14ac:dyDescent="0.35">
      <c r="A1896" s="5" t="s">
        <v>60</v>
      </c>
      <c r="B1896" s="6">
        <v>44593</v>
      </c>
      <c r="C1896" s="7">
        <v>150000</v>
      </c>
      <c r="D1896" s="7">
        <v>0</v>
      </c>
      <c r="E1896" s="7">
        <v>150000</v>
      </c>
      <c r="F1896" t="str">
        <f>VLOOKUP(A1896,[1]!Table1[#All],17,FALSE)</f>
        <v>UNITED STATES</v>
      </c>
      <c r="G1896" t="str">
        <f>VLOOKUP(A1896,[1]!Table1[#All],22,FALSE)</f>
        <v>ALBERT EINSTEIN COLLEGE OF MEDICINE</v>
      </c>
      <c r="H1896" s="8">
        <f>VLOOKUP(A1896,[1]!Table1[#All],32,FALSE)</f>
        <v>44104</v>
      </c>
      <c r="I1896" s="8">
        <f>VLOOKUP(A1896,[1]!Table1[#All],33,FALSE)</f>
        <v>45929</v>
      </c>
      <c r="J1896" t="str">
        <f t="shared" ca="1" si="29"/>
        <v>Non UDO</v>
      </c>
    </row>
    <row r="1897" spans="1:10" x14ac:dyDescent="0.35">
      <c r="A1897" s="9" t="s">
        <v>60</v>
      </c>
      <c r="B1897" s="10">
        <v>44621</v>
      </c>
      <c r="C1897" s="11">
        <v>150000</v>
      </c>
      <c r="D1897" s="11">
        <v>0</v>
      </c>
      <c r="E1897" s="11">
        <v>150000</v>
      </c>
      <c r="F1897" t="str">
        <f>VLOOKUP(A1897,[1]!Table1[#All],17,FALSE)</f>
        <v>UNITED STATES</v>
      </c>
      <c r="G1897" t="str">
        <f>VLOOKUP(A1897,[1]!Table1[#All],22,FALSE)</f>
        <v>ALBERT EINSTEIN COLLEGE OF MEDICINE</v>
      </c>
      <c r="H1897" s="8">
        <f>VLOOKUP(A1897,[1]!Table1[#All],32,FALSE)</f>
        <v>44104</v>
      </c>
      <c r="I1897" s="8">
        <f>VLOOKUP(A1897,[1]!Table1[#All],33,FALSE)</f>
        <v>45929</v>
      </c>
      <c r="J1897" t="str">
        <f t="shared" ca="1" si="29"/>
        <v>Non UDO</v>
      </c>
    </row>
    <row r="1898" spans="1:10" x14ac:dyDescent="0.35">
      <c r="A1898" s="5" t="s">
        <v>60</v>
      </c>
      <c r="B1898" s="6">
        <v>44652</v>
      </c>
      <c r="C1898" s="7">
        <v>150000</v>
      </c>
      <c r="D1898" s="7">
        <v>0</v>
      </c>
      <c r="E1898" s="7">
        <v>150000</v>
      </c>
      <c r="F1898" t="str">
        <f>VLOOKUP(A1898,[1]!Table1[#All],17,FALSE)</f>
        <v>UNITED STATES</v>
      </c>
      <c r="G1898" t="str">
        <f>VLOOKUP(A1898,[1]!Table1[#All],22,FALSE)</f>
        <v>ALBERT EINSTEIN COLLEGE OF MEDICINE</v>
      </c>
      <c r="H1898" s="8">
        <f>VLOOKUP(A1898,[1]!Table1[#All],32,FALSE)</f>
        <v>44104</v>
      </c>
      <c r="I1898" s="8">
        <f>VLOOKUP(A1898,[1]!Table1[#All],33,FALSE)</f>
        <v>45929</v>
      </c>
      <c r="J1898" t="str">
        <f t="shared" ca="1" si="29"/>
        <v>Non UDO</v>
      </c>
    </row>
    <row r="1899" spans="1:10" x14ac:dyDescent="0.35">
      <c r="A1899" s="9" t="s">
        <v>60</v>
      </c>
      <c r="B1899" s="10">
        <v>44682</v>
      </c>
      <c r="C1899" s="11">
        <v>150000</v>
      </c>
      <c r="D1899" s="11">
        <v>617.92999999999995</v>
      </c>
      <c r="E1899" s="11">
        <v>149382.07</v>
      </c>
      <c r="F1899" t="str">
        <f>VLOOKUP(A1899,[1]!Table1[#All],17,FALSE)</f>
        <v>UNITED STATES</v>
      </c>
      <c r="G1899" t="str">
        <f>VLOOKUP(A1899,[1]!Table1[#All],22,FALSE)</f>
        <v>ALBERT EINSTEIN COLLEGE OF MEDICINE</v>
      </c>
      <c r="H1899" s="8">
        <f>VLOOKUP(A1899,[1]!Table1[#All],32,FALSE)</f>
        <v>44104</v>
      </c>
      <c r="I1899" s="8">
        <f>VLOOKUP(A1899,[1]!Table1[#All],33,FALSE)</f>
        <v>45929</v>
      </c>
      <c r="J1899" t="str">
        <f t="shared" ca="1" si="29"/>
        <v>Non UDO</v>
      </c>
    </row>
    <row r="1900" spans="1:10" x14ac:dyDescent="0.35">
      <c r="A1900" s="5" t="s">
        <v>60</v>
      </c>
      <c r="B1900" s="6">
        <v>44713</v>
      </c>
      <c r="C1900" s="7">
        <v>150000</v>
      </c>
      <c r="D1900" s="7">
        <v>19423.05</v>
      </c>
      <c r="E1900" s="7">
        <v>130576.95</v>
      </c>
      <c r="F1900" t="str">
        <f>VLOOKUP(A1900,[1]!Table1[#All],17,FALSE)</f>
        <v>UNITED STATES</v>
      </c>
      <c r="G1900" t="str">
        <f>VLOOKUP(A1900,[1]!Table1[#All],22,FALSE)</f>
        <v>ALBERT EINSTEIN COLLEGE OF MEDICINE</v>
      </c>
      <c r="H1900" s="8">
        <f>VLOOKUP(A1900,[1]!Table1[#All],32,FALSE)</f>
        <v>44104</v>
      </c>
      <c r="I1900" s="8">
        <f>VLOOKUP(A1900,[1]!Table1[#All],33,FALSE)</f>
        <v>45929</v>
      </c>
      <c r="J1900" t="str">
        <f t="shared" ca="1" si="29"/>
        <v>Non UDO</v>
      </c>
    </row>
    <row r="1901" spans="1:10" x14ac:dyDescent="0.35">
      <c r="A1901" s="9" t="s">
        <v>60</v>
      </c>
      <c r="B1901" s="10">
        <v>44743</v>
      </c>
      <c r="C1901" s="11">
        <v>150000</v>
      </c>
      <c r="D1901" s="11">
        <v>41217.22</v>
      </c>
      <c r="E1901" s="11">
        <v>108782.78</v>
      </c>
      <c r="F1901" t="str">
        <f>VLOOKUP(A1901,[1]!Table1[#All],17,FALSE)</f>
        <v>UNITED STATES</v>
      </c>
      <c r="G1901" t="str">
        <f>VLOOKUP(A1901,[1]!Table1[#All],22,FALSE)</f>
        <v>ALBERT EINSTEIN COLLEGE OF MEDICINE</v>
      </c>
      <c r="H1901" s="8">
        <f>VLOOKUP(A1901,[1]!Table1[#All],32,FALSE)</f>
        <v>44104</v>
      </c>
      <c r="I1901" s="8">
        <f>VLOOKUP(A1901,[1]!Table1[#All],33,FALSE)</f>
        <v>45929</v>
      </c>
      <c r="J1901" t="str">
        <f t="shared" ca="1" si="29"/>
        <v>Non UDO</v>
      </c>
    </row>
    <row r="1902" spans="1:10" x14ac:dyDescent="0.35">
      <c r="A1902" s="5" t="s">
        <v>60</v>
      </c>
      <c r="B1902" s="6">
        <v>44774</v>
      </c>
      <c r="C1902" s="7">
        <v>150000</v>
      </c>
      <c r="D1902" s="7">
        <v>47846.07</v>
      </c>
      <c r="E1902" s="7">
        <v>102153.93</v>
      </c>
      <c r="F1902" t="str">
        <f>VLOOKUP(A1902,[1]!Table1[#All],17,FALSE)</f>
        <v>UNITED STATES</v>
      </c>
      <c r="G1902" t="str">
        <f>VLOOKUP(A1902,[1]!Table1[#All],22,FALSE)</f>
        <v>ALBERT EINSTEIN COLLEGE OF MEDICINE</v>
      </c>
      <c r="H1902" s="8">
        <f>VLOOKUP(A1902,[1]!Table1[#All],32,FALSE)</f>
        <v>44104</v>
      </c>
      <c r="I1902" s="8">
        <f>VLOOKUP(A1902,[1]!Table1[#All],33,FALSE)</f>
        <v>45929</v>
      </c>
      <c r="J1902" t="str">
        <f t="shared" ca="1" si="29"/>
        <v>Non UDO</v>
      </c>
    </row>
    <row r="1903" spans="1:10" x14ac:dyDescent="0.35">
      <c r="A1903" s="9" t="s">
        <v>60</v>
      </c>
      <c r="B1903" s="10">
        <v>44805</v>
      </c>
      <c r="C1903" s="11">
        <v>150000</v>
      </c>
      <c r="D1903" s="11">
        <v>58898.63</v>
      </c>
      <c r="E1903" s="11">
        <v>91101.37</v>
      </c>
      <c r="F1903" t="str">
        <f>VLOOKUP(A1903,[1]!Table1[#All],17,FALSE)</f>
        <v>UNITED STATES</v>
      </c>
      <c r="G1903" t="str">
        <f>VLOOKUP(A1903,[1]!Table1[#All],22,FALSE)</f>
        <v>ALBERT EINSTEIN COLLEGE OF MEDICINE</v>
      </c>
      <c r="H1903" s="8">
        <f>VLOOKUP(A1903,[1]!Table1[#All],32,FALSE)</f>
        <v>44104</v>
      </c>
      <c r="I1903" s="8">
        <f>VLOOKUP(A1903,[1]!Table1[#All],33,FALSE)</f>
        <v>45929</v>
      </c>
      <c r="J1903" t="str">
        <f t="shared" ca="1" si="29"/>
        <v>Non UDO</v>
      </c>
    </row>
    <row r="1904" spans="1:10" x14ac:dyDescent="0.35">
      <c r="A1904" s="5" t="s">
        <v>60</v>
      </c>
      <c r="B1904" s="6">
        <v>44835</v>
      </c>
      <c r="C1904" s="7">
        <v>150000</v>
      </c>
      <c r="D1904" s="7">
        <v>58944.94</v>
      </c>
      <c r="E1904" s="7">
        <v>91055.06</v>
      </c>
      <c r="F1904" t="str">
        <f>VLOOKUP(A1904,[1]!Table1[#All],17,FALSE)</f>
        <v>UNITED STATES</v>
      </c>
      <c r="G1904" t="str">
        <f>VLOOKUP(A1904,[1]!Table1[#All],22,FALSE)</f>
        <v>ALBERT EINSTEIN COLLEGE OF MEDICINE</v>
      </c>
      <c r="H1904" s="8">
        <f>VLOOKUP(A1904,[1]!Table1[#All],32,FALSE)</f>
        <v>44104</v>
      </c>
      <c r="I1904" s="8">
        <f>VLOOKUP(A1904,[1]!Table1[#All],33,FALSE)</f>
        <v>45929</v>
      </c>
      <c r="J1904" t="str">
        <f t="shared" ca="1" si="29"/>
        <v>Non UDO</v>
      </c>
    </row>
    <row r="1905" spans="1:10" x14ac:dyDescent="0.35">
      <c r="A1905" s="9" t="s">
        <v>60</v>
      </c>
      <c r="B1905" s="10">
        <v>44866</v>
      </c>
      <c r="C1905" s="11">
        <v>150000</v>
      </c>
      <c r="D1905" s="11">
        <v>63181.36</v>
      </c>
      <c r="E1905" s="11">
        <v>86818.64</v>
      </c>
      <c r="F1905" t="str">
        <f>VLOOKUP(A1905,[1]!Table1[#All],17,FALSE)</f>
        <v>UNITED STATES</v>
      </c>
      <c r="G1905" t="str">
        <f>VLOOKUP(A1905,[1]!Table1[#All],22,FALSE)</f>
        <v>ALBERT EINSTEIN COLLEGE OF MEDICINE</v>
      </c>
      <c r="H1905" s="8">
        <f>VLOOKUP(A1905,[1]!Table1[#All],32,FALSE)</f>
        <v>44104</v>
      </c>
      <c r="I1905" s="8">
        <f>VLOOKUP(A1905,[1]!Table1[#All],33,FALSE)</f>
        <v>45929</v>
      </c>
      <c r="J1905" t="str">
        <f t="shared" ca="1" si="29"/>
        <v>Non UDO</v>
      </c>
    </row>
    <row r="1906" spans="1:10" x14ac:dyDescent="0.35">
      <c r="A1906" s="5" t="s">
        <v>60</v>
      </c>
      <c r="B1906" s="6">
        <v>44896</v>
      </c>
      <c r="C1906" s="7">
        <v>150000</v>
      </c>
      <c r="D1906" s="7">
        <v>61357.09</v>
      </c>
      <c r="E1906" s="7">
        <v>88642.91</v>
      </c>
      <c r="F1906" t="str">
        <f>VLOOKUP(A1906,[1]!Table1[#All],17,FALSE)</f>
        <v>UNITED STATES</v>
      </c>
      <c r="G1906" t="str">
        <f>VLOOKUP(A1906,[1]!Table1[#All],22,FALSE)</f>
        <v>ALBERT EINSTEIN COLLEGE OF MEDICINE</v>
      </c>
      <c r="H1906" s="8">
        <f>VLOOKUP(A1906,[1]!Table1[#All],32,FALSE)</f>
        <v>44104</v>
      </c>
      <c r="I1906" s="8">
        <f>VLOOKUP(A1906,[1]!Table1[#All],33,FALSE)</f>
        <v>45929</v>
      </c>
      <c r="J1906" t="str">
        <f t="shared" ca="1" si="29"/>
        <v>Non UDO</v>
      </c>
    </row>
    <row r="1907" spans="1:10" x14ac:dyDescent="0.35">
      <c r="A1907" s="9" t="s">
        <v>60</v>
      </c>
      <c r="B1907" s="10">
        <v>44927</v>
      </c>
      <c r="C1907" s="11">
        <v>150000</v>
      </c>
      <c r="D1907" s="11">
        <v>61711.35</v>
      </c>
      <c r="E1907" s="11">
        <v>88288.65</v>
      </c>
      <c r="F1907" t="str">
        <f>VLOOKUP(A1907,[1]!Table1[#All],17,FALSE)</f>
        <v>UNITED STATES</v>
      </c>
      <c r="G1907" t="str">
        <f>VLOOKUP(A1907,[1]!Table1[#All],22,FALSE)</f>
        <v>ALBERT EINSTEIN COLLEGE OF MEDICINE</v>
      </c>
      <c r="H1907" s="8">
        <f>VLOOKUP(A1907,[1]!Table1[#All],32,FALSE)</f>
        <v>44104</v>
      </c>
      <c r="I1907" s="8">
        <f>VLOOKUP(A1907,[1]!Table1[#All],33,FALSE)</f>
        <v>45929</v>
      </c>
      <c r="J1907" t="str">
        <f t="shared" ca="1" si="29"/>
        <v>Non UDO</v>
      </c>
    </row>
    <row r="1908" spans="1:10" x14ac:dyDescent="0.35">
      <c r="A1908" s="5" t="s">
        <v>60</v>
      </c>
      <c r="B1908" s="6">
        <v>44958</v>
      </c>
      <c r="C1908" s="7">
        <v>150000</v>
      </c>
      <c r="D1908" s="7">
        <v>66729.600000000006</v>
      </c>
      <c r="E1908" s="7">
        <v>83270.399999999994</v>
      </c>
      <c r="F1908" t="str">
        <f>VLOOKUP(A1908,[1]!Table1[#All],17,FALSE)</f>
        <v>UNITED STATES</v>
      </c>
      <c r="G1908" t="str">
        <f>VLOOKUP(A1908,[1]!Table1[#All],22,FALSE)</f>
        <v>ALBERT EINSTEIN COLLEGE OF MEDICINE</v>
      </c>
      <c r="H1908" s="8">
        <f>VLOOKUP(A1908,[1]!Table1[#All],32,FALSE)</f>
        <v>44104</v>
      </c>
      <c r="I1908" s="8">
        <f>VLOOKUP(A1908,[1]!Table1[#All],33,FALSE)</f>
        <v>45929</v>
      </c>
      <c r="J1908" t="str">
        <f t="shared" ca="1" si="29"/>
        <v>Non UDO</v>
      </c>
    </row>
    <row r="1909" spans="1:10" x14ac:dyDescent="0.35">
      <c r="A1909" s="9" t="s">
        <v>60</v>
      </c>
      <c r="B1909" s="10">
        <v>44986</v>
      </c>
      <c r="C1909" s="11">
        <v>150000</v>
      </c>
      <c r="D1909" s="11">
        <v>72071.39</v>
      </c>
      <c r="E1909" s="11">
        <v>77928.61</v>
      </c>
      <c r="F1909" t="str">
        <f>VLOOKUP(A1909,[1]!Table1[#All],17,FALSE)</f>
        <v>UNITED STATES</v>
      </c>
      <c r="G1909" t="str">
        <f>VLOOKUP(A1909,[1]!Table1[#All],22,FALSE)</f>
        <v>ALBERT EINSTEIN COLLEGE OF MEDICINE</v>
      </c>
      <c r="H1909" s="8">
        <f>VLOOKUP(A1909,[1]!Table1[#All],32,FALSE)</f>
        <v>44104</v>
      </c>
      <c r="I1909" s="8">
        <f>VLOOKUP(A1909,[1]!Table1[#All],33,FALSE)</f>
        <v>45929</v>
      </c>
      <c r="J1909" t="str">
        <f t="shared" ca="1" si="29"/>
        <v>Non UDO</v>
      </c>
    </row>
    <row r="1910" spans="1:10" x14ac:dyDescent="0.35">
      <c r="A1910" s="5" t="s">
        <v>60</v>
      </c>
      <c r="B1910" s="6">
        <v>45017</v>
      </c>
      <c r="C1910" s="7">
        <v>150000</v>
      </c>
      <c r="D1910" s="7">
        <v>74991.679999999993</v>
      </c>
      <c r="E1910" s="7">
        <v>75008.320000000007</v>
      </c>
      <c r="F1910" t="str">
        <f>VLOOKUP(A1910,[1]!Table1[#All],17,FALSE)</f>
        <v>UNITED STATES</v>
      </c>
      <c r="G1910" t="str">
        <f>VLOOKUP(A1910,[1]!Table1[#All],22,FALSE)</f>
        <v>ALBERT EINSTEIN COLLEGE OF MEDICINE</v>
      </c>
      <c r="H1910" s="8">
        <f>VLOOKUP(A1910,[1]!Table1[#All],32,FALSE)</f>
        <v>44104</v>
      </c>
      <c r="I1910" s="8">
        <f>VLOOKUP(A1910,[1]!Table1[#All],33,FALSE)</f>
        <v>45929</v>
      </c>
      <c r="J1910" t="str">
        <f t="shared" ca="1" si="29"/>
        <v>Non UDO</v>
      </c>
    </row>
    <row r="1911" spans="1:10" x14ac:dyDescent="0.35">
      <c r="A1911" s="9" t="s">
        <v>60</v>
      </c>
      <c r="B1911" s="10">
        <v>45047</v>
      </c>
      <c r="C1911" s="11">
        <v>150000</v>
      </c>
      <c r="D1911" s="11">
        <v>77391.77</v>
      </c>
      <c r="E1911" s="11">
        <v>72608.23</v>
      </c>
      <c r="F1911" t="str">
        <f>VLOOKUP(A1911,[1]!Table1[#All],17,FALSE)</f>
        <v>UNITED STATES</v>
      </c>
      <c r="G1911" t="str">
        <f>VLOOKUP(A1911,[1]!Table1[#All],22,FALSE)</f>
        <v>ALBERT EINSTEIN COLLEGE OF MEDICINE</v>
      </c>
      <c r="H1911" s="8">
        <f>VLOOKUP(A1911,[1]!Table1[#All],32,FALSE)</f>
        <v>44104</v>
      </c>
      <c r="I1911" s="8">
        <f>VLOOKUP(A1911,[1]!Table1[#All],33,FALSE)</f>
        <v>45929</v>
      </c>
      <c r="J1911" t="str">
        <f t="shared" ca="1" si="29"/>
        <v>Non UDO</v>
      </c>
    </row>
    <row r="1912" spans="1:10" x14ac:dyDescent="0.35">
      <c r="A1912" s="5" t="s">
        <v>60</v>
      </c>
      <c r="B1912" s="6">
        <v>45078</v>
      </c>
      <c r="C1912" s="7">
        <v>150000</v>
      </c>
      <c r="D1912" s="7">
        <v>114892.93</v>
      </c>
      <c r="E1912" s="7">
        <v>35107.07</v>
      </c>
      <c r="F1912" t="str">
        <f>VLOOKUP(A1912,[1]!Table1[#All],17,FALSE)</f>
        <v>UNITED STATES</v>
      </c>
      <c r="G1912" t="str">
        <f>VLOOKUP(A1912,[1]!Table1[#All],22,FALSE)</f>
        <v>ALBERT EINSTEIN COLLEGE OF MEDICINE</v>
      </c>
      <c r="H1912" s="8">
        <f>VLOOKUP(A1912,[1]!Table1[#All],32,FALSE)</f>
        <v>44104</v>
      </c>
      <c r="I1912" s="8">
        <f>VLOOKUP(A1912,[1]!Table1[#All],33,FALSE)</f>
        <v>45929</v>
      </c>
      <c r="J1912" t="str">
        <f t="shared" ca="1" si="29"/>
        <v>Non UDO</v>
      </c>
    </row>
    <row r="1913" spans="1:10" x14ac:dyDescent="0.35">
      <c r="A1913" s="9" t="s">
        <v>60</v>
      </c>
      <c r="B1913" s="10">
        <v>45108</v>
      </c>
      <c r="C1913" s="11">
        <v>150000</v>
      </c>
      <c r="D1913" s="11">
        <v>123900.72</v>
      </c>
      <c r="E1913" s="11">
        <v>26099.279999999999</v>
      </c>
      <c r="F1913" t="str">
        <f>VLOOKUP(A1913,[1]!Table1[#All],17,FALSE)</f>
        <v>UNITED STATES</v>
      </c>
      <c r="G1913" t="str">
        <f>VLOOKUP(A1913,[1]!Table1[#All],22,FALSE)</f>
        <v>ALBERT EINSTEIN COLLEGE OF MEDICINE</v>
      </c>
      <c r="H1913" s="8">
        <f>VLOOKUP(A1913,[1]!Table1[#All],32,FALSE)</f>
        <v>44104</v>
      </c>
      <c r="I1913" s="8">
        <f>VLOOKUP(A1913,[1]!Table1[#All],33,FALSE)</f>
        <v>45929</v>
      </c>
      <c r="J1913" t="str">
        <f t="shared" ca="1" si="29"/>
        <v>Non UDO</v>
      </c>
    </row>
    <row r="1914" spans="1:10" x14ac:dyDescent="0.35">
      <c r="A1914" s="5" t="s">
        <v>60</v>
      </c>
      <c r="B1914" s="6">
        <v>45139</v>
      </c>
      <c r="C1914" s="7">
        <v>150000</v>
      </c>
      <c r="D1914" s="7">
        <v>123900.72</v>
      </c>
      <c r="E1914" s="7">
        <v>26099.279999999999</v>
      </c>
      <c r="F1914" t="str">
        <f>VLOOKUP(A1914,[1]!Table1[#All],17,FALSE)</f>
        <v>UNITED STATES</v>
      </c>
      <c r="G1914" t="str">
        <f>VLOOKUP(A1914,[1]!Table1[#All],22,FALSE)</f>
        <v>ALBERT EINSTEIN COLLEGE OF MEDICINE</v>
      </c>
      <c r="H1914" s="8">
        <f>VLOOKUP(A1914,[1]!Table1[#All],32,FALSE)</f>
        <v>44104</v>
      </c>
      <c r="I1914" s="8">
        <f>VLOOKUP(A1914,[1]!Table1[#All],33,FALSE)</f>
        <v>45929</v>
      </c>
      <c r="J1914" t="str">
        <f t="shared" ca="1" si="29"/>
        <v>Non UDO</v>
      </c>
    </row>
    <row r="1915" spans="1:10" x14ac:dyDescent="0.35">
      <c r="A1915" s="9" t="s">
        <v>60</v>
      </c>
      <c r="B1915" s="10">
        <v>45170</v>
      </c>
      <c r="C1915" s="11">
        <v>150000</v>
      </c>
      <c r="D1915" s="11">
        <v>123943.56</v>
      </c>
      <c r="E1915" s="11">
        <v>26056.44</v>
      </c>
      <c r="F1915" t="str">
        <f>VLOOKUP(A1915,[1]!Table1[#All],17,FALSE)</f>
        <v>UNITED STATES</v>
      </c>
      <c r="G1915" t="str">
        <f>VLOOKUP(A1915,[1]!Table1[#All],22,FALSE)</f>
        <v>ALBERT EINSTEIN COLLEGE OF MEDICINE</v>
      </c>
      <c r="H1915" s="8">
        <f>VLOOKUP(A1915,[1]!Table1[#All],32,FALSE)</f>
        <v>44104</v>
      </c>
      <c r="I1915" s="8">
        <f>VLOOKUP(A1915,[1]!Table1[#All],33,FALSE)</f>
        <v>45929</v>
      </c>
      <c r="J1915" t="str">
        <f t="shared" ca="1" si="29"/>
        <v>Non UDO</v>
      </c>
    </row>
    <row r="1916" spans="1:10" x14ac:dyDescent="0.35">
      <c r="A1916" s="5" t="s">
        <v>61</v>
      </c>
      <c r="B1916" s="6">
        <v>44409</v>
      </c>
      <c r="C1916" s="7">
        <v>150000</v>
      </c>
      <c r="D1916" s="7">
        <v>0</v>
      </c>
      <c r="E1916" s="7">
        <v>150000</v>
      </c>
      <c r="F1916" t="str">
        <f>VLOOKUP(A1916,[1]!Table1[#All],17,FALSE)</f>
        <v>UNITED STATES</v>
      </c>
      <c r="G1916" t="str">
        <f>VLOOKUP(A1916,[1]!Table1[#All],22,FALSE)</f>
        <v>BOSTON MEDICAL CENTER</v>
      </c>
      <c r="H1916" s="8">
        <f>VLOOKUP(A1916,[1]!Table1[#All],32,FALSE)</f>
        <v>44104</v>
      </c>
      <c r="I1916" s="8">
        <f>VLOOKUP(A1916,[1]!Table1[#All],33,FALSE)</f>
        <v>45929</v>
      </c>
      <c r="J1916" t="str">
        <f t="shared" ca="1" si="29"/>
        <v>Non UDO</v>
      </c>
    </row>
    <row r="1917" spans="1:10" x14ac:dyDescent="0.35">
      <c r="A1917" s="9" t="s">
        <v>61</v>
      </c>
      <c r="B1917" s="10">
        <v>44440</v>
      </c>
      <c r="C1917" s="11">
        <v>150000</v>
      </c>
      <c r="D1917" s="11">
        <v>0</v>
      </c>
      <c r="E1917" s="11">
        <v>150000</v>
      </c>
      <c r="F1917" t="str">
        <f>VLOOKUP(A1917,[1]!Table1[#All],17,FALSE)</f>
        <v>UNITED STATES</v>
      </c>
      <c r="G1917" t="str">
        <f>VLOOKUP(A1917,[1]!Table1[#All],22,FALSE)</f>
        <v>BOSTON MEDICAL CENTER</v>
      </c>
      <c r="H1917" s="8">
        <f>VLOOKUP(A1917,[1]!Table1[#All],32,FALSE)</f>
        <v>44104</v>
      </c>
      <c r="I1917" s="8">
        <f>VLOOKUP(A1917,[1]!Table1[#All],33,FALSE)</f>
        <v>45929</v>
      </c>
      <c r="J1917" t="str">
        <f t="shared" ca="1" si="29"/>
        <v>Non UDO</v>
      </c>
    </row>
    <row r="1918" spans="1:10" x14ac:dyDescent="0.35">
      <c r="A1918" s="5" t="s">
        <v>61</v>
      </c>
      <c r="B1918" s="6">
        <v>44470</v>
      </c>
      <c r="C1918" s="7">
        <v>150000</v>
      </c>
      <c r="D1918" s="7">
        <v>0</v>
      </c>
      <c r="E1918" s="7">
        <v>150000</v>
      </c>
      <c r="F1918" t="str">
        <f>VLOOKUP(A1918,[1]!Table1[#All],17,FALSE)</f>
        <v>UNITED STATES</v>
      </c>
      <c r="G1918" t="str">
        <f>VLOOKUP(A1918,[1]!Table1[#All],22,FALSE)</f>
        <v>BOSTON MEDICAL CENTER</v>
      </c>
      <c r="H1918" s="8">
        <f>VLOOKUP(A1918,[1]!Table1[#All],32,FALSE)</f>
        <v>44104</v>
      </c>
      <c r="I1918" s="8">
        <f>VLOOKUP(A1918,[1]!Table1[#All],33,FALSE)</f>
        <v>45929</v>
      </c>
      <c r="J1918" t="str">
        <f t="shared" ca="1" si="29"/>
        <v>Non UDO</v>
      </c>
    </row>
    <row r="1919" spans="1:10" x14ac:dyDescent="0.35">
      <c r="A1919" s="9" t="s">
        <v>61</v>
      </c>
      <c r="B1919" s="10">
        <v>44501</v>
      </c>
      <c r="C1919" s="11">
        <v>150000</v>
      </c>
      <c r="D1919" s="11">
        <v>0</v>
      </c>
      <c r="E1919" s="11">
        <v>150000</v>
      </c>
      <c r="F1919" t="str">
        <f>VLOOKUP(A1919,[1]!Table1[#All],17,FALSE)</f>
        <v>UNITED STATES</v>
      </c>
      <c r="G1919" t="str">
        <f>VLOOKUP(A1919,[1]!Table1[#All],22,FALSE)</f>
        <v>BOSTON MEDICAL CENTER</v>
      </c>
      <c r="H1919" s="8">
        <f>VLOOKUP(A1919,[1]!Table1[#All],32,FALSE)</f>
        <v>44104</v>
      </c>
      <c r="I1919" s="8">
        <f>VLOOKUP(A1919,[1]!Table1[#All],33,FALSE)</f>
        <v>45929</v>
      </c>
      <c r="J1919" t="str">
        <f t="shared" ca="1" si="29"/>
        <v>Non UDO</v>
      </c>
    </row>
    <row r="1920" spans="1:10" x14ac:dyDescent="0.35">
      <c r="A1920" s="5" t="s">
        <v>61</v>
      </c>
      <c r="B1920" s="6">
        <v>44531</v>
      </c>
      <c r="C1920" s="7">
        <v>150000</v>
      </c>
      <c r="D1920" s="7">
        <v>0</v>
      </c>
      <c r="E1920" s="7">
        <v>150000</v>
      </c>
      <c r="F1920" t="str">
        <f>VLOOKUP(A1920,[1]!Table1[#All],17,FALSE)</f>
        <v>UNITED STATES</v>
      </c>
      <c r="G1920" t="str">
        <f>VLOOKUP(A1920,[1]!Table1[#All],22,FALSE)</f>
        <v>BOSTON MEDICAL CENTER</v>
      </c>
      <c r="H1920" s="8">
        <f>VLOOKUP(A1920,[1]!Table1[#All],32,FALSE)</f>
        <v>44104</v>
      </c>
      <c r="I1920" s="8">
        <f>VLOOKUP(A1920,[1]!Table1[#All],33,FALSE)</f>
        <v>45929</v>
      </c>
      <c r="J1920" t="str">
        <f t="shared" ca="1" si="29"/>
        <v>Non UDO</v>
      </c>
    </row>
    <row r="1921" spans="1:10" x14ac:dyDescent="0.35">
      <c r="A1921" s="9" t="s">
        <v>61</v>
      </c>
      <c r="B1921" s="10">
        <v>44562</v>
      </c>
      <c r="C1921" s="11">
        <v>150000</v>
      </c>
      <c r="D1921" s="11">
        <v>0</v>
      </c>
      <c r="E1921" s="11">
        <v>150000</v>
      </c>
      <c r="F1921" t="str">
        <f>VLOOKUP(A1921,[1]!Table1[#All],17,FALSE)</f>
        <v>UNITED STATES</v>
      </c>
      <c r="G1921" t="str">
        <f>VLOOKUP(A1921,[1]!Table1[#All],22,FALSE)</f>
        <v>BOSTON MEDICAL CENTER</v>
      </c>
      <c r="H1921" s="8">
        <f>VLOOKUP(A1921,[1]!Table1[#All],32,FALSE)</f>
        <v>44104</v>
      </c>
      <c r="I1921" s="8">
        <f>VLOOKUP(A1921,[1]!Table1[#All],33,FALSE)</f>
        <v>45929</v>
      </c>
      <c r="J1921" t="str">
        <f t="shared" ca="1" si="29"/>
        <v>Non UDO</v>
      </c>
    </row>
    <row r="1922" spans="1:10" x14ac:dyDescent="0.35">
      <c r="A1922" s="5" t="s">
        <v>61</v>
      </c>
      <c r="B1922" s="6">
        <v>44593</v>
      </c>
      <c r="C1922" s="7">
        <v>150000</v>
      </c>
      <c r="D1922" s="7">
        <v>6186.78</v>
      </c>
      <c r="E1922" s="7">
        <v>143813.22</v>
      </c>
      <c r="F1922" t="str">
        <f>VLOOKUP(A1922,[1]!Table1[#All],17,FALSE)</f>
        <v>UNITED STATES</v>
      </c>
      <c r="G1922" t="str">
        <f>VLOOKUP(A1922,[1]!Table1[#All],22,FALSE)</f>
        <v>BOSTON MEDICAL CENTER</v>
      </c>
      <c r="H1922" s="8">
        <f>VLOOKUP(A1922,[1]!Table1[#All],32,FALSE)</f>
        <v>44104</v>
      </c>
      <c r="I1922" s="8">
        <f>VLOOKUP(A1922,[1]!Table1[#All],33,FALSE)</f>
        <v>45929</v>
      </c>
      <c r="J1922" t="str">
        <f t="shared" ca="1" si="29"/>
        <v>Non UDO</v>
      </c>
    </row>
    <row r="1923" spans="1:10" x14ac:dyDescent="0.35">
      <c r="A1923" s="9" t="s">
        <v>61</v>
      </c>
      <c r="B1923" s="10">
        <v>44621</v>
      </c>
      <c r="C1923" s="11">
        <v>150000</v>
      </c>
      <c r="D1923" s="11">
        <v>10108.780000000001</v>
      </c>
      <c r="E1923" s="11">
        <v>139891.22</v>
      </c>
      <c r="F1923" t="str">
        <f>VLOOKUP(A1923,[1]!Table1[#All],17,FALSE)</f>
        <v>UNITED STATES</v>
      </c>
      <c r="G1923" t="str">
        <f>VLOOKUP(A1923,[1]!Table1[#All],22,FALSE)</f>
        <v>BOSTON MEDICAL CENTER</v>
      </c>
      <c r="H1923" s="8">
        <f>VLOOKUP(A1923,[1]!Table1[#All],32,FALSE)</f>
        <v>44104</v>
      </c>
      <c r="I1923" s="8">
        <f>VLOOKUP(A1923,[1]!Table1[#All],33,FALSE)</f>
        <v>45929</v>
      </c>
      <c r="J1923" t="str">
        <f t="shared" ref="J1923:J1986" ca="1" si="30">IF(AND( E1923&gt;0,TODAY()&gt;I1923),"UDO","Non UDO")</f>
        <v>Non UDO</v>
      </c>
    </row>
    <row r="1924" spans="1:10" x14ac:dyDescent="0.35">
      <c r="A1924" s="5" t="s">
        <v>61</v>
      </c>
      <c r="B1924" s="6">
        <v>44652</v>
      </c>
      <c r="C1924" s="7">
        <v>150000</v>
      </c>
      <c r="D1924" s="7">
        <v>14014.5</v>
      </c>
      <c r="E1924" s="7">
        <v>135985.5</v>
      </c>
      <c r="F1924" t="str">
        <f>VLOOKUP(A1924,[1]!Table1[#All],17,FALSE)</f>
        <v>UNITED STATES</v>
      </c>
      <c r="G1924" t="str">
        <f>VLOOKUP(A1924,[1]!Table1[#All],22,FALSE)</f>
        <v>BOSTON MEDICAL CENTER</v>
      </c>
      <c r="H1924" s="8">
        <f>VLOOKUP(A1924,[1]!Table1[#All],32,FALSE)</f>
        <v>44104</v>
      </c>
      <c r="I1924" s="8">
        <f>VLOOKUP(A1924,[1]!Table1[#All],33,FALSE)</f>
        <v>45929</v>
      </c>
      <c r="J1924" t="str">
        <f t="shared" ca="1" si="30"/>
        <v>Non UDO</v>
      </c>
    </row>
    <row r="1925" spans="1:10" x14ac:dyDescent="0.35">
      <c r="A1925" s="9" t="s">
        <v>61</v>
      </c>
      <c r="B1925" s="10">
        <v>44682</v>
      </c>
      <c r="C1925" s="11">
        <v>150000</v>
      </c>
      <c r="D1925" s="11">
        <v>29833.81</v>
      </c>
      <c r="E1925" s="11">
        <v>120166.19</v>
      </c>
      <c r="F1925" t="str">
        <f>VLOOKUP(A1925,[1]!Table1[#All],17,FALSE)</f>
        <v>UNITED STATES</v>
      </c>
      <c r="G1925" t="str">
        <f>VLOOKUP(A1925,[1]!Table1[#All],22,FALSE)</f>
        <v>BOSTON MEDICAL CENTER</v>
      </c>
      <c r="H1925" s="8">
        <f>VLOOKUP(A1925,[1]!Table1[#All],32,FALSE)</f>
        <v>44104</v>
      </c>
      <c r="I1925" s="8">
        <f>VLOOKUP(A1925,[1]!Table1[#All],33,FALSE)</f>
        <v>45929</v>
      </c>
      <c r="J1925" t="str">
        <f t="shared" ca="1" si="30"/>
        <v>Non UDO</v>
      </c>
    </row>
    <row r="1926" spans="1:10" x14ac:dyDescent="0.35">
      <c r="A1926" s="5" t="s">
        <v>61</v>
      </c>
      <c r="B1926" s="6">
        <v>44713</v>
      </c>
      <c r="C1926" s="7">
        <v>150000</v>
      </c>
      <c r="D1926" s="7">
        <v>47032.6</v>
      </c>
      <c r="E1926" s="7">
        <v>102967.4</v>
      </c>
      <c r="F1926" t="str">
        <f>VLOOKUP(A1926,[1]!Table1[#All],17,FALSE)</f>
        <v>UNITED STATES</v>
      </c>
      <c r="G1926" t="str">
        <f>VLOOKUP(A1926,[1]!Table1[#All],22,FALSE)</f>
        <v>BOSTON MEDICAL CENTER</v>
      </c>
      <c r="H1926" s="8">
        <f>VLOOKUP(A1926,[1]!Table1[#All],32,FALSE)</f>
        <v>44104</v>
      </c>
      <c r="I1926" s="8">
        <f>VLOOKUP(A1926,[1]!Table1[#All],33,FALSE)</f>
        <v>45929</v>
      </c>
      <c r="J1926" t="str">
        <f t="shared" ca="1" si="30"/>
        <v>Non UDO</v>
      </c>
    </row>
    <row r="1927" spans="1:10" x14ac:dyDescent="0.35">
      <c r="A1927" s="9" t="s">
        <v>61</v>
      </c>
      <c r="B1927" s="10">
        <v>44743</v>
      </c>
      <c r="C1927" s="11">
        <v>150000</v>
      </c>
      <c r="D1927" s="11">
        <v>52419.64</v>
      </c>
      <c r="E1927" s="11">
        <v>97580.36</v>
      </c>
      <c r="F1927" t="str">
        <f>VLOOKUP(A1927,[1]!Table1[#All],17,FALSE)</f>
        <v>UNITED STATES</v>
      </c>
      <c r="G1927" t="str">
        <f>VLOOKUP(A1927,[1]!Table1[#All],22,FALSE)</f>
        <v>BOSTON MEDICAL CENTER</v>
      </c>
      <c r="H1927" s="8">
        <f>VLOOKUP(A1927,[1]!Table1[#All],32,FALSE)</f>
        <v>44104</v>
      </c>
      <c r="I1927" s="8">
        <f>VLOOKUP(A1927,[1]!Table1[#All],33,FALSE)</f>
        <v>45929</v>
      </c>
      <c r="J1927" t="str">
        <f t="shared" ca="1" si="30"/>
        <v>Non UDO</v>
      </c>
    </row>
    <row r="1928" spans="1:10" x14ac:dyDescent="0.35">
      <c r="A1928" s="5" t="s">
        <v>61</v>
      </c>
      <c r="B1928" s="6">
        <v>44774</v>
      </c>
      <c r="C1928" s="7">
        <v>150000</v>
      </c>
      <c r="D1928" s="7">
        <v>72101.11</v>
      </c>
      <c r="E1928" s="7">
        <v>77898.89</v>
      </c>
      <c r="F1928" t="str">
        <f>VLOOKUP(A1928,[1]!Table1[#All],17,FALSE)</f>
        <v>UNITED STATES</v>
      </c>
      <c r="G1928" t="str">
        <f>VLOOKUP(A1928,[1]!Table1[#All],22,FALSE)</f>
        <v>BOSTON MEDICAL CENTER</v>
      </c>
      <c r="H1928" s="8">
        <f>VLOOKUP(A1928,[1]!Table1[#All],32,FALSE)</f>
        <v>44104</v>
      </c>
      <c r="I1928" s="8">
        <f>VLOOKUP(A1928,[1]!Table1[#All],33,FALSE)</f>
        <v>45929</v>
      </c>
      <c r="J1928" t="str">
        <f t="shared" ca="1" si="30"/>
        <v>Non UDO</v>
      </c>
    </row>
    <row r="1929" spans="1:10" x14ac:dyDescent="0.35">
      <c r="A1929" s="9" t="s">
        <v>61</v>
      </c>
      <c r="B1929" s="10">
        <v>44805</v>
      </c>
      <c r="C1929" s="11">
        <v>150000</v>
      </c>
      <c r="D1929" s="11">
        <v>72101.11</v>
      </c>
      <c r="E1929" s="11">
        <v>77898.89</v>
      </c>
      <c r="F1929" t="str">
        <f>VLOOKUP(A1929,[1]!Table1[#All],17,FALSE)</f>
        <v>UNITED STATES</v>
      </c>
      <c r="G1929" t="str">
        <f>VLOOKUP(A1929,[1]!Table1[#All],22,FALSE)</f>
        <v>BOSTON MEDICAL CENTER</v>
      </c>
      <c r="H1929" s="8">
        <f>VLOOKUP(A1929,[1]!Table1[#All],32,FALSE)</f>
        <v>44104</v>
      </c>
      <c r="I1929" s="8">
        <f>VLOOKUP(A1929,[1]!Table1[#All],33,FALSE)</f>
        <v>45929</v>
      </c>
      <c r="J1929" t="str">
        <f t="shared" ca="1" si="30"/>
        <v>Non UDO</v>
      </c>
    </row>
    <row r="1930" spans="1:10" x14ac:dyDescent="0.35">
      <c r="A1930" s="5" t="s">
        <v>61</v>
      </c>
      <c r="B1930" s="6">
        <v>44835</v>
      </c>
      <c r="C1930" s="7">
        <v>150000</v>
      </c>
      <c r="D1930" s="7">
        <v>86150.94</v>
      </c>
      <c r="E1930" s="7">
        <v>63849.06</v>
      </c>
      <c r="F1930" t="str">
        <f>VLOOKUP(A1930,[1]!Table1[#All],17,FALSE)</f>
        <v>UNITED STATES</v>
      </c>
      <c r="G1930" t="str">
        <f>VLOOKUP(A1930,[1]!Table1[#All],22,FALSE)</f>
        <v>BOSTON MEDICAL CENTER</v>
      </c>
      <c r="H1930" s="8">
        <f>VLOOKUP(A1930,[1]!Table1[#All],32,FALSE)</f>
        <v>44104</v>
      </c>
      <c r="I1930" s="8">
        <f>VLOOKUP(A1930,[1]!Table1[#All],33,FALSE)</f>
        <v>45929</v>
      </c>
      <c r="J1930" t="str">
        <f t="shared" ca="1" si="30"/>
        <v>Non UDO</v>
      </c>
    </row>
    <row r="1931" spans="1:10" x14ac:dyDescent="0.35">
      <c r="A1931" s="9" t="s">
        <v>61</v>
      </c>
      <c r="B1931" s="10">
        <v>44866</v>
      </c>
      <c r="C1931" s="11">
        <v>150000</v>
      </c>
      <c r="D1931" s="11">
        <v>92085.4</v>
      </c>
      <c r="E1931" s="11">
        <v>57914.6</v>
      </c>
      <c r="F1931" t="str">
        <f>VLOOKUP(A1931,[1]!Table1[#All],17,FALSE)</f>
        <v>UNITED STATES</v>
      </c>
      <c r="G1931" t="str">
        <f>VLOOKUP(A1931,[1]!Table1[#All],22,FALSE)</f>
        <v>BOSTON MEDICAL CENTER</v>
      </c>
      <c r="H1931" s="8">
        <f>VLOOKUP(A1931,[1]!Table1[#All],32,FALSE)</f>
        <v>44104</v>
      </c>
      <c r="I1931" s="8">
        <f>VLOOKUP(A1931,[1]!Table1[#All],33,FALSE)</f>
        <v>45929</v>
      </c>
      <c r="J1931" t="str">
        <f t="shared" ca="1" si="30"/>
        <v>Non UDO</v>
      </c>
    </row>
    <row r="1932" spans="1:10" x14ac:dyDescent="0.35">
      <c r="A1932" s="5" t="s">
        <v>61</v>
      </c>
      <c r="B1932" s="6">
        <v>44896</v>
      </c>
      <c r="C1932" s="7">
        <v>150000</v>
      </c>
      <c r="D1932" s="7">
        <v>95274.240000000005</v>
      </c>
      <c r="E1932" s="7">
        <v>54725.760000000002</v>
      </c>
      <c r="F1932" t="str">
        <f>VLOOKUP(A1932,[1]!Table1[#All],17,FALSE)</f>
        <v>UNITED STATES</v>
      </c>
      <c r="G1932" t="str">
        <f>VLOOKUP(A1932,[1]!Table1[#All],22,FALSE)</f>
        <v>BOSTON MEDICAL CENTER</v>
      </c>
      <c r="H1932" s="8">
        <f>VLOOKUP(A1932,[1]!Table1[#All],32,FALSE)</f>
        <v>44104</v>
      </c>
      <c r="I1932" s="8">
        <f>VLOOKUP(A1932,[1]!Table1[#All],33,FALSE)</f>
        <v>45929</v>
      </c>
      <c r="J1932" t="str">
        <f t="shared" ca="1" si="30"/>
        <v>Non UDO</v>
      </c>
    </row>
    <row r="1933" spans="1:10" x14ac:dyDescent="0.35">
      <c r="A1933" s="9" t="s">
        <v>61</v>
      </c>
      <c r="B1933" s="10">
        <v>44927</v>
      </c>
      <c r="C1933" s="11">
        <v>150000</v>
      </c>
      <c r="D1933" s="11">
        <v>101674.25</v>
      </c>
      <c r="E1933" s="11">
        <v>48325.75</v>
      </c>
      <c r="F1933" t="str">
        <f>VLOOKUP(A1933,[1]!Table1[#All],17,FALSE)</f>
        <v>UNITED STATES</v>
      </c>
      <c r="G1933" t="str">
        <f>VLOOKUP(A1933,[1]!Table1[#All],22,FALSE)</f>
        <v>BOSTON MEDICAL CENTER</v>
      </c>
      <c r="H1933" s="8">
        <f>VLOOKUP(A1933,[1]!Table1[#All],32,FALSE)</f>
        <v>44104</v>
      </c>
      <c r="I1933" s="8">
        <f>VLOOKUP(A1933,[1]!Table1[#All],33,FALSE)</f>
        <v>45929</v>
      </c>
      <c r="J1933" t="str">
        <f t="shared" ca="1" si="30"/>
        <v>Non UDO</v>
      </c>
    </row>
    <row r="1934" spans="1:10" x14ac:dyDescent="0.35">
      <c r="A1934" s="5" t="s">
        <v>61</v>
      </c>
      <c r="B1934" s="6">
        <v>44958</v>
      </c>
      <c r="C1934" s="7">
        <v>150000</v>
      </c>
      <c r="D1934" s="7">
        <v>108218.45</v>
      </c>
      <c r="E1934" s="7">
        <v>41781.550000000003</v>
      </c>
      <c r="F1934" t="str">
        <f>VLOOKUP(A1934,[1]!Table1[#All],17,FALSE)</f>
        <v>UNITED STATES</v>
      </c>
      <c r="G1934" t="str">
        <f>VLOOKUP(A1934,[1]!Table1[#All],22,FALSE)</f>
        <v>BOSTON MEDICAL CENTER</v>
      </c>
      <c r="H1934" s="8">
        <f>VLOOKUP(A1934,[1]!Table1[#All],32,FALSE)</f>
        <v>44104</v>
      </c>
      <c r="I1934" s="8">
        <f>VLOOKUP(A1934,[1]!Table1[#All],33,FALSE)</f>
        <v>45929</v>
      </c>
      <c r="J1934" t="str">
        <f t="shared" ca="1" si="30"/>
        <v>Non UDO</v>
      </c>
    </row>
    <row r="1935" spans="1:10" x14ac:dyDescent="0.35">
      <c r="A1935" s="9" t="s">
        <v>61</v>
      </c>
      <c r="B1935" s="10">
        <v>44986</v>
      </c>
      <c r="C1935" s="11">
        <v>150000</v>
      </c>
      <c r="D1935" s="11">
        <v>113937.98</v>
      </c>
      <c r="E1935" s="11">
        <v>36062.019999999997</v>
      </c>
      <c r="F1935" t="str">
        <f>VLOOKUP(A1935,[1]!Table1[#All],17,FALSE)</f>
        <v>UNITED STATES</v>
      </c>
      <c r="G1935" t="str">
        <f>VLOOKUP(A1935,[1]!Table1[#All],22,FALSE)</f>
        <v>BOSTON MEDICAL CENTER</v>
      </c>
      <c r="H1935" s="8">
        <f>VLOOKUP(A1935,[1]!Table1[#All],32,FALSE)</f>
        <v>44104</v>
      </c>
      <c r="I1935" s="8">
        <f>VLOOKUP(A1935,[1]!Table1[#All],33,FALSE)</f>
        <v>45929</v>
      </c>
      <c r="J1935" t="str">
        <f t="shared" ca="1" si="30"/>
        <v>Non UDO</v>
      </c>
    </row>
    <row r="1936" spans="1:10" x14ac:dyDescent="0.35">
      <c r="A1936" s="5" t="s">
        <v>61</v>
      </c>
      <c r="B1936" s="6">
        <v>45017</v>
      </c>
      <c r="C1936" s="7">
        <v>150000</v>
      </c>
      <c r="D1936" s="7">
        <v>150000</v>
      </c>
      <c r="E1936" s="7">
        <v>0</v>
      </c>
      <c r="F1936" t="str">
        <f>VLOOKUP(A1936,[1]!Table1[#All],17,FALSE)</f>
        <v>UNITED STATES</v>
      </c>
      <c r="G1936" t="str">
        <f>VLOOKUP(A1936,[1]!Table1[#All],22,FALSE)</f>
        <v>BOSTON MEDICAL CENTER</v>
      </c>
      <c r="H1936" s="8">
        <f>VLOOKUP(A1936,[1]!Table1[#All],32,FALSE)</f>
        <v>44104</v>
      </c>
      <c r="I1936" s="8">
        <f>VLOOKUP(A1936,[1]!Table1[#All],33,FALSE)</f>
        <v>45929</v>
      </c>
      <c r="J1936" t="str">
        <f t="shared" ca="1" si="30"/>
        <v>Non UDO</v>
      </c>
    </row>
    <row r="1937" spans="1:10" x14ac:dyDescent="0.35">
      <c r="A1937" s="9" t="s">
        <v>61</v>
      </c>
      <c r="B1937" s="10">
        <v>45047</v>
      </c>
      <c r="C1937" s="11">
        <v>150000</v>
      </c>
      <c r="D1937" s="11">
        <v>150000</v>
      </c>
      <c r="E1937" s="11">
        <v>0</v>
      </c>
      <c r="F1937" t="str">
        <f>VLOOKUP(A1937,[1]!Table1[#All],17,FALSE)</f>
        <v>UNITED STATES</v>
      </c>
      <c r="G1937" t="str">
        <f>VLOOKUP(A1937,[1]!Table1[#All],22,FALSE)</f>
        <v>BOSTON MEDICAL CENTER</v>
      </c>
      <c r="H1937" s="8">
        <f>VLOOKUP(A1937,[1]!Table1[#All],32,FALSE)</f>
        <v>44104</v>
      </c>
      <c r="I1937" s="8">
        <f>VLOOKUP(A1937,[1]!Table1[#All],33,FALSE)</f>
        <v>45929</v>
      </c>
      <c r="J1937" t="str">
        <f t="shared" ca="1" si="30"/>
        <v>Non UDO</v>
      </c>
    </row>
    <row r="1938" spans="1:10" x14ac:dyDescent="0.35">
      <c r="A1938" s="5" t="s">
        <v>61</v>
      </c>
      <c r="B1938" s="6">
        <v>45078</v>
      </c>
      <c r="C1938" s="7">
        <v>150000</v>
      </c>
      <c r="D1938" s="7">
        <v>150000</v>
      </c>
      <c r="E1938" s="7">
        <v>0</v>
      </c>
      <c r="F1938" t="str">
        <f>VLOOKUP(A1938,[1]!Table1[#All],17,FALSE)</f>
        <v>UNITED STATES</v>
      </c>
      <c r="G1938" t="str">
        <f>VLOOKUP(A1938,[1]!Table1[#All],22,FALSE)</f>
        <v>BOSTON MEDICAL CENTER</v>
      </c>
      <c r="H1938" s="8">
        <f>VLOOKUP(A1938,[1]!Table1[#All],32,FALSE)</f>
        <v>44104</v>
      </c>
      <c r="I1938" s="8">
        <f>VLOOKUP(A1938,[1]!Table1[#All],33,FALSE)</f>
        <v>45929</v>
      </c>
      <c r="J1938" t="str">
        <f t="shared" ca="1" si="30"/>
        <v>Non UDO</v>
      </c>
    </row>
    <row r="1939" spans="1:10" x14ac:dyDescent="0.35">
      <c r="A1939" s="9" t="s">
        <v>61</v>
      </c>
      <c r="B1939" s="10">
        <v>45108</v>
      </c>
      <c r="C1939" s="11">
        <v>150000</v>
      </c>
      <c r="D1939" s="11">
        <v>150000</v>
      </c>
      <c r="E1939" s="11">
        <v>0</v>
      </c>
      <c r="F1939" t="str">
        <f>VLOOKUP(A1939,[1]!Table1[#All],17,FALSE)</f>
        <v>UNITED STATES</v>
      </c>
      <c r="G1939" t="str">
        <f>VLOOKUP(A1939,[1]!Table1[#All],22,FALSE)</f>
        <v>BOSTON MEDICAL CENTER</v>
      </c>
      <c r="H1939" s="8">
        <f>VLOOKUP(A1939,[1]!Table1[#All],32,FALSE)</f>
        <v>44104</v>
      </c>
      <c r="I1939" s="8">
        <f>VLOOKUP(A1939,[1]!Table1[#All],33,FALSE)</f>
        <v>45929</v>
      </c>
      <c r="J1939" t="str">
        <f t="shared" ca="1" si="30"/>
        <v>Non UDO</v>
      </c>
    </row>
    <row r="1940" spans="1:10" x14ac:dyDescent="0.35">
      <c r="A1940" s="5" t="s">
        <v>61</v>
      </c>
      <c r="B1940" s="6">
        <v>45139</v>
      </c>
      <c r="C1940" s="7">
        <v>150000</v>
      </c>
      <c r="D1940" s="7">
        <v>150000</v>
      </c>
      <c r="E1940" s="7">
        <v>0</v>
      </c>
      <c r="F1940" t="str">
        <f>VLOOKUP(A1940,[1]!Table1[#All],17,FALSE)</f>
        <v>UNITED STATES</v>
      </c>
      <c r="G1940" t="str">
        <f>VLOOKUP(A1940,[1]!Table1[#All],22,FALSE)</f>
        <v>BOSTON MEDICAL CENTER</v>
      </c>
      <c r="H1940" s="8">
        <f>VLOOKUP(A1940,[1]!Table1[#All],32,FALSE)</f>
        <v>44104</v>
      </c>
      <c r="I1940" s="8">
        <f>VLOOKUP(A1940,[1]!Table1[#All],33,FALSE)</f>
        <v>45929</v>
      </c>
      <c r="J1940" t="str">
        <f t="shared" ca="1" si="30"/>
        <v>Non UDO</v>
      </c>
    </row>
    <row r="1941" spans="1:10" x14ac:dyDescent="0.35">
      <c r="A1941" s="9" t="s">
        <v>61</v>
      </c>
      <c r="B1941" s="10">
        <v>45170</v>
      </c>
      <c r="C1941" s="11">
        <v>150000</v>
      </c>
      <c r="D1941" s="11">
        <v>150000</v>
      </c>
      <c r="E1941" s="11">
        <v>0</v>
      </c>
      <c r="F1941" t="str">
        <f>VLOOKUP(A1941,[1]!Table1[#All],17,FALSE)</f>
        <v>UNITED STATES</v>
      </c>
      <c r="G1941" t="str">
        <f>VLOOKUP(A1941,[1]!Table1[#All],22,FALSE)</f>
        <v>BOSTON MEDICAL CENTER</v>
      </c>
      <c r="H1941" s="8">
        <f>VLOOKUP(A1941,[1]!Table1[#All],32,FALSE)</f>
        <v>44104</v>
      </c>
      <c r="I1941" s="8">
        <f>VLOOKUP(A1941,[1]!Table1[#All],33,FALSE)</f>
        <v>45929</v>
      </c>
      <c r="J1941" t="str">
        <f t="shared" ca="1" si="30"/>
        <v>Non UDO</v>
      </c>
    </row>
    <row r="1942" spans="1:10" x14ac:dyDescent="0.35">
      <c r="A1942" s="5" t="s">
        <v>62</v>
      </c>
      <c r="B1942" s="6">
        <v>44440</v>
      </c>
      <c r="C1942" s="7">
        <v>7858887</v>
      </c>
      <c r="D1942" s="7">
        <v>0</v>
      </c>
      <c r="E1942" s="7">
        <v>7858887</v>
      </c>
      <c r="F1942" t="str">
        <f>VLOOKUP(A1942,[1]!Table1[#All],17,FALSE)</f>
        <v>KENYA</v>
      </c>
      <c r="G1942" t="str">
        <f>VLOOKUP(A1942,[1]!Table1[#All],22,FALSE)</f>
        <v>Liverpool VCT &amp; Care Kenya</v>
      </c>
      <c r="H1942" s="8">
        <f>VLOOKUP(A1942,[1]!Table1[#All],32,FALSE)</f>
        <v>44469</v>
      </c>
      <c r="I1942" s="8">
        <f>VLOOKUP(A1942,[1]!Table1[#All],33,FALSE)</f>
        <v>46294</v>
      </c>
      <c r="J1942" t="str">
        <f t="shared" ca="1" si="30"/>
        <v>Non UDO</v>
      </c>
    </row>
    <row r="1943" spans="1:10" x14ac:dyDescent="0.35">
      <c r="A1943" s="9" t="s">
        <v>62</v>
      </c>
      <c r="B1943" s="10">
        <v>44470</v>
      </c>
      <c r="C1943" s="11">
        <v>7858887</v>
      </c>
      <c r="D1943" s="11">
        <v>919229</v>
      </c>
      <c r="E1943" s="11">
        <v>6939658</v>
      </c>
      <c r="F1943" t="str">
        <f>VLOOKUP(A1943,[1]!Table1[#All],17,FALSE)</f>
        <v>KENYA</v>
      </c>
      <c r="G1943" t="str">
        <f>VLOOKUP(A1943,[1]!Table1[#All],22,FALSE)</f>
        <v>Liverpool VCT &amp; Care Kenya</v>
      </c>
      <c r="H1943" s="8">
        <f>VLOOKUP(A1943,[1]!Table1[#All],32,FALSE)</f>
        <v>44469</v>
      </c>
      <c r="I1943" s="8">
        <f>VLOOKUP(A1943,[1]!Table1[#All],33,FALSE)</f>
        <v>46294</v>
      </c>
      <c r="J1943" t="str">
        <f t="shared" ca="1" si="30"/>
        <v>Non UDO</v>
      </c>
    </row>
    <row r="1944" spans="1:10" x14ac:dyDescent="0.35">
      <c r="A1944" s="5" t="s">
        <v>62</v>
      </c>
      <c r="B1944" s="6">
        <v>44501</v>
      </c>
      <c r="C1944" s="7">
        <v>7858887</v>
      </c>
      <c r="D1944" s="7">
        <v>1506583</v>
      </c>
      <c r="E1944" s="7">
        <v>6352304</v>
      </c>
      <c r="F1944" t="str">
        <f>VLOOKUP(A1944,[1]!Table1[#All],17,FALSE)</f>
        <v>KENYA</v>
      </c>
      <c r="G1944" t="str">
        <f>VLOOKUP(A1944,[1]!Table1[#All],22,FALSE)</f>
        <v>Liverpool VCT &amp; Care Kenya</v>
      </c>
      <c r="H1944" s="8">
        <f>VLOOKUP(A1944,[1]!Table1[#All],32,FALSE)</f>
        <v>44469</v>
      </c>
      <c r="I1944" s="8">
        <f>VLOOKUP(A1944,[1]!Table1[#All],33,FALSE)</f>
        <v>46294</v>
      </c>
      <c r="J1944" t="str">
        <f t="shared" ca="1" si="30"/>
        <v>Non UDO</v>
      </c>
    </row>
    <row r="1945" spans="1:10" x14ac:dyDescent="0.35">
      <c r="A1945" s="9" t="s">
        <v>62</v>
      </c>
      <c r="B1945" s="10">
        <v>44531</v>
      </c>
      <c r="C1945" s="11">
        <v>7858887</v>
      </c>
      <c r="D1945" s="11">
        <v>2159622</v>
      </c>
      <c r="E1945" s="11">
        <v>5699265</v>
      </c>
      <c r="F1945" t="str">
        <f>VLOOKUP(A1945,[1]!Table1[#All],17,FALSE)</f>
        <v>KENYA</v>
      </c>
      <c r="G1945" t="str">
        <f>VLOOKUP(A1945,[1]!Table1[#All],22,FALSE)</f>
        <v>Liverpool VCT &amp; Care Kenya</v>
      </c>
      <c r="H1945" s="8">
        <f>VLOOKUP(A1945,[1]!Table1[#All],32,FALSE)</f>
        <v>44469</v>
      </c>
      <c r="I1945" s="8">
        <f>VLOOKUP(A1945,[1]!Table1[#All],33,FALSE)</f>
        <v>46294</v>
      </c>
      <c r="J1945" t="str">
        <f t="shared" ca="1" si="30"/>
        <v>Non UDO</v>
      </c>
    </row>
    <row r="1946" spans="1:10" x14ac:dyDescent="0.35">
      <c r="A1946" s="5" t="s">
        <v>62</v>
      </c>
      <c r="B1946" s="6">
        <v>44562</v>
      </c>
      <c r="C1946" s="7">
        <v>7858887</v>
      </c>
      <c r="D1946" s="7">
        <v>3926561</v>
      </c>
      <c r="E1946" s="7">
        <v>3932326</v>
      </c>
      <c r="F1946" t="str">
        <f>VLOOKUP(A1946,[1]!Table1[#All],17,FALSE)</f>
        <v>KENYA</v>
      </c>
      <c r="G1946" t="str">
        <f>VLOOKUP(A1946,[1]!Table1[#All],22,FALSE)</f>
        <v>Liverpool VCT &amp; Care Kenya</v>
      </c>
      <c r="H1946" s="8">
        <f>VLOOKUP(A1946,[1]!Table1[#All],32,FALSE)</f>
        <v>44469</v>
      </c>
      <c r="I1946" s="8">
        <f>VLOOKUP(A1946,[1]!Table1[#All],33,FALSE)</f>
        <v>46294</v>
      </c>
      <c r="J1946" t="str">
        <f t="shared" ca="1" si="30"/>
        <v>Non UDO</v>
      </c>
    </row>
    <row r="1947" spans="1:10" x14ac:dyDescent="0.35">
      <c r="A1947" s="9" t="s">
        <v>62</v>
      </c>
      <c r="B1947" s="10">
        <v>44593</v>
      </c>
      <c r="C1947" s="11">
        <v>7858887</v>
      </c>
      <c r="D1947" s="11">
        <v>4832128</v>
      </c>
      <c r="E1947" s="11">
        <v>3026759</v>
      </c>
      <c r="F1947" t="str">
        <f>VLOOKUP(A1947,[1]!Table1[#All],17,FALSE)</f>
        <v>KENYA</v>
      </c>
      <c r="G1947" t="str">
        <f>VLOOKUP(A1947,[1]!Table1[#All],22,FALSE)</f>
        <v>Liverpool VCT &amp; Care Kenya</v>
      </c>
      <c r="H1947" s="8">
        <f>VLOOKUP(A1947,[1]!Table1[#All],32,FALSE)</f>
        <v>44469</v>
      </c>
      <c r="I1947" s="8">
        <f>VLOOKUP(A1947,[1]!Table1[#All],33,FALSE)</f>
        <v>46294</v>
      </c>
      <c r="J1947" t="str">
        <f t="shared" ca="1" si="30"/>
        <v>Non UDO</v>
      </c>
    </row>
    <row r="1948" spans="1:10" x14ac:dyDescent="0.35">
      <c r="A1948" s="5" t="s">
        <v>62</v>
      </c>
      <c r="B1948" s="6">
        <v>44621</v>
      </c>
      <c r="C1948" s="7">
        <v>7858887</v>
      </c>
      <c r="D1948" s="7">
        <v>6209252</v>
      </c>
      <c r="E1948" s="7">
        <v>1649635</v>
      </c>
      <c r="F1948" t="str">
        <f>VLOOKUP(A1948,[1]!Table1[#All],17,FALSE)</f>
        <v>KENYA</v>
      </c>
      <c r="G1948" t="str">
        <f>VLOOKUP(A1948,[1]!Table1[#All],22,FALSE)</f>
        <v>Liverpool VCT &amp; Care Kenya</v>
      </c>
      <c r="H1948" s="8">
        <f>VLOOKUP(A1948,[1]!Table1[#All],32,FALSE)</f>
        <v>44469</v>
      </c>
      <c r="I1948" s="8">
        <f>VLOOKUP(A1948,[1]!Table1[#All],33,FALSE)</f>
        <v>46294</v>
      </c>
      <c r="J1948" t="str">
        <f t="shared" ca="1" si="30"/>
        <v>Non UDO</v>
      </c>
    </row>
    <row r="1949" spans="1:10" x14ac:dyDescent="0.35">
      <c r="A1949" s="9" t="s">
        <v>62</v>
      </c>
      <c r="B1949" s="10">
        <v>44652</v>
      </c>
      <c r="C1949" s="11">
        <v>7858887</v>
      </c>
      <c r="D1949" s="11">
        <v>7728016</v>
      </c>
      <c r="E1949" s="11">
        <v>130871</v>
      </c>
      <c r="F1949" t="str">
        <f>VLOOKUP(A1949,[1]!Table1[#All],17,FALSE)</f>
        <v>KENYA</v>
      </c>
      <c r="G1949" t="str">
        <f>VLOOKUP(A1949,[1]!Table1[#All],22,FALSE)</f>
        <v>Liverpool VCT &amp; Care Kenya</v>
      </c>
      <c r="H1949" s="8">
        <f>VLOOKUP(A1949,[1]!Table1[#All],32,FALSE)</f>
        <v>44469</v>
      </c>
      <c r="I1949" s="8">
        <f>VLOOKUP(A1949,[1]!Table1[#All],33,FALSE)</f>
        <v>46294</v>
      </c>
      <c r="J1949" t="str">
        <f t="shared" ca="1" si="30"/>
        <v>Non UDO</v>
      </c>
    </row>
    <row r="1950" spans="1:10" x14ac:dyDescent="0.35">
      <c r="A1950" s="5" t="s">
        <v>62</v>
      </c>
      <c r="B1950" s="6">
        <v>44682</v>
      </c>
      <c r="C1950" s="7">
        <v>7858887</v>
      </c>
      <c r="D1950" s="7">
        <v>7756349</v>
      </c>
      <c r="E1950" s="7">
        <v>102538</v>
      </c>
      <c r="F1950" t="str">
        <f>VLOOKUP(A1950,[1]!Table1[#All],17,FALSE)</f>
        <v>KENYA</v>
      </c>
      <c r="G1950" t="str">
        <f>VLOOKUP(A1950,[1]!Table1[#All],22,FALSE)</f>
        <v>Liverpool VCT &amp; Care Kenya</v>
      </c>
      <c r="H1950" s="8">
        <f>VLOOKUP(A1950,[1]!Table1[#All],32,FALSE)</f>
        <v>44469</v>
      </c>
      <c r="I1950" s="8">
        <f>VLOOKUP(A1950,[1]!Table1[#All],33,FALSE)</f>
        <v>46294</v>
      </c>
      <c r="J1950" t="str">
        <f t="shared" ca="1" si="30"/>
        <v>Non UDO</v>
      </c>
    </row>
    <row r="1951" spans="1:10" x14ac:dyDescent="0.35">
      <c r="A1951" s="9" t="s">
        <v>62</v>
      </c>
      <c r="B1951" s="10">
        <v>44713</v>
      </c>
      <c r="C1951" s="11">
        <v>7858887</v>
      </c>
      <c r="D1951" s="11">
        <v>7786914</v>
      </c>
      <c r="E1951" s="11">
        <v>71973</v>
      </c>
      <c r="F1951" t="str">
        <f>VLOOKUP(A1951,[1]!Table1[#All],17,FALSE)</f>
        <v>KENYA</v>
      </c>
      <c r="G1951" t="str">
        <f>VLOOKUP(A1951,[1]!Table1[#All],22,FALSE)</f>
        <v>Liverpool VCT &amp; Care Kenya</v>
      </c>
      <c r="H1951" s="8">
        <f>VLOOKUP(A1951,[1]!Table1[#All],32,FALSE)</f>
        <v>44469</v>
      </c>
      <c r="I1951" s="8">
        <f>VLOOKUP(A1951,[1]!Table1[#All],33,FALSE)</f>
        <v>46294</v>
      </c>
      <c r="J1951" t="str">
        <f t="shared" ca="1" si="30"/>
        <v>Non UDO</v>
      </c>
    </row>
    <row r="1952" spans="1:10" x14ac:dyDescent="0.35">
      <c r="A1952" s="5" t="s">
        <v>62</v>
      </c>
      <c r="B1952" s="6">
        <v>44743</v>
      </c>
      <c r="C1952" s="7">
        <v>7858887</v>
      </c>
      <c r="D1952" s="7">
        <v>7820084</v>
      </c>
      <c r="E1952" s="7">
        <v>38803</v>
      </c>
      <c r="F1952" t="str">
        <f>VLOOKUP(A1952,[1]!Table1[#All],17,FALSE)</f>
        <v>KENYA</v>
      </c>
      <c r="G1952" t="str">
        <f>VLOOKUP(A1952,[1]!Table1[#All],22,FALSE)</f>
        <v>Liverpool VCT &amp; Care Kenya</v>
      </c>
      <c r="H1952" s="8">
        <f>VLOOKUP(A1952,[1]!Table1[#All],32,FALSE)</f>
        <v>44469</v>
      </c>
      <c r="I1952" s="8">
        <f>VLOOKUP(A1952,[1]!Table1[#All],33,FALSE)</f>
        <v>46294</v>
      </c>
      <c r="J1952" t="str">
        <f t="shared" ca="1" si="30"/>
        <v>Non UDO</v>
      </c>
    </row>
    <row r="1953" spans="1:10" x14ac:dyDescent="0.35">
      <c r="A1953" s="9" t="s">
        <v>62</v>
      </c>
      <c r="B1953" s="10">
        <v>44774</v>
      </c>
      <c r="C1953" s="11">
        <v>7858887</v>
      </c>
      <c r="D1953" s="11">
        <v>7844903</v>
      </c>
      <c r="E1953" s="11">
        <v>13984</v>
      </c>
      <c r="F1953" t="str">
        <f>VLOOKUP(A1953,[1]!Table1[#All],17,FALSE)</f>
        <v>KENYA</v>
      </c>
      <c r="G1953" t="str">
        <f>VLOOKUP(A1953,[1]!Table1[#All],22,FALSE)</f>
        <v>Liverpool VCT &amp; Care Kenya</v>
      </c>
      <c r="H1953" s="8">
        <f>VLOOKUP(A1953,[1]!Table1[#All],32,FALSE)</f>
        <v>44469</v>
      </c>
      <c r="I1953" s="8">
        <f>VLOOKUP(A1953,[1]!Table1[#All],33,FALSE)</f>
        <v>46294</v>
      </c>
      <c r="J1953" t="str">
        <f t="shared" ca="1" si="30"/>
        <v>Non UDO</v>
      </c>
    </row>
    <row r="1954" spans="1:10" x14ac:dyDescent="0.35">
      <c r="A1954" s="5" t="s">
        <v>62</v>
      </c>
      <c r="B1954" s="6">
        <v>44805</v>
      </c>
      <c r="C1954" s="7">
        <v>7858887</v>
      </c>
      <c r="D1954" s="7">
        <v>7858887</v>
      </c>
      <c r="E1954" s="7">
        <v>0</v>
      </c>
      <c r="F1954" t="str">
        <f>VLOOKUP(A1954,[1]!Table1[#All],17,FALSE)</f>
        <v>KENYA</v>
      </c>
      <c r="G1954" t="str">
        <f>VLOOKUP(A1954,[1]!Table1[#All],22,FALSE)</f>
        <v>Liverpool VCT &amp; Care Kenya</v>
      </c>
      <c r="H1954" s="8">
        <f>VLOOKUP(A1954,[1]!Table1[#All],32,FALSE)</f>
        <v>44469</v>
      </c>
      <c r="I1954" s="8">
        <f>VLOOKUP(A1954,[1]!Table1[#All],33,FALSE)</f>
        <v>46294</v>
      </c>
      <c r="J1954" t="str">
        <f t="shared" ca="1" si="30"/>
        <v>Non UDO</v>
      </c>
    </row>
    <row r="1955" spans="1:10" x14ac:dyDescent="0.35">
      <c r="A1955" s="9" t="s">
        <v>62</v>
      </c>
      <c r="B1955" s="10">
        <v>44835</v>
      </c>
      <c r="C1955" s="11">
        <v>7858887</v>
      </c>
      <c r="D1955" s="11">
        <v>7858887</v>
      </c>
      <c r="E1955" s="11">
        <v>0</v>
      </c>
      <c r="F1955" t="str">
        <f>VLOOKUP(A1955,[1]!Table1[#All],17,FALSE)</f>
        <v>KENYA</v>
      </c>
      <c r="G1955" t="str">
        <f>VLOOKUP(A1955,[1]!Table1[#All],22,FALSE)</f>
        <v>Liverpool VCT &amp; Care Kenya</v>
      </c>
      <c r="H1955" s="8">
        <f>VLOOKUP(A1955,[1]!Table1[#All],32,FALSE)</f>
        <v>44469</v>
      </c>
      <c r="I1955" s="8">
        <f>VLOOKUP(A1955,[1]!Table1[#All],33,FALSE)</f>
        <v>46294</v>
      </c>
      <c r="J1955" t="str">
        <f t="shared" ca="1" si="30"/>
        <v>Non UDO</v>
      </c>
    </row>
    <row r="1956" spans="1:10" x14ac:dyDescent="0.35">
      <c r="A1956" s="5" t="s">
        <v>62</v>
      </c>
      <c r="B1956" s="6">
        <v>44866</v>
      </c>
      <c r="C1956" s="7">
        <v>7858887</v>
      </c>
      <c r="D1956" s="7">
        <v>7858887</v>
      </c>
      <c r="E1956" s="7">
        <v>0</v>
      </c>
      <c r="F1956" t="str">
        <f>VLOOKUP(A1956,[1]!Table1[#All],17,FALSE)</f>
        <v>KENYA</v>
      </c>
      <c r="G1956" t="str">
        <f>VLOOKUP(A1956,[1]!Table1[#All],22,FALSE)</f>
        <v>Liverpool VCT &amp; Care Kenya</v>
      </c>
      <c r="H1956" s="8">
        <f>VLOOKUP(A1956,[1]!Table1[#All],32,FALSE)</f>
        <v>44469</v>
      </c>
      <c r="I1956" s="8">
        <f>VLOOKUP(A1956,[1]!Table1[#All],33,FALSE)</f>
        <v>46294</v>
      </c>
      <c r="J1956" t="str">
        <f t="shared" ca="1" si="30"/>
        <v>Non UDO</v>
      </c>
    </row>
    <row r="1957" spans="1:10" x14ac:dyDescent="0.35">
      <c r="A1957" s="9" t="s">
        <v>62</v>
      </c>
      <c r="B1957" s="10">
        <v>44896</v>
      </c>
      <c r="C1957" s="11">
        <v>7858887</v>
      </c>
      <c r="D1957" s="11">
        <v>7858887</v>
      </c>
      <c r="E1957" s="11">
        <v>0</v>
      </c>
      <c r="F1957" t="str">
        <f>VLOOKUP(A1957,[1]!Table1[#All],17,FALSE)</f>
        <v>KENYA</v>
      </c>
      <c r="G1957" t="str">
        <f>VLOOKUP(A1957,[1]!Table1[#All],22,FALSE)</f>
        <v>Liverpool VCT &amp; Care Kenya</v>
      </c>
      <c r="H1957" s="8">
        <f>VLOOKUP(A1957,[1]!Table1[#All],32,FALSE)</f>
        <v>44469</v>
      </c>
      <c r="I1957" s="8">
        <f>VLOOKUP(A1957,[1]!Table1[#All],33,FALSE)</f>
        <v>46294</v>
      </c>
      <c r="J1957" t="str">
        <f t="shared" ca="1" si="30"/>
        <v>Non UDO</v>
      </c>
    </row>
    <row r="1958" spans="1:10" x14ac:dyDescent="0.35">
      <c r="A1958" s="5" t="s">
        <v>62</v>
      </c>
      <c r="B1958" s="6">
        <v>44927</v>
      </c>
      <c r="C1958" s="7">
        <v>7858887</v>
      </c>
      <c r="D1958" s="7">
        <v>7858887</v>
      </c>
      <c r="E1958" s="7">
        <v>0</v>
      </c>
      <c r="F1958" t="str">
        <f>VLOOKUP(A1958,[1]!Table1[#All],17,FALSE)</f>
        <v>KENYA</v>
      </c>
      <c r="G1958" t="str">
        <f>VLOOKUP(A1958,[1]!Table1[#All],22,FALSE)</f>
        <v>Liverpool VCT &amp; Care Kenya</v>
      </c>
      <c r="H1958" s="8">
        <f>VLOOKUP(A1958,[1]!Table1[#All],32,FALSE)</f>
        <v>44469</v>
      </c>
      <c r="I1958" s="8">
        <f>VLOOKUP(A1958,[1]!Table1[#All],33,FALSE)</f>
        <v>46294</v>
      </c>
      <c r="J1958" t="str">
        <f t="shared" ca="1" si="30"/>
        <v>Non UDO</v>
      </c>
    </row>
    <row r="1959" spans="1:10" x14ac:dyDescent="0.35">
      <c r="A1959" s="9" t="s">
        <v>62</v>
      </c>
      <c r="B1959" s="10">
        <v>44958</v>
      </c>
      <c r="C1959" s="11">
        <v>7858887</v>
      </c>
      <c r="D1959" s="11">
        <v>7858887</v>
      </c>
      <c r="E1959" s="11">
        <v>0</v>
      </c>
      <c r="F1959" t="str">
        <f>VLOOKUP(A1959,[1]!Table1[#All],17,FALSE)</f>
        <v>KENYA</v>
      </c>
      <c r="G1959" t="str">
        <f>VLOOKUP(A1959,[1]!Table1[#All],22,FALSE)</f>
        <v>Liverpool VCT &amp; Care Kenya</v>
      </c>
      <c r="H1959" s="8">
        <f>VLOOKUP(A1959,[1]!Table1[#All],32,FALSE)</f>
        <v>44469</v>
      </c>
      <c r="I1959" s="8">
        <f>VLOOKUP(A1959,[1]!Table1[#All],33,FALSE)</f>
        <v>46294</v>
      </c>
      <c r="J1959" t="str">
        <f t="shared" ca="1" si="30"/>
        <v>Non UDO</v>
      </c>
    </row>
    <row r="1960" spans="1:10" x14ac:dyDescent="0.35">
      <c r="A1960" s="5" t="s">
        <v>62</v>
      </c>
      <c r="B1960" s="6">
        <v>44986</v>
      </c>
      <c r="C1960" s="7">
        <v>7858887</v>
      </c>
      <c r="D1960" s="7">
        <v>7858887</v>
      </c>
      <c r="E1960" s="7">
        <v>0</v>
      </c>
      <c r="F1960" t="str">
        <f>VLOOKUP(A1960,[1]!Table1[#All],17,FALSE)</f>
        <v>KENYA</v>
      </c>
      <c r="G1960" t="str">
        <f>VLOOKUP(A1960,[1]!Table1[#All],22,FALSE)</f>
        <v>Liverpool VCT &amp; Care Kenya</v>
      </c>
      <c r="H1960" s="8">
        <f>VLOOKUP(A1960,[1]!Table1[#All],32,FALSE)</f>
        <v>44469</v>
      </c>
      <c r="I1960" s="8">
        <f>VLOOKUP(A1960,[1]!Table1[#All],33,FALSE)</f>
        <v>46294</v>
      </c>
      <c r="J1960" t="str">
        <f t="shared" ca="1" si="30"/>
        <v>Non UDO</v>
      </c>
    </row>
    <row r="1961" spans="1:10" x14ac:dyDescent="0.35">
      <c r="A1961" s="9" t="s">
        <v>62</v>
      </c>
      <c r="B1961" s="10">
        <v>45017</v>
      </c>
      <c r="C1961" s="11">
        <v>7858887</v>
      </c>
      <c r="D1961" s="11">
        <v>7858887</v>
      </c>
      <c r="E1961" s="11">
        <v>0</v>
      </c>
      <c r="F1961" t="str">
        <f>VLOOKUP(A1961,[1]!Table1[#All],17,FALSE)</f>
        <v>KENYA</v>
      </c>
      <c r="G1961" t="str">
        <f>VLOOKUP(A1961,[1]!Table1[#All],22,FALSE)</f>
        <v>Liverpool VCT &amp; Care Kenya</v>
      </c>
      <c r="H1961" s="8">
        <f>VLOOKUP(A1961,[1]!Table1[#All],32,FALSE)</f>
        <v>44469</v>
      </c>
      <c r="I1961" s="8">
        <f>VLOOKUP(A1961,[1]!Table1[#All],33,FALSE)</f>
        <v>46294</v>
      </c>
      <c r="J1961" t="str">
        <f t="shared" ca="1" si="30"/>
        <v>Non UDO</v>
      </c>
    </row>
    <row r="1962" spans="1:10" x14ac:dyDescent="0.35">
      <c r="A1962" s="5" t="s">
        <v>62</v>
      </c>
      <c r="B1962" s="6">
        <v>45047</v>
      </c>
      <c r="C1962" s="7">
        <v>7858887</v>
      </c>
      <c r="D1962" s="7">
        <v>7858887</v>
      </c>
      <c r="E1962" s="7">
        <v>0</v>
      </c>
      <c r="F1962" t="str">
        <f>VLOOKUP(A1962,[1]!Table1[#All],17,FALSE)</f>
        <v>KENYA</v>
      </c>
      <c r="G1962" t="str">
        <f>VLOOKUP(A1962,[1]!Table1[#All],22,FALSE)</f>
        <v>Liverpool VCT &amp; Care Kenya</v>
      </c>
      <c r="H1962" s="8">
        <f>VLOOKUP(A1962,[1]!Table1[#All],32,FALSE)</f>
        <v>44469</v>
      </c>
      <c r="I1962" s="8">
        <f>VLOOKUP(A1962,[1]!Table1[#All],33,FALSE)</f>
        <v>46294</v>
      </c>
      <c r="J1962" t="str">
        <f t="shared" ca="1" si="30"/>
        <v>Non UDO</v>
      </c>
    </row>
    <row r="1963" spans="1:10" x14ac:dyDescent="0.35">
      <c r="A1963" s="9" t="s">
        <v>62</v>
      </c>
      <c r="B1963" s="10">
        <v>45078</v>
      </c>
      <c r="C1963" s="11">
        <v>7858887</v>
      </c>
      <c r="D1963" s="11">
        <v>7858887</v>
      </c>
      <c r="E1963" s="11">
        <v>0</v>
      </c>
      <c r="F1963" t="str">
        <f>VLOOKUP(A1963,[1]!Table1[#All],17,FALSE)</f>
        <v>KENYA</v>
      </c>
      <c r="G1963" t="str">
        <f>VLOOKUP(A1963,[1]!Table1[#All],22,FALSE)</f>
        <v>Liverpool VCT &amp; Care Kenya</v>
      </c>
      <c r="H1963" s="8">
        <f>VLOOKUP(A1963,[1]!Table1[#All],32,FALSE)</f>
        <v>44469</v>
      </c>
      <c r="I1963" s="8">
        <f>VLOOKUP(A1963,[1]!Table1[#All],33,FALSE)</f>
        <v>46294</v>
      </c>
      <c r="J1963" t="str">
        <f t="shared" ca="1" si="30"/>
        <v>Non UDO</v>
      </c>
    </row>
    <row r="1964" spans="1:10" x14ac:dyDescent="0.35">
      <c r="A1964" s="5" t="s">
        <v>62</v>
      </c>
      <c r="B1964" s="6">
        <v>45108</v>
      </c>
      <c r="C1964" s="7">
        <v>7858887</v>
      </c>
      <c r="D1964" s="7">
        <v>7858887</v>
      </c>
      <c r="E1964" s="7">
        <v>0</v>
      </c>
      <c r="F1964" t="str">
        <f>VLOOKUP(A1964,[1]!Table1[#All],17,FALSE)</f>
        <v>KENYA</v>
      </c>
      <c r="G1964" t="str">
        <f>VLOOKUP(A1964,[1]!Table1[#All],22,FALSE)</f>
        <v>Liverpool VCT &amp; Care Kenya</v>
      </c>
      <c r="H1964" s="8">
        <f>VLOOKUP(A1964,[1]!Table1[#All],32,FALSE)</f>
        <v>44469</v>
      </c>
      <c r="I1964" s="8">
        <f>VLOOKUP(A1964,[1]!Table1[#All],33,FALSE)</f>
        <v>46294</v>
      </c>
      <c r="J1964" t="str">
        <f t="shared" ca="1" si="30"/>
        <v>Non UDO</v>
      </c>
    </row>
    <row r="1965" spans="1:10" x14ac:dyDescent="0.35">
      <c r="A1965" s="9" t="s">
        <v>62</v>
      </c>
      <c r="B1965" s="10">
        <v>45139</v>
      </c>
      <c r="C1965" s="11">
        <v>7858887</v>
      </c>
      <c r="D1965" s="11">
        <v>7858887</v>
      </c>
      <c r="E1965" s="11">
        <v>0</v>
      </c>
      <c r="F1965" t="str">
        <f>VLOOKUP(A1965,[1]!Table1[#All],17,FALSE)</f>
        <v>KENYA</v>
      </c>
      <c r="G1965" t="str">
        <f>VLOOKUP(A1965,[1]!Table1[#All],22,FALSE)</f>
        <v>Liverpool VCT &amp; Care Kenya</v>
      </c>
      <c r="H1965" s="8">
        <f>VLOOKUP(A1965,[1]!Table1[#All],32,FALSE)</f>
        <v>44469</v>
      </c>
      <c r="I1965" s="8">
        <f>VLOOKUP(A1965,[1]!Table1[#All],33,FALSE)</f>
        <v>46294</v>
      </c>
      <c r="J1965" t="str">
        <f t="shared" ca="1" si="30"/>
        <v>Non UDO</v>
      </c>
    </row>
    <row r="1966" spans="1:10" x14ac:dyDescent="0.35">
      <c r="A1966" s="5" t="s">
        <v>62</v>
      </c>
      <c r="B1966" s="6">
        <v>45170</v>
      </c>
      <c r="C1966" s="7">
        <v>7858887</v>
      </c>
      <c r="D1966" s="7">
        <v>7858887</v>
      </c>
      <c r="E1966" s="7">
        <v>0</v>
      </c>
      <c r="F1966" t="str">
        <f>VLOOKUP(A1966,[1]!Table1[#All],17,FALSE)</f>
        <v>KENYA</v>
      </c>
      <c r="G1966" t="str">
        <f>VLOOKUP(A1966,[1]!Table1[#All],22,FALSE)</f>
        <v>Liverpool VCT &amp; Care Kenya</v>
      </c>
      <c r="H1966" s="8">
        <f>VLOOKUP(A1966,[1]!Table1[#All],32,FALSE)</f>
        <v>44469</v>
      </c>
      <c r="I1966" s="8">
        <f>VLOOKUP(A1966,[1]!Table1[#All],33,FALSE)</f>
        <v>46294</v>
      </c>
      <c r="J1966" t="str">
        <f t="shared" ca="1" si="30"/>
        <v>Non UDO</v>
      </c>
    </row>
    <row r="1967" spans="1:10" x14ac:dyDescent="0.35">
      <c r="A1967" s="9" t="s">
        <v>63</v>
      </c>
      <c r="B1967" s="10">
        <v>44409</v>
      </c>
      <c r="C1967" s="11">
        <v>9976142</v>
      </c>
      <c r="D1967" s="11">
        <v>0</v>
      </c>
      <c r="E1967" s="11">
        <v>9976142</v>
      </c>
      <c r="F1967" t="str">
        <f>VLOOKUP(A1967,[1]!Table1[#All],17,FALSE)</f>
        <v>ETHIOPIA</v>
      </c>
      <c r="G1967" t="str">
        <f>VLOOKUP(A1967,[1]!Table1[#All],22,FALSE)</f>
        <v>OROMIA REGIONAL HEALTH BUREAU  C/O DR TAYE BALCHA</v>
      </c>
      <c r="H1967" s="8">
        <f>VLOOKUP(A1967,[1]!Table1[#All],32,FALSE)</f>
        <v>44469</v>
      </c>
      <c r="I1967" s="8">
        <f>VLOOKUP(A1967,[1]!Table1[#All],33,FALSE)</f>
        <v>46294</v>
      </c>
      <c r="J1967" t="str">
        <f t="shared" ca="1" si="30"/>
        <v>Non UDO</v>
      </c>
    </row>
    <row r="1968" spans="1:10" x14ac:dyDescent="0.35">
      <c r="A1968" s="5" t="s">
        <v>63</v>
      </c>
      <c r="B1968" s="6">
        <v>44440</v>
      </c>
      <c r="C1968" s="7">
        <v>9976142</v>
      </c>
      <c r="D1968" s="7">
        <v>0</v>
      </c>
      <c r="E1968" s="7">
        <v>9976142</v>
      </c>
      <c r="F1968" t="str">
        <f>VLOOKUP(A1968,[1]!Table1[#All],17,FALSE)</f>
        <v>ETHIOPIA</v>
      </c>
      <c r="G1968" t="str">
        <f>VLOOKUP(A1968,[1]!Table1[#All],22,FALSE)</f>
        <v>OROMIA REGIONAL HEALTH BUREAU  C/O DR TAYE BALCHA</v>
      </c>
      <c r="H1968" s="8">
        <f>VLOOKUP(A1968,[1]!Table1[#All],32,FALSE)</f>
        <v>44469</v>
      </c>
      <c r="I1968" s="8">
        <f>VLOOKUP(A1968,[1]!Table1[#All],33,FALSE)</f>
        <v>46294</v>
      </c>
      <c r="J1968" t="str">
        <f t="shared" ca="1" si="30"/>
        <v>Non UDO</v>
      </c>
    </row>
    <row r="1969" spans="1:10" x14ac:dyDescent="0.35">
      <c r="A1969" s="9" t="s">
        <v>63</v>
      </c>
      <c r="B1969" s="10">
        <v>44470</v>
      </c>
      <c r="C1969" s="11">
        <v>9976142</v>
      </c>
      <c r="D1969" s="11">
        <v>100000</v>
      </c>
      <c r="E1969" s="11">
        <v>9876142</v>
      </c>
      <c r="F1969" t="str">
        <f>VLOOKUP(A1969,[1]!Table1[#All],17,FALSE)</f>
        <v>ETHIOPIA</v>
      </c>
      <c r="G1969" t="str">
        <f>VLOOKUP(A1969,[1]!Table1[#All],22,FALSE)</f>
        <v>OROMIA REGIONAL HEALTH BUREAU  C/O DR TAYE BALCHA</v>
      </c>
      <c r="H1969" s="8">
        <f>VLOOKUP(A1969,[1]!Table1[#All],32,FALSE)</f>
        <v>44469</v>
      </c>
      <c r="I1969" s="8">
        <f>VLOOKUP(A1969,[1]!Table1[#All],33,FALSE)</f>
        <v>46294</v>
      </c>
      <c r="J1969" t="str">
        <f t="shared" ca="1" si="30"/>
        <v>Non UDO</v>
      </c>
    </row>
    <row r="1970" spans="1:10" x14ac:dyDescent="0.35">
      <c r="A1970" s="5" t="s">
        <v>63</v>
      </c>
      <c r="B1970" s="6">
        <v>44501</v>
      </c>
      <c r="C1970" s="7">
        <v>9976142</v>
      </c>
      <c r="D1970" s="7">
        <v>1693763</v>
      </c>
      <c r="E1970" s="7">
        <v>8282379</v>
      </c>
      <c r="F1970" t="str">
        <f>VLOOKUP(A1970,[1]!Table1[#All],17,FALSE)</f>
        <v>ETHIOPIA</v>
      </c>
      <c r="G1970" t="str">
        <f>VLOOKUP(A1970,[1]!Table1[#All],22,FALSE)</f>
        <v>OROMIA REGIONAL HEALTH BUREAU  C/O DR TAYE BALCHA</v>
      </c>
      <c r="H1970" s="8">
        <f>VLOOKUP(A1970,[1]!Table1[#All],32,FALSE)</f>
        <v>44469</v>
      </c>
      <c r="I1970" s="8">
        <f>VLOOKUP(A1970,[1]!Table1[#All],33,FALSE)</f>
        <v>46294</v>
      </c>
      <c r="J1970" t="str">
        <f t="shared" ca="1" si="30"/>
        <v>Non UDO</v>
      </c>
    </row>
    <row r="1971" spans="1:10" x14ac:dyDescent="0.35">
      <c r="A1971" s="9" t="s">
        <v>63</v>
      </c>
      <c r="B1971" s="10">
        <v>44531</v>
      </c>
      <c r="C1971" s="11">
        <v>9976142</v>
      </c>
      <c r="D1971" s="11">
        <v>2523072</v>
      </c>
      <c r="E1971" s="11">
        <v>7453070</v>
      </c>
      <c r="F1971" t="str">
        <f>VLOOKUP(A1971,[1]!Table1[#All],17,FALSE)</f>
        <v>ETHIOPIA</v>
      </c>
      <c r="G1971" t="str">
        <f>VLOOKUP(A1971,[1]!Table1[#All],22,FALSE)</f>
        <v>OROMIA REGIONAL HEALTH BUREAU  C/O DR TAYE BALCHA</v>
      </c>
      <c r="H1971" s="8">
        <f>VLOOKUP(A1971,[1]!Table1[#All],32,FALSE)</f>
        <v>44469</v>
      </c>
      <c r="I1971" s="8">
        <f>VLOOKUP(A1971,[1]!Table1[#All],33,FALSE)</f>
        <v>46294</v>
      </c>
      <c r="J1971" t="str">
        <f t="shared" ca="1" si="30"/>
        <v>Non UDO</v>
      </c>
    </row>
    <row r="1972" spans="1:10" x14ac:dyDescent="0.35">
      <c r="A1972" s="5" t="s">
        <v>63</v>
      </c>
      <c r="B1972" s="6">
        <v>44562</v>
      </c>
      <c r="C1972" s="7">
        <v>9976142</v>
      </c>
      <c r="D1972" s="7">
        <v>3374072</v>
      </c>
      <c r="E1972" s="7">
        <v>6602070</v>
      </c>
      <c r="F1972" t="str">
        <f>VLOOKUP(A1972,[1]!Table1[#All],17,FALSE)</f>
        <v>ETHIOPIA</v>
      </c>
      <c r="G1972" t="str">
        <f>VLOOKUP(A1972,[1]!Table1[#All],22,FALSE)</f>
        <v>OROMIA REGIONAL HEALTH BUREAU  C/O DR TAYE BALCHA</v>
      </c>
      <c r="H1972" s="8">
        <f>VLOOKUP(A1972,[1]!Table1[#All],32,FALSE)</f>
        <v>44469</v>
      </c>
      <c r="I1972" s="8">
        <f>VLOOKUP(A1972,[1]!Table1[#All],33,FALSE)</f>
        <v>46294</v>
      </c>
      <c r="J1972" t="str">
        <f t="shared" ca="1" si="30"/>
        <v>Non UDO</v>
      </c>
    </row>
    <row r="1973" spans="1:10" x14ac:dyDescent="0.35">
      <c r="A1973" s="9" t="s">
        <v>63</v>
      </c>
      <c r="B1973" s="10">
        <v>44593</v>
      </c>
      <c r="C1973" s="11">
        <v>9976142</v>
      </c>
      <c r="D1973" s="11">
        <v>4467051</v>
      </c>
      <c r="E1973" s="11">
        <v>5509091</v>
      </c>
      <c r="F1973" t="str">
        <f>VLOOKUP(A1973,[1]!Table1[#All],17,FALSE)</f>
        <v>ETHIOPIA</v>
      </c>
      <c r="G1973" t="str">
        <f>VLOOKUP(A1973,[1]!Table1[#All],22,FALSE)</f>
        <v>OROMIA REGIONAL HEALTH BUREAU  C/O DR TAYE BALCHA</v>
      </c>
      <c r="H1973" s="8">
        <f>VLOOKUP(A1973,[1]!Table1[#All],32,FALSE)</f>
        <v>44469</v>
      </c>
      <c r="I1973" s="8">
        <f>VLOOKUP(A1973,[1]!Table1[#All],33,FALSE)</f>
        <v>46294</v>
      </c>
      <c r="J1973" t="str">
        <f t="shared" ca="1" si="30"/>
        <v>Non UDO</v>
      </c>
    </row>
    <row r="1974" spans="1:10" x14ac:dyDescent="0.35">
      <c r="A1974" s="5" t="s">
        <v>63</v>
      </c>
      <c r="B1974" s="6">
        <v>44621</v>
      </c>
      <c r="C1974" s="7">
        <v>9976142</v>
      </c>
      <c r="D1974" s="7">
        <v>5912051</v>
      </c>
      <c r="E1974" s="7">
        <v>4064091</v>
      </c>
      <c r="F1974" t="str">
        <f>VLOOKUP(A1974,[1]!Table1[#All],17,FALSE)</f>
        <v>ETHIOPIA</v>
      </c>
      <c r="G1974" t="str">
        <f>VLOOKUP(A1974,[1]!Table1[#All],22,FALSE)</f>
        <v>OROMIA REGIONAL HEALTH BUREAU  C/O DR TAYE BALCHA</v>
      </c>
      <c r="H1974" s="8">
        <f>VLOOKUP(A1974,[1]!Table1[#All],32,FALSE)</f>
        <v>44469</v>
      </c>
      <c r="I1974" s="8">
        <f>VLOOKUP(A1974,[1]!Table1[#All],33,FALSE)</f>
        <v>46294</v>
      </c>
      <c r="J1974" t="str">
        <f t="shared" ca="1" si="30"/>
        <v>Non UDO</v>
      </c>
    </row>
    <row r="1975" spans="1:10" x14ac:dyDescent="0.35">
      <c r="A1975" s="9" t="s">
        <v>63</v>
      </c>
      <c r="B1975" s="10">
        <v>44652</v>
      </c>
      <c r="C1975" s="11">
        <v>9976142</v>
      </c>
      <c r="D1975" s="11">
        <v>6083569</v>
      </c>
      <c r="E1975" s="11">
        <v>3892573</v>
      </c>
      <c r="F1975" t="str">
        <f>VLOOKUP(A1975,[1]!Table1[#All],17,FALSE)</f>
        <v>ETHIOPIA</v>
      </c>
      <c r="G1975" t="str">
        <f>VLOOKUP(A1975,[1]!Table1[#All],22,FALSE)</f>
        <v>OROMIA REGIONAL HEALTH BUREAU  C/O DR TAYE BALCHA</v>
      </c>
      <c r="H1975" s="8">
        <f>VLOOKUP(A1975,[1]!Table1[#All],32,FALSE)</f>
        <v>44469</v>
      </c>
      <c r="I1975" s="8">
        <f>VLOOKUP(A1975,[1]!Table1[#All],33,FALSE)</f>
        <v>46294</v>
      </c>
      <c r="J1975" t="str">
        <f t="shared" ca="1" si="30"/>
        <v>Non UDO</v>
      </c>
    </row>
    <row r="1976" spans="1:10" x14ac:dyDescent="0.35">
      <c r="A1976" s="5" t="s">
        <v>63</v>
      </c>
      <c r="B1976" s="6">
        <v>44682</v>
      </c>
      <c r="C1976" s="7">
        <v>9976142</v>
      </c>
      <c r="D1976" s="7">
        <v>7018569</v>
      </c>
      <c r="E1976" s="7">
        <v>2957573</v>
      </c>
      <c r="F1976" t="str">
        <f>VLOOKUP(A1976,[1]!Table1[#All],17,FALSE)</f>
        <v>ETHIOPIA</v>
      </c>
      <c r="G1976" t="str">
        <f>VLOOKUP(A1976,[1]!Table1[#All],22,FALSE)</f>
        <v>OROMIA REGIONAL HEALTH BUREAU  C/O DR TAYE BALCHA</v>
      </c>
      <c r="H1976" s="8">
        <f>VLOOKUP(A1976,[1]!Table1[#All],32,FALSE)</f>
        <v>44469</v>
      </c>
      <c r="I1976" s="8">
        <f>VLOOKUP(A1976,[1]!Table1[#All],33,FALSE)</f>
        <v>46294</v>
      </c>
      <c r="J1976" t="str">
        <f t="shared" ca="1" si="30"/>
        <v>Non UDO</v>
      </c>
    </row>
    <row r="1977" spans="1:10" x14ac:dyDescent="0.35">
      <c r="A1977" s="9" t="s">
        <v>63</v>
      </c>
      <c r="B1977" s="10">
        <v>44713</v>
      </c>
      <c r="C1977" s="11">
        <v>9976142</v>
      </c>
      <c r="D1977" s="11">
        <v>7618569</v>
      </c>
      <c r="E1977" s="11">
        <v>2357573</v>
      </c>
      <c r="F1977" t="str">
        <f>VLOOKUP(A1977,[1]!Table1[#All],17,FALSE)</f>
        <v>ETHIOPIA</v>
      </c>
      <c r="G1977" t="str">
        <f>VLOOKUP(A1977,[1]!Table1[#All],22,FALSE)</f>
        <v>OROMIA REGIONAL HEALTH BUREAU  C/O DR TAYE BALCHA</v>
      </c>
      <c r="H1977" s="8">
        <f>VLOOKUP(A1977,[1]!Table1[#All],32,FALSE)</f>
        <v>44469</v>
      </c>
      <c r="I1977" s="8">
        <f>VLOOKUP(A1977,[1]!Table1[#All],33,FALSE)</f>
        <v>46294</v>
      </c>
      <c r="J1977" t="str">
        <f t="shared" ca="1" si="30"/>
        <v>Non UDO</v>
      </c>
    </row>
    <row r="1978" spans="1:10" x14ac:dyDescent="0.35">
      <c r="A1978" s="5" t="s">
        <v>63</v>
      </c>
      <c r="B1978" s="6">
        <v>44743</v>
      </c>
      <c r="C1978" s="7">
        <v>9976142</v>
      </c>
      <c r="D1978" s="7">
        <v>8412736</v>
      </c>
      <c r="E1978" s="7">
        <v>1563406</v>
      </c>
      <c r="F1978" t="str">
        <f>VLOOKUP(A1978,[1]!Table1[#All],17,FALSE)</f>
        <v>ETHIOPIA</v>
      </c>
      <c r="G1978" t="str">
        <f>VLOOKUP(A1978,[1]!Table1[#All],22,FALSE)</f>
        <v>OROMIA REGIONAL HEALTH BUREAU  C/O DR TAYE BALCHA</v>
      </c>
      <c r="H1978" s="8">
        <f>VLOOKUP(A1978,[1]!Table1[#All],32,FALSE)</f>
        <v>44469</v>
      </c>
      <c r="I1978" s="8">
        <f>VLOOKUP(A1978,[1]!Table1[#All],33,FALSE)</f>
        <v>46294</v>
      </c>
      <c r="J1978" t="str">
        <f t="shared" ca="1" si="30"/>
        <v>Non UDO</v>
      </c>
    </row>
    <row r="1979" spans="1:10" x14ac:dyDescent="0.35">
      <c r="A1979" s="9" t="s">
        <v>63</v>
      </c>
      <c r="B1979" s="10">
        <v>44774</v>
      </c>
      <c r="C1979" s="11">
        <v>9976142</v>
      </c>
      <c r="D1979" s="11">
        <v>9223611</v>
      </c>
      <c r="E1979" s="11">
        <v>752531</v>
      </c>
      <c r="F1979" t="str">
        <f>VLOOKUP(A1979,[1]!Table1[#All],17,FALSE)</f>
        <v>ETHIOPIA</v>
      </c>
      <c r="G1979" t="str">
        <f>VLOOKUP(A1979,[1]!Table1[#All],22,FALSE)</f>
        <v>OROMIA REGIONAL HEALTH BUREAU  C/O DR TAYE BALCHA</v>
      </c>
      <c r="H1979" s="8">
        <f>VLOOKUP(A1979,[1]!Table1[#All],32,FALSE)</f>
        <v>44469</v>
      </c>
      <c r="I1979" s="8">
        <f>VLOOKUP(A1979,[1]!Table1[#All],33,FALSE)</f>
        <v>46294</v>
      </c>
      <c r="J1979" t="str">
        <f t="shared" ca="1" si="30"/>
        <v>Non UDO</v>
      </c>
    </row>
    <row r="1980" spans="1:10" x14ac:dyDescent="0.35">
      <c r="A1980" s="5" t="s">
        <v>63</v>
      </c>
      <c r="B1980" s="6">
        <v>44805</v>
      </c>
      <c r="C1980" s="7">
        <v>9976142</v>
      </c>
      <c r="D1980" s="7">
        <v>9840364</v>
      </c>
      <c r="E1980" s="7">
        <v>135778</v>
      </c>
      <c r="F1980" t="str">
        <f>VLOOKUP(A1980,[1]!Table1[#All],17,FALSE)</f>
        <v>ETHIOPIA</v>
      </c>
      <c r="G1980" t="str">
        <f>VLOOKUP(A1980,[1]!Table1[#All],22,FALSE)</f>
        <v>OROMIA REGIONAL HEALTH BUREAU  C/O DR TAYE BALCHA</v>
      </c>
      <c r="H1980" s="8">
        <f>VLOOKUP(A1980,[1]!Table1[#All],32,FALSE)</f>
        <v>44469</v>
      </c>
      <c r="I1980" s="8">
        <f>VLOOKUP(A1980,[1]!Table1[#All],33,FALSE)</f>
        <v>46294</v>
      </c>
      <c r="J1980" t="str">
        <f t="shared" ca="1" si="30"/>
        <v>Non UDO</v>
      </c>
    </row>
    <row r="1981" spans="1:10" x14ac:dyDescent="0.35">
      <c r="A1981" s="9" t="s">
        <v>63</v>
      </c>
      <c r="B1981" s="10">
        <v>44835</v>
      </c>
      <c r="C1981" s="11">
        <v>9976142</v>
      </c>
      <c r="D1981" s="11">
        <v>9840364</v>
      </c>
      <c r="E1981" s="11">
        <v>135778</v>
      </c>
      <c r="F1981" t="str">
        <f>VLOOKUP(A1981,[1]!Table1[#All],17,FALSE)</f>
        <v>ETHIOPIA</v>
      </c>
      <c r="G1981" t="str">
        <f>VLOOKUP(A1981,[1]!Table1[#All],22,FALSE)</f>
        <v>OROMIA REGIONAL HEALTH BUREAU  C/O DR TAYE BALCHA</v>
      </c>
      <c r="H1981" s="8">
        <f>VLOOKUP(A1981,[1]!Table1[#All],32,FALSE)</f>
        <v>44469</v>
      </c>
      <c r="I1981" s="8">
        <f>VLOOKUP(A1981,[1]!Table1[#All],33,FALSE)</f>
        <v>46294</v>
      </c>
      <c r="J1981" t="str">
        <f t="shared" ca="1" si="30"/>
        <v>Non UDO</v>
      </c>
    </row>
    <row r="1982" spans="1:10" x14ac:dyDescent="0.35">
      <c r="A1982" s="5" t="s">
        <v>63</v>
      </c>
      <c r="B1982" s="6">
        <v>44866</v>
      </c>
      <c r="C1982" s="7">
        <v>9976142</v>
      </c>
      <c r="D1982" s="7">
        <v>9880364</v>
      </c>
      <c r="E1982" s="7">
        <v>95778</v>
      </c>
      <c r="F1982" t="str">
        <f>VLOOKUP(A1982,[1]!Table1[#All],17,FALSE)</f>
        <v>ETHIOPIA</v>
      </c>
      <c r="G1982" t="str">
        <f>VLOOKUP(A1982,[1]!Table1[#All],22,FALSE)</f>
        <v>OROMIA REGIONAL HEALTH BUREAU  C/O DR TAYE BALCHA</v>
      </c>
      <c r="H1982" s="8">
        <f>VLOOKUP(A1982,[1]!Table1[#All],32,FALSE)</f>
        <v>44469</v>
      </c>
      <c r="I1982" s="8">
        <f>VLOOKUP(A1982,[1]!Table1[#All],33,FALSE)</f>
        <v>46294</v>
      </c>
      <c r="J1982" t="str">
        <f t="shared" ca="1" si="30"/>
        <v>Non UDO</v>
      </c>
    </row>
    <row r="1983" spans="1:10" x14ac:dyDescent="0.35">
      <c r="A1983" s="9" t="s">
        <v>63</v>
      </c>
      <c r="B1983" s="10">
        <v>44896</v>
      </c>
      <c r="C1983" s="11">
        <v>9976142</v>
      </c>
      <c r="D1983" s="11">
        <v>9895364</v>
      </c>
      <c r="E1983" s="11">
        <v>80778</v>
      </c>
      <c r="F1983" t="str">
        <f>VLOOKUP(A1983,[1]!Table1[#All],17,FALSE)</f>
        <v>ETHIOPIA</v>
      </c>
      <c r="G1983" t="str">
        <f>VLOOKUP(A1983,[1]!Table1[#All],22,FALSE)</f>
        <v>OROMIA REGIONAL HEALTH BUREAU  C/O DR TAYE BALCHA</v>
      </c>
      <c r="H1983" s="8">
        <f>VLOOKUP(A1983,[1]!Table1[#All],32,FALSE)</f>
        <v>44469</v>
      </c>
      <c r="I1983" s="8">
        <f>VLOOKUP(A1983,[1]!Table1[#All],33,FALSE)</f>
        <v>46294</v>
      </c>
      <c r="J1983" t="str">
        <f t="shared" ca="1" si="30"/>
        <v>Non UDO</v>
      </c>
    </row>
    <row r="1984" spans="1:10" x14ac:dyDescent="0.35">
      <c r="A1984" s="5" t="s">
        <v>63</v>
      </c>
      <c r="B1984" s="6">
        <v>44927</v>
      </c>
      <c r="C1984" s="7">
        <v>9976142</v>
      </c>
      <c r="D1984" s="7">
        <v>9895364</v>
      </c>
      <c r="E1984" s="7">
        <v>80778</v>
      </c>
      <c r="F1984" t="str">
        <f>VLOOKUP(A1984,[1]!Table1[#All],17,FALSE)</f>
        <v>ETHIOPIA</v>
      </c>
      <c r="G1984" t="str">
        <f>VLOOKUP(A1984,[1]!Table1[#All],22,FALSE)</f>
        <v>OROMIA REGIONAL HEALTH BUREAU  C/O DR TAYE BALCHA</v>
      </c>
      <c r="H1984" s="8">
        <f>VLOOKUP(A1984,[1]!Table1[#All],32,FALSE)</f>
        <v>44469</v>
      </c>
      <c r="I1984" s="8">
        <f>VLOOKUP(A1984,[1]!Table1[#All],33,FALSE)</f>
        <v>46294</v>
      </c>
      <c r="J1984" t="str">
        <f t="shared" ca="1" si="30"/>
        <v>Non UDO</v>
      </c>
    </row>
    <row r="1985" spans="1:10" x14ac:dyDescent="0.35">
      <c r="A1985" s="9" t="s">
        <v>63</v>
      </c>
      <c r="B1985" s="10">
        <v>44958</v>
      </c>
      <c r="C1985" s="11">
        <v>9976142</v>
      </c>
      <c r="D1985" s="11">
        <v>9910364</v>
      </c>
      <c r="E1985" s="11">
        <v>65778</v>
      </c>
      <c r="F1985" t="str">
        <f>VLOOKUP(A1985,[1]!Table1[#All],17,FALSE)</f>
        <v>ETHIOPIA</v>
      </c>
      <c r="G1985" t="str">
        <f>VLOOKUP(A1985,[1]!Table1[#All],22,FALSE)</f>
        <v>OROMIA REGIONAL HEALTH BUREAU  C/O DR TAYE BALCHA</v>
      </c>
      <c r="H1985" s="8">
        <f>VLOOKUP(A1985,[1]!Table1[#All],32,FALSE)</f>
        <v>44469</v>
      </c>
      <c r="I1985" s="8">
        <f>VLOOKUP(A1985,[1]!Table1[#All],33,FALSE)</f>
        <v>46294</v>
      </c>
      <c r="J1985" t="str">
        <f t="shared" ca="1" si="30"/>
        <v>Non UDO</v>
      </c>
    </row>
    <row r="1986" spans="1:10" x14ac:dyDescent="0.35">
      <c r="A1986" s="5" t="s">
        <v>63</v>
      </c>
      <c r="B1986" s="6">
        <v>44986</v>
      </c>
      <c r="C1986" s="7">
        <v>9976142</v>
      </c>
      <c r="D1986" s="7">
        <v>9920364</v>
      </c>
      <c r="E1986" s="7">
        <v>55778</v>
      </c>
      <c r="F1986" t="str">
        <f>VLOOKUP(A1986,[1]!Table1[#All],17,FALSE)</f>
        <v>ETHIOPIA</v>
      </c>
      <c r="G1986" t="str">
        <f>VLOOKUP(A1986,[1]!Table1[#All],22,FALSE)</f>
        <v>OROMIA REGIONAL HEALTH BUREAU  C/O DR TAYE BALCHA</v>
      </c>
      <c r="H1986" s="8">
        <f>VLOOKUP(A1986,[1]!Table1[#All],32,FALSE)</f>
        <v>44469</v>
      </c>
      <c r="I1986" s="8">
        <f>VLOOKUP(A1986,[1]!Table1[#All],33,FALSE)</f>
        <v>46294</v>
      </c>
      <c r="J1986" t="str">
        <f t="shared" ca="1" si="30"/>
        <v>Non UDO</v>
      </c>
    </row>
    <row r="1987" spans="1:10" x14ac:dyDescent="0.35">
      <c r="A1987" s="9" t="s">
        <v>63</v>
      </c>
      <c r="B1987" s="10">
        <v>45017</v>
      </c>
      <c r="C1987" s="11">
        <v>9976142</v>
      </c>
      <c r="D1987" s="11">
        <v>9920364</v>
      </c>
      <c r="E1987" s="11">
        <v>55778</v>
      </c>
      <c r="F1987" t="str">
        <f>VLOOKUP(A1987,[1]!Table1[#All],17,FALSE)</f>
        <v>ETHIOPIA</v>
      </c>
      <c r="G1987" t="str">
        <f>VLOOKUP(A1987,[1]!Table1[#All],22,FALSE)</f>
        <v>OROMIA REGIONAL HEALTH BUREAU  C/O DR TAYE BALCHA</v>
      </c>
      <c r="H1987" s="8">
        <f>VLOOKUP(A1987,[1]!Table1[#All],32,FALSE)</f>
        <v>44469</v>
      </c>
      <c r="I1987" s="8">
        <f>VLOOKUP(A1987,[1]!Table1[#All],33,FALSE)</f>
        <v>46294</v>
      </c>
      <c r="J1987" t="str">
        <f t="shared" ref="J1987:J2050" ca="1" si="31">IF(AND( E1987&gt;0,TODAY()&gt;I1987),"UDO","Non UDO")</f>
        <v>Non UDO</v>
      </c>
    </row>
    <row r="1988" spans="1:10" x14ac:dyDescent="0.35">
      <c r="A1988" s="5" t="s">
        <v>63</v>
      </c>
      <c r="B1988" s="6">
        <v>45047</v>
      </c>
      <c r="C1988" s="7">
        <v>9976142</v>
      </c>
      <c r="D1988" s="7">
        <v>9920364</v>
      </c>
      <c r="E1988" s="7">
        <v>55778</v>
      </c>
      <c r="F1988" t="str">
        <f>VLOOKUP(A1988,[1]!Table1[#All],17,FALSE)</f>
        <v>ETHIOPIA</v>
      </c>
      <c r="G1988" t="str">
        <f>VLOOKUP(A1988,[1]!Table1[#All],22,FALSE)</f>
        <v>OROMIA REGIONAL HEALTH BUREAU  C/O DR TAYE BALCHA</v>
      </c>
      <c r="H1988" s="8">
        <f>VLOOKUP(A1988,[1]!Table1[#All],32,FALSE)</f>
        <v>44469</v>
      </c>
      <c r="I1988" s="8">
        <f>VLOOKUP(A1988,[1]!Table1[#All],33,FALSE)</f>
        <v>46294</v>
      </c>
      <c r="J1988" t="str">
        <f t="shared" ca="1" si="31"/>
        <v>Non UDO</v>
      </c>
    </row>
    <row r="1989" spans="1:10" x14ac:dyDescent="0.35">
      <c r="A1989" s="9" t="s">
        <v>63</v>
      </c>
      <c r="B1989" s="10">
        <v>45078</v>
      </c>
      <c r="C1989" s="11">
        <v>9976142</v>
      </c>
      <c r="D1989" s="11">
        <v>9930364</v>
      </c>
      <c r="E1989" s="11">
        <v>45778</v>
      </c>
      <c r="F1989" t="str">
        <f>VLOOKUP(A1989,[1]!Table1[#All],17,FALSE)</f>
        <v>ETHIOPIA</v>
      </c>
      <c r="G1989" t="str">
        <f>VLOOKUP(A1989,[1]!Table1[#All],22,FALSE)</f>
        <v>OROMIA REGIONAL HEALTH BUREAU  C/O DR TAYE BALCHA</v>
      </c>
      <c r="H1989" s="8">
        <f>VLOOKUP(A1989,[1]!Table1[#All],32,FALSE)</f>
        <v>44469</v>
      </c>
      <c r="I1989" s="8">
        <f>VLOOKUP(A1989,[1]!Table1[#All],33,FALSE)</f>
        <v>46294</v>
      </c>
      <c r="J1989" t="str">
        <f t="shared" ca="1" si="31"/>
        <v>Non UDO</v>
      </c>
    </row>
    <row r="1990" spans="1:10" x14ac:dyDescent="0.35">
      <c r="A1990" s="5" t="s">
        <v>63</v>
      </c>
      <c r="B1990" s="6">
        <v>45108</v>
      </c>
      <c r="C1990" s="7">
        <v>9976142</v>
      </c>
      <c r="D1990" s="7">
        <v>9935364</v>
      </c>
      <c r="E1990" s="7">
        <v>40778</v>
      </c>
      <c r="F1990" t="str">
        <f>VLOOKUP(A1990,[1]!Table1[#All],17,FALSE)</f>
        <v>ETHIOPIA</v>
      </c>
      <c r="G1990" t="str">
        <f>VLOOKUP(A1990,[1]!Table1[#All],22,FALSE)</f>
        <v>OROMIA REGIONAL HEALTH BUREAU  C/O DR TAYE BALCHA</v>
      </c>
      <c r="H1990" s="8">
        <f>VLOOKUP(A1990,[1]!Table1[#All],32,FALSE)</f>
        <v>44469</v>
      </c>
      <c r="I1990" s="8">
        <f>VLOOKUP(A1990,[1]!Table1[#All],33,FALSE)</f>
        <v>46294</v>
      </c>
      <c r="J1990" t="str">
        <f t="shared" ca="1" si="31"/>
        <v>Non UDO</v>
      </c>
    </row>
    <row r="1991" spans="1:10" x14ac:dyDescent="0.35">
      <c r="A1991" s="9" t="s">
        <v>63</v>
      </c>
      <c r="B1991" s="10">
        <v>45139</v>
      </c>
      <c r="C1991" s="11">
        <v>9976142</v>
      </c>
      <c r="D1991" s="11">
        <v>9976142</v>
      </c>
      <c r="E1991" s="11">
        <v>0</v>
      </c>
      <c r="F1991" t="str">
        <f>VLOOKUP(A1991,[1]!Table1[#All],17,FALSE)</f>
        <v>ETHIOPIA</v>
      </c>
      <c r="G1991" t="str">
        <f>VLOOKUP(A1991,[1]!Table1[#All],22,FALSE)</f>
        <v>OROMIA REGIONAL HEALTH BUREAU  C/O DR TAYE BALCHA</v>
      </c>
      <c r="H1991" s="8">
        <f>VLOOKUP(A1991,[1]!Table1[#All],32,FALSE)</f>
        <v>44469</v>
      </c>
      <c r="I1991" s="8">
        <f>VLOOKUP(A1991,[1]!Table1[#All],33,FALSE)</f>
        <v>46294</v>
      </c>
      <c r="J1991" t="str">
        <f t="shared" ca="1" si="31"/>
        <v>Non UDO</v>
      </c>
    </row>
    <row r="1992" spans="1:10" x14ac:dyDescent="0.35">
      <c r="A1992" s="5" t="s">
        <v>63</v>
      </c>
      <c r="B1992" s="6">
        <v>45170</v>
      </c>
      <c r="C1992" s="7">
        <v>9976142</v>
      </c>
      <c r="D1992" s="7">
        <v>9976142</v>
      </c>
      <c r="E1992" s="7">
        <v>0</v>
      </c>
      <c r="F1992" t="str">
        <f>VLOOKUP(A1992,[1]!Table1[#All],17,FALSE)</f>
        <v>ETHIOPIA</v>
      </c>
      <c r="G1992" t="str">
        <f>VLOOKUP(A1992,[1]!Table1[#All],22,FALSE)</f>
        <v>OROMIA REGIONAL HEALTH BUREAU  C/O DR TAYE BALCHA</v>
      </c>
      <c r="H1992" s="8">
        <f>VLOOKUP(A1992,[1]!Table1[#All],32,FALSE)</f>
        <v>44469</v>
      </c>
      <c r="I1992" s="8">
        <f>VLOOKUP(A1992,[1]!Table1[#All],33,FALSE)</f>
        <v>46294</v>
      </c>
      <c r="J1992" t="str">
        <f t="shared" ca="1" si="31"/>
        <v>Non UDO</v>
      </c>
    </row>
    <row r="1993" spans="1:10" x14ac:dyDescent="0.35">
      <c r="A1993" s="9" t="s">
        <v>64</v>
      </c>
      <c r="B1993" s="10">
        <v>44440</v>
      </c>
      <c r="C1993" s="11">
        <v>1903050</v>
      </c>
      <c r="D1993" s="11">
        <v>0</v>
      </c>
      <c r="E1993" s="11">
        <f>C1993-D1993</f>
        <v>1903050</v>
      </c>
      <c r="F1993" t="str">
        <f>VLOOKUP(A1993,[1]!Table1[#All],17,FALSE)</f>
        <v>UGANDA</v>
      </c>
      <c r="G1993" t="str">
        <f>VLOOKUP(A1993,[1]!Table1[#All],22,FALSE)</f>
        <v>MAKERERE UNIVERSITY SCHOOL OF PUBLIC HEALTH</v>
      </c>
      <c r="H1993" s="8">
        <f>VLOOKUP(A1993,[1]!Table1[#All],32,FALSE)</f>
        <v>44469</v>
      </c>
      <c r="I1993" s="8">
        <f>VLOOKUP(A1993,[1]!Table1[#All],33,FALSE)</f>
        <v>46294</v>
      </c>
      <c r="J1993" t="str">
        <f t="shared" ca="1" si="31"/>
        <v>Non UDO</v>
      </c>
    </row>
    <row r="1994" spans="1:10" x14ac:dyDescent="0.35">
      <c r="A1994" s="5" t="s">
        <v>64</v>
      </c>
      <c r="B1994" s="6">
        <v>44470</v>
      </c>
      <c r="C1994" s="7">
        <v>1903050</v>
      </c>
      <c r="D1994" s="7">
        <v>0</v>
      </c>
      <c r="E1994" s="11">
        <f t="shared" ref="E1994:E2017" si="32">C1994-D1994</f>
        <v>1903050</v>
      </c>
      <c r="F1994" t="str">
        <f>VLOOKUP(A1994,[1]!Table1[#All],17,FALSE)</f>
        <v>UGANDA</v>
      </c>
      <c r="G1994" t="str">
        <f>VLOOKUP(A1994,[1]!Table1[#All],22,FALSE)</f>
        <v>MAKERERE UNIVERSITY SCHOOL OF PUBLIC HEALTH</v>
      </c>
      <c r="H1994" s="8">
        <f>VLOOKUP(A1994,[1]!Table1[#All],32,FALSE)</f>
        <v>44469</v>
      </c>
      <c r="I1994" s="8">
        <f>VLOOKUP(A1994,[1]!Table1[#All],33,FALSE)</f>
        <v>46294</v>
      </c>
      <c r="J1994" t="str">
        <f t="shared" ca="1" si="31"/>
        <v>Non UDO</v>
      </c>
    </row>
    <row r="1995" spans="1:10" x14ac:dyDescent="0.35">
      <c r="A1995" s="9" t="s">
        <v>64</v>
      </c>
      <c r="B1995" s="10">
        <v>44501</v>
      </c>
      <c r="C1995" s="11">
        <v>1903050</v>
      </c>
      <c r="D1995" s="7">
        <v>200000</v>
      </c>
      <c r="E1995" s="11">
        <f t="shared" si="32"/>
        <v>1703050</v>
      </c>
      <c r="F1995" t="str">
        <f>VLOOKUP(A1995,[1]!Table1[#All],17,FALSE)</f>
        <v>UGANDA</v>
      </c>
      <c r="G1995" t="str">
        <f>VLOOKUP(A1995,[1]!Table1[#All],22,FALSE)</f>
        <v>MAKERERE UNIVERSITY SCHOOL OF PUBLIC HEALTH</v>
      </c>
      <c r="H1995" s="8">
        <f>VLOOKUP(A1995,[1]!Table1[#All],32,FALSE)</f>
        <v>44469</v>
      </c>
      <c r="I1995" s="8">
        <f>VLOOKUP(A1995,[1]!Table1[#All],33,FALSE)</f>
        <v>46294</v>
      </c>
      <c r="J1995" t="str">
        <f t="shared" ca="1" si="31"/>
        <v>Non UDO</v>
      </c>
    </row>
    <row r="1996" spans="1:10" x14ac:dyDescent="0.35">
      <c r="A1996" s="5" t="s">
        <v>64</v>
      </c>
      <c r="B1996" s="6">
        <v>44531</v>
      </c>
      <c r="C1996" s="7">
        <v>1903050</v>
      </c>
      <c r="D1996" s="7">
        <v>200000</v>
      </c>
      <c r="E1996" s="11">
        <f t="shared" si="32"/>
        <v>1703050</v>
      </c>
      <c r="F1996" t="str">
        <f>VLOOKUP(A1996,[1]!Table1[#All],17,FALSE)</f>
        <v>UGANDA</v>
      </c>
      <c r="G1996" t="str">
        <f>VLOOKUP(A1996,[1]!Table1[#All],22,FALSE)</f>
        <v>MAKERERE UNIVERSITY SCHOOL OF PUBLIC HEALTH</v>
      </c>
      <c r="H1996" s="8">
        <f>VLOOKUP(A1996,[1]!Table1[#All],32,FALSE)</f>
        <v>44469</v>
      </c>
      <c r="I1996" s="8">
        <f>VLOOKUP(A1996,[1]!Table1[#All],33,FALSE)</f>
        <v>46294</v>
      </c>
      <c r="J1996" t="str">
        <f t="shared" ca="1" si="31"/>
        <v>Non UDO</v>
      </c>
    </row>
    <row r="1997" spans="1:10" x14ac:dyDescent="0.35">
      <c r="A1997" s="9" t="s">
        <v>64</v>
      </c>
      <c r="B1997" s="10">
        <v>44562</v>
      </c>
      <c r="C1997" s="11">
        <v>1903050</v>
      </c>
      <c r="D1997" s="7">
        <v>200000</v>
      </c>
      <c r="E1997" s="11">
        <f t="shared" si="32"/>
        <v>1703050</v>
      </c>
      <c r="F1997" t="str">
        <f>VLOOKUP(A1997,[1]!Table1[#All],17,FALSE)</f>
        <v>UGANDA</v>
      </c>
      <c r="G1997" t="str">
        <f>VLOOKUP(A1997,[1]!Table1[#All],22,FALSE)</f>
        <v>MAKERERE UNIVERSITY SCHOOL OF PUBLIC HEALTH</v>
      </c>
      <c r="H1997" s="8">
        <f>VLOOKUP(A1997,[1]!Table1[#All],32,FALSE)</f>
        <v>44469</v>
      </c>
      <c r="I1997" s="8">
        <f>VLOOKUP(A1997,[1]!Table1[#All],33,FALSE)</f>
        <v>46294</v>
      </c>
      <c r="J1997" t="str">
        <f t="shared" ca="1" si="31"/>
        <v>Non UDO</v>
      </c>
    </row>
    <row r="1998" spans="1:10" x14ac:dyDescent="0.35">
      <c r="A1998" s="5" t="s">
        <v>64</v>
      </c>
      <c r="B1998" s="6">
        <v>44593</v>
      </c>
      <c r="C1998" s="7">
        <v>1903050</v>
      </c>
      <c r="D1998" s="7">
        <v>200000</v>
      </c>
      <c r="E1998" s="11">
        <f t="shared" si="32"/>
        <v>1703050</v>
      </c>
      <c r="F1998" t="str">
        <f>VLOOKUP(A1998,[1]!Table1[#All],17,FALSE)</f>
        <v>UGANDA</v>
      </c>
      <c r="G1998" t="str">
        <f>VLOOKUP(A1998,[1]!Table1[#All],22,FALSE)</f>
        <v>MAKERERE UNIVERSITY SCHOOL OF PUBLIC HEALTH</v>
      </c>
      <c r="H1998" s="8">
        <f>VLOOKUP(A1998,[1]!Table1[#All],32,FALSE)</f>
        <v>44469</v>
      </c>
      <c r="I1998" s="8">
        <f>VLOOKUP(A1998,[1]!Table1[#All],33,FALSE)</f>
        <v>46294</v>
      </c>
      <c r="J1998" t="str">
        <f t="shared" ca="1" si="31"/>
        <v>Non UDO</v>
      </c>
    </row>
    <row r="1999" spans="1:10" x14ac:dyDescent="0.35">
      <c r="A1999" s="9" t="s">
        <v>64</v>
      </c>
      <c r="B1999" s="10">
        <v>44621</v>
      </c>
      <c r="C1999" s="11">
        <v>1903050</v>
      </c>
      <c r="D1999" s="7">
        <v>200000</v>
      </c>
      <c r="E1999" s="11">
        <f t="shared" si="32"/>
        <v>1703050</v>
      </c>
      <c r="F1999" t="str">
        <f>VLOOKUP(A1999,[1]!Table1[#All],17,FALSE)</f>
        <v>UGANDA</v>
      </c>
      <c r="G1999" t="str">
        <f>VLOOKUP(A1999,[1]!Table1[#All],22,FALSE)</f>
        <v>MAKERERE UNIVERSITY SCHOOL OF PUBLIC HEALTH</v>
      </c>
      <c r="H1999" s="8">
        <f>VLOOKUP(A1999,[1]!Table1[#All],32,FALSE)</f>
        <v>44469</v>
      </c>
      <c r="I1999" s="8">
        <f>VLOOKUP(A1999,[1]!Table1[#All],33,FALSE)</f>
        <v>46294</v>
      </c>
      <c r="J1999" t="str">
        <f t="shared" ca="1" si="31"/>
        <v>Non UDO</v>
      </c>
    </row>
    <row r="2000" spans="1:10" x14ac:dyDescent="0.35">
      <c r="A2000" s="5" t="s">
        <v>64</v>
      </c>
      <c r="B2000" s="6">
        <v>44652</v>
      </c>
      <c r="C2000" s="7">
        <v>1903050</v>
      </c>
      <c r="D2000" s="7">
        <v>200000</v>
      </c>
      <c r="E2000" s="11">
        <f t="shared" si="32"/>
        <v>1703050</v>
      </c>
      <c r="F2000" t="str">
        <f>VLOOKUP(A2000,[1]!Table1[#All],17,FALSE)</f>
        <v>UGANDA</v>
      </c>
      <c r="G2000" t="str">
        <f>VLOOKUP(A2000,[1]!Table1[#All],22,FALSE)</f>
        <v>MAKERERE UNIVERSITY SCHOOL OF PUBLIC HEALTH</v>
      </c>
      <c r="H2000" s="8">
        <f>VLOOKUP(A2000,[1]!Table1[#All],32,FALSE)</f>
        <v>44469</v>
      </c>
      <c r="I2000" s="8">
        <f>VLOOKUP(A2000,[1]!Table1[#All],33,FALSE)</f>
        <v>46294</v>
      </c>
      <c r="J2000" t="str">
        <f t="shared" ca="1" si="31"/>
        <v>Non UDO</v>
      </c>
    </row>
    <row r="2001" spans="1:10" x14ac:dyDescent="0.35">
      <c r="A2001" s="9" t="s">
        <v>64</v>
      </c>
      <c r="B2001" s="10">
        <v>44682</v>
      </c>
      <c r="C2001" s="11">
        <v>1903050</v>
      </c>
      <c r="D2001" s="7">
        <v>200000</v>
      </c>
      <c r="E2001" s="11">
        <f t="shared" si="32"/>
        <v>1703050</v>
      </c>
      <c r="F2001" t="str">
        <f>VLOOKUP(A2001,[1]!Table1[#All],17,FALSE)</f>
        <v>UGANDA</v>
      </c>
      <c r="G2001" t="str">
        <f>VLOOKUP(A2001,[1]!Table1[#All],22,FALSE)</f>
        <v>MAKERERE UNIVERSITY SCHOOL OF PUBLIC HEALTH</v>
      </c>
      <c r="H2001" s="8">
        <f>VLOOKUP(A2001,[1]!Table1[#All],32,FALSE)</f>
        <v>44469</v>
      </c>
      <c r="I2001" s="8">
        <f>VLOOKUP(A2001,[1]!Table1[#All],33,FALSE)</f>
        <v>46294</v>
      </c>
      <c r="J2001" t="str">
        <f t="shared" ca="1" si="31"/>
        <v>Non UDO</v>
      </c>
    </row>
    <row r="2002" spans="1:10" x14ac:dyDescent="0.35">
      <c r="A2002" s="5" t="s">
        <v>64</v>
      </c>
      <c r="B2002" s="6">
        <v>44713</v>
      </c>
      <c r="C2002" s="7">
        <v>1903050</v>
      </c>
      <c r="D2002" s="7">
        <v>700000</v>
      </c>
      <c r="E2002" s="11">
        <f t="shared" si="32"/>
        <v>1203050</v>
      </c>
      <c r="F2002" t="str">
        <f>VLOOKUP(A2002,[1]!Table1[#All],17,FALSE)</f>
        <v>UGANDA</v>
      </c>
      <c r="G2002" t="str">
        <f>VLOOKUP(A2002,[1]!Table1[#All],22,FALSE)</f>
        <v>MAKERERE UNIVERSITY SCHOOL OF PUBLIC HEALTH</v>
      </c>
      <c r="H2002" s="8">
        <f>VLOOKUP(A2002,[1]!Table1[#All],32,FALSE)</f>
        <v>44469</v>
      </c>
      <c r="I2002" s="8">
        <f>VLOOKUP(A2002,[1]!Table1[#All],33,FALSE)</f>
        <v>46294</v>
      </c>
      <c r="J2002" t="str">
        <f t="shared" ca="1" si="31"/>
        <v>Non UDO</v>
      </c>
    </row>
    <row r="2003" spans="1:10" x14ac:dyDescent="0.35">
      <c r="A2003" s="9" t="s">
        <v>64</v>
      </c>
      <c r="B2003" s="10">
        <v>44743</v>
      </c>
      <c r="C2003" s="11">
        <v>1903050</v>
      </c>
      <c r="D2003" s="7">
        <v>700000</v>
      </c>
      <c r="E2003" s="11">
        <f t="shared" si="32"/>
        <v>1203050</v>
      </c>
      <c r="F2003" t="str">
        <f>VLOOKUP(A2003,[1]!Table1[#All],17,FALSE)</f>
        <v>UGANDA</v>
      </c>
      <c r="G2003" t="str">
        <f>VLOOKUP(A2003,[1]!Table1[#All],22,FALSE)</f>
        <v>MAKERERE UNIVERSITY SCHOOL OF PUBLIC HEALTH</v>
      </c>
      <c r="H2003" s="8">
        <f>VLOOKUP(A2003,[1]!Table1[#All],32,FALSE)</f>
        <v>44469</v>
      </c>
      <c r="I2003" s="8">
        <f>VLOOKUP(A2003,[1]!Table1[#All],33,FALSE)</f>
        <v>46294</v>
      </c>
      <c r="J2003" t="str">
        <f t="shared" ca="1" si="31"/>
        <v>Non UDO</v>
      </c>
    </row>
    <row r="2004" spans="1:10" x14ac:dyDescent="0.35">
      <c r="A2004" s="5" t="s">
        <v>64</v>
      </c>
      <c r="B2004" s="6">
        <v>44774</v>
      </c>
      <c r="C2004" s="7">
        <v>1903050</v>
      </c>
      <c r="D2004" s="7">
        <v>700000</v>
      </c>
      <c r="E2004" s="11">
        <f t="shared" si="32"/>
        <v>1203050</v>
      </c>
      <c r="F2004" t="str">
        <f>VLOOKUP(A2004,[1]!Table1[#All],17,FALSE)</f>
        <v>UGANDA</v>
      </c>
      <c r="G2004" t="str">
        <f>VLOOKUP(A2004,[1]!Table1[#All],22,FALSE)</f>
        <v>MAKERERE UNIVERSITY SCHOOL OF PUBLIC HEALTH</v>
      </c>
      <c r="H2004" s="8">
        <f>VLOOKUP(A2004,[1]!Table1[#All],32,FALSE)</f>
        <v>44469</v>
      </c>
      <c r="I2004" s="8">
        <f>VLOOKUP(A2004,[1]!Table1[#All],33,FALSE)</f>
        <v>46294</v>
      </c>
      <c r="J2004" t="str">
        <f t="shared" ca="1" si="31"/>
        <v>Non UDO</v>
      </c>
    </row>
    <row r="2005" spans="1:10" x14ac:dyDescent="0.35">
      <c r="A2005" s="9" t="s">
        <v>64</v>
      </c>
      <c r="B2005" s="10">
        <v>44805</v>
      </c>
      <c r="C2005" s="11">
        <v>1903050</v>
      </c>
      <c r="D2005" s="7">
        <v>700000</v>
      </c>
      <c r="E2005" s="11">
        <f t="shared" si="32"/>
        <v>1203050</v>
      </c>
      <c r="F2005" t="str">
        <f>VLOOKUP(A2005,[1]!Table1[#All],17,FALSE)</f>
        <v>UGANDA</v>
      </c>
      <c r="G2005" t="str">
        <f>VLOOKUP(A2005,[1]!Table1[#All],22,FALSE)</f>
        <v>MAKERERE UNIVERSITY SCHOOL OF PUBLIC HEALTH</v>
      </c>
      <c r="H2005" s="8">
        <f>VLOOKUP(A2005,[1]!Table1[#All],32,FALSE)</f>
        <v>44469</v>
      </c>
      <c r="I2005" s="8">
        <f>VLOOKUP(A2005,[1]!Table1[#All],33,FALSE)</f>
        <v>46294</v>
      </c>
      <c r="J2005" t="str">
        <f t="shared" ca="1" si="31"/>
        <v>Non UDO</v>
      </c>
    </row>
    <row r="2006" spans="1:10" x14ac:dyDescent="0.35">
      <c r="A2006" s="5" t="s">
        <v>64</v>
      </c>
      <c r="B2006" s="6">
        <v>44835</v>
      </c>
      <c r="C2006" s="7">
        <v>1903050</v>
      </c>
      <c r="D2006" s="7">
        <v>700000</v>
      </c>
      <c r="E2006" s="11">
        <f t="shared" si="32"/>
        <v>1203050</v>
      </c>
      <c r="F2006" t="str">
        <f>VLOOKUP(A2006,[1]!Table1[#All],17,FALSE)</f>
        <v>UGANDA</v>
      </c>
      <c r="G2006" t="str">
        <f>VLOOKUP(A2006,[1]!Table1[#All],22,FALSE)</f>
        <v>MAKERERE UNIVERSITY SCHOOL OF PUBLIC HEALTH</v>
      </c>
      <c r="H2006" s="8">
        <f>VLOOKUP(A2006,[1]!Table1[#All],32,FALSE)</f>
        <v>44469</v>
      </c>
      <c r="I2006" s="8">
        <f>VLOOKUP(A2006,[1]!Table1[#All],33,FALSE)</f>
        <v>46294</v>
      </c>
      <c r="J2006" t="str">
        <f t="shared" ca="1" si="31"/>
        <v>Non UDO</v>
      </c>
    </row>
    <row r="2007" spans="1:10" x14ac:dyDescent="0.35">
      <c r="A2007" s="9" t="s">
        <v>64</v>
      </c>
      <c r="B2007" s="10">
        <v>44866</v>
      </c>
      <c r="C2007" s="11">
        <v>1903050</v>
      </c>
      <c r="D2007" s="7">
        <v>700000</v>
      </c>
      <c r="E2007" s="11">
        <f t="shared" si="32"/>
        <v>1203050</v>
      </c>
      <c r="F2007" t="str">
        <f>VLOOKUP(A2007,[1]!Table1[#All],17,FALSE)</f>
        <v>UGANDA</v>
      </c>
      <c r="G2007" t="str">
        <f>VLOOKUP(A2007,[1]!Table1[#All],22,FALSE)</f>
        <v>MAKERERE UNIVERSITY SCHOOL OF PUBLIC HEALTH</v>
      </c>
      <c r="H2007" s="8">
        <f>VLOOKUP(A2007,[1]!Table1[#All],32,FALSE)</f>
        <v>44469</v>
      </c>
      <c r="I2007" s="8">
        <f>VLOOKUP(A2007,[1]!Table1[#All],33,FALSE)</f>
        <v>46294</v>
      </c>
      <c r="J2007" t="str">
        <f t="shared" ca="1" si="31"/>
        <v>Non UDO</v>
      </c>
    </row>
    <row r="2008" spans="1:10" x14ac:dyDescent="0.35">
      <c r="A2008" s="5" t="s">
        <v>64</v>
      </c>
      <c r="B2008" s="6">
        <v>44896</v>
      </c>
      <c r="C2008" s="7">
        <v>1903050</v>
      </c>
      <c r="D2008" s="7">
        <v>700000</v>
      </c>
      <c r="E2008" s="11">
        <f t="shared" si="32"/>
        <v>1203050</v>
      </c>
      <c r="F2008" t="str">
        <f>VLOOKUP(A2008,[1]!Table1[#All],17,FALSE)</f>
        <v>UGANDA</v>
      </c>
      <c r="G2008" t="str">
        <f>VLOOKUP(A2008,[1]!Table1[#All],22,FALSE)</f>
        <v>MAKERERE UNIVERSITY SCHOOL OF PUBLIC HEALTH</v>
      </c>
      <c r="H2008" s="8">
        <f>VLOOKUP(A2008,[1]!Table1[#All],32,FALSE)</f>
        <v>44469</v>
      </c>
      <c r="I2008" s="8">
        <f>VLOOKUP(A2008,[1]!Table1[#All],33,FALSE)</f>
        <v>46294</v>
      </c>
      <c r="J2008" t="str">
        <f t="shared" ca="1" si="31"/>
        <v>Non UDO</v>
      </c>
    </row>
    <row r="2009" spans="1:10" x14ac:dyDescent="0.35">
      <c r="A2009" s="9" t="s">
        <v>64</v>
      </c>
      <c r="B2009" s="10">
        <v>44927</v>
      </c>
      <c r="C2009" s="11">
        <v>1903050</v>
      </c>
      <c r="D2009" s="7">
        <v>700000</v>
      </c>
      <c r="E2009" s="11">
        <f t="shared" si="32"/>
        <v>1203050</v>
      </c>
      <c r="F2009" t="str">
        <f>VLOOKUP(A2009,[1]!Table1[#All],17,FALSE)</f>
        <v>UGANDA</v>
      </c>
      <c r="G2009" t="str">
        <f>VLOOKUP(A2009,[1]!Table1[#All],22,FALSE)</f>
        <v>MAKERERE UNIVERSITY SCHOOL OF PUBLIC HEALTH</v>
      </c>
      <c r="H2009" s="8">
        <f>VLOOKUP(A2009,[1]!Table1[#All],32,FALSE)</f>
        <v>44469</v>
      </c>
      <c r="I2009" s="8">
        <f>VLOOKUP(A2009,[1]!Table1[#All],33,FALSE)</f>
        <v>46294</v>
      </c>
      <c r="J2009" t="str">
        <f t="shared" ca="1" si="31"/>
        <v>Non UDO</v>
      </c>
    </row>
    <row r="2010" spans="1:10" x14ac:dyDescent="0.35">
      <c r="A2010" s="5" t="s">
        <v>64</v>
      </c>
      <c r="B2010" s="6">
        <v>44958</v>
      </c>
      <c r="C2010" s="7">
        <v>1903050</v>
      </c>
      <c r="D2010" s="7">
        <v>700000</v>
      </c>
      <c r="E2010" s="11">
        <f t="shared" si="32"/>
        <v>1203050</v>
      </c>
      <c r="F2010" t="str">
        <f>VLOOKUP(A2010,[1]!Table1[#All],17,FALSE)</f>
        <v>UGANDA</v>
      </c>
      <c r="G2010" t="str">
        <f>VLOOKUP(A2010,[1]!Table1[#All],22,FALSE)</f>
        <v>MAKERERE UNIVERSITY SCHOOL OF PUBLIC HEALTH</v>
      </c>
      <c r="H2010" s="8">
        <f>VLOOKUP(A2010,[1]!Table1[#All],32,FALSE)</f>
        <v>44469</v>
      </c>
      <c r="I2010" s="8">
        <f>VLOOKUP(A2010,[1]!Table1[#All],33,FALSE)</f>
        <v>46294</v>
      </c>
      <c r="J2010" t="str">
        <f t="shared" ca="1" si="31"/>
        <v>Non UDO</v>
      </c>
    </row>
    <row r="2011" spans="1:10" x14ac:dyDescent="0.35">
      <c r="A2011" s="9" t="s">
        <v>64</v>
      </c>
      <c r="B2011" s="10">
        <v>44986</v>
      </c>
      <c r="C2011" s="11">
        <v>1903050</v>
      </c>
      <c r="D2011" s="7">
        <v>700000</v>
      </c>
      <c r="E2011" s="11">
        <f t="shared" si="32"/>
        <v>1203050</v>
      </c>
      <c r="F2011" t="str">
        <f>VLOOKUP(A2011,[1]!Table1[#All],17,FALSE)</f>
        <v>UGANDA</v>
      </c>
      <c r="G2011" t="str">
        <f>VLOOKUP(A2011,[1]!Table1[#All],22,FALSE)</f>
        <v>MAKERERE UNIVERSITY SCHOOL OF PUBLIC HEALTH</v>
      </c>
      <c r="H2011" s="8">
        <f>VLOOKUP(A2011,[1]!Table1[#All],32,FALSE)</f>
        <v>44469</v>
      </c>
      <c r="I2011" s="8">
        <f>VLOOKUP(A2011,[1]!Table1[#All],33,FALSE)</f>
        <v>46294</v>
      </c>
      <c r="J2011" t="str">
        <f t="shared" ca="1" si="31"/>
        <v>Non UDO</v>
      </c>
    </row>
    <row r="2012" spans="1:10" x14ac:dyDescent="0.35">
      <c r="A2012" s="5" t="s">
        <v>64</v>
      </c>
      <c r="B2012" s="6">
        <v>45017</v>
      </c>
      <c r="C2012" s="7">
        <v>1903050</v>
      </c>
      <c r="D2012" s="7">
        <v>700000</v>
      </c>
      <c r="E2012" s="11">
        <f t="shared" si="32"/>
        <v>1203050</v>
      </c>
      <c r="F2012" t="str">
        <f>VLOOKUP(A2012,[1]!Table1[#All],17,FALSE)</f>
        <v>UGANDA</v>
      </c>
      <c r="G2012" t="str">
        <f>VLOOKUP(A2012,[1]!Table1[#All],22,FALSE)</f>
        <v>MAKERERE UNIVERSITY SCHOOL OF PUBLIC HEALTH</v>
      </c>
      <c r="H2012" s="8">
        <f>VLOOKUP(A2012,[1]!Table1[#All],32,FALSE)</f>
        <v>44469</v>
      </c>
      <c r="I2012" s="8">
        <f>VLOOKUP(A2012,[1]!Table1[#All],33,FALSE)</f>
        <v>46294</v>
      </c>
      <c r="J2012" t="str">
        <f t="shared" ca="1" si="31"/>
        <v>Non UDO</v>
      </c>
    </row>
    <row r="2013" spans="1:10" x14ac:dyDescent="0.35">
      <c r="A2013" s="9" t="s">
        <v>64</v>
      </c>
      <c r="B2013" s="10">
        <v>45047</v>
      </c>
      <c r="C2013" s="11">
        <v>1903050</v>
      </c>
      <c r="D2013" s="7">
        <v>700000</v>
      </c>
      <c r="E2013" s="11">
        <f t="shared" si="32"/>
        <v>1203050</v>
      </c>
      <c r="F2013" t="str">
        <f>VLOOKUP(A2013,[1]!Table1[#All],17,FALSE)</f>
        <v>UGANDA</v>
      </c>
      <c r="G2013" t="str">
        <f>VLOOKUP(A2013,[1]!Table1[#All],22,FALSE)</f>
        <v>MAKERERE UNIVERSITY SCHOOL OF PUBLIC HEALTH</v>
      </c>
      <c r="H2013" s="8">
        <f>VLOOKUP(A2013,[1]!Table1[#All],32,FALSE)</f>
        <v>44469</v>
      </c>
      <c r="I2013" s="8">
        <f>VLOOKUP(A2013,[1]!Table1[#All],33,FALSE)</f>
        <v>46294</v>
      </c>
      <c r="J2013" t="str">
        <f t="shared" ca="1" si="31"/>
        <v>Non UDO</v>
      </c>
    </row>
    <row r="2014" spans="1:10" x14ac:dyDescent="0.35">
      <c r="A2014" s="5" t="s">
        <v>64</v>
      </c>
      <c r="B2014" s="6">
        <v>45078</v>
      </c>
      <c r="C2014" s="7">
        <v>1903050</v>
      </c>
      <c r="D2014" s="7">
        <f t="shared" ref="D2014:D2017" si="33">C2014/2</f>
        <v>951525</v>
      </c>
      <c r="E2014" s="11">
        <f t="shared" si="32"/>
        <v>951525</v>
      </c>
      <c r="F2014" t="str">
        <f>VLOOKUP(A2014,[1]!Table1[#All],17,FALSE)</f>
        <v>UGANDA</v>
      </c>
      <c r="G2014" t="str">
        <f>VLOOKUP(A2014,[1]!Table1[#All],22,FALSE)</f>
        <v>MAKERERE UNIVERSITY SCHOOL OF PUBLIC HEALTH</v>
      </c>
      <c r="H2014" s="8">
        <f>VLOOKUP(A2014,[1]!Table1[#All],32,FALSE)</f>
        <v>44469</v>
      </c>
      <c r="I2014" s="8">
        <f>VLOOKUP(A2014,[1]!Table1[#All],33,FALSE)</f>
        <v>46294</v>
      </c>
      <c r="J2014" t="str">
        <f t="shared" ca="1" si="31"/>
        <v>Non UDO</v>
      </c>
    </row>
    <row r="2015" spans="1:10" x14ac:dyDescent="0.35">
      <c r="A2015" s="9" t="s">
        <v>64</v>
      </c>
      <c r="B2015" s="10">
        <v>45108</v>
      </c>
      <c r="C2015" s="11">
        <v>1903050</v>
      </c>
      <c r="D2015" s="7">
        <f t="shared" si="33"/>
        <v>951525</v>
      </c>
      <c r="E2015" s="11">
        <f t="shared" si="32"/>
        <v>951525</v>
      </c>
      <c r="F2015" t="str">
        <f>VLOOKUP(A2015,[1]!Table1[#All],17,FALSE)</f>
        <v>UGANDA</v>
      </c>
      <c r="G2015" t="str">
        <f>VLOOKUP(A2015,[1]!Table1[#All],22,FALSE)</f>
        <v>MAKERERE UNIVERSITY SCHOOL OF PUBLIC HEALTH</v>
      </c>
      <c r="H2015" s="8">
        <f>VLOOKUP(A2015,[1]!Table1[#All],32,FALSE)</f>
        <v>44469</v>
      </c>
      <c r="I2015" s="8">
        <f>VLOOKUP(A2015,[1]!Table1[#All],33,FALSE)</f>
        <v>46294</v>
      </c>
      <c r="J2015" t="str">
        <f t="shared" ca="1" si="31"/>
        <v>Non UDO</v>
      </c>
    </row>
    <row r="2016" spans="1:10" x14ac:dyDescent="0.35">
      <c r="A2016" s="5" t="s">
        <v>64</v>
      </c>
      <c r="B2016" s="6">
        <v>45139</v>
      </c>
      <c r="C2016" s="7">
        <v>1903050</v>
      </c>
      <c r="D2016" s="7">
        <f t="shared" si="33"/>
        <v>951525</v>
      </c>
      <c r="E2016" s="11">
        <f t="shared" si="32"/>
        <v>951525</v>
      </c>
      <c r="F2016" t="str">
        <f>VLOOKUP(A2016,[1]!Table1[#All],17,FALSE)</f>
        <v>UGANDA</v>
      </c>
      <c r="G2016" t="str">
        <f>VLOOKUP(A2016,[1]!Table1[#All],22,FALSE)</f>
        <v>MAKERERE UNIVERSITY SCHOOL OF PUBLIC HEALTH</v>
      </c>
      <c r="H2016" s="8">
        <f>VLOOKUP(A2016,[1]!Table1[#All],32,FALSE)</f>
        <v>44469</v>
      </c>
      <c r="I2016" s="8">
        <f>VLOOKUP(A2016,[1]!Table1[#All],33,FALSE)</f>
        <v>46294</v>
      </c>
      <c r="J2016" t="str">
        <f t="shared" ca="1" si="31"/>
        <v>Non UDO</v>
      </c>
    </row>
    <row r="2017" spans="1:10" x14ac:dyDescent="0.35">
      <c r="A2017" s="9" t="s">
        <v>64</v>
      </c>
      <c r="B2017" s="10">
        <v>45170</v>
      </c>
      <c r="C2017" s="11">
        <v>1903050</v>
      </c>
      <c r="D2017" s="7">
        <f t="shared" si="33"/>
        <v>951525</v>
      </c>
      <c r="E2017" s="11">
        <f t="shared" si="32"/>
        <v>951525</v>
      </c>
      <c r="F2017" t="str">
        <f>VLOOKUP(A2017,[1]!Table1[#All],17,FALSE)</f>
        <v>UGANDA</v>
      </c>
      <c r="G2017" t="str">
        <f>VLOOKUP(A2017,[1]!Table1[#All],22,FALSE)</f>
        <v>MAKERERE UNIVERSITY SCHOOL OF PUBLIC HEALTH</v>
      </c>
      <c r="H2017" s="8">
        <f>VLOOKUP(A2017,[1]!Table1[#All],32,FALSE)</f>
        <v>44469</v>
      </c>
      <c r="I2017" s="8">
        <f>VLOOKUP(A2017,[1]!Table1[#All],33,FALSE)</f>
        <v>46294</v>
      </c>
      <c r="J2017" t="str">
        <f t="shared" ca="1" si="31"/>
        <v>Non UDO</v>
      </c>
    </row>
    <row r="2018" spans="1:10" x14ac:dyDescent="0.35">
      <c r="A2018" s="5" t="s">
        <v>65</v>
      </c>
      <c r="B2018" s="6">
        <v>44440</v>
      </c>
      <c r="C2018" s="7">
        <v>150000</v>
      </c>
      <c r="D2018" s="7">
        <v>0</v>
      </c>
      <c r="E2018" s="7">
        <v>150000</v>
      </c>
      <c r="F2018" t="str">
        <f>VLOOKUP(A2018,[1]!Table1[#All],17,FALSE)</f>
        <v>UNITED STATES</v>
      </c>
      <c r="G2018" t="str">
        <f>VLOOKUP(A2018,[1]!Table1[#All],22,FALSE)</f>
        <v>FAMILY HEALTH INTERNATIONAL</v>
      </c>
      <c r="H2018" s="8">
        <f>VLOOKUP(A2018,[1]!Table1[#All],32,FALSE)</f>
        <v>44469</v>
      </c>
      <c r="I2018" s="8">
        <f>VLOOKUP(A2018,[1]!Table1[#All],33,FALSE)</f>
        <v>46294</v>
      </c>
      <c r="J2018" t="str">
        <f t="shared" ca="1" si="31"/>
        <v>Non UDO</v>
      </c>
    </row>
    <row r="2019" spans="1:10" x14ac:dyDescent="0.35">
      <c r="A2019" s="9" t="s">
        <v>65</v>
      </c>
      <c r="B2019" s="10">
        <v>44470</v>
      </c>
      <c r="C2019" s="11">
        <v>150000</v>
      </c>
      <c r="D2019" s="11">
        <v>0</v>
      </c>
      <c r="E2019" s="11">
        <v>150000</v>
      </c>
      <c r="F2019" t="str">
        <f>VLOOKUP(A2019,[1]!Table1[#All],17,FALSE)</f>
        <v>UNITED STATES</v>
      </c>
      <c r="G2019" t="str">
        <f>VLOOKUP(A2019,[1]!Table1[#All],22,FALSE)</f>
        <v>FAMILY HEALTH INTERNATIONAL</v>
      </c>
      <c r="H2019" s="8">
        <f>VLOOKUP(A2019,[1]!Table1[#All],32,FALSE)</f>
        <v>44469</v>
      </c>
      <c r="I2019" s="8">
        <f>VLOOKUP(A2019,[1]!Table1[#All],33,FALSE)</f>
        <v>46294</v>
      </c>
      <c r="J2019" t="str">
        <f t="shared" ca="1" si="31"/>
        <v>Non UDO</v>
      </c>
    </row>
    <row r="2020" spans="1:10" x14ac:dyDescent="0.35">
      <c r="A2020" s="5" t="s">
        <v>65</v>
      </c>
      <c r="B2020" s="6">
        <v>44501</v>
      </c>
      <c r="C2020" s="7">
        <v>150000</v>
      </c>
      <c r="D2020" s="7">
        <v>0</v>
      </c>
      <c r="E2020" s="7">
        <v>150000</v>
      </c>
      <c r="F2020" t="str">
        <f>VLOOKUP(A2020,[1]!Table1[#All],17,FALSE)</f>
        <v>UNITED STATES</v>
      </c>
      <c r="G2020" t="str">
        <f>VLOOKUP(A2020,[1]!Table1[#All],22,FALSE)</f>
        <v>FAMILY HEALTH INTERNATIONAL</v>
      </c>
      <c r="H2020" s="8">
        <f>VLOOKUP(A2020,[1]!Table1[#All],32,FALSE)</f>
        <v>44469</v>
      </c>
      <c r="I2020" s="8">
        <f>VLOOKUP(A2020,[1]!Table1[#All],33,FALSE)</f>
        <v>46294</v>
      </c>
      <c r="J2020" t="str">
        <f t="shared" ca="1" si="31"/>
        <v>Non UDO</v>
      </c>
    </row>
    <row r="2021" spans="1:10" x14ac:dyDescent="0.35">
      <c r="A2021" s="9" t="s">
        <v>65</v>
      </c>
      <c r="B2021" s="10">
        <v>44531</v>
      </c>
      <c r="C2021" s="11">
        <v>150000</v>
      </c>
      <c r="D2021" s="11">
        <v>814.32</v>
      </c>
      <c r="E2021" s="11">
        <v>149185.68</v>
      </c>
      <c r="F2021" t="str">
        <f>VLOOKUP(A2021,[1]!Table1[#All],17,FALSE)</f>
        <v>UNITED STATES</v>
      </c>
      <c r="G2021" t="str">
        <f>VLOOKUP(A2021,[1]!Table1[#All],22,FALSE)</f>
        <v>FAMILY HEALTH INTERNATIONAL</v>
      </c>
      <c r="H2021" s="8">
        <f>VLOOKUP(A2021,[1]!Table1[#All],32,FALSE)</f>
        <v>44469</v>
      </c>
      <c r="I2021" s="8">
        <f>VLOOKUP(A2021,[1]!Table1[#All],33,FALSE)</f>
        <v>46294</v>
      </c>
      <c r="J2021" t="str">
        <f t="shared" ca="1" si="31"/>
        <v>Non UDO</v>
      </c>
    </row>
    <row r="2022" spans="1:10" x14ac:dyDescent="0.35">
      <c r="A2022" s="5" t="s">
        <v>65</v>
      </c>
      <c r="B2022" s="6">
        <v>44562</v>
      </c>
      <c r="C2022" s="7">
        <v>150000</v>
      </c>
      <c r="D2022" s="7">
        <v>1425.97</v>
      </c>
      <c r="E2022" s="7">
        <v>148574.03</v>
      </c>
      <c r="F2022" t="str">
        <f>VLOOKUP(A2022,[1]!Table1[#All],17,FALSE)</f>
        <v>UNITED STATES</v>
      </c>
      <c r="G2022" t="str">
        <f>VLOOKUP(A2022,[1]!Table1[#All],22,FALSE)</f>
        <v>FAMILY HEALTH INTERNATIONAL</v>
      </c>
      <c r="H2022" s="8">
        <f>VLOOKUP(A2022,[1]!Table1[#All],32,FALSE)</f>
        <v>44469</v>
      </c>
      <c r="I2022" s="8">
        <f>VLOOKUP(A2022,[1]!Table1[#All],33,FALSE)</f>
        <v>46294</v>
      </c>
      <c r="J2022" t="str">
        <f t="shared" ca="1" si="31"/>
        <v>Non UDO</v>
      </c>
    </row>
    <row r="2023" spans="1:10" x14ac:dyDescent="0.35">
      <c r="A2023" s="9" t="s">
        <v>65</v>
      </c>
      <c r="B2023" s="10">
        <v>44593</v>
      </c>
      <c r="C2023" s="11">
        <v>150000</v>
      </c>
      <c r="D2023" s="11">
        <v>6568.42</v>
      </c>
      <c r="E2023" s="11">
        <v>143431.57999999999</v>
      </c>
      <c r="F2023" t="str">
        <f>VLOOKUP(A2023,[1]!Table1[#All],17,FALSE)</f>
        <v>UNITED STATES</v>
      </c>
      <c r="G2023" t="str">
        <f>VLOOKUP(A2023,[1]!Table1[#All],22,FALSE)</f>
        <v>FAMILY HEALTH INTERNATIONAL</v>
      </c>
      <c r="H2023" s="8">
        <f>VLOOKUP(A2023,[1]!Table1[#All],32,FALSE)</f>
        <v>44469</v>
      </c>
      <c r="I2023" s="8">
        <f>VLOOKUP(A2023,[1]!Table1[#All],33,FALSE)</f>
        <v>46294</v>
      </c>
      <c r="J2023" t="str">
        <f t="shared" ca="1" si="31"/>
        <v>Non UDO</v>
      </c>
    </row>
    <row r="2024" spans="1:10" x14ac:dyDescent="0.35">
      <c r="A2024" s="5" t="s">
        <v>65</v>
      </c>
      <c r="B2024" s="6">
        <v>44621</v>
      </c>
      <c r="C2024" s="7">
        <v>150000</v>
      </c>
      <c r="D2024" s="7">
        <v>7703.35</v>
      </c>
      <c r="E2024" s="7">
        <v>142296.65</v>
      </c>
      <c r="F2024" t="str">
        <f>VLOOKUP(A2024,[1]!Table1[#All],17,FALSE)</f>
        <v>UNITED STATES</v>
      </c>
      <c r="G2024" t="str">
        <f>VLOOKUP(A2024,[1]!Table1[#All],22,FALSE)</f>
        <v>FAMILY HEALTH INTERNATIONAL</v>
      </c>
      <c r="H2024" s="8">
        <f>VLOOKUP(A2024,[1]!Table1[#All],32,FALSE)</f>
        <v>44469</v>
      </c>
      <c r="I2024" s="8">
        <f>VLOOKUP(A2024,[1]!Table1[#All],33,FALSE)</f>
        <v>46294</v>
      </c>
      <c r="J2024" t="str">
        <f t="shared" ca="1" si="31"/>
        <v>Non UDO</v>
      </c>
    </row>
    <row r="2025" spans="1:10" x14ac:dyDescent="0.35">
      <c r="A2025" s="9" t="s">
        <v>65</v>
      </c>
      <c r="B2025" s="10">
        <v>44652</v>
      </c>
      <c r="C2025" s="11">
        <v>150000</v>
      </c>
      <c r="D2025" s="11">
        <v>33937.78</v>
      </c>
      <c r="E2025" s="11">
        <v>116062.22</v>
      </c>
      <c r="F2025" t="str">
        <f>VLOOKUP(A2025,[1]!Table1[#All],17,FALSE)</f>
        <v>UNITED STATES</v>
      </c>
      <c r="G2025" t="str">
        <f>VLOOKUP(A2025,[1]!Table1[#All],22,FALSE)</f>
        <v>FAMILY HEALTH INTERNATIONAL</v>
      </c>
      <c r="H2025" s="8">
        <f>VLOOKUP(A2025,[1]!Table1[#All],32,FALSE)</f>
        <v>44469</v>
      </c>
      <c r="I2025" s="8">
        <f>VLOOKUP(A2025,[1]!Table1[#All],33,FALSE)</f>
        <v>46294</v>
      </c>
      <c r="J2025" t="str">
        <f t="shared" ca="1" si="31"/>
        <v>Non UDO</v>
      </c>
    </row>
    <row r="2026" spans="1:10" x14ac:dyDescent="0.35">
      <c r="A2026" s="5" t="s">
        <v>65</v>
      </c>
      <c r="B2026" s="6">
        <v>44682</v>
      </c>
      <c r="C2026" s="7">
        <v>150000</v>
      </c>
      <c r="D2026" s="7">
        <v>70030.63</v>
      </c>
      <c r="E2026" s="7">
        <v>79969.37</v>
      </c>
      <c r="F2026" t="str">
        <f>VLOOKUP(A2026,[1]!Table1[#All],17,FALSE)</f>
        <v>UNITED STATES</v>
      </c>
      <c r="G2026" t="str">
        <f>VLOOKUP(A2026,[1]!Table1[#All],22,FALSE)</f>
        <v>FAMILY HEALTH INTERNATIONAL</v>
      </c>
      <c r="H2026" s="8">
        <f>VLOOKUP(A2026,[1]!Table1[#All],32,FALSE)</f>
        <v>44469</v>
      </c>
      <c r="I2026" s="8">
        <f>VLOOKUP(A2026,[1]!Table1[#All],33,FALSE)</f>
        <v>46294</v>
      </c>
      <c r="J2026" t="str">
        <f t="shared" ca="1" si="31"/>
        <v>Non UDO</v>
      </c>
    </row>
    <row r="2027" spans="1:10" x14ac:dyDescent="0.35">
      <c r="A2027" s="9" t="s">
        <v>65</v>
      </c>
      <c r="B2027" s="10">
        <v>44713</v>
      </c>
      <c r="C2027" s="11">
        <v>150000</v>
      </c>
      <c r="D2027" s="11">
        <v>76353.67</v>
      </c>
      <c r="E2027" s="11">
        <v>73646.33</v>
      </c>
      <c r="F2027" t="str">
        <f>VLOOKUP(A2027,[1]!Table1[#All],17,FALSE)</f>
        <v>UNITED STATES</v>
      </c>
      <c r="G2027" t="str">
        <f>VLOOKUP(A2027,[1]!Table1[#All],22,FALSE)</f>
        <v>FAMILY HEALTH INTERNATIONAL</v>
      </c>
      <c r="H2027" s="8">
        <f>VLOOKUP(A2027,[1]!Table1[#All],32,FALSE)</f>
        <v>44469</v>
      </c>
      <c r="I2027" s="8">
        <f>VLOOKUP(A2027,[1]!Table1[#All],33,FALSE)</f>
        <v>46294</v>
      </c>
      <c r="J2027" t="str">
        <f t="shared" ca="1" si="31"/>
        <v>Non UDO</v>
      </c>
    </row>
    <row r="2028" spans="1:10" x14ac:dyDescent="0.35">
      <c r="A2028" s="5" t="s">
        <v>65</v>
      </c>
      <c r="B2028" s="6">
        <v>44743</v>
      </c>
      <c r="C2028" s="7">
        <v>150000</v>
      </c>
      <c r="D2028" s="7">
        <v>87444.21</v>
      </c>
      <c r="E2028" s="7">
        <v>62555.79</v>
      </c>
      <c r="F2028" t="str">
        <f>VLOOKUP(A2028,[1]!Table1[#All],17,FALSE)</f>
        <v>UNITED STATES</v>
      </c>
      <c r="G2028" t="str">
        <f>VLOOKUP(A2028,[1]!Table1[#All],22,FALSE)</f>
        <v>FAMILY HEALTH INTERNATIONAL</v>
      </c>
      <c r="H2028" s="8">
        <f>VLOOKUP(A2028,[1]!Table1[#All],32,FALSE)</f>
        <v>44469</v>
      </c>
      <c r="I2028" s="8">
        <f>VLOOKUP(A2028,[1]!Table1[#All],33,FALSE)</f>
        <v>46294</v>
      </c>
      <c r="J2028" t="str">
        <f t="shared" ca="1" si="31"/>
        <v>Non UDO</v>
      </c>
    </row>
    <row r="2029" spans="1:10" x14ac:dyDescent="0.35">
      <c r="A2029" s="9" t="s">
        <v>65</v>
      </c>
      <c r="B2029" s="10">
        <v>44774</v>
      </c>
      <c r="C2029" s="11">
        <v>150000</v>
      </c>
      <c r="D2029" s="11">
        <v>101098.42</v>
      </c>
      <c r="E2029" s="11">
        <v>48901.58</v>
      </c>
      <c r="F2029" t="str">
        <f>VLOOKUP(A2029,[1]!Table1[#All],17,FALSE)</f>
        <v>UNITED STATES</v>
      </c>
      <c r="G2029" t="str">
        <f>VLOOKUP(A2029,[1]!Table1[#All],22,FALSE)</f>
        <v>FAMILY HEALTH INTERNATIONAL</v>
      </c>
      <c r="H2029" s="8">
        <f>VLOOKUP(A2029,[1]!Table1[#All],32,FALSE)</f>
        <v>44469</v>
      </c>
      <c r="I2029" s="8">
        <f>VLOOKUP(A2029,[1]!Table1[#All],33,FALSE)</f>
        <v>46294</v>
      </c>
      <c r="J2029" t="str">
        <f t="shared" ca="1" si="31"/>
        <v>Non UDO</v>
      </c>
    </row>
    <row r="2030" spans="1:10" x14ac:dyDescent="0.35">
      <c r="A2030" s="5" t="s">
        <v>65</v>
      </c>
      <c r="B2030" s="6">
        <v>44805</v>
      </c>
      <c r="C2030" s="7">
        <v>150000</v>
      </c>
      <c r="D2030" s="7">
        <v>106661.6</v>
      </c>
      <c r="E2030" s="7">
        <v>43338.400000000001</v>
      </c>
      <c r="F2030" t="str">
        <f>VLOOKUP(A2030,[1]!Table1[#All],17,FALSE)</f>
        <v>UNITED STATES</v>
      </c>
      <c r="G2030" t="str">
        <f>VLOOKUP(A2030,[1]!Table1[#All],22,FALSE)</f>
        <v>FAMILY HEALTH INTERNATIONAL</v>
      </c>
      <c r="H2030" s="8">
        <f>VLOOKUP(A2030,[1]!Table1[#All],32,FALSE)</f>
        <v>44469</v>
      </c>
      <c r="I2030" s="8">
        <f>VLOOKUP(A2030,[1]!Table1[#All],33,FALSE)</f>
        <v>46294</v>
      </c>
      <c r="J2030" t="str">
        <f t="shared" ca="1" si="31"/>
        <v>Non UDO</v>
      </c>
    </row>
    <row r="2031" spans="1:10" x14ac:dyDescent="0.35">
      <c r="A2031" s="9" t="s">
        <v>65</v>
      </c>
      <c r="B2031" s="10">
        <v>44835</v>
      </c>
      <c r="C2031" s="11">
        <v>150000</v>
      </c>
      <c r="D2031" s="11">
        <v>136580.79999999999</v>
      </c>
      <c r="E2031" s="11">
        <v>13419.2</v>
      </c>
      <c r="F2031" t="str">
        <f>VLOOKUP(A2031,[1]!Table1[#All],17,FALSE)</f>
        <v>UNITED STATES</v>
      </c>
      <c r="G2031" t="str">
        <f>VLOOKUP(A2031,[1]!Table1[#All],22,FALSE)</f>
        <v>FAMILY HEALTH INTERNATIONAL</v>
      </c>
      <c r="H2031" s="8">
        <f>VLOOKUP(A2031,[1]!Table1[#All],32,FALSE)</f>
        <v>44469</v>
      </c>
      <c r="I2031" s="8">
        <f>VLOOKUP(A2031,[1]!Table1[#All],33,FALSE)</f>
        <v>46294</v>
      </c>
      <c r="J2031" t="str">
        <f t="shared" ca="1" si="31"/>
        <v>Non UDO</v>
      </c>
    </row>
    <row r="2032" spans="1:10" x14ac:dyDescent="0.35">
      <c r="A2032" s="5" t="s">
        <v>65</v>
      </c>
      <c r="B2032" s="6">
        <v>44866</v>
      </c>
      <c r="C2032" s="7">
        <v>150000</v>
      </c>
      <c r="D2032" s="7">
        <v>136987.42000000001</v>
      </c>
      <c r="E2032" s="7">
        <v>13012.58</v>
      </c>
      <c r="F2032" t="str">
        <f>VLOOKUP(A2032,[1]!Table1[#All],17,FALSE)</f>
        <v>UNITED STATES</v>
      </c>
      <c r="G2032" t="str">
        <f>VLOOKUP(A2032,[1]!Table1[#All],22,FALSE)</f>
        <v>FAMILY HEALTH INTERNATIONAL</v>
      </c>
      <c r="H2032" s="8">
        <f>VLOOKUP(A2032,[1]!Table1[#All],32,FALSE)</f>
        <v>44469</v>
      </c>
      <c r="I2032" s="8">
        <f>VLOOKUP(A2032,[1]!Table1[#All],33,FALSE)</f>
        <v>46294</v>
      </c>
      <c r="J2032" t="str">
        <f t="shared" ca="1" si="31"/>
        <v>Non UDO</v>
      </c>
    </row>
    <row r="2033" spans="1:10" x14ac:dyDescent="0.35">
      <c r="A2033" s="9" t="s">
        <v>65</v>
      </c>
      <c r="B2033" s="10">
        <v>44896</v>
      </c>
      <c r="C2033" s="11">
        <v>150000</v>
      </c>
      <c r="D2033" s="11">
        <v>140069.26999999999</v>
      </c>
      <c r="E2033" s="11">
        <v>9930.73</v>
      </c>
      <c r="F2033" t="str">
        <f>VLOOKUP(A2033,[1]!Table1[#All],17,FALSE)</f>
        <v>UNITED STATES</v>
      </c>
      <c r="G2033" t="str">
        <f>VLOOKUP(A2033,[1]!Table1[#All],22,FALSE)</f>
        <v>FAMILY HEALTH INTERNATIONAL</v>
      </c>
      <c r="H2033" s="8">
        <f>VLOOKUP(A2033,[1]!Table1[#All],32,FALSE)</f>
        <v>44469</v>
      </c>
      <c r="I2033" s="8">
        <f>VLOOKUP(A2033,[1]!Table1[#All],33,FALSE)</f>
        <v>46294</v>
      </c>
      <c r="J2033" t="str">
        <f t="shared" ca="1" si="31"/>
        <v>Non UDO</v>
      </c>
    </row>
    <row r="2034" spans="1:10" x14ac:dyDescent="0.35">
      <c r="A2034" s="5" t="s">
        <v>65</v>
      </c>
      <c r="B2034" s="6">
        <v>44927</v>
      </c>
      <c r="C2034" s="7">
        <v>150000</v>
      </c>
      <c r="D2034" s="7">
        <v>142556.51999999999</v>
      </c>
      <c r="E2034" s="7">
        <v>7443.48</v>
      </c>
      <c r="F2034" t="str">
        <f>VLOOKUP(A2034,[1]!Table1[#All],17,FALSE)</f>
        <v>UNITED STATES</v>
      </c>
      <c r="G2034" t="str">
        <f>VLOOKUP(A2034,[1]!Table1[#All],22,FALSE)</f>
        <v>FAMILY HEALTH INTERNATIONAL</v>
      </c>
      <c r="H2034" s="8">
        <f>VLOOKUP(A2034,[1]!Table1[#All],32,FALSE)</f>
        <v>44469</v>
      </c>
      <c r="I2034" s="8">
        <f>VLOOKUP(A2034,[1]!Table1[#All],33,FALSE)</f>
        <v>46294</v>
      </c>
      <c r="J2034" t="str">
        <f t="shared" ca="1" si="31"/>
        <v>Non UDO</v>
      </c>
    </row>
    <row r="2035" spans="1:10" x14ac:dyDescent="0.35">
      <c r="A2035" s="9" t="s">
        <v>65</v>
      </c>
      <c r="B2035" s="10">
        <v>44958</v>
      </c>
      <c r="C2035" s="11">
        <v>150000</v>
      </c>
      <c r="D2035" s="11">
        <v>148483.89000000001</v>
      </c>
      <c r="E2035" s="11">
        <v>1516.11</v>
      </c>
      <c r="F2035" t="str">
        <f>VLOOKUP(A2035,[1]!Table1[#All],17,FALSE)</f>
        <v>UNITED STATES</v>
      </c>
      <c r="G2035" t="str">
        <f>VLOOKUP(A2035,[1]!Table1[#All],22,FALSE)</f>
        <v>FAMILY HEALTH INTERNATIONAL</v>
      </c>
      <c r="H2035" s="8">
        <f>VLOOKUP(A2035,[1]!Table1[#All],32,FALSE)</f>
        <v>44469</v>
      </c>
      <c r="I2035" s="8">
        <f>VLOOKUP(A2035,[1]!Table1[#All],33,FALSE)</f>
        <v>46294</v>
      </c>
      <c r="J2035" t="str">
        <f t="shared" ca="1" si="31"/>
        <v>Non UDO</v>
      </c>
    </row>
    <row r="2036" spans="1:10" x14ac:dyDescent="0.35">
      <c r="A2036" s="5" t="s">
        <v>65</v>
      </c>
      <c r="B2036" s="6">
        <v>44986</v>
      </c>
      <c r="C2036" s="7">
        <v>150000</v>
      </c>
      <c r="D2036" s="7">
        <v>150000</v>
      </c>
      <c r="E2036" s="7">
        <v>0</v>
      </c>
      <c r="F2036" t="str">
        <f>VLOOKUP(A2036,[1]!Table1[#All],17,FALSE)</f>
        <v>UNITED STATES</v>
      </c>
      <c r="G2036" t="str">
        <f>VLOOKUP(A2036,[1]!Table1[#All],22,FALSE)</f>
        <v>FAMILY HEALTH INTERNATIONAL</v>
      </c>
      <c r="H2036" s="8">
        <f>VLOOKUP(A2036,[1]!Table1[#All],32,FALSE)</f>
        <v>44469</v>
      </c>
      <c r="I2036" s="8">
        <f>VLOOKUP(A2036,[1]!Table1[#All],33,FALSE)</f>
        <v>46294</v>
      </c>
      <c r="J2036" t="str">
        <f t="shared" ca="1" si="31"/>
        <v>Non UDO</v>
      </c>
    </row>
    <row r="2037" spans="1:10" x14ac:dyDescent="0.35">
      <c r="A2037" s="9" t="s">
        <v>65</v>
      </c>
      <c r="B2037" s="10">
        <v>45017</v>
      </c>
      <c r="C2037" s="11">
        <v>150000</v>
      </c>
      <c r="D2037" s="11">
        <v>150000</v>
      </c>
      <c r="E2037" s="11">
        <v>0</v>
      </c>
      <c r="F2037" t="str">
        <f>VLOOKUP(A2037,[1]!Table1[#All],17,FALSE)</f>
        <v>UNITED STATES</v>
      </c>
      <c r="G2037" t="str">
        <f>VLOOKUP(A2037,[1]!Table1[#All],22,FALSE)</f>
        <v>FAMILY HEALTH INTERNATIONAL</v>
      </c>
      <c r="H2037" s="8">
        <f>VLOOKUP(A2037,[1]!Table1[#All],32,FALSE)</f>
        <v>44469</v>
      </c>
      <c r="I2037" s="8">
        <f>VLOOKUP(A2037,[1]!Table1[#All],33,FALSE)</f>
        <v>46294</v>
      </c>
      <c r="J2037" t="str">
        <f t="shared" ca="1" si="31"/>
        <v>Non UDO</v>
      </c>
    </row>
    <row r="2038" spans="1:10" x14ac:dyDescent="0.35">
      <c r="A2038" s="5" t="s">
        <v>65</v>
      </c>
      <c r="B2038" s="6">
        <v>45047</v>
      </c>
      <c r="C2038" s="7">
        <v>150000</v>
      </c>
      <c r="D2038" s="7">
        <v>150000</v>
      </c>
      <c r="E2038" s="7">
        <v>0</v>
      </c>
      <c r="F2038" t="str">
        <f>VLOOKUP(A2038,[1]!Table1[#All],17,FALSE)</f>
        <v>UNITED STATES</v>
      </c>
      <c r="G2038" t="str">
        <f>VLOOKUP(A2038,[1]!Table1[#All],22,FALSE)</f>
        <v>FAMILY HEALTH INTERNATIONAL</v>
      </c>
      <c r="H2038" s="8">
        <f>VLOOKUP(A2038,[1]!Table1[#All],32,FALSE)</f>
        <v>44469</v>
      </c>
      <c r="I2038" s="8">
        <f>VLOOKUP(A2038,[1]!Table1[#All],33,FALSE)</f>
        <v>46294</v>
      </c>
      <c r="J2038" t="str">
        <f t="shared" ca="1" si="31"/>
        <v>Non UDO</v>
      </c>
    </row>
    <row r="2039" spans="1:10" x14ac:dyDescent="0.35">
      <c r="A2039" s="9" t="s">
        <v>65</v>
      </c>
      <c r="B2039" s="10">
        <v>45078</v>
      </c>
      <c r="C2039" s="11">
        <v>150000</v>
      </c>
      <c r="D2039" s="11">
        <v>150000</v>
      </c>
      <c r="E2039" s="11">
        <v>0</v>
      </c>
      <c r="F2039" t="str">
        <f>VLOOKUP(A2039,[1]!Table1[#All],17,FALSE)</f>
        <v>UNITED STATES</v>
      </c>
      <c r="G2039" t="str">
        <f>VLOOKUP(A2039,[1]!Table1[#All],22,FALSE)</f>
        <v>FAMILY HEALTH INTERNATIONAL</v>
      </c>
      <c r="H2039" s="8">
        <f>VLOOKUP(A2039,[1]!Table1[#All],32,FALSE)</f>
        <v>44469</v>
      </c>
      <c r="I2039" s="8">
        <f>VLOOKUP(A2039,[1]!Table1[#All],33,FALSE)</f>
        <v>46294</v>
      </c>
      <c r="J2039" t="str">
        <f t="shared" ca="1" si="31"/>
        <v>Non UDO</v>
      </c>
    </row>
    <row r="2040" spans="1:10" x14ac:dyDescent="0.35">
      <c r="A2040" s="5" t="s">
        <v>65</v>
      </c>
      <c r="B2040" s="6">
        <v>45108</v>
      </c>
      <c r="C2040" s="7">
        <v>150000</v>
      </c>
      <c r="D2040" s="7">
        <v>150000</v>
      </c>
      <c r="E2040" s="7">
        <v>0</v>
      </c>
      <c r="F2040" t="str">
        <f>VLOOKUP(A2040,[1]!Table1[#All],17,FALSE)</f>
        <v>UNITED STATES</v>
      </c>
      <c r="G2040" t="str">
        <f>VLOOKUP(A2040,[1]!Table1[#All],22,FALSE)</f>
        <v>FAMILY HEALTH INTERNATIONAL</v>
      </c>
      <c r="H2040" s="8">
        <f>VLOOKUP(A2040,[1]!Table1[#All],32,FALSE)</f>
        <v>44469</v>
      </c>
      <c r="I2040" s="8">
        <f>VLOOKUP(A2040,[1]!Table1[#All],33,FALSE)</f>
        <v>46294</v>
      </c>
      <c r="J2040" t="str">
        <f t="shared" ca="1" si="31"/>
        <v>Non UDO</v>
      </c>
    </row>
    <row r="2041" spans="1:10" x14ac:dyDescent="0.35">
      <c r="A2041" s="9" t="s">
        <v>65</v>
      </c>
      <c r="B2041" s="10">
        <v>45139</v>
      </c>
      <c r="C2041" s="11">
        <v>150000</v>
      </c>
      <c r="D2041" s="11">
        <v>150000</v>
      </c>
      <c r="E2041" s="11">
        <v>0</v>
      </c>
      <c r="F2041" t="str">
        <f>VLOOKUP(A2041,[1]!Table1[#All],17,FALSE)</f>
        <v>UNITED STATES</v>
      </c>
      <c r="G2041" t="str">
        <f>VLOOKUP(A2041,[1]!Table1[#All],22,FALSE)</f>
        <v>FAMILY HEALTH INTERNATIONAL</v>
      </c>
      <c r="H2041" s="8">
        <f>VLOOKUP(A2041,[1]!Table1[#All],32,FALSE)</f>
        <v>44469</v>
      </c>
      <c r="I2041" s="8">
        <f>VLOOKUP(A2041,[1]!Table1[#All],33,FALSE)</f>
        <v>46294</v>
      </c>
      <c r="J2041" t="str">
        <f t="shared" ca="1" si="31"/>
        <v>Non UDO</v>
      </c>
    </row>
    <row r="2042" spans="1:10" x14ac:dyDescent="0.35">
      <c r="A2042" s="5" t="s">
        <v>65</v>
      </c>
      <c r="B2042" s="6">
        <v>45170</v>
      </c>
      <c r="C2042" s="7">
        <v>150000</v>
      </c>
      <c r="D2042" s="7">
        <v>150000</v>
      </c>
      <c r="E2042" s="7">
        <v>0</v>
      </c>
      <c r="F2042" t="str">
        <f>VLOOKUP(A2042,[1]!Table1[#All],17,FALSE)</f>
        <v>UNITED STATES</v>
      </c>
      <c r="G2042" t="str">
        <f>VLOOKUP(A2042,[1]!Table1[#All],22,FALSE)</f>
        <v>FAMILY HEALTH INTERNATIONAL</v>
      </c>
      <c r="H2042" s="8">
        <f>VLOOKUP(A2042,[1]!Table1[#All],32,FALSE)</f>
        <v>44469</v>
      </c>
      <c r="I2042" s="8">
        <f>VLOOKUP(A2042,[1]!Table1[#All],33,FALSE)</f>
        <v>46294</v>
      </c>
      <c r="J2042" t="str">
        <f t="shared" ca="1" si="31"/>
        <v>Non UDO</v>
      </c>
    </row>
    <row r="2043" spans="1:10" x14ac:dyDescent="0.35">
      <c r="A2043" s="9" t="s">
        <v>66</v>
      </c>
      <c r="B2043" s="10">
        <v>44652</v>
      </c>
      <c r="C2043" s="11">
        <v>149999</v>
      </c>
      <c r="D2043" s="11">
        <v>0</v>
      </c>
      <c r="E2043" s="11">
        <v>149999</v>
      </c>
      <c r="F2043" t="str">
        <f>VLOOKUP(A2043,[1]!Table1[#All],17,FALSE)</f>
        <v>UNITED STATES</v>
      </c>
      <c r="G2043" t="str">
        <f>VLOOKUP(A2043,[1]!Table1[#All],22,FALSE)</f>
        <v>SAN DIEGO STATE UNIVERSITY FOUNDATION</v>
      </c>
      <c r="H2043" s="8">
        <f>VLOOKUP(A2043,[1]!Table1[#All],32,FALSE)</f>
        <v>44104</v>
      </c>
      <c r="I2043" s="8">
        <f>VLOOKUP(A2043,[1]!Table1[#All],33,FALSE)</f>
        <v>45929</v>
      </c>
      <c r="J2043" t="str">
        <f t="shared" ca="1" si="31"/>
        <v>Non UDO</v>
      </c>
    </row>
    <row r="2044" spans="1:10" x14ac:dyDescent="0.35">
      <c r="A2044" s="5" t="s">
        <v>66</v>
      </c>
      <c r="B2044" s="6">
        <v>44682</v>
      </c>
      <c r="C2044" s="7">
        <v>149999</v>
      </c>
      <c r="D2044" s="7">
        <v>0</v>
      </c>
      <c r="E2044" s="7">
        <v>149999</v>
      </c>
      <c r="F2044" t="str">
        <f>VLOOKUP(A2044,[1]!Table1[#All],17,FALSE)</f>
        <v>UNITED STATES</v>
      </c>
      <c r="G2044" t="str">
        <f>VLOOKUP(A2044,[1]!Table1[#All],22,FALSE)</f>
        <v>SAN DIEGO STATE UNIVERSITY FOUNDATION</v>
      </c>
      <c r="H2044" s="8">
        <f>VLOOKUP(A2044,[1]!Table1[#All],32,FALSE)</f>
        <v>44104</v>
      </c>
      <c r="I2044" s="8">
        <f>VLOOKUP(A2044,[1]!Table1[#All],33,FALSE)</f>
        <v>45929</v>
      </c>
      <c r="J2044" t="str">
        <f t="shared" ca="1" si="31"/>
        <v>Non UDO</v>
      </c>
    </row>
    <row r="2045" spans="1:10" x14ac:dyDescent="0.35">
      <c r="A2045" s="9" t="s">
        <v>66</v>
      </c>
      <c r="B2045" s="10">
        <v>44713</v>
      </c>
      <c r="C2045" s="11">
        <v>149999</v>
      </c>
      <c r="D2045" s="11">
        <v>0</v>
      </c>
      <c r="E2045" s="11">
        <v>149999</v>
      </c>
      <c r="F2045" t="str">
        <f>VLOOKUP(A2045,[1]!Table1[#All],17,FALSE)</f>
        <v>UNITED STATES</v>
      </c>
      <c r="G2045" t="str">
        <f>VLOOKUP(A2045,[1]!Table1[#All],22,FALSE)</f>
        <v>SAN DIEGO STATE UNIVERSITY FOUNDATION</v>
      </c>
      <c r="H2045" s="8">
        <f>VLOOKUP(A2045,[1]!Table1[#All],32,FALSE)</f>
        <v>44104</v>
      </c>
      <c r="I2045" s="8">
        <f>VLOOKUP(A2045,[1]!Table1[#All],33,FALSE)</f>
        <v>45929</v>
      </c>
      <c r="J2045" t="str">
        <f t="shared" ca="1" si="31"/>
        <v>Non UDO</v>
      </c>
    </row>
    <row r="2046" spans="1:10" x14ac:dyDescent="0.35">
      <c r="A2046" s="5" t="s">
        <v>66</v>
      </c>
      <c r="B2046" s="6">
        <v>44743</v>
      </c>
      <c r="C2046" s="7">
        <v>149999</v>
      </c>
      <c r="D2046" s="7">
        <v>0</v>
      </c>
      <c r="E2046" s="7">
        <v>149999</v>
      </c>
      <c r="F2046" t="str">
        <f>VLOOKUP(A2046,[1]!Table1[#All],17,FALSE)</f>
        <v>UNITED STATES</v>
      </c>
      <c r="G2046" t="str">
        <f>VLOOKUP(A2046,[1]!Table1[#All],22,FALSE)</f>
        <v>SAN DIEGO STATE UNIVERSITY FOUNDATION</v>
      </c>
      <c r="H2046" s="8">
        <f>VLOOKUP(A2046,[1]!Table1[#All],32,FALSE)</f>
        <v>44104</v>
      </c>
      <c r="I2046" s="8">
        <f>VLOOKUP(A2046,[1]!Table1[#All],33,FALSE)</f>
        <v>45929</v>
      </c>
      <c r="J2046" t="str">
        <f t="shared" ca="1" si="31"/>
        <v>Non UDO</v>
      </c>
    </row>
    <row r="2047" spans="1:10" x14ac:dyDescent="0.35">
      <c r="A2047" s="9" t="s">
        <v>66</v>
      </c>
      <c r="B2047" s="10">
        <v>44774</v>
      </c>
      <c r="C2047" s="11">
        <v>149999</v>
      </c>
      <c r="D2047" s="11">
        <v>21887.03</v>
      </c>
      <c r="E2047" s="11">
        <v>128111.97</v>
      </c>
      <c r="F2047" t="str">
        <f>VLOOKUP(A2047,[1]!Table1[#All],17,FALSE)</f>
        <v>UNITED STATES</v>
      </c>
      <c r="G2047" t="str">
        <f>VLOOKUP(A2047,[1]!Table1[#All],22,FALSE)</f>
        <v>SAN DIEGO STATE UNIVERSITY FOUNDATION</v>
      </c>
      <c r="H2047" s="8">
        <f>VLOOKUP(A2047,[1]!Table1[#All],32,FALSE)</f>
        <v>44104</v>
      </c>
      <c r="I2047" s="8">
        <f>VLOOKUP(A2047,[1]!Table1[#All],33,FALSE)</f>
        <v>45929</v>
      </c>
      <c r="J2047" t="str">
        <f t="shared" ca="1" si="31"/>
        <v>Non UDO</v>
      </c>
    </row>
    <row r="2048" spans="1:10" x14ac:dyDescent="0.35">
      <c r="A2048" s="5" t="s">
        <v>66</v>
      </c>
      <c r="B2048" s="6">
        <v>44805</v>
      </c>
      <c r="C2048" s="7">
        <v>149999</v>
      </c>
      <c r="D2048" s="7">
        <v>24835.31</v>
      </c>
      <c r="E2048" s="7">
        <v>125163.69</v>
      </c>
      <c r="F2048" t="str">
        <f>VLOOKUP(A2048,[1]!Table1[#All],17,FALSE)</f>
        <v>UNITED STATES</v>
      </c>
      <c r="G2048" t="str">
        <f>VLOOKUP(A2048,[1]!Table1[#All],22,FALSE)</f>
        <v>SAN DIEGO STATE UNIVERSITY FOUNDATION</v>
      </c>
      <c r="H2048" s="8">
        <f>VLOOKUP(A2048,[1]!Table1[#All],32,FALSE)</f>
        <v>44104</v>
      </c>
      <c r="I2048" s="8">
        <f>VLOOKUP(A2048,[1]!Table1[#All],33,FALSE)</f>
        <v>45929</v>
      </c>
      <c r="J2048" t="str">
        <f t="shared" ca="1" si="31"/>
        <v>Non UDO</v>
      </c>
    </row>
    <row r="2049" spans="1:10" x14ac:dyDescent="0.35">
      <c r="A2049" s="9" t="s">
        <v>66</v>
      </c>
      <c r="B2049" s="10">
        <v>44835</v>
      </c>
      <c r="C2049" s="11">
        <v>149999</v>
      </c>
      <c r="D2049" s="11">
        <v>28528.66</v>
      </c>
      <c r="E2049" s="11">
        <v>121470.34</v>
      </c>
      <c r="F2049" t="str">
        <f>VLOOKUP(A2049,[1]!Table1[#All],17,FALSE)</f>
        <v>UNITED STATES</v>
      </c>
      <c r="G2049" t="str">
        <f>VLOOKUP(A2049,[1]!Table1[#All],22,FALSE)</f>
        <v>SAN DIEGO STATE UNIVERSITY FOUNDATION</v>
      </c>
      <c r="H2049" s="8">
        <f>VLOOKUP(A2049,[1]!Table1[#All],32,FALSE)</f>
        <v>44104</v>
      </c>
      <c r="I2049" s="8">
        <f>VLOOKUP(A2049,[1]!Table1[#All],33,FALSE)</f>
        <v>45929</v>
      </c>
      <c r="J2049" t="str">
        <f t="shared" ca="1" si="31"/>
        <v>Non UDO</v>
      </c>
    </row>
    <row r="2050" spans="1:10" x14ac:dyDescent="0.35">
      <c r="A2050" s="5" t="s">
        <v>66</v>
      </c>
      <c r="B2050" s="6">
        <v>44866</v>
      </c>
      <c r="C2050" s="7">
        <v>149999</v>
      </c>
      <c r="D2050" s="7">
        <v>36357.599999999999</v>
      </c>
      <c r="E2050" s="7">
        <v>113641.4</v>
      </c>
      <c r="F2050" t="str">
        <f>VLOOKUP(A2050,[1]!Table1[#All],17,FALSE)</f>
        <v>UNITED STATES</v>
      </c>
      <c r="G2050" t="str">
        <f>VLOOKUP(A2050,[1]!Table1[#All],22,FALSE)</f>
        <v>SAN DIEGO STATE UNIVERSITY FOUNDATION</v>
      </c>
      <c r="H2050" s="8">
        <f>VLOOKUP(A2050,[1]!Table1[#All],32,FALSE)</f>
        <v>44104</v>
      </c>
      <c r="I2050" s="8">
        <f>VLOOKUP(A2050,[1]!Table1[#All],33,FALSE)</f>
        <v>45929</v>
      </c>
      <c r="J2050" t="str">
        <f t="shared" ca="1" si="31"/>
        <v>Non UDO</v>
      </c>
    </row>
    <row r="2051" spans="1:10" x14ac:dyDescent="0.35">
      <c r="A2051" s="9" t="s">
        <v>66</v>
      </c>
      <c r="B2051" s="10">
        <v>44896</v>
      </c>
      <c r="C2051" s="11">
        <v>149999</v>
      </c>
      <c r="D2051" s="11">
        <v>42570.44</v>
      </c>
      <c r="E2051" s="11">
        <v>107428.56</v>
      </c>
      <c r="F2051" t="str">
        <f>VLOOKUP(A2051,[1]!Table1[#All],17,FALSE)</f>
        <v>UNITED STATES</v>
      </c>
      <c r="G2051" t="str">
        <f>VLOOKUP(A2051,[1]!Table1[#All],22,FALSE)</f>
        <v>SAN DIEGO STATE UNIVERSITY FOUNDATION</v>
      </c>
      <c r="H2051" s="8">
        <f>VLOOKUP(A2051,[1]!Table1[#All],32,FALSE)</f>
        <v>44104</v>
      </c>
      <c r="I2051" s="8">
        <f>VLOOKUP(A2051,[1]!Table1[#All],33,FALSE)</f>
        <v>45929</v>
      </c>
      <c r="J2051" t="str">
        <f t="shared" ref="J2051:J2114" ca="1" si="34">IF(AND( E2051&gt;0,TODAY()&gt;I2051),"UDO","Non UDO")</f>
        <v>Non UDO</v>
      </c>
    </row>
    <row r="2052" spans="1:10" x14ac:dyDescent="0.35">
      <c r="A2052" s="5" t="s">
        <v>66</v>
      </c>
      <c r="B2052" s="6">
        <v>44927</v>
      </c>
      <c r="C2052" s="7">
        <v>149999</v>
      </c>
      <c r="D2052" s="7">
        <v>48752.47</v>
      </c>
      <c r="E2052" s="7">
        <v>101246.53</v>
      </c>
      <c r="F2052" t="str">
        <f>VLOOKUP(A2052,[1]!Table1[#All],17,FALSE)</f>
        <v>UNITED STATES</v>
      </c>
      <c r="G2052" t="str">
        <f>VLOOKUP(A2052,[1]!Table1[#All],22,FALSE)</f>
        <v>SAN DIEGO STATE UNIVERSITY FOUNDATION</v>
      </c>
      <c r="H2052" s="8">
        <f>VLOOKUP(A2052,[1]!Table1[#All],32,FALSE)</f>
        <v>44104</v>
      </c>
      <c r="I2052" s="8">
        <f>VLOOKUP(A2052,[1]!Table1[#All],33,FALSE)</f>
        <v>45929</v>
      </c>
      <c r="J2052" t="str">
        <f t="shared" ca="1" si="34"/>
        <v>Non UDO</v>
      </c>
    </row>
    <row r="2053" spans="1:10" x14ac:dyDescent="0.35">
      <c r="A2053" s="9" t="s">
        <v>66</v>
      </c>
      <c r="B2053" s="10">
        <v>44958</v>
      </c>
      <c r="C2053" s="11">
        <v>149999</v>
      </c>
      <c r="D2053" s="11">
        <v>77393.59</v>
      </c>
      <c r="E2053" s="11">
        <v>72605.41</v>
      </c>
      <c r="F2053" t="str">
        <f>VLOOKUP(A2053,[1]!Table1[#All],17,FALSE)</f>
        <v>UNITED STATES</v>
      </c>
      <c r="G2053" t="str">
        <f>VLOOKUP(A2053,[1]!Table1[#All],22,FALSE)</f>
        <v>SAN DIEGO STATE UNIVERSITY FOUNDATION</v>
      </c>
      <c r="H2053" s="8">
        <f>VLOOKUP(A2053,[1]!Table1[#All],32,FALSE)</f>
        <v>44104</v>
      </c>
      <c r="I2053" s="8">
        <f>VLOOKUP(A2053,[1]!Table1[#All],33,FALSE)</f>
        <v>45929</v>
      </c>
      <c r="J2053" t="str">
        <f t="shared" ca="1" si="34"/>
        <v>Non UDO</v>
      </c>
    </row>
    <row r="2054" spans="1:10" x14ac:dyDescent="0.35">
      <c r="A2054" s="5" t="s">
        <v>66</v>
      </c>
      <c r="B2054" s="6">
        <v>44986</v>
      </c>
      <c r="C2054" s="7">
        <v>149999</v>
      </c>
      <c r="D2054" s="7">
        <v>93000.7</v>
      </c>
      <c r="E2054" s="7">
        <v>56998.3</v>
      </c>
      <c r="F2054" t="str">
        <f>VLOOKUP(A2054,[1]!Table1[#All],17,FALSE)</f>
        <v>UNITED STATES</v>
      </c>
      <c r="G2054" t="str">
        <f>VLOOKUP(A2054,[1]!Table1[#All],22,FALSE)</f>
        <v>SAN DIEGO STATE UNIVERSITY FOUNDATION</v>
      </c>
      <c r="H2054" s="8">
        <f>VLOOKUP(A2054,[1]!Table1[#All],32,FALSE)</f>
        <v>44104</v>
      </c>
      <c r="I2054" s="8">
        <f>VLOOKUP(A2054,[1]!Table1[#All],33,FALSE)</f>
        <v>45929</v>
      </c>
      <c r="J2054" t="str">
        <f t="shared" ca="1" si="34"/>
        <v>Non UDO</v>
      </c>
    </row>
    <row r="2055" spans="1:10" x14ac:dyDescent="0.35">
      <c r="A2055" s="9" t="s">
        <v>66</v>
      </c>
      <c r="B2055" s="10">
        <v>45017</v>
      </c>
      <c r="C2055" s="11">
        <v>149999</v>
      </c>
      <c r="D2055" s="11">
        <v>102188.44</v>
      </c>
      <c r="E2055" s="11">
        <v>47810.559999999998</v>
      </c>
      <c r="F2055" t="str">
        <f>VLOOKUP(A2055,[1]!Table1[#All],17,FALSE)</f>
        <v>UNITED STATES</v>
      </c>
      <c r="G2055" t="str">
        <f>VLOOKUP(A2055,[1]!Table1[#All],22,FALSE)</f>
        <v>SAN DIEGO STATE UNIVERSITY FOUNDATION</v>
      </c>
      <c r="H2055" s="8">
        <f>VLOOKUP(A2055,[1]!Table1[#All],32,FALSE)</f>
        <v>44104</v>
      </c>
      <c r="I2055" s="8">
        <f>VLOOKUP(A2055,[1]!Table1[#All],33,FALSE)</f>
        <v>45929</v>
      </c>
      <c r="J2055" t="str">
        <f t="shared" ca="1" si="34"/>
        <v>Non UDO</v>
      </c>
    </row>
    <row r="2056" spans="1:10" x14ac:dyDescent="0.35">
      <c r="A2056" s="5" t="s">
        <v>66</v>
      </c>
      <c r="B2056" s="6">
        <v>45047</v>
      </c>
      <c r="C2056" s="7">
        <v>149999</v>
      </c>
      <c r="D2056" s="7">
        <v>107654.13</v>
      </c>
      <c r="E2056" s="7">
        <v>42344.87</v>
      </c>
      <c r="F2056" t="str">
        <f>VLOOKUP(A2056,[1]!Table1[#All],17,FALSE)</f>
        <v>UNITED STATES</v>
      </c>
      <c r="G2056" t="str">
        <f>VLOOKUP(A2056,[1]!Table1[#All],22,FALSE)</f>
        <v>SAN DIEGO STATE UNIVERSITY FOUNDATION</v>
      </c>
      <c r="H2056" s="8">
        <f>VLOOKUP(A2056,[1]!Table1[#All],32,FALSE)</f>
        <v>44104</v>
      </c>
      <c r="I2056" s="8">
        <f>VLOOKUP(A2056,[1]!Table1[#All],33,FALSE)</f>
        <v>45929</v>
      </c>
      <c r="J2056" t="str">
        <f t="shared" ca="1" si="34"/>
        <v>Non UDO</v>
      </c>
    </row>
    <row r="2057" spans="1:10" x14ac:dyDescent="0.35">
      <c r="A2057" s="9" t="s">
        <v>66</v>
      </c>
      <c r="B2057" s="10">
        <v>45078</v>
      </c>
      <c r="C2057" s="11">
        <v>149999</v>
      </c>
      <c r="D2057" s="11">
        <v>113810.68</v>
      </c>
      <c r="E2057" s="11">
        <v>36188.32</v>
      </c>
      <c r="F2057" t="str">
        <f>VLOOKUP(A2057,[1]!Table1[#All],17,FALSE)</f>
        <v>UNITED STATES</v>
      </c>
      <c r="G2057" t="str">
        <f>VLOOKUP(A2057,[1]!Table1[#All],22,FALSE)</f>
        <v>SAN DIEGO STATE UNIVERSITY FOUNDATION</v>
      </c>
      <c r="H2057" s="8">
        <f>VLOOKUP(A2057,[1]!Table1[#All],32,FALSE)</f>
        <v>44104</v>
      </c>
      <c r="I2057" s="8">
        <f>VLOOKUP(A2057,[1]!Table1[#All],33,FALSE)</f>
        <v>45929</v>
      </c>
      <c r="J2057" t="str">
        <f t="shared" ca="1" si="34"/>
        <v>Non UDO</v>
      </c>
    </row>
    <row r="2058" spans="1:10" x14ac:dyDescent="0.35">
      <c r="A2058" s="5" t="s">
        <v>66</v>
      </c>
      <c r="B2058" s="6">
        <v>45108</v>
      </c>
      <c r="C2058" s="7">
        <v>149999</v>
      </c>
      <c r="D2058" s="7">
        <v>145622.79999999999</v>
      </c>
      <c r="E2058" s="7">
        <v>4376.2</v>
      </c>
      <c r="F2058" t="str">
        <f>VLOOKUP(A2058,[1]!Table1[#All],17,FALSE)</f>
        <v>UNITED STATES</v>
      </c>
      <c r="G2058" t="str">
        <f>VLOOKUP(A2058,[1]!Table1[#All],22,FALSE)</f>
        <v>SAN DIEGO STATE UNIVERSITY FOUNDATION</v>
      </c>
      <c r="H2058" s="8">
        <f>VLOOKUP(A2058,[1]!Table1[#All],32,FALSE)</f>
        <v>44104</v>
      </c>
      <c r="I2058" s="8">
        <f>VLOOKUP(A2058,[1]!Table1[#All],33,FALSE)</f>
        <v>45929</v>
      </c>
      <c r="J2058" t="str">
        <f t="shared" ca="1" si="34"/>
        <v>Non UDO</v>
      </c>
    </row>
    <row r="2059" spans="1:10" x14ac:dyDescent="0.35">
      <c r="A2059" s="9" t="s">
        <v>66</v>
      </c>
      <c r="B2059" s="10">
        <v>45139</v>
      </c>
      <c r="C2059" s="11">
        <v>149999</v>
      </c>
      <c r="D2059" s="11">
        <v>149999</v>
      </c>
      <c r="E2059" s="11">
        <v>0</v>
      </c>
      <c r="F2059" t="str">
        <f>VLOOKUP(A2059,[1]!Table1[#All],17,FALSE)</f>
        <v>UNITED STATES</v>
      </c>
      <c r="G2059" t="str">
        <f>VLOOKUP(A2059,[1]!Table1[#All],22,FALSE)</f>
        <v>SAN DIEGO STATE UNIVERSITY FOUNDATION</v>
      </c>
      <c r="H2059" s="8">
        <f>VLOOKUP(A2059,[1]!Table1[#All],32,FALSE)</f>
        <v>44104</v>
      </c>
      <c r="I2059" s="8">
        <f>VLOOKUP(A2059,[1]!Table1[#All],33,FALSE)</f>
        <v>45929</v>
      </c>
      <c r="J2059" t="str">
        <f t="shared" ca="1" si="34"/>
        <v>Non UDO</v>
      </c>
    </row>
    <row r="2060" spans="1:10" x14ac:dyDescent="0.35">
      <c r="A2060" s="5" t="s">
        <v>66</v>
      </c>
      <c r="B2060" s="6">
        <v>45170</v>
      </c>
      <c r="C2060" s="7">
        <v>149999</v>
      </c>
      <c r="D2060" s="7">
        <v>149999</v>
      </c>
      <c r="E2060" s="7">
        <v>0</v>
      </c>
      <c r="F2060" t="str">
        <f>VLOOKUP(A2060,[1]!Table1[#All],17,FALSE)</f>
        <v>UNITED STATES</v>
      </c>
      <c r="G2060" t="str">
        <f>VLOOKUP(A2060,[1]!Table1[#All],22,FALSE)</f>
        <v>SAN DIEGO STATE UNIVERSITY FOUNDATION</v>
      </c>
      <c r="H2060" s="8">
        <f>VLOOKUP(A2060,[1]!Table1[#All],32,FALSE)</f>
        <v>44104</v>
      </c>
      <c r="I2060" s="8">
        <f>VLOOKUP(A2060,[1]!Table1[#All],33,FALSE)</f>
        <v>45929</v>
      </c>
      <c r="J2060" t="str">
        <f t="shared" ca="1" si="34"/>
        <v>Non UDO</v>
      </c>
    </row>
    <row r="2061" spans="1:10" x14ac:dyDescent="0.35">
      <c r="A2061" s="9" t="s">
        <v>67</v>
      </c>
      <c r="B2061" s="10">
        <v>44774</v>
      </c>
      <c r="C2061" s="11">
        <v>912767</v>
      </c>
      <c r="D2061" s="11">
        <v>0</v>
      </c>
      <c r="E2061" s="11">
        <v>912767</v>
      </c>
      <c r="F2061" t="str">
        <f>VLOOKUP(A2061,[1]!Table1[#All],17,FALSE)</f>
        <v>UNITED STATES</v>
      </c>
      <c r="G2061" t="str">
        <f>VLOOKUP(A2061,[1]!Table1[#All],22,FALSE)</f>
        <v>Trustees Of Columbia University In The City Of New York</v>
      </c>
      <c r="H2061" s="8">
        <f>VLOOKUP(A2061,[1]!Table1[#All],32,FALSE)</f>
        <v>44834</v>
      </c>
      <c r="I2061" s="8">
        <f>VLOOKUP(A2061,[1]!Table1[#All],33,FALSE)</f>
        <v>46659</v>
      </c>
      <c r="J2061" t="str">
        <f t="shared" ca="1" si="34"/>
        <v>Non UDO</v>
      </c>
    </row>
    <row r="2062" spans="1:10" x14ac:dyDescent="0.35">
      <c r="A2062" s="5" t="s">
        <v>67</v>
      </c>
      <c r="B2062" s="6">
        <v>44805</v>
      </c>
      <c r="C2062" s="7">
        <v>912767</v>
      </c>
      <c r="D2062" s="7">
        <v>0</v>
      </c>
      <c r="E2062" s="7">
        <v>912767</v>
      </c>
      <c r="F2062" t="str">
        <f>VLOOKUP(A2062,[1]!Table1[#All],17,FALSE)</f>
        <v>UNITED STATES</v>
      </c>
      <c r="G2062" t="str">
        <f>VLOOKUP(A2062,[1]!Table1[#All],22,FALSE)</f>
        <v>Trustees Of Columbia University In The City Of New York</v>
      </c>
      <c r="H2062" s="8">
        <f>VLOOKUP(A2062,[1]!Table1[#All],32,FALSE)</f>
        <v>44834</v>
      </c>
      <c r="I2062" s="8">
        <f>VLOOKUP(A2062,[1]!Table1[#All],33,FALSE)</f>
        <v>46659</v>
      </c>
      <c r="J2062" t="str">
        <f t="shared" ca="1" si="34"/>
        <v>Non UDO</v>
      </c>
    </row>
    <row r="2063" spans="1:10" x14ac:dyDescent="0.35">
      <c r="A2063" s="9" t="s">
        <v>67</v>
      </c>
      <c r="B2063" s="10">
        <v>44835</v>
      </c>
      <c r="C2063" s="11">
        <v>912767</v>
      </c>
      <c r="D2063" s="11">
        <v>9801.6</v>
      </c>
      <c r="E2063" s="11">
        <v>902965.4</v>
      </c>
      <c r="F2063" t="str">
        <f>VLOOKUP(A2063,[1]!Table1[#All],17,FALSE)</f>
        <v>UNITED STATES</v>
      </c>
      <c r="G2063" t="str">
        <f>VLOOKUP(A2063,[1]!Table1[#All],22,FALSE)</f>
        <v>Trustees Of Columbia University In The City Of New York</v>
      </c>
      <c r="H2063" s="8">
        <f>VLOOKUP(A2063,[1]!Table1[#All],32,FALSE)</f>
        <v>44834</v>
      </c>
      <c r="I2063" s="8">
        <f>VLOOKUP(A2063,[1]!Table1[#All],33,FALSE)</f>
        <v>46659</v>
      </c>
      <c r="J2063" t="str">
        <f t="shared" ca="1" si="34"/>
        <v>Non UDO</v>
      </c>
    </row>
    <row r="2064" spans="1:10" x14ac:dyDescent="0.35">
      <c r="A2064" s="5" t="s">
        <v>67</v>
      </c>
      <c r="B2064" s="6">
        <v>44866</v>
      </c>
      <c r="C2064" s="7">
        <v>912767</v>
      </c>
      <c r="D2064" s="7">
        <v>44776.509999999995</v>
      </c>
      <c r="E2064" s="7">
        <v>867990.49</v>
      </c>
      <c r="F2064" t="str">
        <f>VLOOKUP(A2064,[1]!Table1[#All],17,FALSE)</f>
        <v>UNITED STATES</v>
      </c>
      <c r="G2064" t="str">
        <f>VLOOKUP(A2064,[1]!Table1[#All],22,FALSE)</f>
        <v>Trustees Of Columbia University In The City Of New York</v>
      </c>
      <c r="H2064" s="8">
        <f>VLOOKUP(A2064,[1]!Table1[#All],32,FALSE)</f>
        <v>44834</v>
      </c>
      <c r="I2064" s="8">
        <f>VLOOKUP(A2064,[1]!Table1[#All],33,FALSE)</f>
        <v>46659</v>
      </c>
      <c r="J2064" t="str">
        <f t="shared" ca="1" si="34"/>
        <v>Non UDO</v>
      </c>
    </row>
    <row r="2065" spans="1:10" x14ac:dyDescent="0.35">
      <c r="A2065" s="9" t="s">
        <v>67</v>
      </c>
      <c r="B2065" s="10">
        <v>44896</v>
      </c>
      <c r="C2065" s="11">
        <v>912767</v>
      </c>
      <c r="D2065" s="11">
        <v>121658.97</v>
      </c>
      <c r="E2065" s="11">
        <v>791108.03</v>
      </c>
      <c r="F2065" t="str">
        <f>VLOOKUP(A2065,[1]!Table1[#All],17,FALSE)</f>
        <v>UNITED STATES</v>
      </c>
      <c r="G2065" t="str">
        <f>VLOOKUP(A2065,[1]!Table1[#All],22,FALSE)</f>
        <v>Trustees Of Columbia University In The City Of New York</v>
      </c>
      <c r="H2065" s="8">
        <f>VLOOKUP(A2065,[1]!Table1[#All],32,FALSE)</f>
        <v>44834</v>
      </c>
      <c r="I2065" s="8">
        <f>VLOOKUP(A2065,[1]!Table1[#All],33,FALSE)</f>
        <v>46659</v>
      </c>
      <c r="J2065" t="str">
        <f t="shared" ca="1" si="34"/>
        <v>Non UDO</v>
      </c>
    </row>
    <row r="2066" spans="1:10" x14ac:dyDescent="0.35">
      <c r="A2066" s="5" t="s">
        <v>67</v>
      </c>
      <c r="B2066" s="6">
        <v>44927</v>
      </c>
      <c r="C2066" s="7">
        <v>912767</v>
      </c>
      <c r="D2066" s="7">
        <v>126466.48999999999</v>
      </c>
      <c r="E2066" s="7">
        <v>786300.51</v>
      </c>
      <c r="F2066" t="str">
        <f>VLOOKUP(A2066,[1]!Table1[#All],17,FALSE)</f>
        <v>UNITED STATES</v>
      </c>
      <c r="G2066" t="str">
        <f>VLOOKUP(A2066,[1]!Table1[#All],22,FALSE)</f>
        <v>Trustees Of Columbia University In The City Of New York</v>
      </c>
      <c r="H2066" s="8">
        <f>VLOOKUP(A2066,[1]!Table1[#All],32,FALSE)</f>
        <v>44834</v>
      </c>
      <c r="I2066" s="8">
        <f>VLOOKUP(A2066,[1]!Table1[#All],33,FALSE)</f>
        <v>46659</v>
      </c>
      <c r="J2066" t="str">
        <f t="shared" ca="1" si="34"/>
        <v>Non UDO</v>
      </c>
    </row>
    <row r="2067" spans="1:10" x14ac:dyDescent="0.35">
      <c r="A2067" s="9" t="s">
        <v>67</v>
      </c>
      <c r="B2067" s="10">
        <v>44958</v>
      </c>
      <c r="C2067" s="11">
        <v>912767</v>
      </c>
      <c r="D2067" s="11">
        <v>218386.61000000002</v>
      </c>
      <c r="E2067" s="11">
        <v>694380.39</v>
      </c>
      <c r="F2067" t="str">
        <f>VLOOKUP(A2067,[1]!Table1[#All],17,FALSE)</f>
        <v>UNITED STATES</v>
      </c>
      <c r="G2067" t="str">
        <f>VLOOKUP(A2067,[1]!Table1[#All],22,FALSE)</f>
        <v>Trustees Of Columbia University In The City Of New York</v>
      </c>
      <c r="H2067" s="8">
        <f>VLOOKUP(A2067,[1]!Table1[#All],32,FALSE)</f>
        <v>44834</v>
      </c>
      <c r="I2067" s="8">
        <f>VLOOKUP(A2067,[1]!Table1[#All],33,FALSE)</f>
        <v>46659</v>
      </c>
      <c r="J2067" t="str">
        <f t="shared" ca="1" si="34"/>
        <v>Non UDO</v>
      </c>
    </row>
    <row r="2068" spans="1:10" x14ac:dyDescent="0.35">
      <c r="A2068" s="5" t="s">
        <v>67</v>
      </c>
      <c r="B2068" s="6">
        <v>44986</v>
      </c>
      <c r="C2068" s="7">
        <v>912767</v>
      </c>
      <c r="D2068" s="7">
        <v>316788.71999999997</v>
      </c>
      <c r="E2068" s="7">
        <v>595978.28</v>
      </c>
      <c r="F2068" t="str">
        <f>VLOOKUP(A2068,[1]!Table1[#All],17,FALSE)</f>
        <v>UNITED STATES</v>
      </c>
      <c r="G2068" t="str">
        <f>VLOOKUP(A2068,[1]!Table1[#All],22,FALSE)</f>
        <v>Trustees Of Columbia University In The City Of New York</v>
      </c>
      <c r="H2068" s="8">
        <f>VLOOKUP(A2068,[1]!Table1[#All],32,FALSE)</f>
        <v>44834</v>
      </c>
      <c r="I2068" s="8">
        <f>VLOOKUP(A2068,[1]!Table1[#All],33,FALSE)</f>
        <v>46659</v>
      </c>
      <c r="J2068" t="str">
        <f t="shared" ca="1" si="34"/>
        <v>Non UDO</v>
      </c>
    </row>
    <row r="2069" spans="1:10" x14ac:dyDescent="0.35">
      <c r="A2069" s="9" t="s">
        <v>67</v>
      </c>
      <c r="B2069" s="10">
        <v>45017</v>
      </c>
      <c r="C2069" s="11">
        <v>912767</v>
      </c>
      <c r="D2069" s="11">
        <v>390748.82</v>
      </c>
      <c r="E2069" s="11">
        <v>522018.18000000005</v>
      </c>
      <c r="F2069" t="str">
        <f>VLOOKUP(A2069,[1]!Table1[#All],17,FALSE)</f>
        <v>UNITED STATES</v>
      </c>
      <c r="G2069" t="str">
        <f>VLOOKUP(A2069,[1]!Table1[#All],22,FALSE)</f>
        <v>Trustees Of Columbia University In The City Of New York</v>
      </c>
      <c r="H2069" s="8">
        <f>VLOOKUP(A2069,[1]!Table1[#All],32,FALSE)</f>
        <v>44834</v>
      </c>
      <c r="I2069" s="8">
        <f>VLOOKUP(A2069,[1]!Table1[#All],33,FALSE)</f>
        <v>46659</v>
      </c>
      <c r="J2069" t="str">
        <f t="shared" ca="1" si="34"/>
        <v>Non UDO</v>
      </c>
    </row>
    <row r="2070" spans="1:10" x14ac:dyDescent="0.35">
      <c r="A2070" s="5" t="s">
        <v>67</v>
      </c>
      <c r="B2070" s="6">
        <v>45047</v>
      </c>
      <c r="C2070" s="7">
        <v>912767</v>
      </c>
      <c r="D2070" s="7">
        <v>506458.46</v>
      </c>
      <c r="E2070" s="7">
        <v>406308.54000000004</v>
      </c>
      <c r="F2070" t="str">
        <f>VLOOKUP(A2070,[1]!Table1[#All],17,FALSE)</f>
        <v>UNITED STATES</v>
      </c>
      <c r="G2070" t="str">
        <f>VLOOKUP(A2070,[1]!Table1[#All],22,FALSE)</f>
        <v>Trustees Of Columbia University In The City Of New York</v>
      </c>
      <c r="H2070" s="8">
        <f>VLOOKUP(A2070,[1]!Table1[#All],32,FALSE)</f>
        <v>44834</v>
      </c>
      <c r="I2070" s="8">
        <f>VLOOKUP(A2070,[1]!Table1[#All],33,FALSE)</f>
        <v>46659</v>
      </c>
      <c r="J2070" t="str">
        <f t="shared" ca="1" si="34"/>
        <v>Non UDO</v>
      </c>
    </row>
    <row r="2071" spans="1:10" x14ac:dyDescent="0.35">
      <c r="A2071" s="9" t="s">
        <v>67</v>
      </c>
      <c r="B2071" s="10">
        <v>45078</v>
      </c>
      <c r="C2071" s="11">
        <v>912767</v>
      </c>
      <c r="D2071" s="11">
        <v>554176.93999999994</v>
      </c>
      <c r="E2071" s="11">
        <v>358590.06000000006</v>
      </c>
      <c r="F2071" t="str">
        <f>VLOOKUP(A2071,[1]!Table1[#All],17,FALSE)</f>
        <v>UNITED STATES</v>
      </c>
      <c r="G2071" t="str">
        <f>VLOOKUP(A2071,[1]!Table1[#All],22,FALSE)</f>
        <v>Trustees Of Columbia University In The City Of New York</v>
      </c>
      <c r="H2071" s="8">
        <f>VLOOKUP(A2071,[1]!Table1[#All],32,FALSE)</f>
        <v>44834</v>
      </c>
      <c r="I2071" s="8">
        <f>VLOOKUP(A2071,[1]!Table1[#All],33,FALSE)</f>
        <v>46659</v>
      </c>
      <c r="J2071" t="str">
        <f t="shared" ca="1" si="34"/>
        <v>Non UDO</v>
      </c>
    </row>
    <row r="2072" spans="1:10" x14ac:dyDescent="0.35">
      <c r="A2072" s="5" t="s">
        <v>67</v>
      </c>
      <c r="B2072" s="6">
        <v>45108</v>
      </c>
      <c r="C2072" s="7">
        <v>912767</v>
      </c>
      <c r="D2072" s="7">
        <v>614931.75</v>
      </c>
      <c r="E2072" s="7">
        <v>297835.25</v>
      </c>
      <c r="F2072" t="str">
        <f>VLOOKUP(A2072,[1]!Table1[#All],17,FALSE)</f>
        <v>UNITED STATES</v>
      </c>
      <c r="G2072" t="str">
        <f>VLOOKUP(A2072,[1]!Table1[#All],22,FALSE)</f>
        <v>Trustees Of Columbia University In The City Of New York</v>
      </c>
      <c r="H2072" s="8">
        <f>VLOOKUP(A2072,[1]!Table1[#All],32,FALSE)</f>
        <v>44834</v>
      </c>
      <c r="I2072" s="8">
        <f>VLOOKUP(A2072,[1]!Table1[#All],33,FALSE)</f>
        <v>46659</v>
      </c>
      <c r="J2072" t="str">
        <f t="shared" ca="1" si="34"/>
        <v>Non UDO</v>
      </c>
    </row>
    <row r="2073" spans="1:10" x14ac:dyDescent="0.35">
      <c r="A2073" s="9" t="s">
        <v>67</v>
      </c>
      <c r="B2073" s="10">
        <v>45139</v>
      </c>
      <c r="C2073" s="11">
        <v>912767</v>
      </c>
      <c r="D2073" s="11">
        <v>691441.22</v>
      </c>
      <c r="E2073" s="11">
        <v>221325.77999999997</v>
      </c>
      <c r="F2073" t="str">
        <f>VLOOKUP(A2073,[1]!Table1[#All],17,FALSE)</f>
        <v>UNITED STATES</v>
      </c>
      <c r="G2073" t="str">
        <f>VLOOKUP(A2073,[1]!Table1[#All],22,FALSE)</f>
        <v>Trustees Of Columbia University In The City Of New York</v>
      </c>
      <c r="H2073" s="8">
        <f>VLOOKUP(A2073,[1]!Table1[#All],32,FALSE)</f>
        <v>44834</v>
      </c>
      <c r="I2073" s="8">
        <f>VLOOKUP(A2073,[1]!Table1[#All],33,FALSE)</f>
        <v>46659</v>
      </c>
      <c r="J2073" t="str">
        <f t="shared" ca="1" si="34"/>
        <v>Non UDO</v>
      </c>
    </row>
    <row r="2074" spans="1:10" x14ac:dyDescent="0.35">
      <c r="A2074" s="5" t="s">
        <v>67</v>
      </c>
      <c r="B2074" s="6">
        <v>45170</v>
      </c>
      <c r="C2074" s="7">
        <v>912767</v>
      </c>
      <c r="D2074" s="7">
        <v>857765.45000000007</v>
      </c>
      <c r="E2074" s="7">
        <v>55001.549999999996</v>
      </c>
      <c r="F2074" t="str">
        <f>VLOOKUP(A2074,[1]!Table1[#All],17,FALSE)</f>
        <v>UNITED STATES</v>
      </c>
      <c r="G2074" t="str">
        <f>VLOOKUP(A2074,[1]!Table1[#All],22,FALSE)</f>
        <v>Trustees Of Columbia University In The City Of New York</v>
      </c>
      <c r="H2074" s="8">
        <f>VLOOKUP(A2074,[1]!Table1[#All],32,FALSE)</f>
        <v>44834</v>
      </c>
      <c r="I2074" s="8">
        <f>VLOOKUP(A2074,[1]!Table1[#All],33,FALSE)</f>
        <v>46659</v>
      </c>
      <c r="J2074" t="str">
        <f t="shared" ca="1" si="34"/>
        <v>Non UDO</v>
      </c>
    </row>
    <row r="2075" spans="1:10" x14ac:dyDescent="0.35">
      <c r="A2075" s="9" t="s">
        <v>68</v>
      </c>
      <c r="B2075" s="10">
        <v>44105</v>
      </c>
      <c r="C2075" s="11">
        <v>765000</v>
      </c>
      <c r="D2075" s="11">
        <v>0</v>
      </c>
      <c r="E2075" s="11">
        <v>765000</v>
      </c>
      <c r="F2075" t="str">
        <f>VLOOKUP(A2075,[1]!Table1[#All],17,FALSE)</f>
        <v>COTE DIVOIRE</v>
      </c>
      <c r="G2075" t="str">
        <f>VLOOKUP(A2075,[1]!Table1[#All],22,FALSE)</f>
        <v>Aconda VS Cote D` Ivoire</v>
      </c>
      <c r="H2075" s="8">
        <f>VLOOKUP(A2075,[1]!Table1[#All],32,FALSE)</f>
        <v>44044</v>
      </c>
      <c r="I2075" s="8">
        <f>VLOOKUP(A2075,[1]!Table1[#All],33,FALSE)</f>
        <v>45929</v>
      </c>
      <c r="J2075" t="str">
        <f t="shared" ca="1" si="34"/>
        <v>Non UDO</v>
      </c>
    </row>
    <row r="2076" spans="1:10" x14ac:dyDescent="0.35">
      <c r="A2076" s="5" t="s">
        <v>68</v>
      </c>
      <c r="B2076" s="6">
        <v>44136</v>
      </c>
      <c r="C2076" s="7">
        <v>765000</v>
      </c>
      <c r="D2076" s="7">
        <v>0</v>
      </c>
      <c r="E2076" s="7">
        <v>765000</v>
      </c>
      <c r="F2076" t="str">
        <f>VLOOKUP(A2076,[1]!Table1[#All],17,FALSE)</f>
        <v>COTE DIVOIRE</v>
      </c>
      <c r="G2076" t="str">
        <f>VLOOKUP(A2076,[1]!Table1[#All],22,FALSE)</f>
        <v>Aconda VS Cote D` Ivoire</v>
      </c>
      <c r="H2076" s="8">
        <f>VLOOKUP(A2076,[1]!Table1[#All],32,FALSE)</f>
        <v>44044</v>
      </c>
      <c r="I2076" s="8">
        <f>VLOOKUP(A2076,[1]!Table1[#All],33,FALSE)</f>
        <v>45929</v>
      </c>
      <c r="J2076" t="str">
        <f t="shared" ca="1" si="34"/>
        <v>Non UDO</v>
      </c>
    </row>
    <row r="2077" spans="1:10" x14ac:dyDescent="0.35">
      <c r="A2077" s="9" t="s">
        <v>68</v>
      </c>
      <c r="B2077" s="10">
        <v>44166</v>
      </c>
      <c r="C2077" s="11">
        <v>765000</v>
      </c>
      <c r="D2077" s="11">
        <v>61239.76</v>
      </c>
      <c r="E2077" s="11">
        <v>703760.24</v>
      </c>
      <c r="F2077" t="str">
        <f>VLOOKUP(A2077,[1]!Table1[#All],17,FALSE)</f>
        <v>COTE DIVOIRE</v>
      </c>
      <c r="G2077" t="str">
        <f>VLOOKUP(A2077,[1]!Table1[#All],22,FALSE)</f>
        <v>Aconda VS Cote D` Ivoire</v>
      </c>
      <c r="H2077" s="8">
        <f>VLOOKUP(A2077,[1]!Table1[#All],32,FALSE)</f>
        <v>44044</v>
      </c>
      <c r="I2077" s="8">
        <f>VLOOKUP(A2077,[1]!Table1[#All],33,FALSE)</f>
        <v>45929</v>
      </c>
      <c r="J2077" t="str">
        <f t="shared" ca="1" si="34"/>
        <v>Non UDO</v>
      </c>
    </row>
    <row r="2078" spans="1:10" x14ac:dyDescent="0.35">
      <c r="A2078" s="5" t="s">
        <v>68</v>
      </c>
      <c r="B2078" s="6">
        <v>44197</v>
      </c>
      <c r="C2078" s="7">
        <v>765000</v>
      </c>
      <c r="D2078" s="7">
        <v>140005.81</v>
      </c>
      <c r="E2078" s="7">
        <v>624994.18999999994</v>
      </c>
      <c r="F2078" t="str">
        <f>VLOOKUP(A2078,[1]!Table1[#All],17,FALSE)</f>
        <v>COTE DIVOIRE</v>
      </c>
      <c r="G2078" t="str">
        <f>VLOOKUP(A2078,[1]!Table1[#All],22,FALSE)</f>
        <v>Aconda VS Cote D` Ivoire</v>
      </c>
      <c r="H2078" s="8">
        <f>VLOOKUP(A2078,[1]!Table1[#All],32,FALSE)</f>
        <v>44044</v>
      </c>
      <c r="I2078" s="8">
        <f>VLOOKUP(A2078,[1]!Table1[#All],33,FALSE)</f>
        <v>45929</v>
      </c>
      <c r="J2078" t="str">
        <f t="shared" ca="1" si="34"/>
        <v>Non UDO</v>
      </c>
    </row>
    <row r="2079" spans="1:10" x14ac:dyDescent="0.35">
      <c r="A2079" s="9" t="s">
        <v>68</v>
      </c>
      <c r="B2079" s="10">
        <v>44228</v>
      </c>
      <c r="C2079" s="11">
        <v>765000</v>
      </c>
      <c r="D2079" s="11">
        <v>196697.19</v>
      </c>
      <c r="E2079" s="11">
        <v>568302.81000000006</v>
      </c>
      <c r="F2079" t="str">
        <f>VLOOKUP(A2079,[1]!Table1[#All],17,FALSE)</f>
        <v>COTE DIVOIRE</v>
      </c>
      <c r="G2079" t="str">
        <f>VLOOKUP(A2079,[1]!Table1[#All],22,FALSE)</f>
        <v>Aconda VS Cote D` Ivoire</v>
      </c>
      <c r="H2079" s="8">
        <f>VLOOKUP(A2079,[1]!Table1[#All],32,FALSE)</f>
        <v>44044</v>
      </c>
      <c r="I2079" s="8">
        <f>VLOOKUP(A2079,[1]!Table1[#All],33,FALSE)</f>
        <v>45929</v>
      </c>
      <c r="J2079" t="str">
        <f t="shared" ca="1" si="34"/>
        <v>Non UDO</v>
      </c>
    </row>
    <row r="2080" spans="1:10" x14ac:dyDescent="0.35">
      <c r="A2080" s="5" t="s">
        <v>68</v>
      </c>
      <c r="B2080" s="6">
        <v>44256</v>
      </c>
      <c r="C2080" s="7">
        <v>765000</v>
      </c>
      <c r="D2080" s="7">
        <v>272431.72000000003</v>
      </c>
      <c r="E2080" s="7">
        <v>492568.27999999997</v>
      </c>
      <c r="F2080" t="str">
        <f>VLOOKUP(A2080,[1]!Table1[#All],17,FALSE)</f>
        <v>COTE DIVOIRE</v>
      </c>
      <c r="G2080" t="str">
        <f>VLOOKUP(A2080,[1]!Table1[#All],22,FALSE)</f>
        <v>Aconda VS Cote D` Ivoire</v>
      </c>
      <c r="H2080" s="8">
        <f>VLOOKUP(A2080,[1]!Table1[#All],32,FALSE)</f>
        <v>44044</v>
      </c>
      <c r="I2080" s="8">
        <f>VLOOKUP(A2080,[1]!Table1[#All],33,FALSE)</f>
        <v>45929</v>
      </c>
      <c r="J2080" t="str">
        <f t="shared" ca="1" si="34"/>
        <v>Non UDO</v>
      </c>
    </row>
    <row r="2081" spans="1:10" x14ac:dyDescent="0.35">
      <c r="A2081" s="9" t="s">
        <v>68</v>
      </c>
      <c r="B2081" s="10">
        <v>44287</v>
      </c>
      <c r="C2081" s="11">
        <v>295000</v>
      </c>
      <c r="D2081" s="11">
        <v>64069.22</v>
      </c>
      <c r="E2081" s="11">
        <v>230930.78</v>
      </c>
      <c r="F2081" t="str">
        <f>VLOOKUP(A2081,[1]!Table1[#All],17,FALSE)</f>
        <v>COTE DIVOIRE</v>
      </c>
      <c r="G2081" t="str">
        <f>VLOOKUP(A2081,[1]!Table1[#All],22,FALSE)</f>
        <v>Aconda VS Cote D` Ivoire</v>
      </c>
      <c r="H2081" s="8">
        <f>VLOOKUP(A2081,[1]!Table1[#All],32,FALSE)</f>
        <v>44044</v>
      </c>
      <c r="I2081" s="8">
        <f>VLOOKUP(A2081,[1]!Table1[#All],33,FALSE)</f>
        <v>45929</v>
      </c>
      <c r="J2081" t="str">
        <f t="shared" ca="1" si="34"/>
        <v>Non UDO</v>
      </c>
    </row>
    <row r="2082" spans="1:10" x14ac:dyDescent="0.35">
      <c r="A2082" s="5" t="s">
        <v>68</v>
      </c>
      <c r="B2082" s="6">
        <v>44317</v>
      </c>
      <c r="C2082" s="7">
        <v>765000</v>
      </c>
      <c r="D2082" s="7">
        <v>405353.18</v>
      </c>
      <c r="E2082" s="7">
        <v>359646.82</v>
      </c>
      <c r="F2082" t="str">
        <f>VLOOKUP(A2082,[1]!Table1[#All],17,FALSE)</f>
        <v>COTE DIVOIRE</v>
      </c>
      <c r="G2082" t="str">
        <f>VLOOKUP(A2082,[1]!Table1[#All],22,FALSE)</f>
        <v>Aconda VS Cote D` Ivoire</v>
      </c>
      <c r="H2082" s="8">
        <f>VLOOKUP(A2082,[1]!Table1[#All],32,FALSE)</f>
        <v>44044</v>
      </c>
      <c r="I2082" s="8">
        <f>VLOOKUP(A2082,[1]!Table1[#All],33,FALSE)</f>
        <v>45929</v>
      </c>
      <c r="J2082" t="str">
        <f t="shared" ca="1" si="34"/>
        <v>Non UDO</v>
      </c>
    </row>
    <row r="2083" spans="1:10" x14ac:dyDescent="0.35">
      <c r="A2083" s="9" t="s">
        <v>68</v>
      </c>
      <c r="B2083" s="10">
        <v>44348</v>
      </c>
      <c r="C2083" s="11">
        <v>765000</v>
      </c>
      <c r="D2083" s="11">
        <v>439620.61</v>
      </c>
      <c r="E2083" s="11">
        <v>325379.39</v>
      </c>
      <c r="F2083" t="str">
        <f>VLOOKUP(A2083,[1]!Table1[#All],17,FALSE)</f>
        <v>COTE DIVOIRE</v>
      </c>
      <c r="G2083" t="str">
        <f>VLOOKUP(A2083,[1]!Table1[#All],22,FALSE)</f>
        <v>Aconda VS Cote D` Ivoire</v>
      </c>
      <c r="H2083" s="8">
        <f>VLOOKUP(A2083,[1]!Table1[#All],32,FALSE)</f>
        <v>44044</v>
      </c>
      <c r="I2083" s="8">
        <f>VLOOKUP(A2083,[1]!Table1[#All],33,FALSE)</f>
        <v>45929</v>
      </c>
      <c r="J2083" t="str">
        <f t="shared" ca="1" si="34"/>
        <v>Non UDO</v>
      </c>
    </row>
    <row r="2084" spans="1:10" x14ac:dyDescent="0.35">
      <c r="A2084" s="5" t="s">
        <v>68</v>
      </c>
      <c r="B2084" s="6">
        <v>44378</v>
      </c>
      <c r="C2084" s="7">
        <v>765000</v>
      </c>
      <c r="D2084" s="7">
        <v>473490.6</v>
      </c>
      <c r="E2084" s="7">
        <v>291509.40000000002</v>
      </c>
      <c r="F2084" t="str">
        <f>VLOOKUP(A2084,[1]!Table1[#All],17,FALSE)</f>
        <v>COTE DIVOIRE</v>
      </c>
      <c r="G2084" t="str">
        <f>VLOOKUP(A2084,[1]!Table1[#All],22,FALSE)</f>
        <v>Aconda VS Cote D` Ivoire</v>
      </c>
      <c r="H2084" s="8">
        <f>VLOOKUP(A2084,[1]!Table1[#All],32,FALSE)</f>
        <v>44044</v>
      </c>
      <c r="I2084" s="8">
        <f>VLOOKUP(A2084,[1]!Table1[#All],33,FALSE)</f>
        <v>45929</v>
      </c>
      <c r="J2084" t="str">
        <f t="shared" ca="1" si="34"/>
        <v>Non UDO</v>
      </c>
    </row>
    <row r="2085" spans="1:10" x14ac:dyDescent="0.35">
      <c r="A2085" s="9" t="s">
        <v>68</v>
      </c>
      <c r="B2085" s="10">
        <v>44409</v>
      </c>
      <c r="C2085" s="11">
        <v>765000</v>
      </c>
      <c r="D2085" s="11">
        <v>546322.26</v>
      </c>
      <c r="E2085" s="11">
        <v>218677.74</v>
      </c>
      <c r="F2085" t="str">
        <f>VLOOKUP(A2085,[1]!Table1[#All],17,FALSE)</f>
        <v>COTE DIVOIRE</v>
      </c>
      <c r="G2085" t="str">
        <f>VLOOKUP(A2085,[1]!Table1[#All],22,FALSE)</f>
        <v>Aconda VS Cote D` Ivoire</v>
      </c>
      <c r="H2085" s="8">
        <f>VLOOKUP(A2085,[1]!Table1[#All],32,FALSE)</f>
        <v>44044</v>
      </c>
      <c r="I2085" s="8">
        <f>VLOOKUP(A2085,[1]!Table1[#All],33,FALSE)</f>
        <v>45929</v>
      </c>
      <c r="J2085" t="str">
        <f t="shared" ca="1" si="34"/>
        <v>Non UDO</v>
      </c>
    </row>
    <row r="2086" spans="1:10" x14ac:dyDescent="0.35">
      <c r="A2086" s="5" t="s">
        <v>68</v>
      </c>
      <c r="B2086" s="6">
        <v>44440</v>
      </c>
      <c r="C2086" s="7">
        <v>765000</v>
      </c>
      <c r="D2086" s="7">
        <v>612548.16</v>
      </c>
      <c r="E2086" s="7">
        <v>152451.84</v>
      </c>
      <c r="F2086" t="str">
        <f>VLOOKUP(A2086,[1]!Table1[#All],17,FALSE)</f>
        <v>COTE DIVOIRE</v>
      </c>
      <c r="G2086" t="str">
        <f>VLOOKUP(A2086,[1]!Table1[#All],22,FALSE)</f>
        <v>Aconda VS Cote D` Ivoire</v>
      </c>
      <c r="H2086" s="8">
        <f>VLOOKUP(A2086,[1]!Table1[#All],32,FALSE)</f>
        <v>44044</v>
      </c>
      <c r="I2086" s="8">
        <f>VLOOKUP(A2086,[1]!Table1[#All],33,FALSE)</f>
        <v>45929</v>
      </c>
      <c r="J2086" t="str">
        <f t="shared" ca="1" si="34"/>
        <v>Non UDO</v>
      </c>
    </row>
    <row r="2087" spans="1:10" x14ac:dyDescent="0.35">
      <c r="A2087" s="9" t="s">
        <v>68</v>
      </c>
      <c r="B2087" s="10">
        <v>44470</v>
      </c>
      <c r="C2087" s="11">
        <v>765000</v>
      </c>
      <c r="D2087" s="11">
        <v>612548.16</v>
      </c>
      <c r="E2087" s="11">
        <v>152451.84</v>
      </c>
      <c r="F2087" t="str">
        <f>VLOOKUP(A2087,[1]!Table1[#All],17,FALSE)</f>
        <v>COTE DIVOIRE</v>
      </c>
      <c r="G2087" t="str">
        <f>VLOOKUP(A2087,[1]!Table1[#All],22,FALSE)</f>
        <v>Aconda VS Cote D` Ivoire</v>
      </c>
      <c r="H2087" s="8">
        <f>VLOOKUP(A2087,[1]!Table1[#All],32,FALSE)</f>
        <v>44044</v>
      </c>
      <c r="I2087" s="8">
        <f>VLOOKUP(A2087,[1]!Table1[#All],33,FALSE)</f>
        <v>45929</v>
      </c>
      <c r="J2087" t="str">
        <f t="shared" ca="1" si="34"/>
        <v>Non UDO</v>
      </c>
    </row>
    <row r="2088" spans="1:10" x14ac:dyDescent="0.35">
      <c r="A2088" s="5" t="s">
        <v>68</v>
      </c>
      <c r="B2088" s="6">
        <v>44501</v>
      </c>
      <c r="C2088" s="7">
        <v>765000</v>
      </c>
      <c r="D2088" s="7">
        <v>621292.13</v>
      </c>
      <c r="E2088" s="7">
        <v>143707.87</v>
      </c>
      <c r="F2088" t="str">
        <f>VLOOKUP(A2088,[1]!Table1[#All],17,FALSE)</f>
        <v>COTE DIVOIRE</v>
      </c>
      <c r="G2088" t="str">
        <f>VLOOKUP(A2088,[1]!Table1[#All],22,FALSE)</f>
        <v>Aconda VS Cote D` Ivoire</v>
      </c>
      <c r="H2088" s="8">
        <f>VLOOKUP(A2088,[1]!Table1[#All],32,FALSE)</f>
        <v>44044</v>
      </c>
      <c r="I2088" s="8">
        <f>VLOOKUP(A2088,[1]!Table1[#All],33,FALSE)</f>
        <v>45929</v>
      </c>
      <c r="J2088" t="str">
        <f t="shared" ca="1" si="34"/>
        <v>Non UDO</v>
      </c>
    </row>
    <row r="2089" spans="1:10" x14ac:dyDescent="0.35">
      <c r="A2089" s="9" t="s">
        <v>68</v>
      </c>
      <c r="B2089" s="10">
        <v>44531</v>
      </c>
      <c r="C2089" s="11">
        <v>765000</v>
      </c>
      <c r="D2089" s="11">
        <v>632752.04</v>
      </c>
      <c r="E2089" s="11">
        <v>132247.96</v>
      </c>
      <c r="F2089" t="str">
        <f>VLOOKUP(A2089,[1]!Table1[#All],17,FALSE)</f>
        <v>COTE DIVOIRE</v>
      </c>
      <c r="G2089" t="str">
        <f>VLOOKUP(A2089,[1]!Table1[#All],22,FALSE)</f>
        <v>Aconda VS Cote D` Ivoire</v>
      </c>
      <c r="H2089" s="8">
        <f>VLOOKUP(A2089,[1]!Table1[#All],32,FALSE)</f>
        <v>44044</v>
      </c>
      <c r="I2089" s="8">
        <f>VLOOKUP(A2089,[1]!Table1[#All],33,FALSE)</f>
        <v>45929</v>
      </c>
      <c r="J2089" t="str">
        <f t="shared" ca="1" si="34"/>
        <v>Non UDO</v>
      </c>
    </row>
    <row r="2090" spans="1:10" x14ac:dyDescent="0.35">
      <c r="A2090" s="5" t="s">
        <v>68</v>
      </c>
      <c r="B2090" s="6">
        <v>44562</v>
      </c>
      <c r="C2090" s="7">
        <v>765000</v>
      </c>
      <c r="D2090" s="7">
        <v>661412.65</v>
      </c>
      <c r="E2090" s="7">
        <v>103587.35</v>
      </c>
      <c r="F2090" t="str">
        <f>VLOOKUP(A2090,[1]!Table1[#All],17,FALSE)</f>
        <v>COTE DIVOIRE</v>
      </c>
      <c r="G2090" t="str">
        <f>VLOOKUP(A2090,[1]!Table1[#All],22,FALSE)</f>
        <v>Aconda VS Cote D` Ivoire</v>
      </c>
      <c r="H2090" s="8">
        <f>VLOOKUP(A2090,[1]!Table1[#All],32,FALSE)</f>
        <v>44044</v>
      </c>
      <c r="I2090" s="8">
        <f>VLOOKUP(A2090,[1]!Table1[#All],33,FALSE)</f>
        <v>45929</v>
      </c>
      <c r="J2090" t="str">
        <f t="shared" ca="1" si="34"/>
        <v>Non UDO</v>
      </c>
    </row>
    <row r="2091" spans="1:10" x14ac:dyDescent="0.35">
      <c r="A2091" s="9" t="s">
        <v>68</v>
      </c>
      <c r="B2091" s="10">
        <v>44593</v>
      </c>
      <c r="C2091" s="11">
        <v>765000</v>
      </c>
      <c r="D2091" s="11">
        <v>703387.16</v>
      </c>
      <c r="E2091" s="11">
        <v>61612.84</v>
      </c>
      <c r="F2091" t="str">
        <f>VLOOKUP(A2091,[1]!Table1[#All],17,FALSE)</f>
        <v>COTE DIVOIRE</v>
      </c>
      <c r="G2091" t="str">
        <f>VLOOKUP(A2091,[1]!Table1[#All],22,FALSE)</f>
        <v>Aconda VS Cote D` Ivoire</v>
      </c>
      <c r="H2091" s="8">
        <f>VLOOKUP(A2091,[1]!Table1[#All],32,FALSE)</f>
        <v>44044</v>
      </c>
      <c r="I2091" s="8">
        <f>VLOOKUP(A2091,[1]!Table1[#All],33,FALSE)</f>
        <v>45929</v>
      </c>
      <c r="J2091" t="str">
        <f t="shared" ca="1" si="34"/>
        <v>Non UDO</v>
      </c>
    </row>
    <row r="2092" spans="1:10" x14ac:dyDescent="0.35">
      <c r="A2092" s="5" t="s">
        <v>68</v>
      </c>
      <c r="B2092" s="6">
        <v>44621</v>
      </c>
      <c r="C2092" s="7">
        <v>765000</v>
      </c>
      <c r="D2092" s="7">
        <v>712584.81</v>
      </c>
      <c r="E2092" s="7">
        <v>52415.19</v>
      </c>
      <c r="F2092" t="str">
        <f>VLOOKUP(A2092,[1]!Table1[#All],17,FALSE)</f>
        <v>COTE DIVOIRE</v>
      </c>
      <c r="G2092" t="str">
        <f>VLOOKUP(A2092,[1]!Table1[#All],22,FALSE)</f>
        <v>Aconda VS Cote D` Ivoire</v>
      </c>
      <c r="H2092" s="8">
        <f>VLOOKUP(A2092,[1]!Table1[#All],32,FALSE)</f>
        <v>44044</v>
      </c>
      <c r="I2092" s="8">
        <f>VLOOKUP(A2092,[1]!Table1[#All],33,FALSE)</f>
        <v>45929</v>
      </c>
      <c r="J2092" t="str">
        <f t="shared" ca="1" si="34"/>
        <v>Non UDO</v>
      </c>
    </row>
    <row r="2093" spans="1:10" x14ac:dyDescent="0.35">
      <c r="A2093" s="9" t="s">
        <v>68</v>
      </c>
      <c r="B2093" s="10">
        <v>44652</v>
      </c>
      <c r="C2093" s="11">
        <v>765000</v>
      </c>
      <c r="D2093" s="11">
        <v>712584.81</v>
      </c>
      <c r="E2093" s="11">
        <v>52415.19</v>
      </c>
      <c r="F2093" t="str">
        <f>VLOOKUP(A2093,[1]!Table1[#All],17,FALSE)</f>
        <v>COTE DIVOIRE</v>
      </c>
      <c r="G2093" t="str">
        <f>VLOOKUP(A2093,[1]!Table1[#All],22,FALSE)</f>
        <v>Aconda VS Cote D` Ivoire</v>
      </c>
      <c r="H2093" s="8">
        <f>VLOOKUP(A2093,[1]!Table1[#All],32,FALSE)</f>
        <v>44044</v>
      </c>
      <c r="I2093" s="8">
        <f>VLOOKUP(A2093,[1]!Table1[#All],33,FALSE)</f>
        <v>45929</v>
      </c>
      <c r="J2093" t="str">
        <f t="shared" ca="1" si="34"/>
        <v>Non UDO</v>
      </c>
    </row>
    <row r="2094" spans="1:10" x14ac:dyDescent="0.35">
      <c r="A2094" s="5" t="s">
        <v>68</v>
      </c>
      <c r="B2094" s="6">
        <v>44682</v>
      </c>
      <c r="C2094" s="7">
        <v>765000</v>
      </c>
      <c r="D2094" s="7">
        <v>729650.87</v>
      </c>
      <c r="E2094" s="7">
        <v>35349.129999999997</v>
      </c>
      <c r="F2094" t="str">
        <f>VLOOKUP(A2094,[1]!Table1[#All],17,FALSE)</f>
        <v>COTE DIVOIRE</v>
      </c>
      <c r="G2094" t="str">
        <f>VLOOKUP(A2094,[1]!Table1[#All],22,FALSE)</f>
        <v>Aconda VS Cote D` Ivoire</v>
      </c>
      <c r="H2094" s="8">
        <f>VLOOKUP(A2094,[1]!Table1[#All],32,FALSE)</f>
        <v>44044</v>
      </c>
      <c r="I2094" s="8">
        <f>VLOOKUP(A2094,[1]!Table1[#All],33,FALSE)</f>
        <v>45929</v>
      </c>
      <c r="J2094" t="str">
        <f t="shared" ca="1" si="34"/>
        <v>Non UDO</v>
      </c>
    </row>
    <row r="2095" spans="1:10" x14ac:dyDescent="0.35">
      <c r="A2095" s="9" t="s">
        <v>68</v>
      </c>
      <c r="B2095" s="10">
        <v>44713</v>
      </c>
      <c r="C2095" s="11">
        <v>765000</v>
      </c>
      <c r="D2095" s="11">
        <v>729650.87</v>
      </c>
      <c r="E2095" s="11">
        <v>35349.129999999997</v>
      </c>
      <c r="F2095" t="str">
        <f>VLOOKUP(A2095,[1]!Table1[#All],17,FALSE)</f>
        <v>COTE DIVOIRE</v>
      </c>
      <c r="G2095" t="str">
        <f>VLOOKUP(A2095,[1]!Table1[#All],22,FALSE)</f>
        <v>Aconda VS Cote D` Ivoire</v>
      </c>
      <c r="H2095" s="8">
        <f>VLOOKUP(A2095,[1]!Table1[#All],32,FALSE)</f>
        <v>44044</v>
      </c>
      <c r="I2095" s="8">
        <f>VLOOKUP(A2095,[1]!Table1[#All],33,FALSE)</f>
        <v>45929</v>
      </c>
      <c r="J2095" t="str">
        <f t="shared" ca="1" si="34"/>
        <v>Non UDO</v>
      </c>
    </row>
    <row r="2096" spans="1:10" x14ac:dyDescent="0.35">
      <c r="A2096" s="5" t="s">
        <v>68</v>
      </c>
      <c r="B2096" s="6">
        <v>44743</v>
      </c>
      <c r="C2096" s="7">
        <v>765000</v>
      </c>
      <c r="D2096" s="7">
        <v>729650.87</v>
      </c>
      <c r="E2096" s="7">
        <v>35349.129999999997</v>
      </c>
      <c r="F2096" t="str">
        <f>VLOOKUP(A2096,[1]!Table1[#All],17,FALSE)</f>
        <v>COTE DIVOIRE</v>
      </c>
      <c r="G2096" t="str">
        <f>VLOOKUP(A2096,[1]!Table1[#All],22,FALSE)</f>
        <v>Aconda VS Cote D` Ivoire</v>
      </c>
      <c r="H2096" s="8">
        <f>VLOOKUP(A2096,[1]!Table1[#All],32,FALSE)</f>
        <v>44044</v>
      </c>
      <c r="I2096" s="8">
        <f>VLOOKUP(A2096,[1]!Table1[#All],33,FALSE)</f>
        <v>45929</v>
      </c>
      <c r="J2096" t="str">
        <f t="shared" ca="1" si="34"/>
        <v>Non UDO</v>
      </c>
    </row>
    <row r="2097" spans="1:10" x14ac:dyDescent="0.35">
      <c r="A2097" s="9" t="s">
        <v>68</v>
      </c>
      <c r="B2097" s="10">
        <v>44774</v>
      </c>
      <c r="C2097" s="11">
        <v>765000</v>
      </c>
      <c r="D2097" s="11">
        <v>729650.87</v>
      </c>
      <c r="E2097" s="11">
        <v>35349.129999999997</v>
      </c>
      <c r="F2097" t="str">
        <f>VLOOKUP(A2097,[1]!Table1[#All],17,FALSE)</f>
        <v>COTE DIVOIRE</v>
      </c>
      <c r="G2097" t="str">
        <f>VLOOKUP(A2097,[1]!Table1[#All],22,FALSE)</f>
        <v>Aconda VS Cote D` Ivoire</v>
      </c>
      <c r="H2097" s="8">
        <f>VLOOKUP(A2097,[1]!Table1[#All],32,FALSE)</f>
        <v>44044</v>
      </c>
      <c r="I2097" s="8">
        <f>VLOOKUP(A2097,[1]!Table1[#All],33,FALSE)</f>
        <v>45929</v>
      </c>
      <c r="J2097" t="str">
        <f t="shared" ca="1" si="34"/>
        <v>Non UDO</v>
      </c>
    </row>
    <row r="2098" spans="1:10" x14ac:dyDescent="0.35">
      <c r="A2098" s="5" t="s">
        <v>68</v>
      </c>
      <c r="B2098" s="6">
        <v>44805</v>
      </c>
      <c r="C2098" s="7">
        <v>765000</v>
      </c>
      <c r="D2098" s="7">
        <v>765000</v>
      </c>
      <c r="E2098" s="7">
        <v>0</v>
      </c>
      <c r="F2098" t="str">
        <f>VLOOKUP(A2098,[1]!Table1[#All],17,FALSE)</f>
        <v>COTE DIVOIRE</v>
      </c>
      <c r="G2098" t="str">
        <f>VLOOKUP(A2098,[1]!Table1[#All],22,FALSE)</f>
        <v>Aconda VS Cote D` Ivoire</v>
      </c>
      <c r="H2098" s="8">
        <f>VLOOKUP(A2098,[1]!Table1[#All],32,FALSE)</f>
        <v>44044</v>
      </c>
      <c r="I2098" s="8">
        <f>VLOOKUP(A2098,[1]!Table1[#All],33,FALSE)</f>
        <v>45929</v>
      </c>
      <c r="J2098" t="str">
        <f t="shared" ca="1" si="34"/>
        <v>Non UDO</v>
      </c>
    </row>
    <row r="2099" spans="1:10" x14ac:dyDescent="0.35">
      <c r="A2099" s="9" t="s">
        <v>68</v>
      </c>
      <c r="B2099" s="10">
        <v>44835</v>
      </c>
      <c r="C2099" s="11">
        <v>765000</v>
      </c>
      <c r="D2099" s="11">
        <v>765000</v>
      </c>
      <c r="E2099" s="11">
        <v>0</v>
      </c>
      <c r="F2099" t="str">
        <f>VLOOKUP(A2099,[1]!Table1[#All],17,FALSE)</f>
        <v>COTE DIVOIRE</v>
      </c>
      <c r="G2099" t="str">
        <f>VLOOKUP(A2099,[1]!Table1[#All],22,FALSE)</f>
        <v>Aconda VS Cote D` Ivoire</v>
      </c>
      <c r="H2099" s="8">
        <f>VLOOKUP(A2099,[1]!Table1[#All],32,FALSE)</f>
        <v>44044</v>
      </c>
      <c r="I2099" s="8">
        <f>VLOOKUP(A2099,[1]!Table1[#All],33,FALSE)</f>
        <v>45929</v>
      </c>
      <c r="J2099" t="str">
        <f t="shared" ca="1" si="34"/>
        <v>Non UDO</v>
      </c>
    </row>
    <row r="2100" spans="1:10" x14ac:dyDescent="0.35">
      <c r="A2100" s="5" t="s">
        <v>68</v>
      </c>
      <c r="B2100" s="6">
        <v>44866</v>
      </c>
      <c r="C2100" s="7">
        <v>765000</v>
      </c>
      <c r="D2100" s="7">
        <v>765000</v>
      </c>
      <c r="E2100" s="7">
        <v>0</v>
      </c>
      <c r="F2100" t="str">
        <f>VLOOKUP(A2100,[1]!Table1[#All],17,FALSE)</f>
        <v>COTE DIVOIRE</v>
      </c>
      <c r="G2100" t="str">
        <f>VLOOKUP(A2100,[1]!Table1[#All],22,FALSE)</f>
        <v>Aconda VS Cote D` Ivoire</v>
      </c>
      <c r="H2100" s="8">
        <f>VLOOKUP(A2100,[1]!Table1[#All],32,FALSE)</f>
        <v>44044</v>
      </c>
      <c r="I2100" s="8">
        <f>VLOOKUP(A2100,[1]!Table1[#All],33,FALSE)</f>
        <v>45929</v>
      </c>
      <c r="J2100" t="str">
        <f t="shared" ca="1" si="34"/>
        <v>Non UDO</v>
      </c>
    </row>
    <row r="2101" spans="1:10" x14ac:dyDescent="0.35">
      <c r="A2101" s="9" t="s">
        <v>68</v>
      </c>
      <c r="B2101" s="10">
        <v>44896</v>
      </c>
      <c r="C2101" s="11">
        <v>765000</v>
      </c>
      <c r="D2101" s="11">
        <v>765000</v>
      </c>
      <c r="E2101" s="11">
        <v>0</v>
      </c>
      <c r="F2101" t="str">
        <f>VLOOKUP(A2101,[1]!Table1[#All],17,FALSE)</f>
        <v>COTE DIVOIRE</v>
      </c>
      <c r="G2101" t="str">
        <f>VLOOKUP(A2101,[1]!Table1[#All],22,FALSE)</f>
        <v>Aconda VS Cote D` Ivoire</v>
      </c>
      <c r="H2101" s="8">
        <f>VLOOKUP(A2101,[1]!Table1[#All],32,FALSE)</f>
        <v>44044</v>
      </c>
      <c r="I2101" s="8">
        <f>VLOOKUP(A2101,[1]!Table1[#All],33,FALSE)</f>
        <v>45929</v>
      </c>
      <c r="J2101" t="str">
        <f t="shared" ca="1" si="34"/>
        <v>Non UDO</v>
      </c>
    </row>
    <row r="2102" spans="1:10" x14ac:dyDescent="0.35">
      <c r="A2102" s="5" t="s">
        <v>68</v>
      </c>
      <c r="B2102" s="6">
        <v>44927</v>
      </c>
      <c r="C2102" s="7">
        <v>765000</v>
      </c>
      <c r="D2102" s="7">
        <v>765000</v>
      </c>
      <c r="E2102" s="7">
        <v>0</v>
      </c>
      <c r="F2102" t="str">
        <f>VLOOKUP(A2102,[1]!Table1[#All],17,FALSE)</f>
        <v>COTE DIVOIRE</v>
      </c>
      <c r="G2102" t="str">
        <f>VLOOKUP(A2102,[1]!Table1[#All],22,FALSE)</f>
        <v>Aconda VS Cote D` Ivoire</v>
      </c>
      <c r="H2102" s="8">
        <f>VLOOKUP(A2102,[1]!Table1[#All],32,FALSE)</f>
        <v>44044</v>
      </c>
      <c r="I2102" s="8">
        <f>VLOOKUP(A2102,[1]!Table1[#All],33,FALSE)</f>
        <v>45929</v>
      </c>
      <c r="J2102" t="str">
        <f t="shared" ca="1" si="34"/>
        <v>Non UDO</v>
      </c>
    </row>
    <row r="2103" spans="1:10" x14ac:dyDescent="0.35">
      <c r="A2103" s="9" t="s">
        <v>68</v>
      </c>
      <c r="B2103" s="10">
        <v>44958</v>
      </c>
      <c r="C2103" s="11">
        <v>765000</v>
      </c>
      <c r="D2103" s="11">
        <v>765000</v>
      </c>
      <c r="E2103" s="11">
        <v>0</v>
      </c>
      <c r="F2103" t="str">
        <f>VLOOKUP(A2103,[1]!Table1[#All],17,FALSE)</f>
        <v>COTE DIVOIRE</v>
      </c>
      <c r="G2103" t="str">
        <f>VLOOKUP(A2103,[1]!Table1[#All],22,FALSE)</f>
        <v>Aconda VS Cote D` Ivoire</v>
      </c>
      <c r="H2103" s="8">
        <f>VLOOKUP(A2103,[1]!Table1[#All],32,FALSE)</f>
        <v>44044</v>
      </c>
      <c r="I2103" s="8">
        <f>VLOOKUP(A2103,[1]!Table1[#All],33,FALSE)</f>
        <v>45929</v>
      </c>
      <c r="J2103" t="str">
        <f t="shared" ca="1" si="34"/>
        <v>Non UDO</v>
      </c>
    </row>
    <row r="2104" spans="1:10" x14ac:dyDescent="0.35">
      <c r="A2104" s="5" t="s">
        <v>68</v>
      </c>
      <c r="B2104" s="6">
        <v>44986</v>
      </c>
      <c r="C2104" s="7">
        <v>765000</v>
      </c>
      <c r="D2104" s="7">
        <v>765000</v>
      </c>
      <c r="E2104" s="7">
        <v>0</v>
      </c>
      <c r="F2104" t="str">
        <f>VLOOKUP(A2104,[1]!Table1[#All],17,FALSE)</f>
        <v>COTE DIVOIRE</v>
      </c>
      <c r="G2104" t="str">
        <f>VLOOKUP(A2104,[1]!Table1[#All],22,FALSE)</f>
        <v>Aconda VS Cote D` Ivoire</v>
      </c>
      <c r="H2104" s="8">
        <f>VLOOKUP(A2104,[1]!Table1[#All],32,FALSE)</f>
        <v>44044</v>
      </c>
      <c r="I2104" s="8">
        <f>VLOOKUP(A2104,[1]!Table1[#All],33,FALSE)</f>
        <v>45929</v>
      </c>
      <c r="J2104" t="str">
        <f t="shared" ca="1" si="34"/>
        <v>Non UDO</v>
      </c>
    </row>
    <row r="2105" spans="1:10" x14ac:dyDescent="0.35">
      <c r="A2105" s="9" t="s">
        <v>68</v>
      </c>
      <c r="B2105" s="10">
        <v>45017</v>
      </c>
      <c r="C2105" s="11">
        <v>765000</v>
      </c>
      <c r="D2105" s="11">
        <v>765000</v>
      </c>
      <c r="E2105" s="11">
        <v>0</v>
      </c>
      <c r="F2105" t="str">
        <f>VLOOKUP(A2105,[1]!Table1[#All],17,FALSE)</f>
        <v>COTE DIVOIRE</v>
      </c>
      <c r="G2105" t="str">
        <f>VLOOKUP(A2105,[1]!Table1[#All],22,FALSE)</f>
        <v>Aconda VS Cote D` Ivoire</v>
      </c>
      <c r="H2105" s="8">
        <f>VLOOKUP(A2105,[1]!Table1[#All],32,FALSE)</f>
        <v>44044</v>
      </c>
      <c r="I2105" s="8">
        <f>VLOOKUP(A2105,[1]!Table1[#All],33,FALSE)</f>
        <v>45929</v>
      </c>
      <c r="J2105" t="str">
        <f t="shared" ca="1" si="34"/>
        <v>Non UDO</v>
      </c>
    </row>
    <row r="2106" spans="1:10" x14ac:dyDescent="0.35">
      <c r="A2106" s="5" t="s">
        <v>68</v>
      </c>
      <c r="B2106" s="6">
        <v>45047</v>
      </c>
      <c r="C2106" s="7">
        <v>765000</v>
      </c>
      <c r="D2106" s="7">
        <v>765000</v>
      </c>
      <c r="E2106" s="7">
        <v>0</v>
      </c>
      <c r="F2106" t="str">
        <f>VLOOKUP(A2106,[1]!Table1[#All],17,FALSE)</f>
        <v>COTE DIVOIRE</v>
      </c>
      <c r="G2106" t="str">
        <f>VLOOKUP(A2106,[1]!Table1[#All],22,FALSE)</f>
        <v>Aconda VS Cote D` Ivoire</v>
      </c>
      <c r="H2106" s="8">
        <f>VLOOKUP(A2106,[1]!Table1[#All],32,FALSE)</f>
        <v>44044</v>
      </c>
      <c r="I2106" s="8">
        <f>VLOOKUP(A2106,[1]!Table1[#All],33,FALSE)</f>
        <v>45929</v>
      </c>
      <c r="J2106" t="str">
        <f t="shared" ca="1" si="34"/>
        <v>Non UDO</v>
      </c>
    </row>
    <row r="2107" spans="1:10" x14ac:dyDescent="0.35">
      <c r="A2107" s="9" t="s">
        <v>68</v>
      </c>
      <c r="B2107" s="10">
        <v>45078</v>
      </c>
      <c r="C2107" s="11">
        <v>765000</v>
      </c>
      <c r="D2107" s="11">
        <v>765000</v>
      </c>
      <c r="E2107" s="11">
        <v>0</v>
      </c>
      <c r="F2107" t="str">
        <f>VLOOKUP(A2107,[1]!Table1[#All],17,FALSE)</f>
        <v>COTE DIVOIRE</v>
      </c>
      <c r="G2107" t="str">
        <f>VLOOKUP(A2107,[1]!Table1[#All],22,FALSE)</f>
        <v>Aconda VS Cote D` Ivoire</v>
      </c>
      <c r="H2107" s="8">
        <f>VLOOKUP(A2107,[1]!Table1[#All],32,FALSE)</f>
        <v>44044</v>
      </c>
      <c r="I2107" s="8">
        <f>VLOOKUP(A2107,[1]!Table1[#All],33,FALSE)</f>
        <v>45929</v>
      </c>
      <c r="J2107" t="str">
        <f t="shared" ca="1" si="34"/>
        <v>Non UDO</v>
      </c>
    </row>
    <row r="2108" spans="1:10" x14ac:dyDescent="0.35">
      <c r="A2108" s="5" t="s">
        <v>68</v>
      </c>
      <c r="B2108" s="6">
        <v>45108</v>
      </c>
      <c r="C2108" s="7">
        <v>765000</v>
      </c>
      <c r="D2108" s="7">
        <v>765000</v>
      </c>
      <c r="E2108" s="7">
        <v>0</v>
      </c>
      <c r="F2108" t="str">
        <f>VLOOKUP(A2108,[1]!Table1[#All],17,FALSE)</f>
        <v>COTE DIVOIRE</v>
      </c>
      <c r="G2108" t="str">
        <f>VLOOKUP(A2108,[1]!Table1[#All],22,FALSE)</f>
        <v>Aconda VS Cote D` Ivoire</v>
      </c>
      <c r="H2108" s="8">
        <f>VLOOKUP(A2108,[1]!Table1[#All],32,FALSE)</f>
        <v>44044</v>
      </c>
      <c r="I2108" s="8">
        <f>VLOOKUP(A2108,[1]!Table1[#All],33,FALSE)</f>
        <v>45929</v>
      </c>
      <c r="J2108" t="str">
        <f t="shared" ca="1" si="34"/>
        <v>Non UDO</v>
      </c>
    </row>
    <row r="2109" spans="1:10" x14ac:dyDescent="0.35">
      <c r="A2109" s="9" t="s">
        <v>68</v>
      </c>
      <c r="B2109" s="10">
        <v>45139</v>
      </c>
      <c r="C2109" s="11">
        <v>765000</v>
      </c>
      <c r="D2109" s="11">
        <v>765000</v>
      </c>
      <c r="E2109" s="11">
        <v>0</v>
      </c>
      <c r="F2109" t="str">
        <f>VLOOKUP(A2109,[1]!Table1[#All],17,FALSE)</f>
        <v>COTE DIVOIRE</v>
      </c>
      <c r="G2109" t="str">
        <f>VLOOKUP(A2109,[1]!Table1[#All],22,FALSE)</f>
        <v>Aconda VS Cote D` Ivoire</v>
      </c>
      <c r="H2109" s="8">
        <f>VLOOKUP(A2109,[1]!Table1[#All],32,FALSE)</f>
        <v>44044</v>
      </c>
      <c r="I2109" s="8">
        <f>VLOOKUP(A2109,[1]!Table1[#All],33,FALSE)</f>
        <v>45929</v>
      </c>
      <c r="J2109" t="str">
        <f t="shared" ca="1" si="34"/>
        <v>Non UDO</v>
      </c>
    </row>
    <row r="2110" spans="1:10" x14ac:dyDescent="0.35">
      <c r="A2110" s="5" t="s">
        <v>68</v>
      </c>
      <c r="B2110" s="6">
        <v>45170</v>
      </c>
      <c r="C2110" s="7">
        <v>765000</v>
      </c>
      <c r="D2110" s="7">
        <v>765000</v>
      </c>
      <c r="E2110" s="7">
        <v>0</v>
      </c>
      <c r="F2110" t="str">
        <f>VLOOKUP(A2110,[1]!Table1[#All],17,FALSE)</f>
        <v>COTE DIVOIRE</v>
      </c>
      <c r="G2110" t="str">
        <f>VLOOKUP(A2110,[1]!Table1[#All],22,FALSE)</f>
        <v>Aconda VS Cote D` Ivoire</v>
      </c>
      <c r="H2110" s="8">
        <f>VLOOKUP(A2110,[1]!Table1[#All],32,FALSE)</f>
        <v>44044</v>
      </c>
      <c r="I2110" s="8">
        <f>VLOOKUP(A2110,[1]!Table1[#All],33,FALSE)</f>
        <v>45929</v>
      </c>
      <c r="J2110" t="str">
        <f t="shared" ca="1" si="34"/>
        <v>Non UDO</v>
      </c>
    </row>
    <row r="2111" spans="1:10" x14ac:dyDescent="0.35">
      <c r="A2111" s="9" t="s">
        <v>69</v>
      </c>
      <c r="B2111" s="10">
        <v>44105</v>
      </c>
      <c r="C2111" s="11">
        <v>2746466</v>
      </c>
      <c r="D2111" s="11">
        <v>0</v>
      </c>
      <c r="E2111" s="11">
        <v>2746466</v>
      </c>
      <c r="F2111" t="str">
        <f>VLOOKUP(A2111,[1]!Table1[#All],17,FALSE)</f>
        <v>UNITED STATES</v>
      </c>
      <c r="G2111" t="str">
        <f>VLOOKUP(A2111,[1]!Table1[#All],22,FALSE)</f>
        <v>INTERNATIONAL RESCUE COMMITTEE, INC</v>
      </c>
      <c r="H2111" s="8">
        <f>VLOOKUP(A2111,[1]!Table1[#All],32,FALSE)</f>
        <v>44044</v>
      </c>
      <c r="I2111" s="8">
        <f>VLOOKUP(A2111,[1]!Table1[#All],33,FALSE)</f>
        <v>45929</v>
      </c>
      <c r="J2111" t="str">
        <f t="shared" ca="1" si="34"/>
        <v>Non UDO</v>
      </c>
    </row>
    <row r="2112" spans="1:10" x14ac:dyDescent="0.35">
      <c r="A2112" s="5" t="s">
        <v>69</v>
      </c>
      <c r="B2112" s="6">
        <v>44136</v>
      </c>
      <c r="C2112" s="7">
        <v>2746466</v>
      </c>
      <c r="D2112" s="7">
        <v>181465</v>
      </c>
      <c r="E2112" s="7">
        <v>2565001</v>
      </c>
      <c r="F2112" t="str">
        <f>VLOOKUP(A2112,[1]!Table1[#All],17,FALSE)</f>
        <v>UNITED STATES</v>
      </c>
      <c r="G2112" t="str">
        <f>VLOOKUP(A2112,[1]!Table1[#All],22,FALSE)</f>
        <v>INTERNATIONAL RESCUE COMMITTEE, INC</v>
      </c>
      <c r="H2112" s="8">
        <f>VLOOKUP(A2112,[1]!Table1[#All],32,FALSE)</f>
        <v>44044</v>
      </c>
      <c r="I2112" s="8">
        <f>VLOOKUP(A2112,[1]!Table1[#All],33,FALSE)</f>
        <v>45929</v>
      </c>
      <c r="J2112" t="str">
        <f t="shared" ca="1" si="34"/>
        <v>Non UDO</v>
      </c>
    </row>
    <row r="2113" spans="1:10" x14ac:dyDescent="0.35">
      <c r="A2113" s="9" t="s">
        <v>69</v>
      </c>
      <c r="B2113" s="10">
        <v>44166</v>
      </c>
      <c r="C2113" s="11">
        <v>2746466</v>
      </c>
      <c r="D2113" s="11">
        <v>212857</v>
      </c>
      <c r="E2113" s="11">
        <v>2533609</v>
      </c>
      <c r="F2113" t="str">
        <f>VLOOKUP(A2113,[1]!Table1[#All],17,FALSE)</f>
        <v>UNITED STATES</v>
      </c>
      <c r="G2113" t="str">
        <f>VLOOKUP(A2113,[1]!Table1[#All],22,FALSE)</f>
        <v>INTERNATIONAL RESCUE COMMITTEE, INC</v>
      </c>
      <c r="H2113" s="8">
        <f>VLOOKUP(A2113,[1]!Table1[#All],32,FALSE)</f>
        <v>44044</v>
      </c>
      <c r="I2113" s="8">
        <f>VLOOKUP(A2113,[1]!Table1[#All],33,FALSE)</f>
        <v>45929</v>
      </c>
      <c r="J2113" t="str">
        <f t="shared" ca="1" si="34"/>
        <v>Non UDO</v>
      </c>
    </row>
    <row r="2114" spans="1:10" x14ac:dyDescent="0.35">
      <c r="A2114" s="5" t="s">
        <v>69</v>
      </c>
      <c r="B2114" s="6">
        <v>44197</v>
      </c>
      <c r="C2114" s="7">
        <v>2746466</v>
      </c>
      <c r="D2114" s="7">
        <v>266753</v>
      </c>
      <c r="E2114" s="7">
        <v>2479713</v>
      </c>
      <c r="F2114" t="str">
        <f>VLOOKUP(A2114,[1]!Table1[#All],17,FALSE)</f>
        <v>UNITED STATES</v>
      </c>
      <c r="G2114" t="str">
        <f>VLOOKUP(A2114,[1]!Table1[#All],22,FALSE)</f>
        <v>INTERNATIONAL RESCUE COMMITTEE, INC</v>
      </c>
      <c r="H2114" s="8">
        <f>VLOOKUP(A2114,[1]!Table1[#All],32,FALSE)</f>
        <v>44044</v>
      </c>
      <c r="I2114" s="8">
        <f>VLOOKUP(A2114,[1]!Table1[#All],33,FALSE)</f>
        <v>45929</v>
      </c>
      <c r="J2114" t="str">
        <f t="shared" ca="1" si="34"/>
        <v>Non UDO</v>
      </c>
    </row>
    <row r="2115" spans="1:10" x14ac:dyDescent="0.35">
      <c r="A2115" s="9" t="s">
        <v>69</v>
      </c>
      <c r="B2115" s="10">
        <v>44228</v>
      </c>
      <c r="C2115" s="11">
        <v>2746466</v>
      </c>
      <c r="D2115" s="11">
        <v>393084.58</v>
      </c>
      <c r="E2115" s="11">
        <v>2353381.42</v>
      </c>
      <c r="F2115" t="str">
        <f>VLOOKUP(A2115,[1]!Table1[#All],17,FALSE)</f>
        <v>UNITED STATES</v>
      </c>
      <c r="G2115" t="str">
        <f>VLOOKUP(A2115,[1]!Table1[#All],22,FALSE)</f>
        <v>INTERNATIONAL RESCUE COMMITTEE, INC</v>
      </c>
      <c r="H2115" s="8">
        <f>VLOOKUP(A2115,[1]!Table1[#All],32,FALSE)</f>
        <v>44044</v>
      </c>
      <c r="I2115" s="8">
        <f>VLOOKUP(A2115,[1]!Table1[#All],33,FALSE)</f>
        <v>45929</v>
      </c>
      <c r="J2115" t="str">
        <f t="shared" ref="J2115:J2178" ca="1" si="35">IF(AND( E2115&gt;0,TODAY()&gt;I2115),"UDO","Non UDO")</f>
        <v>Non UDO</v>
      </c>
    </row>
    <row r="2116" spans="1:10" x14ac:dyDescent="0.35">
      <c r="A2116" s="5" t="s">
        <v>69</v>
      </c>
      <c r="B2116" s="6">
        <v>44256</v>
      </c>
      <c r="C2116" s="7">
        <v>2746466</v>
      </c>
      <c r="D2116" s="7">
        <v>393084.58</v>
      </c>
      <c r="E2116" s="7">
        <v>2353381.42</v>
      </c>
      <c r="F2116" t="str">
        <f>VLOOKUP(A2116,[1]!Table1[#All],17,FALSE)</f>
        <v>UNITED STATES</v>
      </c>
      <c r="G2116" t="str">
        <f>VLOOKUP(A2116,[1]!Table1[#All],22,FALSE)</f>
        <v>INTERNATIONAL RESCUE COMMITTEE, INC</v>
      </c>
      <c r="H2116" s="8">
        <f>VLOOKUP(A2116,[1]!Table1[#All],32,FALSE)</f>
        <v>44044</v>
      </c>
      <c r="I2116" s="8">
        <f>VLOOKUP(A2116,[1]!Table1[#All],33,FALSE)</f>
        <v>45929</v>
      </c>
      <c r="J2116" t="str">
        <f t="shared" ca="1" si="35"/>
        <v>Non UDO</v>
      </c>
    </row>
    <row r="2117" spans="1:10" x14ac:dyDescent="0.35">
      <c r="A2117" s="9" t="s">
        <v>69</v>
      </c>
      <c r="B2117" s="10">
        <v>44287</v>
      </c>
      <c r="C2117" s="11">
        <v>2121466</v>
      </c>
      <c r="D2117" s="11">
        <v>316536.06</v>
      </c>
      <c r="E2117" s="11">
        <v>1804929.94</v>
      </c>
      <c r="F2117" t="str">
        <f>VLOOKUP(A2117,[1]!Table1[#All],17,FALSE)</f>
        <v>UNITED STATES</v>
      </c>
      <c r="G2117" t="str">
        <f>VLOOKUP(A2117,[1]!Table1[#All],22,FALSE)</f>
        <v>INTERNATIONAL RESCUE COMMITTEE, INC</v>
      </c>
      <c r="H2117" s="8">
        <f>VLOOKUP(A2117,[1]!Table1[#All],32,FALSE)</f>
        <v>44044</v>
      </c>
      <c r="I2117" s="8">
        <f>VLOOKUP(A2117,[1]!Table1[#All],33,FALSE)</f>
        <v>45929</v>
      </c>
      <c r="J2117" t="str">
        <f t="shared" ca="1" si="35"/>
        <v>Non UDO</v>
      </c>
    </row>
    <row r="2118" spans="1:10" x14ac:dyDescent="0.35">
      <c r="A2118" s="5" t="s">
        <v>69</v>
      </c>
      <c r="B2118" s="6">
        <v>44317</v>
      </c>
      <c r="C2118" s="7">
        <v>2746466</v>
      </c>
      <c r="D2118" s="7">
        <v>1129435.3999999999</v>
      </c>
      <c r="E2118" s="7">
        <v>1617030.6</v>
      </c>
      <c r="F2118" t="str">
        <f>VLOOKUP(A2118,[1]!Table1[#All],17,FALSE)</f>
        <v>UNITED STATES</v>
      </c>
      <c r="G2118" t="str">
        <f>VLOOKUP(A2118,[1]!Table1[#All],22,FALSE)</f>
        <v>INTERNATIONAL RESCUE COMMITTEE, INC</v>
      </c>
      <c r="H2118" s="8">
        <f>VLOOKUP(A2118,[1]!Table1[#All],32,FALSE)</f>
        <v>44044</v>
      </c>
      <c r="I2118" s="8">
        <f>VLOOKUP(A2118,[1]!Table1[#All],33,FALSE)</f>
        <v>45929</v>
      </c>
      <c r="J2118" t="str">
        <f t="shared" ca="1" si="35"/>
        <v>Non UDO</v>
      </c>
    </row>
    <row r="2119" spans="1:10" x14ac:dyDescent="0.35">
      <c r="A2119" s="9" t="s">
        <v>69</v>
      </c>
      <c r="B2119" s="10">
        <v>44348</v>
      </c>
      <c r="C2119" s="11">
        <v>2746466</v>
      </c>
      <c r="D2119" s="11">
        <v>1129435.3999999999</v>
      </c>
      <c r="E2119" s="11">
        <v>1617030.6</v>
      </c>
      <c r="F2119" t="str">
        <f>VLOOKUP(A2119,[1]!Table1[#All],17,FALSE)</f>
        <v>UNITED STATES</v>
      </c>
      <c r="G2119" t="str">
        <f>VLOOKUP(A2119,[1]!Table1[#All],22,FALSE)</f>
        <v>INTERNATIONAL RESCUE COMMITTEE, INC</v>
      </c>
      <c r="H2119" s="8">
        <f>VLOOKUP(A2119,[1]!Table1[#All],32,FALSE)</f>
        <v>44044</v>
      </c>
      <c r="I2119" s="8">
        <f>VLOOKUP(A2119,[1]!Table1[#All],33,FALSE)</f>
        <v>45929</v>
      </c>
      <c r="J2119" t="str">
        <f t="shared" ca="1" si="35"/>
        <v>Non UDO</v>
      </c>
    </row>
    <row r="2120" spans="1:10" x14ac:dyDescent="0.35">
      <c r="A2120" s="5" t="s">
        <v>69</v>
      </c>
      <c r="B2120" s="6">
        <v>44378</v>
      </c>
      <c r="C2120" s="7">
        <v>2746466</v>
      </c>
      <c r="D2120" s="7">
        <v>1005942.31</v>
      </c>
      <c r="E2120" s="7">
        <v>1740523.6900000002</v>
      </c>
      <c r="F2120" t="str">
        <f>VLOOKUP(A2120,[1]!Table1[#All],17,FALSE)</f>
        <v>UNITED STATES</v>
      </c>
      <c r="G2120" t="str">
        <f>VLOOKUP(A2120,[1]!Table1[#All],22,FALSE)</f>
        <v>INTERNATIONAL RESCUE COMMITTEE, INC</v>
      </c>
      <c r="H2120" s="8">
        <f>VLOOKUP(A2120,[1]!Table1[#All],32,FALSE)</f>
        <v>44044</v>
      </c>
      <c r="I2120" s="8">
        <f>VLOOKUP(A2120,[1]!Table1[#All],33,FALSE)</f>
        <v>45929</v>
      </c>
      <c r="J2120" t="str">
        <f t="shared" ca="1" si="35"/>
        <v>Non UDO</v>
      </c>
    </row>
    <row r="2121" spans="1:10" x14ac:dyDescent="0.35">
      <c r="A2121" s="9" t="s">
        <v>69</v>
      </c>
      <c r="B2121" s="10">
        <v>44409</v>
      </c>
      <c r="C2121" s="11">
        <v>2746466</v>
      </c>
      <c r="D2121" s="11">
        <v>1005942.31</v>
      </c>
      <c r="E2121" s="11">
        <v>1740523.6900000002</v>
      </c>
      <c r="F2121" t="str">
        <f>VLOOKUP(A2121,[1]!Table1[#All],17,FALSE)</f>
        <v>UNITED STATES</v>
      </c>
      <c r="G2121" t="str">
        <f>VLOOKUP(A2121,[1]!Table1[#All],22,FALSE)</f>
        <v>INTERNATIONAL RESCUE COMMITTEE, INC</v>
      </c>
      <c r="H2121" s="8">
        <f>VLOOKUP(A2121,[1]!Table1[#All],32,FALSE)</f>
        <v>44044</v>
      </c>
      <c r="I2121" s="8">
        <f>VLOOKUP(A2121,[1]!Table1[#All],33,FALSE)</f>
        <v>45929</v>
      </c>
      <c r="J2121" t="str">
        <f t="shared" ca="1" si="35"/>
        <v>Non UDO</v>
      </c>
    </row>
    <row r="2122" spans="1:10" x14ac:dyDescent="0.35">
      <c r="A2122" s="5" t="s">
        <v>69</v>
      </c>
      <c r="B2122" s="6">
        <v>44440</v>
      </c>
      <c r="C2122" s="7">
        <v>2746466</v>
      </c>
      <c r="D2122" s="7">
        <v>1281196.31</v>
      </c>
      <c r="E2122" s="7">
        <v>1465269.6900000002</v>
      </c>
      <c r="F2122" t="str">
        <f>VLOOKUP(A2122,[1]!Table1[#All],17,FALSE)</f>
        <v>UNITED STATES</v>
      </c>
      <c r="G2122" t="str">
        <f>VLOOKUP(A2122,[1]!Table1[#All],22,FALSE)</f>
        <v>INTERNATIONAL RESCUE COMMITTEE, INC</v>
      </c>
      <c r="H2122" s="8">
        <f>VLOOKUP(A2122,[1]!Table1[#All],32,FALSE)</f>
        <v>44044</v>
      </c>
      <c r="I2122" s="8">
        <f>VLOOKUP(A2122,[1]!Table1[#All],33,FALSE)</f>
        <v>45929</v>
      </c>
      <c r="J2122" t="str">
        <f t="shared" ca="1" si="35"/>
        <v>Non UDO</v>
      </c>
    </row>
    <row r="2123" spans="1:10" x14ac:dyDescent="0.35">
      <c r="A2123" s="9" t="s">
        <v>69</v>
      </c>
      <c r="B2123" s="10">
        <v>44470</v>
      </c>
      <c r="C2123" s="11">
        <v>2746466</v>
      </c>
      <c r="D2123" s="11">
        <v>1929262.15</v>
      </c>
      <c r="E2123" s="11">
        <v>817203.85</v>
      </c>
      <c r="F2123" t="str">
        <f>VLOOKUP(A2123,[1]!Table1[#All],17,FALSE)</f>
        <v>UNITED STATES</v>
      </c>
      <c r="G2123" t="str">
        <f>VLOOKUP(A2123,[1]!Table1[#All],22,FALSE)</f>
        <v>INTERNATIONAL RESCUE COMMITTEE, INC</v>
      </c>
      <c r="H2123" s="8">
        <f>VLOOKUP(A2123,[1]!Table1[#All],32,FALSE)</f>
        <v>44044</v>
      </c>
      <c r="I2123" s="8">
        <f>VLOOKUP(A2123,[1]!Table1[#All],33,FALSE)</f>
        <v>45929</v>
      </c>
      <c r="J2123" t="str">
        <f t="shared" ca="1" si="35"/>
        <v>Non UDO</v>
      </c>
    </row>
    <row r="2124" spans="1:10" x14ac:dyDescent="0.35">
      <c r="A2124" s="5" t="s">
        <v>69</v>
      </c>
      <c r="B2124" s="6">
        <v>44501</v>
      </c>
      <c r="C2124" s="7">
        <v>2746466</v>
      </c>
      <c r="D2124" s="7">
        <v>2108699.46</v>
      </c>
      <c r="E2124" s="7">
        <v>637766.54</v>
      </c>
      <c r="F2124" t="str">
        <f>VLOOKUP(A2124,[1]!Table1[#All],17,FALSE)</f>
        <v>UNITED STATES</v>
      </c>
      <c r="G2124" t="str">
        <f>VLOOKUP(A2124,[1]!Table1[#All],22,FALSE)</f>
        <v>INTERNATIONAL RESCUE COMMITTEE, INC</v>
      </c>
      <c r="H2124" s="8">
        <f>VLOOKUP(A2124,[1]!Table1[#All],32,FALSE)</f>
        <v>44044</v>
      </c>
      <c r="I2124" s="8">
        <f>VLOOKUP(A2124,[1]!Table1[#All],33,FALSE)</f>
        <v>45929</v>
      </c>
      <c r="J2124" t="str">
        <f t="shared" ca="1" si="35"/>
        <v>Non UDO</v>
      </c>
    </row>
    <row r="2125" spans="1:10" x14ac:dyDescent="0.35">
      <c r="A2125" s="9" t="s">
        <v>69</v>
      </c>
      <c r="B2125" s="10">
        <v>44531</v>
      </c>
      <c r="C2125" s="11">
        <v>2746466</v>
      </c>
      <c r="D2125" s="11">
        <v>2350766.7000000002</v>
      </c>
      <c r="E2125" s="11">
        <v>395699.3</v>
      </c>
      <c r="F2125" t="str">
        <f>VLOOKUP(A2125,[1]!Table1[#All],17,FALSE)</f>
        <v>UNITED STATES</v>
      </c>
      <c r="G2125" t="str">
        <f>VLOOKUP(A2125,[1]!Table1[#All],22,FALSE)</f>
        <v>INTERNATIONAL RESCUE COMMITTEE, INC</v>
      </c>
      <c r="H2125" s="8">
        <f>VLOOKUP(A2125,[1]!Table1[#All],32,FALSE)</f>
        <v>44044</v>
      </c>
      <c r="I2125" s="8">
        <f>VLOOKUP(A2125,[1]!Table1[#All],33,FALSE)</f>
        <v>45929</v>
      </c>
      <c r="J2125" t="str">
        <f t="shared" ca="1" si="35"/>
        <v>Non UDO</v>
      </c>
    </row>
    <row r="2126" spans="1:10" x14ac:dyDescent="0.35">
      <c r="A2126" s="5" t="s">
        <v>69</v>
      </c>
      <c r="B2126" s="6">
        <v>44562</v>
      </c>
      <c r="C2126" s="7">
        <v>2746466</v>
      </c>
      <c r="D2126" s="7">
        <v>2149350.04</v>
      </c>
      <c r="E2126" s="7">
        <v>597115.96</v>
      </c>
      <c r="F2126" t="str">
        <f>VLOOKUP(A2126,[1]!Table1[#All],17,FALSE)</f>
        <v>UNITED STATES</v>
      </c>
      <c r="G2126" t="str">
        <f>VLOOKUP(A2126,[1]!Table1[#All],22,FALSE)</f>
        <v>INTERNATIONAL RESCUE COMMITTEE, INC</v>
      </c>
      <c r="H2126" s="8">
        <f>VLOOKUP(A2126,[1]!Table1[#All],32,FALSE)</f>
        <v>44044</v>
      </c>
      <c r="I2126" s="8">
        <f>VLOOKUP(A2126,[1]!Table1[#All],33,FALSE)</f>
        <v>45929</v>
      </c>
      <c r="J2126" t="str">
        <f t="shared" ca="1" si="35"/>
        <v>Non UDO</v>
      </c>
    </row>
    <row r="2127" spans="1:10" x14ac:dyDescent="0.35">
      <c r="A2127" s="9" t="s">
        <v>69</v>
      </c>
      <c r="B2127" s="10">
        <v>44593</v>
      </c>
      <c r="C2127" s="11">
        <v>2746466</v>
      </c>
      <c r="D2127" s="11">
        <v>2746466</v>
      </c>
      <c r="E2127" s="11">
        <v>0</v>
      </c>
      <c r="F2127" t="str">
        <f>VLOOKUP(A2127,[1]!Table1[#All],17,FALSE)</f>
        <v>UNITED STATES</v>
      </c>
      <c r="G2127" t="str">
        <f>VLOOKUP(A2127,[1]!Table1[#All],22,FALSE)</f>
        <v>INTERNATIONAL RESCUE COMMITTEE, INC</v>
      </c>
      <c r="H2127" s="8">
        <f>VLOOKUP(A2127,[1]!Table1[#All],32,FALSE)</f>
        <v>44044</v>
      </c>
      <c r="I2127" s="8">
        <f>VLOOKUP(A2127,[1]!Table1[#All],33,FALSE)</f>
        <v>45929</v>
      </c>
      <c r="J2127" t="str">
        <f t="shared" ca="1" si="35"/>
        <v>Non UDO</v>
      </c>
    </row>
    <row r="2128" spans="1:10" x14ac:dyDescent="0.35">
      <c r="A2128" s="5" t="s">
        <v>69</v>
      </c>
      <c r="B2128" s="6">
        <v>44621</v>
      </c>
      <c r="C2128" s="7">
        <v>2746466</v>
      </c>
      <c r="D2128" s="7">
        <v>2746466</v>
      </c>
      <c r="E2128" s="7">
        <v>0</v>
      </c>
      <c r="F2128" t="str">
        <f>VLOOKUP(A2128,[1]!Table1[#All],17,FALSE)</f>
        <v>UNITED STATES</v>
      </c>
      <c r="G2128" t="str">
        <f>VLOOKUP(A2128,[1]!Table1[#All],22,FALSE)</f>
        <v>INTERNATIONAL RESCUE COMMITTEE, INC</v>
      </c>
      <c r="H2128" s="8">
        <f>VLOOKUP(A2128,[1]!Table1[#All],32,FALSE)</f>
        <v>44044</v>
      </c>
      <c r="I2128" s="8">
        <f>VLOOKUP(A2128,[1]!Table1[#All],33,FALSE)</f>
        <v>45929</v>
      </c>
      <c r="J2128" t="str">
        <f t="shared" ca="1" si="35"/>
        <v>Non UDO</v>
      </c>
    </row>
    <row r="2129" spans="1:10" x14ac:dyDescent="0.35">
      <c r="A2129" s="9" t="s">
        <v>69</v>
      </c>
      <c r="B2129" s="10">
        <v>44652</v>
      </c>
      <c r="C2129" s="11">
        <v>2746466</v>
      </c>
      <c r="D2129" s="11">
        <v>2746466</v>
      </c>
      <c r="E2129" s="11">
        <v>0</v>
      </c>
      <c r="F2129" t="str">
        <f>VLOOKUP(A2129,[1]!Table1[#All],17,FALSE)</f>
        <v>UNITED STATES</v>
      </c>
      <c r="G2129" t="str">
        <f>VLOOKUP(A2129,[1]!Table1[#All],22,FALSE)</f>
        <v>INTERNATIONAL RESCUE COMMITTEE, INC</v>
      </c>
      <c r="H2129" s="8">
        <f>VLOOKUP(A2129,[1]!Table1[#All],32,FALSE)</f>
        <v>44044</v>
      </c>
      <c r="I2129" s="8">
        <f>VLOOKUP(A2129,[1]!Table1[#All],33,FALSE)</f>
        <v>45929</v>
      </c>
      <c r="J2129" t="str">
        <f t="shared" ca="1" si="35"/>
        <v>Non UDO</v>
      </c>
    </row>
    <row r="2130" spans="1:10" x14ac:dyDescent="0.35">
      <c r="A2130" s="5" t="s">
        <v>69</v>
      </c>
      <c r="B2130" s="6">
        <v>44682</v>
      </c>
      <c r="C2130" s="7">
        <v>2746466</v>
      </c>
      <c r="D2130" s="7">
        <v>2746466</v>
      </c>
      <c r="E2130" s="7">
        <v>0</v>
      </c>
      <c r="F2130" t="str">
        <f>VLOOKUP(A2130,[1]!Table1[#All],17,FALSE)</f>
        <v>UNITED STATES</v>
      </c>
      <c r="G2130" t="str">
        <f>VLOOKUP(A2130,[1]!Table1[#All],22,FALSE)</f>
        <v>INTERNATIONAL RESCUE COMMITTEE, INC</v>
      </c>
      <c r="H2130" s="8">
        <f>VLOOKUP(A2130,[1]!Table1[#All],32,FALSE)</f>
        <v>44044</v>
      </c>
      <c r="I2130" s="8">
        <f>VLOOKUP(A2130,[1]!Table1[#All],33,FALSE)</f>
        <v>45929</v>
      </c>
      <c r="J2130" t="str">
        <f t="shared" ca="1" si="35"/>
        <v>Non UDO</v>
      </c>
    </row>
    <row r="2131" spans="1:10" x14ac:dyDescent="0.35">
      <c r="A2131" s="9" t="s">
        <v>69</v>
      </c>
      <c r="B2131" s="10">
        <v>44713</v>
      </c>
      <c r="C2131" s="11">
        <v>2746466</v>
      </c>
      <c r="D2131" s="11">
        <v>2746466</v>
      </c>
      <c r="E2131" s="11">
        <v>0</v>
      </c>
      <c r="F2131" t="str">
        <f>VLOOKUP(A2131,[1]!Table1[#All],17,FALSE)</f>
        <v>UNITED STATES</v>
      </c>
      <c r="G2131" t="str">
        <f>VLOOKUP(A2131,[1]!Table1[#All],22,FALSE)</f>
        <v>INTERNATIONAL RESCUE COMMITTEE, INC</v>
      </c>
      <c r="H2131" s="8">
        <f>VLOOKUP(A2131,[1]!Table1[#All],32,FALSE)</f>
        <v>44044</v>
      </c>
      <c r="I2131" s="8">
        <f>VLOOKUP(A2131,[1]!Table1[#All],33,FALSE)</f>
        <v>45929</v>
      </c>
      <c r="J2131" t="str">
        <f t="shared" ca="1" si="35"/>
        <v>Non UDO</v>
      </c>
    </row>
    <row r="2132" spans="1:10" x14ac:dyDescent="0.35">
      <c r="A2132" s="5" t="s">
        <v>69</v>
      </c>
      <c r="B2132" s="6">
        <v>44743</v>
      </c>
      <c r="C2132" s="7">
        <v>2746466</v>
      </c>
      <c r="D2132" s="7">
        <v>2746466</v>
      </c>
      <c r="E2132" s="7">
        <v>0</v>
      </c>
      <c r="F2132" t="str">
        <f>VLOOKUP(A2132,[1]!Table1[#All],17,FALSE)</f>
        <v>UNITED STATES</v>
      </c>
      <c r="G2132" t="str">
        <f>VLOOKUP(A2132,[1]!Table1[#All],22,FALSE)</f>
        <v>INTERNATIONAL RESCUE COMMITTEE, INC</v>
      </c>
      <c r="H2132" s="8">
        <f>VLOOKUP(A2132,[1]!Table1[#All],32,FALSE)</f>
        <v>44044</v>
      </c>
      <c r="I2132" s="8">
        <f>VLOOKUP(A2132,[1]!Table1[#All],33,FALSE)</f>
        <v>45929</v>
      </c>
      <c r="J2132" t="str">
        <f t="shared" ca="1" si="35"/>
        <v>Non UDO</v>
      </c>
    </row>
    <row r="2133" spans="1:10" x14ac:dyDescent="0.35">
      <c r="A2133" s="9" t="s">
        <v>69</v>
      </c>
      <c r="B2133" s="10">
        <v>44774</v>
      </c>
      <c r="C2133" s="11">
        <v>2746466</v>
      </c>
      <c r="D2133" s="11">
        <v>2746466</v>
      </c>
      <c r="E2133" s="11">
        <v>0</v>
      </c>
      <c r="F2133" t="str">
        <f>VLOOKUP(A2133,[1]!Table1[#All],17,FALSE)</f>
        <v>UNITED STATES</v>
      </c>
      <c r="G2133" t="str">
        <f>VLOOKUP(A2133,[1]!Table1[#All],22,FALSE)</f>
        <v>INTERNATIONAL RESCUE COMMITTEE, INC</v>
      </c>
      <c r="H2133" s="8">
        <f>VLOOKUP(A2133,[1]!Table1[#All],32,FALSE)</f>
        <v>44044</v>
      </c>
      <c r="I2133" s="8">
        <f>VLOOKUP(A2133,[1]!Table1[#All],33,FALSE)</f>
        <v>45929</v>
      </c>
      <c r="J2133" t="str">
        <f t="shared" ca="1" si="35"/>
        <v>Non UDO</v>
      </c>
    </row>
    <row r="2134" spans="1:10" x14ac:dyDescent="0.35">
      <c r="A2134" s="5" t="s">
        <v>69</v>
      </c>
      <c r="B2134" s="6">
        <v>44805</v>
      </c>
      <c r="C2134" s="7">
        <v>2746466</v>
      </c>
      <c r="D2134" s="7">
        <v>2746466</v>
      </c>
      <c r="E2134" s="7">
        <v>0</v>
      </c>
      <c r="F2134" t="str">
        <f>VLOOKUP(A2134,[1]!Table1[#All],17,FALSE)</f>
        <v>UNITED STATES</v>
      </c>
      <c r="G2134" t="str">
        <f>VLOOKUP(A2134,[1]!Table1[#All],22,FALSE)</f>
        <v>INTERNATIONAL RESCUE COMMITTEE, INC</v>
      </c>
      <c r="H2134" s="8">
        <f>VLOOKUP(A2134,[1]!Table1[#All],32,FALSE)</f>
        <v>44044</v>
      </c>
      <c r="I2134" s="8">
        <f>VLOOKUP(A2134,[1]!Table1[#All],33,FALSE)</f>
        <v>45929</v>
      </c>
      <c r="J2134" t="str">
        <f t="shared" ca="1" si="35"/>
        <v>Non UDO</v>
      </c>
    </row>
    <row r="2135" spans="1:10" x14ac:dyDescent="0.35">
      <c r="A2135" s="9" t="s">
        <v>69</v>
      </c>
      <c r="B2135" s="10">
        <v>44835</v>
      </c>
      <c r="C2135" s="11">
        <v>2746466</v>
      </c>
      <c r="D2135" s="11">
        <v>2746466</v>
      </c>
      <c r="E2135" s="11">
        <v>0</v>
      </c>
      <c r="F2135" t="str">
        <f>VLOOKUP(A2135,[1]!Table1[#All],17,FALSE)</f>
        <v>UNITED STATES</v>
      </c>
      <c r="G2135" t="str">
        <f>VLOOKUP(A2135,[1]!Table1[#All],22,FALSE)</f>
        <v>INTERNATIONAL RESCUE COMMITTEE, INC</v>
      </c>
      <c r="H2135" s="8">
        <f>VLOOKUP(A2135,[1]!Table1[#All],32,FALSE)</f>
        <v>44044</v>
      </c>
      <c r="I2135" s="8">
        <f>VLOOKUP(A2135,[1]!Table1[#All],33,FALSE)</f>
        <v>45929</v>
      </c>
      <c r="J2135" t="str">
        <f t="shared" ca="1" si="35"/>
        <v>Non UDO</v>
      </c>
    </row>
    <row r="2136" spans="1:10" x14ac:dyDescent="0.35">
      <c r="A2136" s="5" t="s">
        <v>69</v>
      </c>
      <c r="B2136" s="6">
        <v>44866</v>
      </c>
      <c r="C2136" s="7">
        <v>2746466</v>
      </c>
      <c r="D2136" s="7">
        <v>2746466</v>
      </c>
      <c r="E2136" s="7">
        <v>0</v>
      </c>
      <c r="F2136" t="str">
        <f>VLOOKUP(A2136,[1]!Table1[#All],17,FALSE)</f>
        <v>UNITED STATES</v>
      </c>
      <c r="G2136" t="str">
        <f>VLOOKUP(A2136,[1]!Table1[#All],22,FALSE)</f>
        <v>INTERNATIONAL RESCUE COMMITTEE, INC</v>
      </c>
      <c r="H2136" s="8">
        <f>VLOOKUP(A2136,[1]!Table1[#All],32,FALSE)</f>
        <v>44044</v>
      </c>
      <c r="I2136" s="8">
        <f>VLOOKUP(A2136,[1]!Table1[#All],33,FALSE)</f>
        <v>45929</v>
      </c>
      <c r="J2136" t="str">
        <f t="shared" ca="1" si="35"/>
        <v>Non UDO</v>
      </c>
    </row>
    <row r="2137" spans="1:10" x14ac:dyDescent="0.35">
      <c r="A2137" s="9" t="s">
        <v>69</v>
      </c>
      <c r="B2137" s="10">
        <v>44896</v>
      </c>
      <c r="C2137" s="11">
        <v>2746466</v>
      </c>
      <c r="D2137" s="11">
        <v>2746466</v>
      </c>
      <c r="E2137" s="11">
        <v>0</v>
      </c>
      <c r="F2137" t="str">
        <f>VLOOKUP(A2137,[1]!Table1[#All],17,FALSE)</f>
        <v>UNITED STATES</v>
      </c>
      <c r="G2137" t="str">
        <f>VLOOKUP(A2137,[1]!Table1[#All],22,FALSE)</f>
        <v>INTERNATIONAL RESCUE COMMITTEE, INC</v>
      </c>
      <c r="H2137" s="8">
        <f>VLOOKUP(A2137,[1]!Table1[#All],32,FALSE)</f>
        <v>44044</v>
      </c>
      <c r="I2137" s="8">
        <f>VLOOKUP(A2137,[1]!Table1[#All],33,FALSE)</f>
        <v>45929</v>
      </c>
      <c r="J2137" t="str">
        <f t="shared" ca="1" si="35"/>
        <v>Non UDO</v>
      </c>
    </row>
    <row r="2138" spans="1:10" x14ac:dyDescent="0.35">
      <c r="A2138" s="5" t="s">
        <v>69</v>
      </c>
      <c r="B2138" s="6">
        <v>44927</v>
      </c>
      <c r="C2138" s="7">
        <v>2746466</v>
      </c>
      <c r="D2138" s="7">
        <v>2746466</v>
      </c>
      <c r="E2138" s="7">
        <v>0</v>
      </c>
      <c r="F2138" t="str">
        <f>VLOOKUP(A2138,[1]!Table1[#All],17,FALSE)</f>
        <v>UNITED STATES</v>
      </c>
      <c r="G2138" t="str">
        <f>VLOOKUP(A2138,[1]!Table1[#All],22,FALSE)</f>
        <v>INTERNATIONAL RESCUE COMMITTEE, INC</v>
      </c>
      <c r="H2138" s="8">
        <f>VLOOKUP(A2138,[1]!Table1[#All],32,FALSE)</f>
        <v>44044</v>
      </c>
      <c r="I2138" s="8">
        <f>VLOOKUP(A2138,[1]!Table1[#All],33,FALSE)</f>
        <v>45929</v>
      </c>
      <c r="J2138" t="str">
        <f t="shared" ca="1" si="35"/>
        <v>Non UDO</v>
      </c>
    </row>
    <row r="2139" spans="1:10" x14ac:dyDescent="0.35">
      <c r="A2139" s="9" t="s">
        <v>69</v>
      </c>
      <c r="B2139" s="10">
        <v>44958</v>
      </c>
      <c r="C2139" s="11">
        <v>2746466</v>
      </c>
      <c r="D2139" s="11">
        <v>2746466</v>
      </c>
      <c r="E2139" s="11">
        <v>0</v>
      </c>
      <c r="F2139" t="str">
        <f>VLOOKUP(A2139,[1]!Table1[#All],17,FALSE)</f>
        <v>UNITED STATES</v>
      </c>
      <c r="G2139" t="str">
        <f>VLOOKUP(A2139,[1]!Table1[#All],22,FALSE)</f>
        <v>INTERNATIONAL RESCUE COMMITTEE, INC</v>
      </c>
      <c r="H2139" s="8">
        <f>VLOOKUP(A2139,[1]!Table1[#All],32,FALSE)</f>
        <v>44044</v>
      </c>
      <c r="I2139" s="8">
        <f>VLOOKUP(A2139,[1]!Table1[#All],33,FALSE)</f>
        <v>45929</v>
      </c>
      <c r="J2139" t="str">
        <f t="shared" ca="1" si="35"/>
        <v>Non UDO</v>
      </c>
    </row>
    <row r="2140" spans="1:10" x14ac:dyDescent="0.35">
      <c r="A2140" s="5" t="s">
        <v>69</v>
      </c>
      <c r="B2140" s="6">
        <v>44986</v>
      </c>
      <c r="C2140" s="7">
        <v>2746466</v>
      </c>
      <c r="D2140" s="7">
        <v>2746466</v>
      </c>
      <c r="E2140" s="7">
        <v>0</v>
      </c>
      <c r="F2140" t="str">
        <f>VLOOKUP(A2140,[1]!Table1[#All],17,FALSE)</f>
        <v>UNITED STATES</v>
      </c>
      <c r="G2140" t="str">
        <f>VLOOKUP(A2140,[1]!Table1[#All],22,FALSE)</f>
        <v>INTERNATIONAL RESCUE COMMITTEE, INC</v>
      </c>
      <c r="H2140" s="8">
        <f>VLOOKUP(A2140,[1]!Table1[#All],32,FALSE)</f>
        <v>44044</v>
      </c>
      <c r="I2140" s="8">
        <f>VLOOKUP(A2140,[1]!Table1[#All],33,FALSE)</f>
        <v>45929</v>
      </c>
      <c r="J2140" t="str">
        <f t="shared" ca="1" si="35"/>
        <v>Non UDO</v>
      </c>
    </row>
    <row r="2141" spans="1:10" x14ac:dyDescent="0.35">
      <c r="A2141" s="9" t="s">
        <v>69</v>
      </c>
      <c r="B2141" s="10">
        <v>45017</v>
      </c>
      <c r="C2141" s="11">
        <v>2746466</v>
      </c>
      <c r="D2141" s="11">
        <v>2746466</v>
      </c>
      <c r="E2141" s="11">
        <v>0</v>
      </c>
      <c r="F2141" t="str">
        <f>VLOOKUP(A2141,[1]!Table1[#All],17,FALSE)</f>
        <v>UNITED STATES</v>
      </c>
      <c r="G2141" t="str">
        <f>VLOOKUP(A2141,[1]!Table1[#All],22,FALSE)</f>
        <v>INTERNATIONAL RESCUE COMMITTEE, INC</v>
      </c>
      <c r="H2141" s="8">
        <f>VLOOKUP(A2141,[1]!Table1[#All],32,FALSE)</f>
        <v>44044</v>
      </c>
      <c r="I2141" s="8">
        <f>VLOOKUP(A2141,[1]!Table1[#All],33,FALSE)</f>
        <v>45929</v>
      </c>
      <c r="J2141" t="str">
        <f t="shared" ca="1" si="35"/>
        <v>Non UDO</v>
      </c>
    </row>
    <row r="2142" spans="1:10" x14ac:dyDescent="0.35">
      <c r="A2142" s="5" t="s">
        <v>69</v>
      </c>
      <c r="B2142" s="6">
        <v>45047</v>
      </c>
      <c r="C2142" s="7">
        <v>2746466</v>
      </c>
      <c r="D2142" s="7">
        <v>2746466</v>
      </c>
      <c r="E2142" s="7">
        <v>0</v>
      </c>
      <c r="F2142" t="str">
        <f>VLOOKUP(A2142,[1]!Table1[#All],17,FALSE)</f>
        <v>UNITED STATES</v>
      </c>
      <c r="G2142" t="str">
        <f>VLOOKUP(A2142,[1]!Table1[#All],22,FALSE)</f>
        <v>INTERNATIONAL RESCUE COMMITTEE, INC</v>
      </c>
      <c r="H2142" s="8">
        <f>VLOOKUP(A2142,[1]!Table1[#All],32,FALSE)</f>
        <v>44044</v>
      </c>
      <c r="I2142" s="8">
        <f>VLOOKUP(A2142,[1]!Table1[#All],33,FALSE)</f>
        <v>45929</v>
      </c>
      <c r="J2142" t="str">
        <f t="shared" ca="1" si="35"/>
        <v>Non UDO</v>
      </c>
    </row>
    <row r="2143" spans="1:10" x14ac:dyDescent="0.35">
      <c r="A2143" s="9" t="s">
        <v>69</v>
      </c>
      <c r="B2143" s="10">
        <v>45078</v>
      </c>
      <c r="C2143" s="11">
        <v>2746466</v>
      </c>
      <c r="D2143" s="11">
        <v>2746466</v>
      </c>
      <c r="E2143" s="11">
        <v>0</v>
      </c>
      <c r="F2143" t="str">
        <f>VLOOKUP(A2143,[1]!Table1[#All],17,FALSE)</f>
        <v>UNITED STATES</v>
      </c>
      <c r="G2143" t="str">
        <f>VLOOKUP(A2143,[1]!Table1[#All],22,FALSE)</f>
        <v>INTERNATIONAL RESCUE COMMITTEE, INC</v>
      </c>
      <c r="H2143" s="8">
        <f>VLOOKUP(A2143,[1]!Table1[#All],32,FALSE)</f>
        <v>44044</v>
      </c>
      <c r="I2143" s="8">
        <f>VLOOKUP(A2143,[1]!Table1[#All],33,FALSE)</f>
        <v>45929</v>
      </c>
      <c r="J2143" t="str">
        <f t="shared" ca="1" si="35"/>
        <v>Non UDO</v>
      </c>
    </row>
    <row r="2144" spans="1:10" x14ac:dyDescent="0.35">
      <c r="A2144" s="5" t="s">
        <v>69</v>
      </c>
      <c r="B2144" s="6">
        <v>45108</v>
      </c>
      <c r="C2144" s="7">
        <v>2746466</v>
      </c>
      <c r="D2144" s="7">
        <v>2746466</v>
      </c>
      <c r="E2144" s="7">
        <v>0</v>
      </c>
      <c r="F2144" t="str">
        <f>VLOOKUP(A2144,[1]!Table1[#All],17,FALSE)</f>
        <v>UNITED STATES</v>
      </c>
      <c r="G2144" t="str">
        <f>VLOOKUP(A2144,[1]!Table1[#All],22,FALSE)</f>
        <v>INTERNATIONAL RESCUE COMMITTEE, INC</v>
      </c>
      <c r="H2144" s="8">
        <f>VLOOKUP(A2144,[1]!Table1[#All],32,FALSE)</f>
        <v>44044</v>
      </c>
      <c r="I2144" s="8">
        <f>VLOOKUP(A2144,[1]!Table1[#All],33,FALSE)</f>
        <v>45929</v>
      </c>
      <c r="J2144" t="str">
        <f t="shared" ca="1" si="35"/>
        <v>Non UDO</v>
      </c>
    </row>
    <row r="2145" spans="1:10" x14ac:dyDescent="0.35">
      <c r="A2145" s="9" t="s">
        <v>69</v>
      </c>
      <c r="B2145" s="10">
        <v>45139</v>
      </c>
      <c r="C2145" s="11">
        <v>2746466</v>
      </c>
      <c r="D2145" s="11">
        <v>2746466</v>
      </c>
      <c r="E2145" s="11">
        <v>0</v>
      </c>
      <c r="F2145" t="str">
        <f>VLOOKUP(A2145,[1]!Table1[#All],17,FALSE)</f>
        <v>UNITED STATES</v>
      </c>
      <c r="G2145" t="str">
        <f>VLOOKUP(A2145,[1]!Table1[#All],22,FALSE)</f>
        <v>INTERNATIONAL RESCUE COMMITTEE, INC</v>
      </c>
      <c r="H2145" s="8">
        <f>VLOOKUP(A2145,[1]!Table1[#All],32,FALSE)</f>
        <v>44044</v>
      </c>
      <c r="I2145" s="8">
        <f>VLOOKUP(A2145,[1]!Table1[#All],33,FALSE)</f>
        <v>45929</v>
      </c>
      <c r="J2145" t="str">
        <f t="shared" ca="1" si="35"/>
        <v>Non UDO</v>
      </c>
    </row>
    <row r="2146" spans="1:10" x14ac:dyDescent="0.35">
      <c r="A2146" s="5" t="s">
        <v>69</v>
      </c>
      <c r="B2146" s="6">
        <v>45170</v>
      </c>
      <c r="C2146" s="7">
        <v>2746466</v>
      </c>
      <c r="D2146" s="7">
        <v>2746466</v>
      </c>
      <c r="E2146" s="7">
        <v>0</v>
      </c>
      <c r="F2146" t="str">
        <f>VLOOKUP(A2146,[1]!Table1[#All],17,FALSE)</f>
        <v>UNITED STATES</v>
      </c>
      <c r="G2146" t="str">
        <f>VLOOKUP(A2146,[1]!Table1[#All],22,FALSE)</f>
        <v>INTERNATIONAL RESCUE COMMITTEE, INC</v>
      </c>
      <c r="H2146" s="8">
        <f>VLOOKUP(A2146,[1]!Table1[#All],32,FALSE)</f>
        <v>44044</v>
      </c>
      <c r="I2146" s="8">
        <f>VLOOKUP(A2146,[1]!Table1[#All],33,FALSE)</f>
        <v>45929</v>
      </c>
      <c r="J2146" t="str">
        <f t="shared" ca="1" si="35"/>
        <v>Non UDO</v>
      </c>
    </row>
    <row r="2147" spans="1:10" x14ac:dyDescent="0.35">
      <c r="A2147" s="9" t="s">
        <v>70</v>
      </c>
      <c r="B2147" s="10">
        <v>44105</v>
      </c>
      <c r="C2147" s="11">
        <v>1691934</v>
      </c>
      <c r="D2147" s="11">
        <v>0</v>
      </c>
      <c r="E2147" s="11">
        <v>1691934</v>
      </c>
      <c r="F2147" t="str">
        <f>VLOOKUP(A2147,[1]!Table1[#All],17,FALSE)</f>
        <v>INDIA</v>
      </c>
      <c r="G2147" t="str">
        <f>VLOOKUP(A2147,[1]!Table1[#All],22,FALSE)</f>
        <v>VOLUNTARY HEALTH SERVICES</v>
      </c>
      <c r="H2147" s="8">
        <f>VLOOKUP(A2147,[1]!Table1[#All],32,FALSE)</f>
        <v>44058</v>
      </c>
      <c r="I2147" s="8">
        <f>VLOOKUP(A2147,[1]!Table1[#All],33,FALSE)</f>
        <v>45929</v>
      </c>
      <c r="J2147" t="str">
        <f t="shared" ca="1" si="35"/>
        <v>Non UDO</v>
      </c>
    </row>
    <row r="2148" spans="1:10" x14ac:dyDescent="0.35">
      <c r="A2148" s="5" t="s">
        <v>70</v>
      </c>
      <c r="B2148" s="6">
        <v>44136</v>
      </c>
      <c r="C2148" s="7">
        <v>1691934</v>
      </c>
      <c r="D2148" s="7">
        <v>0</v>
      </c>
      <c r="E2148" s="7">
        <v>1691934</v>
      </c>
      <c r="F2148" t="str">
        <f>VLOOKUP(A2148,[1]!Table1[#All],17,FALSE)</f>
        <v>INDIA</v>
      </c>
      <c r="G2148" t="str">
        <f>VLOOKUP(A2148,[1]!Table1[#All],22,FALSE)</f>
        <v>VOLUNTARY HEALTH SERVICES</v>
      </c>
      <c r="H2148" s="8">
        <f>VLOOKUP(A2148,[1]!Table1[#All],32,FALSE)</f>
        <v>44058</v>
      </c>
      <c r="I2148" s="8">
        <f>VLOOKUP(A2148,[1]!Table1[#All],33,FALSE)</f>
        <v>45929</v>
      </c>
      <c r="J2148" t="str">
        <f t="shared" ca="1" si="35"/>
        <v>Non UDO</v>
      </c>
    </row>
    <row r="2149" spans="1:10" x14ac:dyDescent="0.35">
      <c r="A2149" s="9" t="s">
        <v>70</v>
      </c>
      <c r="B2149" s="10">
        <v>44166</v>
      </c>
      <c r="C2149" s="11">
        <v>1691934</v>
      </c>
      <c r="D2149" s="11">
        <v>100000</v>
      </c>
      <c r="E2149" s="11">
        <v>1591934</v>
      </c>
      <c r="F2149" t="str">
        <f>VLOOKUP(A2149,[1]!Table1[#All],17,FALSE)</f>
        <v>INDIA</v>
      </c>
      <c r="G2149" t="str">
        <f>VLOOKUP(A2149,[1]!Table1[#All],22,FALSE)</f>
        <v>VOLUNTARY HEALTH SERVICES</v>
      </c>
      <c r="H2149" s="8">
        <f>VLOOKUP(A2149,[1]!Table1[#All],32,FALSE)</f>
        <v>44058</v>
      </c>
      <c r="I2149" s="8">
        <f>VLOOKUP(A2149,[1]!Table1[#All],33,FALSE)</f>
        <v>45929</v>
      </c>
      <c r="J2149" t="str">
        <f t="shared" ca="1" si="35"/>
        <v>Non UDO</v>
      </c>
    </row>
    <row r="2150" spans="1:10" x14ac:dyDescent="0.35">
      <c r="A2150" s="5" t="s">
        <v>70</v>
      </c>
      <c r="B2150" s="6">
        <v>44197</v>
      </c>
      <c r="C2150" s="7">
        <v>1691934</v>
      </c>
      <c r="D2150" s="7">
        <v>200000</v>
      </c>
      <c r="E2150" s="7">
        <v>1491934</v>
      </c>
      <c r="F2150" t="str">
        <f>VLOOKUP(A2150,[1]!Table1[#All],17,FALSE)</f>
        <v>INDIA</v>
      </c>
      <c r="G2150" t="str">
        <f>VLOOKUP(A2150,[1]!Table1[#All],22,FALSE)</f>
        <v>VOLUNTARY HEALTH SERVICES</v>
      </c>
      <c r="H2150" s="8">
        <f>VLOOKUP(A2150,[1]!Table1[#All],32,FALSE)</f>
        <v>44058</v>
      </c>
      <c r="I2150" s="8">
        <f>VLOOKUP(A2150,[1]!Table1[#All],33,FALSE)</f>
        <v>45929</v>
      </c>
      <c r="J2150" t="str">
        <f t="shared" ca="1" si="35"/>
        <v>Non UDO</v>
      </c>
    </row>
    <row r="2151" spans="1:10" x14ac:dyDescent="0.35">
      <c r="A2151" s="9" t="s">
        <v>70</v>
      </c>
      <c r="B2151" s="10">
        <v>44228</v>
      </c>
      <c r="C2151" s="11">
        <v>1691934</v>
      </c>
      <c r="D2151" s="11">
        <v>200000</v>
      </c>
      <c r="E2151" s="11">
        <v>1491934</v>
      </c>
      <c r="F2151" t="str">
        <f>VLOOKUP(A2151,[1]!Table1[#All],17,FALSE)</f>
        <v>INDIA</v>
      </c>
      <c r="G2151" t="str">
        <f>VLOOKUP(A2151,[1]!Table1[#All],22,FALSE)</f>
        <v>VOLUNTARY HEALTH SERVICES</v>
      </c>
      <c r="H2151" s="8">
        <f>VLOOKUP(A2151,[1]!Table1[#All],32,FALSE)</f>
        <v>44058</v>
      </c>
      <c r="I2151" s="8">
        <f>VLOOKUP(A2151,[1]!Table1[#All],33,FALSE)</f>
        <v>45929</v>
      </c>
      <c r="J2151" t="str">
        <f t="shared" ca="1" si="35"/>
        <v>Non UDO</v>
      </c>
    </row>
    <row r="2152" spans="1:10" x14ac:dyDescent="0.35">
      <c r="A2152" s="5" t="s">
        <v>70</v>
      </c>
      <c r="B2152" s="6">
        <v>44256</v>
      </c>
      <c r="C2152" s="7">
        <v>1691934</v>
      </c>
      <c r="D2152" s="7">
        <v>210000</v>
      </c>
      <c r="E2152" s="7">
        <v>1481934</v>
      </c>
      <c r="F2152" t="str">
        <f>VLOOKUP(A2152,[1]!Table1[#All],17,FALSE)</f>
        <v>INDIA</v>
      </c>
      <c r="G2152" t="str">
        <f>VLOOKUP(A2152,[1]!Table1[#All],22,FALSE)</f>
        <v>VOLUNTARY HEALTH SERVICES</v>
      </c>
      <c r="H2152" s="8">
        <f>VLOOKUP(A2152,[1]!Table1[#All],32,FALSE)</f>
        <v>44058</v>
      </c>
      <c r="I2152" s="8">
        <f>VLOOKUP(A2152,[1]!Table1[#All],33,FALSE)</f>
        <v>45929</v>
      </c>
      <c r="J2152" t="str">
        <f t="shared" ca="1" si="35"/>
        <v>Non UDO</v>
      </c>
    </row>
    <row r="2153" spans="1:10" x14ac:dyDescent="0.35">
      <c r="A2153" s="9" t="s">
        <v>70</v>
      </c>
      <c r="B2153" s="10">
        <v>44287</v>
      </c>
      <c r="C2153" s="11">
        <v>1196934</v>
      </c>
      <c r="D2153" s="11">
        <v>200000</v>
      </c>
      <c r="E2153" s="11">
        <v>996934</v>
      </c>
      <c r="F2153" t="str">
        <f>VLOOKUP(A2153,[1]!Table1[#All],17,FALSE)</f>
        <v>INDIA</v>
      </c>
      <c r="G2153" t="str">
        <f>VLOOKUP(A2153,[1]!Table1[#All],22,FALSE)</f>
        <v>VOLUNTARY HEALTH SERVICES</v>
      </c>
      <c r="H2153" s="8">
        <f>VLOOKUP(A2153,[1]!Table1[#All],32,FALSE)</f>
        <v>44058</v>
      </c>
      <c r="I2153" s="8">
        <f>VLOOKUP(A2153,[1]!Table1[#All],33,FALSE)</f>
        <v>45929</v>
      </c>
      <c r="J2153" t="str">
        <f t="shared" ca="1" si="35"/>
        <v>Non UDO</v>
      </c>
    </row>
    <row r="2154" spans="1:10" x14ac:dyDescent="0.35">
      <c r="A2154" s="5" t="s">
        <v>70</v>
      </c>
      <c r="B2154" s="6">
        <v>44317</v>
      </c>
      <c r="C2154" s="7">
        <v>1691934</v>
      </c>
      <c r="D2154" s="7">
        <v>310000</v>
      </c>
      <c r="E2154" s="7">
        <v>1381934</v>
      </c>
      <c r="F2154" t="str">
        <f>VLOOKUP(A2154,[1]!Table1[#All],17,FALSE)</f>
        <v>INDIA</v>
      </c>
      <c r="G2154" t="str">
        <f>VLOOKUP(A2154,[1]!Table1[#All],22,FALSE)</f>
        <v>VOLUNTARY HEALTH SERVICES</v>
      </c>
      <c r="H2154" s="8">
        <f>VLOOKUP(A2154,[1]!Table1[#All],32,FALSE)</f>
        <v>44058</v>
      </c>
      <c r="I2154" s="8">
        <f>VLOOKUP(A2154,[1]!Table1[#All],33,FALSE)</f>
        <v>45929</v>
      </c>
      <c r="J2154" t="str">
        <f t="shared" ca="1" si="35"/>
        <v>Non UDO</v>
      </c>
    </row>
    <row r="2155" spans="1:10" x14ac:dyDescent="0.35">
      <c r="A2155" s="9" t="s">
        <v>70</v>
      </c>
      <c r="B2155" s="10">
        <v>44348</v>
      </c>
      <c r="C2155" s="11">
        <v>1691934</v>
      </c>
      <c r="D2155" s="11">
        <v>385000</v>
      </c>
      <c r="E2155" s="11">
        <v>1306934</v>
      </c>
      <c r="F2155" t="str">
        <f>VLOOKUP(A2155,[1]!Table1[#All],17,FALSE)</f>
        <v>INDIA</v>
      </c>
      <c r="G2155" t="str">
        <f>VLOOKUP(A2155,[1]!Table1[#All],22,FALSE)</f>
        <v>VOLUNTARY HEALTH SERVICES</v>
      </c>
      <c r="H2155" s="8">
        <f>VLOOKUP(A2155,[1]!Table1[#All],32,FALSE)</f>
        <v>44058</v>
      </c>
      <c r="I2155" s="8">
        <f>VLOOKUP(A2155,[1]!Table1[#All],33,FALSE)</f>
        <v>45929</v>
      </c>
      <c r="J2155" t="str">
        <f t="shared" ca="1" si="35"/>
        <v>Non UDO</v>
      </c>
    </row>
    <row r="2156" spans="1:10" x14ac:dyDescent="0.35">
      <c r="A2156" s="5" t="s">
        <v>70</v>
      </c>
      <c r="B2156" s="6">
        <v>44378</v>
      </c>
      <c r="C2156" s="7">
        <v>1691934</v>
      </c>
      <c r="D2156" s="7">
        <v>535000</v>
      </c>
      <c r="E2156" s="7">
        <v>1156934</v>
      </c>
      <c r="F2156" t="str">
        <f>VLOOKUP(A2156,[1]!Table1[#All],17,FALSE)</f>
        <v>INDIA</v>
      </c>
      <c r="G2156" t="str">
        <f>VLOOKUP(A2156,[1]!Table1[#All],22,FALSE)</f>
        <v>VOLUNTARY HEALTH SERVICES</v>
      </c>
      <c r="H2156" s="8">
        <f>VLOOKUP(A2156,[1]!Table1[#All],32,FALSE)</f>
        <v>44058</v>
      </c>
      <c r="I2156" s="8">
        <f>VLOOKUP(A2156,[1]!Table1[#All],33,FALSE)</f>
        <v>45929</v>
      </c>
      <c r="J2156" t="str">
        <f t="shared" ca="1" si="35"/>
        <v>Non UDO</v>
      </c>
    </row>
    <row r="2157" spans="1:10" x14ac:dyDescent="0.35">
      <c r="A2157" s="9" t="s">
        <v>70</v>
      </c>
      <c r="B2157" s="10">
        <v>44409</v>
      </c>
      <c r="C2157" s="11">
        <v>1691934</v>
      </c>
      <c r="D2157" s="11">
        <v>585000</v>
      </c>
      <c r="E2157" s="11">
        <v>1106934</v>
      </c>
      <c r="F2157" t="str">
        <f>VLOOKUP(A2157,[1]!Table1[#All],17,FALSE)</f>
        <v>INDIA</v>
      </c>
      <c r="G2157" t="str">
        <f>VLOOKUP(A2157,[1]!Table1[#All],22,FALSE)</f>
        <v>VOLUNTARY HEALTH SERVICES</v>
      </c>
      <c r="H2157" s="8">
        <f>VLOOKUP(A2157,[1]!Table1[#All],32,FALSE)</f>
        <v>44058</v>
      </c>
      <c r="I2157" s="8">
        <f>VLOOKUP(A2157,[1]!Table1[#All],33,FALSE)</f>
        <v>45929</v>
      </c>
      <c r="J2157" t="str">
        <f t="shared" ca="1" si="35"/>
        <v>Non UDO</v>
      </c>
    </row>
    <row r="2158" spans="1:10" x14ac:dyDescent="0.35">
      <c r="A2158" s="5" t="s">
        <v>70</v>
      </c>
      <c r="B2158" s="6">
        <v>44440</v>
      </c>
      <c r="C2158" s="7">
        <v>1691934</v>
      </c>
      <c r="D2158" s="7">
        <v>660000</v>
      </c>
      <c r="E2158" s="7">
        <v>1031934</v>
      </c>
      <c r="F2158" t="str">
        <f>VLOOKUP(A2158,[1]!Table1[#All],17,FALSE)</f>
        <v>INDIA</v>
      </c>
      <c r="G2158" t="str">
        <f>VLOOKUP(A2158,[1]!Table1[#All],22,FALSE)</f>
        <v>VOLUNTARY HEALTH SERVICES</v>
      </c>
      <c r="H2158" s="8">
        <f>VLOOKUP(A2158,[1]!Table1[#All],32,FALSE)</f>
        <v>44058</v>
      </c>
      <c r="I2158" s="8">
        <f>VLOOKUP(A2158,[1]!Table1[#All],33,FALSE)</f>
        <v>45929</v>
      </c>
      <c r="J2158" t="str">
        <f t="shared" ca="1" si="35"/>
        <v>Non UDO</v>
      </c>
    </row>
    <row r="2159" spans="1:10" x14ac:dyDescent="0.35">
      <c r="A2159" s="9" t="s">
        <v>70</v>
      </c>
      <c r="B2159" s="10">
        <v>44470</v>
      </c>
      <c r="C2159" s="11">
        <v>1691934</v>
      </c>
      <c r="D2159" s="11">
        <v>660000</v>
      </c>
      <c r="E2159" s="11">
        <v>1031934</v>
      </c>
      <c r="F2159" t="str">
        <f>VLOOKUP(A2159,[1]!Table1[#All],17,FALSE)</f>
        <v>INDIA</v>
      </c>
      <c r="G2159" t="str">
        <f>VLOOKUP(A2159,[1]!Table1[#All],22,FALSE)</f>
        <v>VOLUNTARY HEALTH SERVICES</v>
      </c>
      <c r="H2159" s="8">
        <f>VLOOKUP(A2159,[1]!Table1[#All],32,FALSE)</f>
        <v>44058</v>
      </c>
      <c r="I2159" s="8">
        <f>VLOOKUP(A2159,[1]!Table1[#All],33,FALSE)</f>
        <v>45929</v>
      </c>
      <c r="J2159" t="str">
        <f t="shared" ca="1" si="35"/>
        <v>Non UDO</v>
      </c>
    </row>
    <row r="2160" spans="1:10" x14ac:dyDescent="0.35">
      <c r="A2160" s="5" t="s">
        <v>70</v>
      </c>
      <c r="B2160" s="6">
        <v>44501</v>
      </c>
      <c r="C2160" s="7">
        <v>1691934</v>
      </c>
      <c r="D2160" s="7">
        <v>660000</v>
      </c>
      <c r="E2160" s="7">
        <v>1031934</v>
      </c>
      <c r="F2160" t="str">
        <f>VLOOKUP(A2160,[1]!Table1[#All],17,FALSE)</f>
        <v>INDIA</v>
      </c>
      <c r="G2160" t="str">
        <f>VLOOKUP(A2160,[1]!Table1[#All],22,FALSE)</f>
        <v>VOLUNTARY HEALTH SERVICES</v>
      </c>
      <c r="H2160" s="8">
        <f>VLOOKUP(A2160,[1]!Table1[#All],32,FALSE)</f>
        <v>44058</v>
      </c>
      <c r="I2160" s="8">
        <f>VLOOKUP(A2160,[1]!Table1[#All],33,FALSE)</f>
        <v>45929</v>
      </c>
      <c r="J2160" t="str">
        <f t="shared" ca="1" si="35"/>
        <v>Non UDO</v>
      </c>
    </row>
    <row r="2161" spans="1:10" x14ac:dyDescent="0.35">
      <c r="A2161" s="9" t="s">
        <v>70</v>
      </c>
      <c r="B2161" s="10">
        <v>44531</v>
      </c>
      <c r="C2161" s="11">
        <v>1691934</v>
      </c>
      <c r="D2161" s="11">
        <v>660000</v>
      </c>
      <c r="E2161" s="11">
        <v>1031934</v>
      </c>
      <c r="F2161" t="str">
        <f>VLOOKUP(A2161,[1]!Table1[#All],17,FALSE)</f>
        <v>INDIA</v>
      </c>
      <c r="G2161" t="str">
        <f>VLOOKUP(A2161,[1]!Table1[#All],22,FALSE)</f>
        <v>VOLUNTARY HEALTH SERVICES</v>
      </c>
      <c r="H2161" s="8">
        <f>VLOOKUP(A2161,[1]!Table1[#All],32,FALSE)</f>
        <v>44058</v>
      </c>
      <c r="I2161" s="8">
        <f>VLOOKUP(A2161,[1]!Table1[#All],33,FALSE)</f>
        <v>45929</v>
      </c>
      <c r="J2161" t="str">
        <f t="shared" ca="1" si="35"/>
        <v>Non UDO</v>
      </c>
    </row>
    <row r="2162" spans="1:10" x14ac:dyDescent="0.35">
      <c r="A2162" s="5" t="s">
        <v>70</v>
      </c>
      <c r="B2162" s="6">
        <v>44562</v>
      </c>
      <c r="C2162" s="7">
        <v>1691934</v>
      </c>
      <c r="D2162" s="7">
        <v>660000</v>
      </c>
      <c r="E2162" s="7">
        <v>1031934</v>
      </c>
      <c r="F2162" t="str">
        <f>VLOOKUP(A2162,[1]!Table1[#All],17,FALSE)</f>
        <v>INDIA</v>
      </c>
      <c r="G2162" t="str">
        <f>VLOOKUP(A2162,[1]!Table1[#All],22,FALSE)</f>
        <v>VOLUNTARY HEALTH SERVICES</v>
      </c>
      <c r="H2162" s="8">
        <f>VLOOKUP(A2162,[1]!Table1[#All],32,FALSE)</f>
        <v>44058</v>
      </c>
      <c r="I2162" s="8">
        <f>VLOOKUP(A2162,[1]!Table1[#All],33,FALSE)</f>
        <v>45929</v>
      </c>
      <c r="J2162" t="str">
        <f t="shared" ca="1" si="35"/>
        <v>Non UDO</v>
      </c>
    </row>
    <row r="2163" spans="1:10" x14ac:dyDescent="0.35">
      <c r="A2163" s="9" t="s">
        <v>70</v>
      </c>
      <c r="B2163" s="10">
        <v>44593</v>
      </c>
      <c r="C2163" s="11">
        <v>1691934</v>
      </c>
      <c r="D2163" s="11">
        <v>660000</v>
      </c>
      <c r="E2163" s="11">
        <v>1031934</v>
      </c>
      <c r="F2163" t="str">
        <f>VLOOKUP(A2163,[1]!Table1[#All],17,FALSE)</f>
        <v>INDIA</v>
      </c>
      <c r="G2163" t="str">
        <f>VLOOKUP(A2163,[1]!Table1[#All],22,FALSE)</f>
        <v>VOLUNTARY HEALTH SERVICES</v>
      </c>
      <c r="H2163" s="8">
        <f>VLOOKUP(A2163,[1]!Table1[#All],32,FALSE)</f>
        <v>44058</v>
      </c>
      <c r="I2163" s="8">
        <f>VLOOKUP(A2163,[1]!Table1[#All],33,FALSE)</f>
        <v>45929</v>
      </c>
      <c r="J2163" t="str">
        <f t="shared" ca="1" si="35"/>
        <v>Non UDO</v>
      </c>
    </row>
    <row r="2164" spans="1:10" x14ac:dyDescent="0.35">
      <c r="A2164" s="5" t="s">
        <v>70</v>
      </c>
      <c r="B2164" s="6">
        <v>44621</v>
      </c>
      <c r="C2164" s="7">
        <v>1691934</v>
      </c>
      <c r="D2164" s="7">
        <v>660000</v>
      </c>
      <c r="E2164" s="7">
        <v>1031934</v>
      </c>
      <c r="F2164" t="str">
        <f>VLOOKUP(A2164,[1]!Table1[#All],17,FALSE)</f>
        <v>INDIA</v>
      </c>
      <c r="G2164" t="str">
        <f>VLOOKUP(A2164,[1]!Table1[#All],22,FALSE)</f>
        <v>VOLUNTARY HEALTH SERVICES</v>
      </c>
      <c r="H2164" s="8">
        <f>VLOOKUP(A2164,[1]!Table1[#All],32,FALSE)</f>
        <v>44058</v>
      </c>
      <c r="I2164" s="8">
        <f>VLOOKUP(A2164,[1]!Table1[#All],33,FALSE)</f>
        <v>45929</v>
      </c>
      <c r="J2164" t="str">
        <f t="shared" ca="1" si="35"/>
        <v>Non UDO</v>
      </c>
    </row>
    <row r="2165" spans="1:10" x14ac:dyDescent="0.35">
      <c r="A2165" s="9" t="s">
        <v>70</v>
      </c>
      <c r="B2165" s="10">
        <v>44652</v>
      </c>
      <c r="C2165" s="11">
        <v>1691934</v>
      </c>
      <c r="D2165" s="11">
        <v>660000</v>
      </c>
      <c r="E2165" s="11">
        <v>1031934</v>
      </c>
      <c r="F2165" t="str">
        <f>VLOOKUP(A2165,[1]!Table1[#All],17,FALSE)</f>
        <v>INDIA</v>
      </c>
      <c r="G2165" t="str">
        <f>VLOOKUP(A2165,[1]!Table1[#All],22,FALSE)</f>
        <v>VOLUNTARY HEALTH SERVICES</v>
      </c>
      <c r="H2165" s="8">
        <f>VLOOKUP(A2165,[1]!Table1[#All],32,FALSE)</f>
        <v>44058</v>
      </c>
      <c r="I2165" s="8">
        <f>VLOOKUP(A2165,[1]!Table1[#All],33,FALSE)</f>
        <v>45929</v>
      </c>
      <c r="J2165" t="str">
        <f t="shared" ca="1" si="35"/>
        <v>Non UDO</v>
      </c>
    </row>
    <row r="2166" spans="1:10" x14ac:dyDescent="0.35">
      <c r="A2166" s="5" t="s">
        <v>70</v>
      </c>
      <c r="B2166" s="6">
        <v>44682</v>
      </c>
      <c r="C2166" s="7">
        <v>1691934</v>
      </c>
      <c r="D2166" s="7">
        <v>750000</v>
      </c>
      <c r="E2166" s="7">
        <v>941934</v>
      </c>
      <c r="F2166" t="str">
        <f>VLOOKUP(A2166,[1]!Table1[#All],17,FALSE)</f>
        <v>INDIA</v>
      </c>
      <c r="G2166" t="str">
        <f>VLOOKUP(A2166,[1]!Table1[#All],22,FALSE)</f>
        <v>VOLUNTARY HEALTH SERVICES</v>
      </c>
      <c r="H2166" s="8">
        <f>VLOOKUP(A2166,[1]!Table1[#All],32,FALSE)</f>
        <v>44058</v>
      </c>
      <c r="I2166" s="8">
        <f>VLOOKUP(A2166,[1]!Table1[#All],33,FALSE)</f>
        <v>45929</v>
      </c>
      <c r="J2166" t="str">
        <f t="shared" ca="1" si="35"/>
        <v>Non UDO</v>
      </c>
    </row>
    <row r="2167" spans="1:10" x14ac:dyDescent="0.35">
      <c r="A2167" s="9" t="s">
        <v>70</v>
      </c>
      <c r="B2167" s="10">
        <v>44713</v>
      </c>
      <c r="C2167" s="11">
        <v>1691934</v>
      </c>
      <c r="D2167" s="11">
        <v>750000</v>
      </c>
      <c r="E2167" s="11">
        <v>941934</v>
      </c>
      <c r="F2167" t="str">
        <f>VLOOKUP(A2167,[1]!Table1[#All],17,FALSE)</f>
        <v>INDIA</v>
      </c>
      <c r="G2167" t="str">
        <f>VLOOKUP(A2167,[1]!Table1[#All],22,FALSE)</f>
        <v>VOLUNTARY HEALTH SERVICES</v>
      </c>
      <c r="H2167" s="8">
        <f>VLOOKUP(A2167,[1]!Table1[#All],32,FALSE)</f>
        <v>44058</v>
      </c>
      <c r="I2167" s="8">
        <f>VLOOKUP(A2167,[1]!Table1[#All],33,FALSE)</f>
        <v>45929</v>
      </c>
      <c r="J2167" t="str">
        <f t="shared" ca="1" si="35"/>
        <v>Non UDO</v>
      </c>
    </row>
    <row r="2168" spans="1:10" x14ac:dyDescent="0.35">
      <c r="A2168" s="5" t="s">
        <v>70</v>
      </c>
      <c r="B2168" s="6">
        <v>44743</v>
      </c>
      <c r="C2168" s="7">
        <v>1691934</v>
      </c>
      <c r="D2168" s="7">
        <v>750000</v>
      </c>
      <c r="E2168" s="7">
        <v>941934</v>
      </c>
      <c r="F2168" t="str">
        <f>VLOOKUP(A2168,[1]!Table1[#All],17,FALSE)</f>
        <v>INDIA</v>
      </c>
      <c r="G2168" t="str">
        <f>VLOOKUP(A2168,[1]!Table1[#All],22,FALSE)</f>
        <v>VOLUNTARY HEALTH SERVICES</v>
      </c>
      <c r="H2168" s="8">
        <f>VLOOKUP(A2168,[1]!Table1[#All],32,FALSE)</f>
        <v>44058</v>
      </c>
      <c r="I2168" s="8">
        <f>VLOOKUP(A2168,[1]!Table1[#All],33,FALSE)</f>
        <v>45929</v>
      </c>
      <c r="J2168" t="str">
        <f t="shared" ca="1" si="35"/>
        <v>Non UDO</v>
      </c>
    </row>
    <row r="2169" spans="1:10" x14ac:dyDescent="0.35">
      <c r="A2169" s="9" t="s">
        <v>70</v>
      </c>
      <c r="B2169" s="10">
        <v>44774</v>
      </c>
      <c r="C2169" s="11">
        <v>1691934</v>
      </c>
      <c r="D2169" s="11">
        <v>750000</v>
      </c>
      <c r="E2169" s="11">
        <v>941934</v>
      </c>
      <c r="F2169" t="str">
        <f>VLOOKUP(A2169,[1]!Table1[#All],17,FALSE)</f>
        <v>INDIA</v>
      </c>
      <c r="G2169" t="str">
        <f>VLOOKUP(A2169,[1]!Table1[#All],22,FALSE)</f>
        <v>VOLUNTARY HEALTH SERVICES</v>
      </c>
      <c r="H2169" s="8">
        <f>VLOOKUP(A2169,[1]!Table1[#All],32,FALSE)</f>
        <v>44058</v>
      </c>
      <c r="I2169" s="8">
        <f>VLOOKUP(A2169,[1]!Table1[#All],33,FALSE)</f>
        <v>45929</v>
      </c>
      <c r="J2169" t="str">
        <f t="shared" ca="1" si="35"/>
        <v>Non UDO</v>
      </c>
    </row>
    <row r="2170" spans="1:10" x14ac:dyDescent="0.35">
      <c r="A2170" s="5" t="s">
        <v>70</v>
      </c>
      <c r="B2170" s="6">
        <v>44805</v>
      </c>
      <c r="C2170" s="7">
        <v>1691934</v>
      </c>
      <c r="D2170" s="7">
        <v>870000</v>
      </c>
      <c r="E2170" s="7">
        <v>821934</v>
      </c>
      <c r="F2170" t="str">
        <f>VLOOKUP(A2170,[1]!Table1[#All],17,FALSE)</f>
        <v>INDIA</v>
      </c>
      <c r="G2170" t="str">
        <f>VLOOKUP(A2170,[1]!Table1[#All],22,FALSE)</f>
        <v>VOLUNTARY HEALTH SERVICES</v>
      </c>
      <c r="H2170" s="8">
        <f>VLOOKUP(A2170,[1]!Table1[#All],32,FALSE)</f>
        <v>44058</v>
      </c>
      <c r="I2170" s="8">
        <f>VLOOKUP(A2170,[1]!Table1[#All],33,FALSE)</f>
        <v>45929</v>
      </c>
      <c r="J2170" t="str">
        <f t="shared" ca="1" si="35"/>
        <v>Non UDO</v>
      </c>
    </row>
    <row r="2171" spans="1:10" x14ac:dyDescent="0.35">
      <c r="A2171" s="9" t="s">
        <v>70</v>
      </c>
      <c r="B2171" s="10">
        <v>44835</v>
      </c>
      <c r="C2171" s="11">
        <v>1691934</v>
      </c>
      <c r="D2171" s="11">
        <v>920000</v>
      </c>
      <c r="E2171" s="11">
        <v>771934</v>
      </c>
      <c r="F2171" t="str">
        <f>VLOOKUP(A2171,[1]!Table1[#All],17,FALSE)</f>
        <v>INDIA</v>
      </c>
      <c r="G2171" t="str">
        <f>VLOOKUP(A2171,[1]!Table1[#All],22,FALSE)</f>
        <v>VOLUNTARY HEALTH SERVICES</v>
      </c>
      <c r="H2171" s="8">
        <f>VLOOKUP(A2171,[1]!Table1[#All],32,FALSE)</f>
        <v>44058</v>
      </c>
      <c r="I2171" s="8">
        <f>VLOOKUP(A2171,[1]!Table1[#All],33,FALSE)</f>
        <v>45929</v>
      </c>
      <c r="J2171" t="str">
        <f t="shared" ca="1" si="35"/>
        <v>Non UDO</v>
      </c>
    </row>
    <row r="2172" spans="1:10" x14ac:dyDescent="0.35">
      <c r="A2172" s="5" t="s">
        <v>70</v>
      </c>
      <c r="B2172" s="6">
        <v>44866</v>
      </c>
      <c r="C2172" s="7">
        <v>1691934</v>
      </c>
      <c r="D2172" s="7">
        <v>920000</v>
      </c>
      <c r="E2172" s="7">
        <v>771934</v>
      </c>
      <c r="F2172" t="str">
        <f>VLOOKUP(A2172,[1]!Table1[#All],17,FALSE)</f>
        <v>INDIA</v>
      </c>
      <c r="G2172" t="str">
        <f>VLOOKUP(A2172,[1]!Table1[#All],22,FALSE)</f>
        <v>VOLUNTARY HEALTH SERVICES</v>
      </c>
      <c r="H2172" s="8">
        <f>VLOOKUP(A2172,[1]!Table1[#All],32,FALSE)</f>
        <v>44058</v>
      </c>
      <c r="I2172" s="8">
        <f>VLOOKUP(A2172,[1]!Table1[#All],33,FALSE)</f>
        <v>45929</v>
      </c>
      <c r="J2172" t="str">
        <f t="shared" ca="1" si="35"/>
        <v>Non UDO</v>
      </c>
    </row>
    <row r="2173" spans="1:10" x14ac:dyDescent="0.35">
      <c r="A2173" s="9" t="s">
        <v>70</v>
      </c>
      <c r="B2173" s="10">
        <v>44896</v>
      </c>
      <c r="C2173" s="11">
        <v>1691934</v>
      </c>
      <c r="D2173" s="11">
        <v>995000</v>
      </c>
      <c r="E2173" s="11">
        <v>696934</v>
      </c>
      <c r="F2173" t="str">
        <f>VLOOKUP(A2173,[1]!Table1[#All],17,FALSE)</f>
        <v>INDIA</v>
      </c>
      <c r="G2173" t="str">
        <f>VLOOKUP(A2173,[1]!Table1[#All],22,FALSE)</f>
        <v>VOLUNTARY HEALTH SERVICES</v>
      </c>
      <c r="H2173" s="8">
        <f>VLOOKUP(A2173,[1]!Table1[#All],32,FALSE)</f>
        <v>44058</v>
      </c>
      <c r="I2173" s="8">
        <f>VLOOKUP(A2173,[1]!Table1[#All],33,FALSE)</f>
        <v>45929</v>
      </c>
      <c r="J2173" t="str">
        <f t="shared" ca="1" si="35"/>
        <v>Non UDO</v>
      </c>
    </row>
    <row r="2174" spans="1:10" x14ac:dyDescent="0.35">
      <c r="A2174" s="5" t="s">
        <v>70</v>
      </c>
      <c r="B2174" s="6">
        <v>44927</v>
      </c>
      <c r="C2174" s="7">
        <v>1691934</v>
      </c>
      <c r="D2174" s="7">
        <v>995000</v>
      </c>
      <c r="E2174" s="7">
        <v>696934</v>
      </c>
      <c r="F2174" t="str">
        <f>VLOOKUP(A2174,[1]!Table1[#All],17,FALSE)</f>
        <v>INDIA</v>
      </c>
      <c r="G2174" t="str">
        <f>VLOOKUP(A2174,[1]!Table1[#All],22,FALSE)</f>
        <v>VOLUNTARY HEALTH SERVICES</v>
      </c>
      <c r="H2174" s="8">
        <f>VLOOKUP(A2174,[1]!Table1[#All],32,FALSE)</f>
        <v>44058</v>
      </c>
      <c r="I2174" s="8">
        <f>VLOOKUP(A2174,[1]!Table1[#All],33,FALSE)</f>
        <v>45929</v>
      </c>
      <c r="J2174" t="str">
        <f t="shared" ca="1" si="35"/>
        <v>Non UDO</v>
      </c>
    </row>
    <row r="2175" spans="1:10" x14ac:dyDescent="0.35">
      <c r="A2175" s="9" t="s">
        <v>70</v>
      </c>
      <c r="B2175" s="10">
        <v>44958</v>
      </c>
      <c r="C2175" s="11">
        <v>1691934</v>
      </c>
      <c r="D2175" s="11">
        <v>1045000</v>
      </c>
      <c r="E2175" s="11">
        <v>646934</v>
      </c>
      <c r="F2175" t="str">
        <f>VLOOKUP(A2175,[1]!Table1[#All],17,FALSE)</f>
        <v>INDIA</v>
      </c>
      <c r="G2175" t="str">
        <f>VLOOKUP(A2175,[1]!Table1[#All],22,FALSE)</f>
        <v>VOLUNTARY HEALTH SERVICES</v>
      </c>
      <c r="H2175" s="8">
        <f>VLOOKUP(A2175,[1]!Table1[#All],32,FALSE)</f>
        <v>44058</v>
      </c>
      <c r="I2175" s="8">
        <f>VLOOKUP(A2175,[1]!Table1[#All],33,FALSE)</f>
        <v>45929</v>
      </c>
      <c r="J2175" t="str">
        <f t="shared" ca="1" si="35"/>
        <v>Non UDO</v>
      </c>
    </row>
    <row r="2176" spans="1:10" x14ac:dyDescent="0.35">
      <c r="A2176" s="5" t="s">
        <v>70</v>
      </c>
      <c r="B2176" s="6">
        <v>44986</v>
      </c>
      <c r="C2176" s="7">
        <v>1691934</v>
      </c>
      <c r="D2176" s="7">
        <v>1045000</v>
      </c>
      <c r="E2176" s="7">
        <v>646934</v>
      </c>
      <c r="F2176" t="str">
        <f>VLOOKUP(A2176,[1]!Table1[#All],17,FALSE)</f>
        <v>INDIA</v>
      </c>
      <c r="G2176" t="str">
        <f>VLOOKUP(A2176,[1]!Table1[#All],22,FALSE)</f>
        <v>VOLUNTARY HEALTH SERVICES</v>
      </c>
      <c r="H2176" s="8">
        <f>VLOOKUP(A2176,[1]!Table1[#All],32,FALSE)</f>
        <v>44058</v>
      </c>
      <c r="I2176" s="8">
        <f>VLOOKUP(A2176,[1]!Table1[#All],33,FALSE)</f>
        <v>45929</v>
      </c>
      <c r="J2176" t="str">
        <f t="shared" ca="1" si="35"/>
        <v>Non UDO</v>
      </c>
    </row>
    <row r="2177" spans="1:10" x14ac:dyDescent="0.35">
      <c r="A2177" s="9" t="s">
        <v>70</v>
      </c>
      <c r="B2177" s="10">
        <v>45017</v>
      </c>
      <c r="C2177" s="11">
        <v>1691934</v>
      </c>
      <c r="D2177" s="11">
        <v>1045000</v>
      </c>
      <c r="E2177" s="11">
        <v>646934</v>
      </c>
      <c r="F2177" t="str">
        <f>VLOOKUP(A2177,[1]!Table1[#All],17,FALSE)</f>
        <v>INDIA</v>
      </c>
      <c r="G2177" t="str">
        <f>VLOOKUP(A2177,[1]!Table1[#All],22,FALSE)</f>
        <v>VOLUNTARY HEALTH SERVICES</v>
      </c>
      <c r="H2177" s="8">
        <f>VLOOKUP(A2177,[1]!Table1[#All],32,FALSE)</f>
        <v>44058</v>
      </c>
      <c r="I2177" s="8">
        <f>VLOOKUP(A2177,[1]!Table1[#All],33,FALSE)</f>
        <v>45929</v>
      </c>
      <c r="J2177" t="str">
        <f t="shared" ca="1" si="35"/>
        <v>Non UDO</v>
      </c>
    </row>
    <row r="2178" spans="1:10" x14ac:dyDescent="0.35">
      <c r="A2178" s="5" t="s">
        <v>70</v>
      </c>
      <c r="B2178" s="6">
        <v>45047</v>
      </c>
      <c r="C2178" s="7">
        <v>1691934</v>
      </c>
      <c r="D2178" s="7">
        <v>1155000</v>
      </c>
      <c r="E2178" s="7">
        <v>536934</v>
      </c>
      <c r="F2178" t="str">
        <f>VLOOKUP(A2178,[1]!Table1[#All],17,FALSE)</f>
        <v>INDIA</v>
      </c>
      <c r="G2178" t="str">
        <f>VLOOKUP(A2178,[1]!Table1[#All],22,FALSE)</f>
        <v>VOLUNTARY HEALTH SERVICES</v>
      </c>
      <c r="H2178" s="8">
        <f>VLOOKUP(A2178,[1]!Table1[#All],32,FALSE)</f>
        <v>44058</v>
      </c>
      <c r="I2178" s="8">
        <f>VLOOKUP(A2178,[1]!Table1[#All],33,FALSE)</f>
        <v>45929</v>
      </c>
      <c r="J2178" t="str">
        <f t="shared" ca="1" si="35"/>
        <v>Non UDO</v>
      </c>
    </row>
    <row r="2179" spans="1:10" x14ac:dyDescent="0.35">
      <c r="A2179" s="9" t="s">
        <v>70</v>
      </c>
      <c r="B2179" s="10">
        <v>45078</v>
      </c>
      <c r="C2179" s="11">
        <v>1691934</v>
      </c>
      <c r="D2179" s="11">
        <v>1205000</v>
      </c>
      <c r="E2179" s="11">
        <v>486934</v>
      </c>
      <c r="F2179" t="str">
        <f>VLOOKUP(A2179,[1]!Table1[#All],17,FALSE)</f>
        <v>INDIA</v>
      </c>
      <c r="G2179" t="str">
        <f>VLOOKUP(A2179,[1]!Table1[#All],22,FALSE)</f>
        <v>VOLUNTARY HEALTH SERVICES</v>
      </c>
      <c r="H2179" s="8">
        <f>VLOOKUP(A2179,[1]!Table1[#All],32,FALSE)</f>
        <v>44058</v>
      </c>
      <c r="I2179" s="8">
        <f>VLOOKUP(A2179,[1]!Table1[#All],33,FALSE)</f>
        <v>45929</v>
      </c>
      <c r="J2179" t="str">
        <f t="shared" ref="J2179:J2242" ca="1" si="36">IF(AND( E2179&gt;0,TODAY()&gt;I2179),"UDO","Non UDO")</f>
        <v>Non UDO</v>
      </c>
    </row>
    <row r="2180" spans="1:10" x14ac:dyDescent="0.35">
      <c r="A2180" s="5" t="s">
        <v>70</v>
      </c>
      <c r="B2180" s="6">
        <v>45108</v>
      </c>
      <c r="C2180" s="7">
        <v>1691934</v>
      </c>
      <c r="D2180" s="7">
        <v>1205000</v>
      </c>
      <c r="E2180" s="7">
        <v>486934</v>
      </c>
      <c r="F2180" t="str">
        <f>VLOOKUP(A2180,[1]!Table1[#All],17,FALSE)</f>
        <v>INDIA</v>
      </c>
      <c r="G2180" t="str">
        <f>VLOOKUP(A2180,[1]!Table1[#All],22,FALSE)</f>
        <v>VOLUNTARY HEALTH SERVICES</v>
      </c>
      <c r="H2180" s="8">
        <f>VLOOKUP(A2180,[1]!Table1[#All],32,FALSE)</f>
        <v>44058</v>
      </c>
      <c r="I2180" s="8">
        <f>VLOOKUP(A2180,[1]!Table1[#All],33,FALSE)</f>
        <v>45929</v>
      </c>
      <c r="J2180" t="str">
        <f t="shared" ca="1" si="36"/>
        <v>Non UDO</v>
      </c>
    </row>
    <row r="2181" spans="1:10" x14ac:dyDescent="0.35">
      <c r="A2181" s="9" t="s">
        <v>70</v>
      </c>
      <c r="B2181" s="10">
        <v>45139</v>
      </c>
      <c r="C2181" s="11">
        <v>1691934</v>
      </c>
      <c r="D2181" s="11">
        <v>1280000</v>
      </c>
      <c r="E2181" s="11">
        <v>411934</v>
      </c>
      <c r="F2181" t="str">
        <f>VLOOKUP(A2181,[1]!Table1[#All],17,FALSE)</f>
        <v>INDIA</v>
      </c>
      <c r="G2181" t="str">
        <f>VLOOKUP(A2181,[1]!Table1[#All],22,FALSE)</f>
        <v>VOLUNTARY HEALTH SERVICES</v>
      </c>
      <c r="H2181" s="8">
        <f>VLOOKUP(A2181,[1]!Table1[#All],32,FALSE)</f>
        <v>44058</v>
      </c>
      <c r="I2181" s="8">
        <f>VLOOKUP(A2181,[1]!Table1[#All],33,FALSE)</f>
        <v>45929</v>
      </c>
      <c r="J2181" t="str">
        <f t="shared" ca="1" si="36"/>
        <v>Non UDO</v>
      </c>
    </row>
    <row r="2182" spans="1:10" x14ac:dyDescent="0.35">
      <c r="A2182" s="5" t="s">
        <v>70</v>
      </c>
      <c r="B2182" s="6">
        <v>45170</v>
      </c>
      <c r="C2182" s="7">
        <v>1691934</v>
      </c>
      <c r="D2182" s="7">
        <v>1280000</v>
      </c>
      <c r="E2182" s="7">
        <v>411934</v>
      </c>
      <c r="F2182" t="str">
        <f>VLOOKUP(A2182,[1]!Table1[#All],17,FALSE)</f>
        <v>INDIA</v>
      </c>
      <c r="G2182" t="str">
        <f>VLOOKUP(A2182,[1]!Table1[#All],22,FALSE)</f>
        <v>VOLUNTARY HEALTH SERVICES</v>
      </c>
      <c r="H2182" s="8">
        <f>VLOOKUP(A2182,[1]!Table1[#All],32,FALSE)</f>
        <v>44058</v>
      </c>
      <c r="I2182" s="8">
        <f>VLOOKUP(A2182,[1]!Table1[#All],33,FALSE)</f>
        <v>45929</v>
      </c>
      <c r="J2182" t="str">
        <f t="shared" ca="1" si="36"/>
        <v>Non UDO</v>
      </c>
    </row>
    <row r="2183" spans="1:10" x14ac:dyDescent="0.35">
      <c r="A2183" s="9" t="s">
        <v>71</v>
      </c>
      <c r="B2183" s="10">
        <v>44409</v>
      </c>
      <c r="C2183" s="11">
        <v>1730000</v>
      </c>
      <c r="D2183" s="11">
        <v>0</v>
      </c>
      <c r="E2183" s="11">
        <v>1730000</v>
      </c>
      <c r="F2183" t="str">
        <f>VLOOKUP(A2183,[1]!Table1[#All],17,FALSE)</f>
        <v>INDIA</v>
      </c>
      <c r="G2183" t="str">
        <f>VLOOKUP(A2183,[1]!Table1[#All],22,FALSE)</f>
        <v>VOLUNTARY HEALTH SERVICES</v>
      </c>
      <c r="H2183" s="8">
        <f>VLOOKUP(A2183,[1]!Table1[#All],32,FALSE)</f>
        <v>44058</v>
      </c>
      <c r="I2183" s="8">
        <f>VLOOKUP(A2183,[1]!Table1[#All],33,FALSE)</f>
        <v>45929</v>
      </c>
      <c r="J2183" t="str">
        <f t="shared" ca="1" si="36"/>
        <v>Non UDO</v>
      </c>
    </row>
    <row r="2184" spans="1:10" x14ac:dyDescent="0.35">
      <c r="A2184" s="5" t="s">
        <v>71</v>
      </c>
      <c r="B2184" s="6">
        <v>44440</v>
      </c>
      <c r="C2184" s="7">
        <v>1730000</v>
      </c>
      <c r="D2184" s="7">
        <v>0</v>
      </c>
      <c r="E2184" s="7">
        <v>1730000</v>
      </c>
      <c r="F2184" t="str">
        <f>VLOOKUP(A2184,[1]!Table1[#All],17,FALSE)</f>
        <v>INDIA</v>
      </c>
      <c r="G2184" t="str">
        <f>VLOOKUP(A2184,[1]!Table1[#All],22,FALSE)</f>
        <v>VOLUNTARY HEALTH SERVICES</v>
      </c>
      <c r="H2184" s="8">
        <f>VLOOKUP(A2184,[1]!Table1[#All],32,FALSE)</f>
        <v>44058</v>
      </c>
      <c r="I2184" s="8">
        <f>VLOOKUP(A2184,[1]!Table1[#All],33,FALSE)</f>
        <v>45929</v>
      </c>
      <c r="J2184" t="str">
        <f t="shared" ca="1" si="36"/>
        <v>Non UDO</v>
      </c>
    </row>
    <row r="2185" spans="1:10" x14ac:dyDescent="0.35">
      <c r="A2185" s="9" t="s">
        <v>71</v>
      </c>
      <c r="B2185" s="10">
        <v>44470</v>
      </c>
      <c r="C2185" s="11">
        <v>1730000</v>
      </c>
      <c r="D2185" s="11">
        <v>100000</v>
      </c>
      <c r="E2185" s="11">
        <v>1630000</v>
      </c>
      <c r="F2185" t="str">
        <f>VLOOKUP(A2185,[1]!Table1[#All],17,FALSE)</f>
        <v>INDIA</v>
      </c>
      <c r="G2185" t="str">
        <f>VLOOKUP(A2185,[1]!Table1[#All],22,FALSE)</f>
        <v>VOLUNTARY HEALTH SERVICES</v>
      </c>
      <c r="H2185" s="8">
        <f>VLOOKUP(A2185,[1]!Table1[#All],32,FALSE)</f>
        <v>44058</v>
      </c>
      <c r="I2185" s="8">
        <f>VLOOKUP(A2185,[1]!Table1[#All],33,FALSE)</f>
        <v>45929</v>
      </c>
      <c r="J2185" t="str">
        <f t="shared" ca="1" si="36"/>
        <v>Non UDO</v>
      </c>
    </row>
    <row r="2186" spans="1:10" x14ac:dyDescent="0.35">
      <c r="A2186" s="5" t="s">
        <v>71</v>
      </c>
      <c r="B2186" s="6">
        <v>44501</v>
      </c>
      <c r="C2186" s="7">
        <v>1730000</v>
      </c>
      <c r="D2186" s="7">
        <v>100000</v>
      </c>
      <c r="E2186" s="7">
        <v>1630000</v>
      </c>
      <c r="F2186" t="str">
        <f>VLOOKUP(A2186,[1]!Table1[#All],17,FALSE)</f>
        <v>INDIA</v>
      </c>
      <c r="G2186" t="str">
        <f>VLOOKUP(A2186,[1]!Table1[#All],22,FALSE)</f>
        <v>VOLUNTARY HEALTH SERVICES</v>
      </c>
      <c r="H2186" s="8">
        <f>VLOOKUP(A2186,[1]!Table1[#All],32,FALSE)</f>
        <v>44058</v>
      </c>
      <c r="I2186" s="8">
        <f>VLOOKUP(A2186,[1]!Table1[#All],33,FALSE)</f>
        <v>45929</v>
      </c>
      <c r="J2186" t="str">
        <f t="shared" ca="1" si="36"/>
        <v>Non UDO</v>
      </c>
    </row>
    <row r="2187" spans="1:10" x14ac:dyDescent="0.35">
      <c r="A2187" s="9" t="s">
        <v>71</v>
      </c>
      <c r="B2187" s="10">
        <v>44531</v>
      </c>
      <c r="C2187" s="11">
        <v>1730000</v>
      </c>
      <c r="D2187" s="11">
        <v>225000</v>
      </c>
      <c r="E2187" s="11">
        <v>1505000</v>
      </c>
      <c r="F2187" t="str">
        <f>VLOOKUP(A2187,[1]!Table1[#All],17,FALSE)</f>
        <v>INDIA</v>
      </c>
      <c r="G2187" t="str">
        <f>VLOOKUP(A2187,[1]!Table1[#All],22,FALSE)</f>
        <v>VOLUNTARY HEALTH SERVICES</v>
      </c>
      <c r="H2187" s="8">
        <f>VLOOKUP(A2187,[1]!Table1[#All],32,FALSE)</f>
        <v>44058</v>
      </c>
      <c r="I2187" s="8">
        <f>VLOOKUP(A2187,[1]!Table1[#All],33,FALSE)</f>
        <v>45929</v>
      </c>
      <c r="J2187" t="str">
        <f t="shared" ca="1" si="36"/>
        <v>Non UDO</v>
      </c>
    </row>
    <row r="2188" spans="1:10" x14ac:dyDescent="0.35">
      <c r="A2188" s="5" t="s">
        <v>71</v>
      </c>
      <c r="B2188" s="6">
        <v>44562</v>
      </c>
      <c r="C2188" s="7">
        <v>1730000</v>
      </c>
      <c r="D2188" s="7">
        <v>300000</v>
      </c>
      <c r="E2188" s="7">
        <v>1430000</v>
      </c>
      <c r="F2188" t="str">
        <f>VLOOKUP(A2188,[1]!Table1[#All],17,FALSE)</f>
        <v>INDIA</v>
      </c>
      <c r="G2188" t="str">
        <f>VLOOKUP(A2188,[1]!Table1[#All],22,FALSE)</f>
        <v>VOLUNTARY HEALTH SERVICES</v>
      </c>
      <c r="H2188" s="8">
        <f>VLOOKUP(A2188,[1]!Table1[#All],32,FALSE)</f>
        <v>44058</v>
      </c>
      <c r="I2188" s="8">
        <f>VLOOKUP(A2188,[1]!Table1[#All],33,FALSE)</f>
        <v>45929</v>
      </c>
      <c r="J2188" t="str">
        <f t="shared" ca="1" si="36"/>
        <v>Non UDO</v>
      </c>
    </row>
    <row r="2189" spans="1:10" x14ac:dyDescent="0.35">
      <c r="A2189" s="9" t="s">
        <v>71</v>
      </c>
      <c r="B2189" s="10">
        <v>44593</v>
      </c>
      <c r="C2189" s="11">
        <v>1730000</v>
      </c>
      <c r="D2189" s="11">
        <v>410000</v>
      </c>
      <c r="E2189" s="11">
        <v>1320000</v>
      </c>
      <c r="F2189" t="str">
        <f>VLOOKUP(A2189,[1]!Table1[#All],17,FALSE)</f>
        <v>INDIA</v>
      </c>
      <c r="G2189" t="str">
        <f>VLOOKUP(A2189,[1]!Table1[#All],22,FALSE)</f>
        <v>VOLUNTARY HEALTH SERVICES</v>
      </c>
      <c r="H2189" s="8">
        <f>VLOOKUP(A2189,[1]!Table1[#All],32,FALSE)</f>
        <v>44058</v>
      </c>
      <c r="I2189" s="8">
        <f>VLOOKUP(A2189,[1]!Table1[#All],33,FALSE)</f>
        <v>45929</v>
      </c>
      <c r="J2189" t="str">
        <f t="shared" ca="1" si="36"/>
        <v>Non UDO</v>
      </c>
    </row>
    <row r="2190" spans="1:10" x14ac:dyDescent="0.35">
      <c r="A2190" s="5" t="s">
        <v>71</v>
      </c>
      <c r="B2190" s="6">
        <v>44621</v>
      </c>
      <c r="C2190" s="7">
        <v>1730000</v>
      </c>
      <c r="D2190" s="7">
        <v>410000</v>
      </c>
      <c r="E2190" s="7">
        <v>1320000</v>
      </c>
      <c r="F2190" t="str">
        <f>VLOOKUP(A2190,[1]!Table1[#All],17,FALSE)</f>
        <v>INDIA</v>
      </c>
      <c r="G2190" t="str">
        <f>VLOOKUP(A2190,[1]!Table1[#All],22,FALSE)</f>
        <v>VOLUNTARY HEALTH SERVICES</v>
      </c>
      <c r="H2190" s="8">
        <f>VLOOKUP(A2190,[1]!Table1[#All],32,FALSE)</f>
        <v>44058</v>
      </c>
      <c r="I2190" s="8">
        <f>VLOOKUP(A2190,[1]!Table1[#All],33,FALSE)</f>
        <v>45929</v>
      </c>
      <c r="J2190" t="str">
        <f t="shared" ca="1" si="36"/>
        <v>Non UDO</v>
      </c>
    </row>
    <row r="2191" spans="1:10" x14ac:dyDescent="0.35">
      <c r="A2191" s="9" t="s">
        <v>71</v>
      </c>
      <c r="B2191" s="10">
        <v>44652</v>
      </c>
      <c r="C2191" s="11">
        <v>1730000</v>
      </c>
      <c r="D2191" s="11">
        <v>510000</v>
      </c>
      <c r="E2191" s="11">
        <v>1220000</v>
      </c>
      <c r="F2191" t="str">
        <f>VLOOKUP(A2191,[1]!Table1[#All],17,FALSE)</f>
        <v>INDIA</v>
      </c>
      <c r="G2191" t="str">
        <f>VLOOKUP(A2191,[1]!Table1[#All],22,FALSE)</f>
        <v>VOLUNTARY HEALTH SERVICES</v>
      </c>
      <c r="H2191" s="8">
        <f>VLOOKUP(A2191,[1]!Table1[#All],32,FALSE)</f>
        <v>44058</v>
      </c>
      <c r="I2191" s="8">
        <f>VLOOKUP(A2191,[1]!Table1[#All],33,FALSE)</f>
        <v>45929</v>
      </c>
      <c r="J2191" t="str">
        <f t="shared" ca="1" si="36"/>
        <v>Non UDO</v>
      </c>
    </row>
    <row r="2192" spans="1:10" x14ac:dyDescent="0.35">
      <c r="A2192" s="5" t="s">
        <v>71</v>
      </c>
      <c r="B2192" s="6">
        <v>44682</v>
      </c>
      <c r="C2192" s="7">
        <v>1730000</v>
      </c>
      <c r="D2192" s="7">
        <v>560000</v>
      </c>
      <c r="E2192" s="7">
        <v>1170000</v>
      </c>
      <c r="F2192" t="str">
        <f>VLOOKUP(A2192,[1]!Table1[#All],17,FALSE)</f>
        <v>INDIA</v>
      </c>
      <c r="G2192" t="str">
        <f>VLOOKUP(A2192,[1]!Table1[#All],22,FALSE)</f>
        <v>VOLUNTARY HEALTH SERVICES</v>
      </c>
      <c r="H2192" s="8">
        <f>VLOOKUP(A2192,[1]!Table1[#All],32,FALSE)</f>
        <v>44058</v>
      </c>
      <c r="I2192" s="8">
        <f>VLOOKUP(A2192,[1]!Table1[#All],33,FALSE)</f>
        <v>45929</v>
      </c>
      <c r="J2192" t="str">
        <f t="shared" ca="1" si="36"/>
        <v>Non UDO</v>
      </c>
    </row>
    <row r="2193" spans="1:10" x14ac:dyDescent="0.35">
      <c r="A2193" s="9" t="s">
        <v>71</v>
      </c>
      <c r="B2193" s="10">
        <v>44713</v>
      </c>
      <c r="C2193" s="11">
        <v>1730000</v>
      </c>
      <c r="D2193" s="11">
        <v>660000</v>
      </c>
      <c r="E2193" s="11">
        <v>1070000</v>
      </c>
      <c r="F2193" t="str">
        <f>VLOOKUP(A2193,[1]!Table1[#All],17,FALSE)</f>
        <v>INDIA</v>
      </c>
      <c r="G2193" t="str">
        <f>VLOOKUP(A2193,[1]!Table1[#All],22,FALSE)</f>
        <v>VOLUNTARY HEALTH SERVICES</v>
      </c>
      <c r="H2193" s="8">
        <f>VLOOKUP(A2193,[1]!Table1[#All],32,FALSE)</f>
        <v>44058</v>
      </c>
      <c r="I2193" s="8">
        <f>VLOOKUP(A2193,[1]!Table1[#All],33,FALSE)</f>
        <v>45929</v>
      </c>
      <c r="J2193" t="str">
        <f t="shared" ca="1" si="36"/>
        <v>Non UDO</v>
      </c>
    </row>
    <row r="2194" spans="1:10" x14ac:dyDescent="0.35">
      <c r="A2194" s="5" t="s">
        <v>71</v>
      </c>
      <c r="B2194" s="6">
        <v>44743</v>
      </c>
      <c r="C2194" s="7">
        <v>1730000</v>
      </c>
      <c r="D2194" s="7">
        <v>710000</v>
      </c>
      <c r="E2194" s="7">
        <v>1020000</v>
      </c>
      <c r="F2194" t="str">
        <f>VLOOKUP(A2194,[1]!Table1[#All],17,FALSE)</f>
        <v>INDIA</v>
      </c>
      <c r="G2194" t="str">
        <f>VLOOKUP(A2194,[1]!Table1[#All],22,FALSE)</f>
        <v>VOLUNTARY HEALTH SERVICES</v>
      </c>
      <c r="H2194" s="8">
        <f>VLOOKUP(A2194,[1]!Table1[#All],32,FALSE)</f>
        <v>44058</v>
      </c>
      <c r="I2194" s="8">
        <f>VLOOKUP(A2194,[1]!Table1[#All],33,FALSE)</f>
        <v>45929</v>
      </c>
      <c r="J2194" t="str">
        <f t="shared" ca="1" si="36"/>
        <v>Non UDO</v>
      </c>
    </row>
    <row r="2195" spans="1:10" x14ac:dyDescent="0.35">
      <c r="A2195" s="9" t="s">
        <v>71</v>
      </c>
      <c r="B2195" s="10">
        <v>44774</v>
      </c>
      <c r="C2195" s="11">
        <v>1730000</v>
      </c>
      <c r="D2195" s="11">
        <v>760000</v>
      </c>
      <c r="E2195" s="11">
        <v>970000</v>
      </c>
      <c r="F2195" t="str">
        <f>VLOOKUP(A2195,[1]!Table1[#All],17,FALSE)</f>
        <v>INDIA</v>
      </c>
      <c r="G2195" t="str">
        <f>VLOOKUP(A2195,[1]!Table1[#All],22,FALSE)</f>
        <v>VOLUNTARY HEALTH SERVICES</v>
      </c>
      <c r="H2195" s="8">
        <f>VLOOKUP(A2195,[1]!Table1[#All],32,FALSE)</f>
        <v>44058</v>
      </c>
      <c r="I2195" s="8">
        <f>VLOOKUP(A2195,[1]!Table1[#All],33,FALSE)</f>
        <v>45929</v>
      </c>
      <c r="J2195" t="str">
        <f t="shared" ca="1" si="36"/>
        <v>Non UDO</v>
      </c>
    </row>
    <row r="2196" spans="1:10" x14ac:dyDescent="0.35">
      <c r="A2196" s="5" t="s">
        <v>71</v>
      </c>
      <c r="B2196" s="6">
        <v>44805</v>
      </c>
      <c r="C2196" s="7">
        <v>1730000</v>
      </c>
      <c r="D2196" s="7">
        <v>990000</v>
      </c>
      <c r="E2196" s="7">
        <v>740000</v>
      </c>
      <c r="F2196" t="str">
        <f>VLOOKUP(A2196,[1]!Table1[#All],17,FALSE)</f>
        <v>INDIA</v>
      </c>
      <c r="G2196" t="str">
        <f>VLOOKUP(A2196,[1]!Table1[#All],22,FALSE)</f>
        <v>VOLUNTARY HEALTH SERVICES</v>
      </c>
      <c r="H2196" s="8">
        <f>VLOOKUP(A2196,[1]!Table1[#All],32,FALSE)</f>
        <v>44058</v>
      </c>
      <c r="I2196" s="8">
        <f>VLOOKUP(A2196,[1]!Table1[#All],33,FALSE)</f>
        <v>45929</v>
      </c>
      <c r="J2196" t="str">
        <f t="shared" ca="1" si="36"/>
        <v>Non UDO</v>
      </c>
    </row>
    <row r="2197" spans="1:10" x14ac:dyDescent="0.35">
      <c r="A2197" s="9" t="s">
        <v>71</v>
      </c>
      <c r="B2197" s="10">
        <v>44835</v>
      </c>
      <c r="C2197" s="11">
        <v>1730000</v>
      </c>
      <c r="D2197" s="11">
        <v>990000</v>
      </c>
      <c r="E2197" s="11">
        <v>740000</v>
      </c>
      <c r="F2197" t="str">
        <f>VLOOKUP(A2197,[1]!Table1[#All],17,FALSE)</f>
        <v>INDIA</v>
      </c>
      <c r="G2197" t="str">
        <f>VLOOKUP(A2197,[1]!Table1[#All],22,FALSE)</f>
        <v>VOLUNTARY HEALTH SERVICES</v>
      </c>
      <c r="H2197" s="8">
        <f>VLOOKUP(A2197,[1]!Table1[#All],32,FALSE)</f>
        <v>44058</v>
      </c>
      <c r="I2197" s="8">
        <f>VLOOKUP(A2197,[1]!Table1[#All],33,FALSE)</f>
        <v>45929</v>
      </c>
      <c r="J2197" t="str">
        <f t="shared" ca="1" si="36"/>
        <v>Non UDO</v>
      </c>
    </row>
    <row r="2198" spans="1:10" x14ac:dyDescent="0.35">
      <c r="A2198" s="5" t="s">
        <v>71</v>
      </c>
      <c r="B2198" s="6">
        <v>44866</v>
      </c>
      <c r="C2198" s="7">
        <v>1730000</v>
      </c>
      <c r="D2198" s="7">
        <v>990000</v>
      </c>
      <c r="E2198" s="7">
        <v>740000</v>
      </c>
      <c r="F2198" t="str">
        <f>VLOOKUP(A2198,[1]!Table1[#All],17,FALSE)</f>
        <v>INDIA</v>
      </c>
      <c r="G2198" t="str">
        <f>VLOOKUP(A2198,[1]!Table1[#All],22,FALSE)</f>
        <v>VOLUNTARY HEALTH SERVICES</v>
      </c>
      <c r="H2198" s="8">
        <f>VLOOKUP(A2198,[1]!Table1[#All],32,FALSE)</f>
        <v>44058</v>
      </c>
      <c r="I2198" s="8">
        <f>VLOOKUP(A2198,[1]!Table1[#All],33,FALSE)</f>
        <v>45929</v>
      </c>
      <c r="J2198" t="str">
        <f t="shared" ca="1" si="36"/>
        <v>Non UDO</v>
      </c>
    </row>
    <row r="2199" spans="1:10" x14ac:dyDescent="0.35">
      <c r="A2199" s="9" t="s">
        <v>71</v>
      </c>
      <c r="B2199" s="10">
        <v>44896</v>
      </c>
      <c r="C2199" s="11">
        <v>1730000</v>
      </c>
      <c r="D2199" s="11">
        <v>990000</v>
      </c>
      <c r="E2199" s="11">
        <v>740000</v>
      </c>
      <c r="F2199" t="str">
        <f>VLOOKUP(A2199,[1]!Table1[#All],17,FALSE)</f>
        <v>INDIA</v>
      </c>
      <c r="G2199" t="str">
        <f>VLOOKUP(A2199,[1]!Table1[#All],22,FALSE)</f>
        <v>VOLUNTARY HEALTH SERVICES</v>
      </c>
      <c r="H2199" s="8">
        <f>VLOOKUP(A2199,[1]!Table1[#All],32,FALSE)</f>
        <v>44058</v>
      </c>
      <c r="I2199" s="8">
        <f>VLOOKUP(A2199,[1]!Table1[#All],33,FALSE)</f>
        <v>45929</v>
      </c>
      <c r="J2199" t="str">
        <f t="shared" ca="1" si="36"/>
        <v>Non UDO</v>
      </c>
    </row>
    <row r="2200" spans="1:10" x14ac:dyDescent="0.35">
      <c r="A2200" s="5" t="s">
        <v>71</v>
      </c>
      <c r="B2200" s="6">
        <v>44927</v>
      </c>
      <c r="C2200" s="7">
        <v>1730000</v>
      </c>
      <c r="D2200" s="7">
        <v>1065000</v>
      </c>
      <c r="E2200" s="7">
        <v>665000</v>
      </c>
      <c r="F2200" t="str">
        <f>VLOOKUP(A2200,[1]!Table1[#All],17,FALSE)</f>
        <v>INDIA</v>
      </c>
      <c r="G2200" t="str">
        <f>VLOOKUP(A2200,[1]!Table1[#All],22,FALSE)</f>
        <v>VOLUNTARY HEALTH SERVICES</v>
      </c>
      <c r="H2200" s="8">
        <f>VLOOKUP(A2200,[1]!Table1[#All],32,FALSE)</f>
        <v>44058</v>
      </c>
      <c r="I2200" s="8">
        <f>VLOOKUP(A2200,[1]!Table1[#All],33,FALSE)</f>
        <v>45929</v>
      </c>
      <c r="J2200" t="str">
        <f t="shared" ca="1" si="36"/>
        <v>Non UDO</v>
      </c>
    </row>
    <row r="2201" spans="1:10" x14ac:dyDescent="0.35">
      <c r="A2201" s="9" t="s">
        <v>71</v>
      </c>
      <c r="B2201" s="10">
        <v>44958</v>
      </c>
      <c r="C2201" s="11">
        <v>1730000</v>
      </c>
      <c r="D2201" s="11">
        <v>1065000</v>
      </c>
      <c r="E2201" s="11">
        <v>665000</v>
      </c>
      <c r="F2201" t="str">
        <f>VLOOKUP(A2201,[1]!Table1[#All],17,FALSE)</f>
        <v>INDIA</v>
      </c>
      <c r="G2201" t="str">
        <f>VLOOKUP(A2201,[1]!Table1[#All],22,FALSE)</f>
        <v>VOLUNTARY HEALTH SERVICES</v>
      </c>
      <c r="H2201" s="8">
        <f>VLOOKUP(A2201,[1]!Table1[#All],32,FALSE)</f>
        <v>44058</v>
      </c>
      <c r="I2201" s="8">
        <f>VLOOKUP(A2201,[1]!Table1[#All],33,FALSE)</f>
        <v>45929</v>
      </c>
      <c r="J2201" t="str">
        <f t="shared" ca="1" si="36"/>
        <v>Non UDO</v>
      </c>
    </row>
    <row r="2202" spans="1:10" x14ac:dyDescent="0.35">
      <c r="A2202" s="5" t="s">
        <v>71</v>
      </c>
      <c r="B2202" s="6">
        <v>44986</v>
      </c>
      <c r="C2202" s="7">
        <v>1730000</v>
      </c>
      <c r="D2202" s="7">
        <v>1065000</v>
      </c>
      <c r="E2202" s="7">
        <v>665000</v>
      </c>
      <c r="F2202" t="str">
        <f>VLOOKUP(A2202,[1]!Table1[#All],17,FALSE)</f>
        <v>INDIA</v>
      </c>
      <c r="G2202" t="str">
        <f>VLOOKUP(A2202,[1]!Table1[#All],22,FALSE)</f>
        <v>VOLUNTARY HEALTH SERVICES</v>
      </c>
      <c r="H2202" s="8">
        <f>VLOOKUP(A2202,[1]!Table1[#All],32,FALSE)</f>
        <v>44058</v>
      </c>
      <c r="I2202" s="8">
        <f>VLOOKUP(A2202,[1]!Table1[#All],33,FALSE)</f>
        <v>45929</v>
      </c>
      <c r="J2202" t="str">
        <f t="shared" ca="1" si="36"/>
        <v>Non UDO</v>
      </c>
    </row>
    <row r="2203" spans="1:10" x14ac:dyDescent="0.35">
      <c r="A2203" s="9" t="s">
        <v>71</v>
      </c>
      <c r="B2203" s="10">
        <v>45017</v>
      </c>
      <c r="C2203" s="11">
        <v>1730000</v>
      </c>
      <c r="D2203" s="11">
        <v>1065000</v>
      </c>
      <c r="E2203" s="11">
        <v>665000</v>
      </c>
      <c r="F2203" t="str">
        <f>VLOOKUP(A2203,[1]!Table1[#All],17,FALSE)</f>
        <v>INDIA</v>
      </c>
      <c r="G2203" t="str">
        <f>VLOOKUP(A2203,[1]!Table1[#All],22,FALSE)</f>
        <v>VOLUNTARY HEALTH SERVICES</v>
      </c>
      <c r="H2203" s="8">
        <f>VLOOKUP(A2203,[1]!Table1[#All],32,FALSE)</f>
        <v>44058</v>
      </c>
      <c r="I2203" s="8">
        <f>VLOOKUP(A2203,[1]!Table1[#All],33,FALSE)</f>
        <v>45929</v>
      </c>
      <c r="J2203" t="str">
        <f t="shared" ca="1" si="36"/>
        <v>Non UDO</v>
      </c>
    </row>
    <row r="2204" spans="1:10" x14ac:dyDescent="0.35">
      <c r="A2204" s="5" t="s">
        <v>71</v>
      </c>
      <c r="B2204" s="6">
        <v>45047</v>
      </c>
      <c r="C2204" s="7">
        <v>1730000</v>
      </c>
      <c r="D2204" s="7">
        <v>1065000</v>
      </c>
      <c r="E2204" s="7">
        <v>665000</v>
      </c>
      <c r="F2204" t="str">
        <f>VLOOKUP(A2204,[1]!Table1[#All],17,FALSE)</f>
        <v>INDIA</v>
      </c>
      <c r="G2204" t="str">
        <f>VLOOKUP(A2204,[1]!Table1[#All],22,FALSE)</f>
        <v>VOLUNTARY HEALTH SERVICES</v>
      </c>
      <c r="H2204" s="8">
        <f>VLOOKUP(A2204,[1]!Table1[#All],32,FALSE)</f>
        <v>44058</v>
      </c>
      <c r="I2204" s="8">
        <f>VLOOKUP(A2204,[1]!Table1[#All],33,FALSE)</f>
        <v>45929</v>
      </c>
      <c r="J2204" t="str">
        <f t="shared" ca="1" si="36"/>
        <v>Non UDO</v>
      </c>
    </row>
    <row r="2205" spans="1:10" x14ac:dyDescent="0.35">
      <c r="A2205" s="9" t="s">
        <v>71</v>
      </c>
      <c r="B2205" s="10">
        <v>45078</v>
      </c>
      <c r="C2205" s="11">
        <v>1730000</v>
      </c>
      <c r="D2205" s="11">
        <v>1065000</v>
      </c>
      <c r="E2205" s="11">
        <v>665000</v>
      </c>
      <c r="F2205" t="str">
        <f>VLOOKUP(A2205,[1]!Table1[#All],17,FALSE)</f>
        <v>INDIA</v>
      </c>
      <c r="G2205" t="str">
        <f>VLOOKUP(A2205,[1]!Table1[#All],22,FALSE)</f>
        <v>VOLUNTARY HEALTH SERVICES</v>
      </c>
      <c r="H2205" s="8">
        <f>VLOOKUP(A2205,[1]!Table1[#All],32,FALSE)</f>
        <v>44058</v>
      </c>
      <c r="I2205" s="8">
        <f>VLOOKUP(A2205,[1]!Table1[#All],33,FALSE)</f>
        <v>45929</v>
      </c>
      <c r="J2205" t="str">
        <f t="shared" ca="1" si="36"/>
        <v>Non UDO</v>
      </c>
    </row>
    <row r="2206" spans="1:10" x14ac:dyDescent="0.35">
      <c r="A2206" s="5" t="s">
        <v>71</v>
      </c>
      <c r="B2206" s="6">
        <v>45108</v>
      </c>
      <c r="C2206" s="7">
        <v>1730000</v>
      </c>
      <c r="D2206" s="7">
        <v>1140000</v>
      </c>
      <c r="E2206" s="7">
        <v>590000</v>
      </c>
      <c r="F2206" t="str">
        <f>VLOOKUP(A2206,[1]!Table1[#All],17,FALSE)</f>
        <v>INDIA</v>
      </c>
      <c r="G2206" t="str">
        <f>VLOOKUP(A2206,[1]!Table1[#All],22,FALSE)</f>
        <v>VOLUNTARY HEALTH SERVICES</v>
      </c>
      <c r="H2206" s="8">
        <f>VLOOKUP(A2206,[1]!Table1[#All],32,FALSE)</f>
        <v>44058</v>
      </c>
      <c r="I2206" s="8">
        <f>VLOOKUP(A2206,[1]!Table1[#All],33,FALSE)</f>
        <v>45929</v>
      </c>
      <c r="J2206" t="str">
        <f t="shared" ca="1" si="36"/>
        <v>Non UDO</v>
      </c>
    </row>
    <row r="2207" spans="1:10" x14ac:dyDescent="0.35">
      <c r="A2207" s="9" t="s">
        <v>71</v>
      </c>
      <c r="B2207" s="10">
        <v>45139</v>
      </c>
      <c r="C2207" s="11">
        <v>1730000</v>
      </c>
      <c r="D2207" s="11">
        <v>1140000</v>
      </c>
      <c r="E2207" s="11">
        <v>590000</v>
      </c>
      <c r="F2207" t="str">
        <f>VLOOKUP(A2207,[1]!Table1[#All],17,FALSE)</f>
        <v>INDIA</v>
      </c>
      <c r="G2207" t="str">
        <f>VLOOKUP(A2207,[1]!Table1[#All],22,FALSE)</f>
        <v>VOLUNTARY HEALTH SERVICES</v>
      </c>
      <c r="H2207" s="8">
        <f>VLOOKUP(A2207,[1]!Table1[#All],32,FALSE)</f>
        <v>44058</v>
      </c>
      <c r="I2207" s="8">
        <f>VLOOKUP(A2207,[1]!Table1[#All],33,FALSE)</f>
        <v>45929</v>
      </c>
      <c r="J2207" t="str">
        <f t="shared" ca="1" si="36"/>
        <v>Non UDO</v>
      </c>
    </row>
    <row r="2208" spans="1:10" x14ac:dyDescent="0.35">
      <c r="A2208" s="5" t="s">
        <v>71</v>
      </c>
      <c r="B2208" s="6">
        <v>45170</v>
      </c>
      <c r="C2208" s="7">
        <v>1730000</v>
      </c>
      <c r="D2208" s="7">
        <v>1140000</v>
      </c>
      <c r="E2208" s="7">
        <v>590000</v>
      </c>
      <c r="F2208" t="str">
        <f>VLOOKUP(A2208,[1]!Table1[#All],17,FALSE)</f>
        <v>INDIA</v>
      </c>
      <c r="G2208" t="str">
        <f>VLOOKUP(A2208,[1]!Table1[#All],22,FALSE)</f>
        <v>VOLUNTARY HEALTH SERVICES</v>
      </c>
      <c r="H2208" s="8">
        <f>VLOOKUP(A2208,[1]!Table1[#All],32,FALSE)</f>
        <v>44058</v>
      </c>
      <c r="I2208" s="8">
        <f>VLOOKUP(A2208,[1]!Table1[#All],33,FALSE)</f>
        <v>45929</v>
      </c>
      <c r="J2208" t="str">
        <f t="shared" ca="1" si="36"/>
        <v>Non UDO</v>
      </c>
    </row>
    <row r="2209" spans="1:10" x14ac:dyDescent="0.35">
      <c r="A2209" s="9" t="s">
        <v>72</v>
      </c>
      <c r="B2209" s="10">
        <v>44409</v>
      </c>
      <c r="C2209" s="11">
        <v>520000</v>
      </c>
      <c r="D2209" s="11">
        <v>0</v>
      </c>
      <c r="E2209" s="11">
        <v>520000</v>
      </c>
      <c r="F2209" t="str">
        <f>VLOOKUP(A2209,[1]!Table1[#All],17,FALSE)</f>
        <v>UNITED STATES</v>
      </c>
      <c r="G2209" t="str">
        <f>VLOOKUP(A2209,[1]!Table1[#All],22,FALSE)</f>
        <v>AMERICAN SOCIETY FOR MICROBIOLOGY</v>
      </c>
      <c r="H2209" s="8">
        <f>VLOOKUP(A2209,[1]!Table1[#All],32,FALSE)</f>
        <v>44075</v>
      </c>
      <c r="I2209" s="8">
        <f>VLOOKUP(A2209,[1]!Table1[#All],33,FALSE)</f>
        <v>45929</v>
      </c>
      <c r="J2209" t="str">
        <f t="shared" ca="1" si="36"/>
        <v>Non UDO</v>
      </c>
    </row>
    <row r="2210" spans="1:10" x14ac:dyDescent="0.35">
      <c r="A2210" s="5" t="s">
        <v>72</v>
      </c>
      <c r="B2210" s="6">
        <v>44440</v>
      </c>
      <c r="C2210" s="7">
        <v>520000</v>
      </c>
      <c r="D2210" s="7">
        <v>0</v>
      </c>
      <c r="E2210" s="7">
        <v>520000</v>
      </c>
      <c r="F2210" t="str">
        <f>VLOOKUP(A2210,[1]!Table1[#All],17,FALSE)</f>
        <v>UNITED STATES</v>
      </c>
      <c r="G2210" t="str">
        <f>VLOOKUP(A2210,[1]!Table1[#All],22,FALSE)</f>
        <v>AMERICAN SOCIETY FOR MICROBIOLOGY</v>
      </c>
      <c r="H2210" s="8">
        <f>VLOOKUP(A2210,[1]!Table1[#All],32,FALSE)</f>
        <v>44075</v>
      </c>
      <c r="I2210" s="8">
        <f>VLOOKUP(A2210,[1]!Table1[#All],33,FALSE)</f>
        <v>45929</v>
      </c>
      <c r="J2210" t="str">
        <f t="shared" ca="1" si="36"/>
        <v>Non UDO</v>
      </c>
    </row>
    <row r="2211" spans="1:10" x14ac:dyDescent="0.35">
      <c r="A2211" s="9" t="s">
        <v>72</v>
      </c>
      <c r="B2211" s="10">
        <v>44470</v>
      </c>
      <c r="C2211" s="11">
        <v>520000</v>
      </c>
      <c r="D2211" s="11">
        <v>0</v>
      </c>
      <c r="E2211" s="11">
        <v>520000</v>
      </c>
      <c r="F2211" t="str">
        <f>VLOOKUP(A2211,[1]!Table1[#All],17,FALSE)</f>
        <v>UNITED STATES</v>
      </c>
      <c r="G2211" t="str">
        <f>VLOOKUP(A2211,[1]!Table1[#All],22,FALSE)</f>
        <v>AMERICAN SOCIETY FOR MICROBIOLOGY</v>
      </c>
      <c r="H2211" s="8">
        <f>VLOOKUP(A2211,[1]!Table1[#All],32,FALSE)</f>
        <v>44075</v>
      </c>
      <c r="I2211" s="8">
        <f>VLOOKUP(A2211,[1]!Table1[#All],33,FALSE)</f>
        <v>45929</v>
      </c>
      <c r="J2211" t="str">
        <f t="shared" ca="1" si="36"/>
        <v>Non UDO</v>
      </c>
    </row>
    <row r="2212" spans="1:10" x14ac:dyDescent="0.35">
      <c r="A2212" s="5" t="s">
        <v>72</v>
      </c>
      <c r="B2212" s="6">
        <v>44501</v>
      </c>
      <c r="C2212" s="7">
        <v>520000</v>
      </c>
      <c r="D2212" s="7">
        <v>0</v>
      </c>
      <c r="E2212" s="7">
        <v>520000</v>
      </c>
      <c r="F2212" t="str">
        <f>VLOOKUP(A2212,[1]!Table1[#All],17,FALSE)</f>
        <v>UNITED STATES</v>
      </c>
      <c r="G2212" t="str">
        <f>VLOOKUP(A2212,[1]!Table1[#All],22,FALSE)</f>
        <v>AMERICAN SOCIETY FOR MICROBIOLOGY</v>
      </c>
      <c r="H2212" s="8">
        <f>VLOOKUP(A2212,[1]!Table1[#All],32,FALSE)</f>
        <v>44075</v>
      </c>
      <c r="I2212" s="8">
        <f>VLOOKUP(A2212,[1]!Table1[#All],33,FALSE)</f>
        <v>45929</v>
      </c>
      <c r="J2212" t="str">
        <f t="shared" ca="1" si="36"/>
        <v>Non UDO</v>
      </c>
    </row>
    <row r="2213" spans="1:10" x14ac:dyDescent="0.35">
      <c r="A2213" s="9" t="s">
        <v>72</v>
      </c>
      <c r="B2213" s="10">
        <v>44531</v>
      </c>
      <c r="C2213" s="11">
        <v>520000</v>
      </c>
      <c r="D2213" s="11">
        <v>68.260000000000005</v>
      </c>
      <c r="E2213" s="11">
        <v>519931.74</v>
      </c>
      <c r="F2213" t="str">
        <f>VLOOKUP(A2213,[1]!Table1[#All],17,FALSE)</f>
        <v>UNITED STATES</v>
      </c>
      <c r="G2213" t="str">
        <f>VLOOKUP(A2213,[1]!Table1[#All],22,FALSE)</f>
        <v>AMERICAN SOCIETY FOR MICROBIOLOGY</v>
      </c>
      <c r="H2213" s="8">
        <f>VLOOKUP(A2213,[1]!Table1[#All],32,FALSE)</f>
        <v>44075</v>
      </c>
      <c r="I2213" s="8">
        <f>VLOOKUP(A2213,[1]!Table1[#All],33,FALSE)</f>
        <v>45929</v>
      </c>
      <c r="J2213" t="str">
        <f t="shared" ca="1" si="36"/>
        <v>Non UDO</v>
      </c>
    </row>
    <row r="2214" spans="1:10" x14ac:dyDescent="0.35">
      <c r="A2214" s="5" t="s">
        <v>72</v>
      </c>
      <c r="B2214" s="6">
        <v>44562</v>
      </c>
      <c r="C2214" s="7">
        <v>520000</v>
      </c>
      <c r="D2214" s="7">
        <v>9924.2800000000007</v>
      </c>
      <c r="E2214" s="7">
        <v>510075.72</v>
      </c>
      <c r="F2214" t="str">
        <f>VLOOKUP(A2214,[1]!Table1[#All],17,FALSE)</f>
        <v>UNITED STATES</v>
      </c>
      <c r="G2214" t="str">
        <f>VLOOKUP(A2214,[1]!Table1[#All],22,FALSE)</f>
        <v>AMERICAN SOCIETY FOR MICROBIOLOGY</v>
      </c>
      <c r="H2214" s="8">
        <f>VLOOKUP(A2214,[1]!Table1[#All],32,FALSE)</f>
        <v>44075</v>
      </c>
      <c r="I2214" s="8">
        <f>VLOOKUP(A2214,[1]!Table1[#All],33,FALSE)</f>
        <v>45929</v>
      </c>
      <c r="J2214" t="str">
        <f t="shared" ca="1" si="36"/>
        <v>Non UDO</v>
      </c>
    </row>
    <row r="2215" spans="1:10" x14ac:dyDescent="0.35">
      <c r="A2215" s="9" t="s">
        <v>72</v>
      </c>
      <c r="B2215" s="10">
        <v>44593</v>
      </c>
      <c r="C2215" s="11">
        <v>520000</v>
      </c>
      <c r="D2215" s="11">
        <v>22045.84</v>
      </c>
      <c r="E2215" s="11">
        <v>497954.16000000003</v>
      </c>
      <c r="F2215" t="str">
        <f>VLOOKUP(A2215,[1]!Table1[#All],17,FALSE)</f>
        <v>UNITED STATES</v>
      </c>
      <c r="G2215" t="str">
        <f>VLOOKUP(A2215,[1]!Table1[#All],22,FALSE)</f>
        <v>AMERICAN SOCIETY FOR MICROBIOLOGY</v>
      </c>
      <c r="H2215" s="8">
        <f>VLOOKUP(A2215,[1]!Table1[#All],32,FALSE)</f>
        <v>44075</v>
      </c>
      <c r="I2215" s="8">
        <f>VLOOKUP(A2215,[1]!Table1[#All],33,FALSE)</f>
        <v>45929</v>
      </c>
      <c r="J2215" t="str">
        <f t="shared" ca="1" si="36"/>
        <v>Non UDO</v>
      </c>
    </row>
    <row r="2216" spans="1:10" x14ac:dyDescent="0.35">
      <c r="A2216" s="5" t="s">
        <v>72</v>
      </c>
      <c r="B2216" s="6">
        <v>44621</v>
      </c>
      <c r="C2216" s="7">
        <v>520000</v>
      </c>
      <c r="D2216" s="7">
        <v>22045.84</v>
      </c>
      <c r="E2216" s="7">
        <v>497954.16000000003</v>
      </c>
      <c r="F2216" t="str">
        <f>VLOOKUP(A2216,[1]!Table1[#All],17,FALSE)</f>
        <v>UNITED STATES</v>
      </c>
      <c r="G2216" t="str">
        <f>VLOOKUP(A2216,[1]!Table1[#All],22,FALSE)</f>
        <v>AMERICAN SOCIETY FOR MICROBIOLOGY</v>
      </c>
      <c r="H2216" s="8">
        <f>VLOOKUP(A2216,[1]!Table1[#All],32,FALSE)</f>
        <v>44075</v>
      </c>
      <c r="I2216" s="8">
        <f>VLOOKUP(A2216,[1]!Table1[#All],33,FALSE)</f>
        <v>45929</v>
      </c>
      <c r="J2216" t="str">
        <f t="shared" ca="1" si="36"/>
        <v>Non UDO</v>
      </c>
    </row>
    <row r="2217" spans="1:10" x14ac:dyDescent="0.35">
      <c r="A2217" s="9" t="s">
        <v>72</v>
      </c>
      <c r="B2217" s="10">
        <v>44652</v>
      </c>
      <c r="C2217" s="11">
        <v>520000</v>
      </c>
      <c r="D2217" s="11">
        <v>44982.95</v>
      </c>
      <c r="E2217" s="11">
        <v>475017.05</v>
      </c>
      <c r="F2217" t="str">
        <f>VLOOKUP(A2217,[1]!Table1[#All],17,FALSE)</f>
        <v>UNITED STATES</v>
      </c>
      <c r="G2217" t="str">
        <f>VLOOKUP(A2217,[1]!Table1[#All],22,FALSE)</f>
        <v>AMERICAN SOCIETY FOR MICROBIOLOGY</v>
      </c>
      <c r="H2217" s="8">
        <f>VLOOKUP(A2217,[1]!Table1[#All],32,FALSE)</f>
        <v>44075</v>
      </c>
      <c r="I2217" s="8">
        <f>VLOOKUP(A2217,[1]!Table1[#All],33,FALSE)</f>
        <v>45929</v>
      </c>
      <c r="J2217" t="str">
        <f t="shared" ca="1" si="36"/>
        <v>Non UDO</v>
      </c>
    </row>
    <row r="2218" spans="1:10" x14ac:dyDescent="0.35">
      <c r="A2218" s="5" t="s">
        <v>72</v>
      </c>
      <c r="B2218" s="6">
        <v>44682</v>
      </c>
      <c r="C2218" s="7">
        <v>520000</v>
      </c>
      <c r="D2218" s="7">
        <v>58370.5</v>
      </c>
      <c r="E2218" s="7">
        <v>461629.5</v>
      </c>
      <c r="F2218" t="str">
        <f>VLOOKUP(A2218,[1]!Table1[#All],17,FALSE)</f>
        <v>UNITED STATES</v>
      </c>
      <c r="G2218" t="str">
        <f>VLOOKUP(A2218,[1]!Table1[#All],22,FALSE)</f>
        <v>AMERICAN SOCIETY FOR MICROBIOLOGY</v>
      </c>
      <c r="H2218" s="8">
        <f>VLOOKUP(A2218,[1]!Table1[#All],32,FALSE)</f>
        <v>44075</v>
      </c>
      <c r="I2218" s="8">
        <f>VLOOKUP(A2218,[1]!Table1[#All],33,FALSE)</f>
        <v>45929</v>
      </c>
      <c r="J2218" t="str">
        <f t="shared" ca="1" si="36"/>
        <v>Non UDO</v>
      </c>
    </row>
    <row r="2219" spans="1:10" x14ac:dyDescent="0.35">
      <c r="A2219" s="9" t="s">
        <v>72</v>
      </c>
      <c r="B2219" s="10">
        <v>44713</v>
      </c>
      <c r="C2219" s="11">
        <v>520000</v>
      </c>
      <c r="D2219" s="11">
        <v>86380.77</v>
      </c>
      <c r="E2219" s="11">
        <v>433619.23</v>
      </c>
      <c r="F2219" t="str">
        <f>VLOOKUP(A2219,[1]!Table1[#All],17,FALSE)</f>
        <v>UNITED STATES</v>
      </c>
      <c r="G2219" t="str">
        <f>VLOOKUP(A2219,[1]!Table1[#All],22,FALSE)</f>
        <v>AMERICAN SOCIETY FOR MICROBIOLOGY</v>
      </c>
      <c r="H2219" s="8">
        <f>VLOOKUP(A2219,[1]!Table1[#All],32,FALSE)</f>
        <v>44075</v>
      </c>
      <c r="I2219" s="8">
        <f>VLOOKUP(A2219,[1]!Table1[#All],33,FALSE)</f>
        <v>45929</v>
      </c>
      <c r="J2219" t="str">
        <f t="shared" ca="1" si="36"/>
        <v>Non UDO</v>
      </c>
    </row>
    <row r="2220" spans="1:10" x14ac:dyDescent="0.35">
      <c r="A2220" s="5" t="s">
        <v>72</v>
      </c>
      <c r="B2220" s="6">
        <v>44743</v>
      </c>
      <c r="C2220" s="7">
        <v>520000</v>
      </c>
      <c r="D2220" s="7">
        <v>92227.7</v>
      </c>
      <c r="E2220" s="7">
        <v>427772.3</v>
      </c>
      <c r="F2220" t="str">
        <f>VLOOKUP(A2220,[1]!Table1[#All],17,FALSE)</f>
        <v>UNITED STATES</v>
      </c>
      <c r="G2220" t="str">
        <f>VLOOKUP(A2220,[1]!Table1[#All],22,FALSE)</f>
        <v>AMERICAN SOCIETY FOR MICROBIOLOGY</v>
      </c>
      <c r="H2220" s="8">
        <f>VLOOKUP(A2220,[1]!Table1[#All],32,FALSE)</f>
        <v>44075</v>
      </c>
      <c r="I2220" s="8">
        <f>VLOOKUP(A2220,[1]!Table1[#All],33,FALSE)</f>
        <v>45929</v>
      </c>
      <c r="J2220" t="str">
        <f t="shared" ca="1" si="36"/>
        <v>Non UDO</v>
      </c>
    </row>
    <row r="2221" spans="1:10" x14ac:dyDescent="0.35">
      <c r="A2221" s="9" t="s">
        <v>72</v>
      </c>
      <c r="B2221" s="10">
        <v>44774</v>
      </c>
      <c r="C2221" s="11">
        <v>520000</v>
      </c>
      <c r="D2221" s="11">
        <v>92227.7</v>
      </c>
      <c r="E2221" s="11">
        <v>427772.3</v>
      </c>
      <c r="F2221" t="str">
        <f>VLOOKUP(A2221,[1]!Table1[#All],17,FALSE)</f>
        <v>UNITED STATES</v>
      </c>
      <c r="G2221" t="str">
        <f>VLOOKUP(A2221,[1]!Table1[#All],22,FALSE)</f>
        <v>AMERICAN SOCIETY FOR MICROBIOLOGY</v>
      </c>
      <c r="H2221" s="8">
        <f>VLOOKUP(A2221,[1]!Table1[#All],32,FALSE)</f>
        <v>44075</v>
      </c>
      <c r="I2221" s="8">
        <f>VLOOKUP(A2221,[1]!Table1[#All],33,FALSE)</f>
        <v>45929</v>
      </c>
      <c r="J2221" t="str">
        <f t="shared" ca="1" si="36"/>
        <v>Non UDO</v>
      </c>
    </row>
    <row r="2222" spans="1:10" x14ac:dyDescent="0.35">
      <c r="A2222" s="5" t="s">
        <v>72</v>
      </c>
      <c r="B2222" s="6">
        <v>44805</v>
      </c>
      <c r="C2222" s="7">
        <v>520000</v>
      </c>
      <c r="D2222" s="7">
        <v>106233.16</v>
      </c>
      <c r="E2222" s="7">
        <v>413766.83999999997</v>
      </c>
      <c r="F2222" t="str">
        <f>VLOOKUP(A2222,[1]!Table1[#All],17,FALSE)</f>
        <v>UNITED STATES</v>
      </c>
      <c r="G2222" t="str">
        <f>VLOOKUP(A2222,[1]!Table1[#All],22,FALSE)</f>
        <v>AMERICAN SOCIETY FOR MICROBIOLOGY</v>
      </c>
      <c r="H2222" s="8">
        <f>VLOOKUP(A2222,[1]!Table1[#All],32,FALSE)</f>
        <v>44075</v>
      </c>
      <c r="I2222" s="8">
        <f>VLOOKUP(A2222,[1]!Table1[#All],33,FALSE)</f>
        <v>45929</v>
      </c>
      <c r="J2222" t="str">
        <f t="shared" ca="1" si="36"/>
        <v>Non UDO</v>
      </c>
    </row>
    <row r="2223" spans="1:10" x14ac:dyDescent="0.35">
      <c r="A2223" s="9" t="s">
        <v>72</v>
      </c>
      <c r="B2223" s="10">
        <v>44835</v>
      </c>
      <c r="C2223" s="11">
        <v>520000</v>
      </c>
      <c r="D2223" s="11">
        <v>113907.83</v>
      </c>
      <c r="E2223" s="11">
        <v>406092.17</v>
      </c>
      <c r="F2223" t="str">
        <f>VLOOKUP(A2223,[1]!Table1[#All],17,FALSE)</f>
        <v>UNITED STATES</v>
      </c>
      <c r="G2223" t="str">
        <f>VLOOKUP(A2223,[1]!Table1[#All],22,FALSE)</f>
        <v>AMERICAN SOCIETY FOR MICROBIOLOGY</v>
      </c>
      <c r="H2223" s="8">
        <f>VLOOKUP(A2223,[1]!Table1[#All],32,FALSE)</f>
        <v>44075</v>
      </c>
      <c r="I2223" s="8">
        <f>VLOOKUP(A2223,[1]!Table1[#All],33,FALSE)</f>
        <v>45929</v>
      </c>
      <c r="J2223" t="str">
        <f t="shared" ca="1" si="36"/>
        <v>Non UDO</v>
      </c>
    </row>
    <row r="2224" spans="1:10" x14ac:dyDescent="0.35">
      <c r="A2224" s="5" t="s">
        <v>72</v>
      </c>
      <c r="B2224" s="6">
        <v>44866</v>
      </c>
      <c r="C2224" s="7">
        <v>520000</v>
      </c>
      <c r="D2224" s="7">
        <v>113907.83</v>
      </c>
      <c r="E2224" s="7">
        <v>406092.17</v>
      </c>
      <c r="F2224" t="str">
        <f>VLOOKUP(A2224,[1]!Table1[#All],17,FALSE)</f>
        <v>UNITED STATES</v>
      </c>
      <c r="G2224" t="str">
        <f>VLOOKUP(A2224,[1]!Table1[#All],22,FALSE)</f>
        <v>AMERICAN SOCIETY FOR MICROBIOLOGY</v>
      </c>
      <c r="H2224" s="8">
        <f>VLOOKUP(A2224,[1]!Table1[#All],32,FALSE)</f>
        <v>44075</v>
      </c>
      <c r="I2224" s="8">
        <f>VLOOKUP(A2224,[1]!Table1[#All],33,FALSE)</f>
        <v>45929</v>
      </c>
      <c r="J2224" t="str">
        <f t="shared" ca="1" si="36"/>
        <v>Non UDO</v>
      </c>
    </row>
    <row r="2225" spans="1:10" x14ac:dyDescent="0.35">
      <c r="A2225" s="9" t="s">
        <v>72</v>
      </c>
      <c r="B2225" s="10">
        <v>44896</v>
      </c>
      <c r="C2225" s="11">
        <v>520000</v>
      </c>
      <c r="D2225" s="11">
        <v>222848.22999999998</v>
      </c>
      <c r="E2225" s="11">
        <v>297151.77</v>
      </c>
      <c r="F2225" t="str">
        <f>VLOOKUP(A2225,[1]!Table1[#All],17,FALSE)</f>
        <v>UNITED STATES</v>
      </c>
      <c r="G2225" t="str">
        <f>VLOOKUP(A2225,[1]!Table1[#All],22,FALSE)</f>
        <v>AMERICAN SOCIETY FOR MICROBIOLOGY</v>
      </c>
      <c r="H2225" s="8">
        <f>VLOOKUP(A2225,[1]!Table1[#All],32,FALSE)</f>
        <v>44075</v>
      </c>
      <c r="I2225" s="8">
        <f>VLOOKUP(A2225,[1]!Table1[#All],33,FALSE)</f>
        <v>45929</v>
      </c>
      <c r="J2225" t="str">
        <f t="shared" ca="1" si="36"/>
        <v>Non UDO</v>
      </c>
    </row>
    <row r="2226" spans="1:10" x14ac:dyDescent="0.35">
      <c r="A2226" s="5" t="s">
        <v>72</v>
      </c>
      <c r="B2226" s="6">
        <v>44927</v>
      </c>
      <c r="C2226" s="7">
        <v>520000</v>
      </c>
      <c r="D2226" s="7">
        <v>223418.95</v>
      </c>
      <c r="E2226" s="7">
        <v>296581.05</v>
      </c>
      <c r="F2226" t="str">
        <f>VLOOKUP(A2226,[1]!Table1[#All],17,FALSE)</f>
        <v>UNITED STATES</v>
      </c>
      <c r="G2226" t="str">
        <f>VLOOKUP(A2226,[1]!Table1[#All],22,FALSE)</f>
        <v>AMERICAN SOCIETY FOR MICROBIOLOGY</v>
      </c>
      <c r="H2226" s="8">
        <f>VLOOKUP(A2226,[1]!Table1[#All],32,FALSE)</f>
        <v>44075</v>
      </c>
      <c r="I2226" s="8">
        <f>VLOOKUP(A2226,[1]!Table1[#All],33,FALSE)</f>
        <v>45929</v>
      </c>
      <c r="J2226" t="str">
        <f t="shared" ca="1" si="36"/>
        <v>Non UDO</v>
      </c>
    </row>
    <row r="2227" spans="1:10" x14ac:dyDescent="0.35">
      <c r="A2227" s="9" t="s">
        <v>72</v>
      </c>
      <c r="B2227" s="10">
        <v>44958</v>
      </c>
      <c r="C2227" s="11">
        <v>520000</v>
      </c>
      <c r="D2227" s="11">
        <v>233988.12</v>
      </c>
      <c r="E2227" s="11">
        <v>286011.88</v>
      </c>
      <c r="F2227" t="str">
        <f>VLOOKUP(A2227,[1]!Table1[#All],17,FALSE)</f>
        <v>UNITED STATES</v>
      </c>
      <c r="G2227" t="str">
        <f>VLOOKUP(A2227,[1]!Table1[#All],22,FALSE)</f>
        <v>AMERICAN SOCIETY FOR MICROBIOLOGY</v>
      </c>
      <c r="H2227" s="8">
        <f>VLOOKUP(A2227,[1]!Table1[#All],32,FALSE)</f>
        <v>44075</v>
      </c>
      <c r="I2227" s="8">
        <f>VLOOKUP(A2227,[1]!Table1[#All],33,FALSE)</f>
        <v>45929</v>
      </c>
      <c r="J2227" t="str">
        <f t="shared" ca="1" si="36"/>
        <v>Non UDO</v>
      </c>
    </row>
    <row r="2228" spans="1:10" x14ac:dyDescent="0.35">
      <c r="A2228" s="5" t="s">
        <v>72</v>
      </c>
      <c r="B2228" s="6">
        <v>44986</v>
      </c>
      <c r="C2228" s="7">
        <v>520000</v>
      </c>
      <c r="D2228" s="7">
        <v>233988.12</v>
      </c>
      <c r="E2228" s="7">
        <v>286011.88</v>
      </c>
      <c r="F2228" t="str">
        <f>VLOOKUP(A2228,[1]!Table1[#All],17,FALSE)</f>
        <v>UNITED STATES</v>
      </c>
      <c r="G2228" t="str">
        <f>VLOOKUP(A2228,[1]!Table1[#All],22,FALSE)</f>
        <v>AMERICAN SOCIETY FOR MICROBIOLOGY</v>
      </c>
      <c r="H2228" s="8">
        <f>VLOOKUP(A2228,[1]!Table1[#All],32,FALSE)</f>
        <v>44075</v>
      </c>
      <c r="I2228" s="8">
        <f>VLOOKUP(A2228,[1]!Table1[#All],33,FALSE)</f>
        <v>45929</v>
      </c>
      <c r="J2228" t="str">
        <f t="shared" ca="1" si="36"/>
        <v>Non UDO</v>
      </c>
    </row>
    <row r="2229" spans="1:10" x14ac:dyDescent="0.35">
      <c r="A2229" s="9" t="s">
        <v>72</v>
      </c>
      <c r="B2229" s="10">
        <v>45017</v>
      </c>
      <c r="C2229" s="11">
        <v>520000</v>
      </c>
      <c r="D2229" s="11">
        <v>287870.44</v>
      </c>
      <c r="E2229" s="11">
        <v>232129.56</v>
      </c>
      <c r="F2229" t="str">
        <f>VLOOKUP(A2229,[1]!Table1[#All],17,FALSE)</f>
        <v>UNITED STATES</v>
      </c>
      <c r="G2229" t="str">
        <f>VLOOKUP(A2229,[1]!Table1[#All],22,FALSE)</f>
        <v>AMERICAN SOCIETY FOR MICROBIOLOGY</v>
      </c>
      <c r="H2229" s="8">
        <f>VLOOKUP(A2229,[1]!Table1[#All],32,FALSE)</f>
        <v>44075</v>
      </c>
      <c r="I2229" s="8">
        <f>VLOOKUP(A2229,[1]!Table1[#All],33,FALSE)</f>
        <v>45929</v>
      </c>
      <c r="J2229" t="str">
        <f t="shared" ca="1" si="36"/>
        <v>Non UDO</v>
      </c>
    </row>
    <row r="2230" spans="1:10" x14ac:dyDescent="0.35">
      <c r="A2230" s="5" t="s">
        <v>72</v>
      </c>
      <c r="B2230" s="6">
        <v>45047</v>
      </c>
      <c r="C2230" s="7">
        <v>520000</v>
      </c>
      <c r="D2230" s="7">
        <v>287870.44</v>
      </c>
      <c r="E2230" s="7">
        <v>232129.56</v>
      </c>
      <c r="F2230" t="str">
        <f>VLOOKUP(A2230,[1]!Table1[#All],17,FALSE)</f>
        <v>UNITED STATES</v>
      </c>
      <c r="G2230" t="str">
        <f>VLOOKUP(A2230,[1]!Table1[#All],22,FALSE)</f>
        <v>AMERICAN SOCIETY FOR MICROBIOLOGY</v>
      </c>
      <c r="H2230" s="8">
        <f>VLOOKUP(A2230,[1]!Table1[#All],32,FALSE)</f>
        <v>44075</v>
      </c>
      <c r="I2230" s="8">
        <f>VLOOKUP(A2230,[1]!Table1[#All],33,FALSE)</f>
        <v>45929</v>
      </c>
      <c r="J2230" t="str">
        <f t="shared" ca="1" si="36"/>
        <v>Non UDO</v>
      </c>
    </row>
    <row r="2231" spans="1:10" x14ac:dyDescent="0.35">
      <c r="A2231" s="9" t="s">
        <v>72</v>
      </c>
      <c r="B2231" s="10">
        <v>45078</v>
      </c>
      <c r="C2231" s="11">
        <v>520000</v>
      </c>
      <c r="D2231" s="11">
        <v>311089</v>
      </c>
      <c r="E2231" s="11">
        <v>208911</v>
      </c>
      <c r="F2231" t="str">
        <f>VLOOKUP(A2231,[1]!Table1[#All],17,FALSE)</f>
        <v>UNITED STATES</v>
      </c>
      <c r="G2231" t="str">
        <f>VLOOKUP(A2231,[1]!Table1[#All],22,FALSE)</f>
        <v>AMERICAN SOCIETY FOR MICROBIOLOGY</v>
      </c>
      <c r="H2231" s="8">
        <f>VLOOKUP(A2231,[1]!Table1[#All],32,FALSE)</f>
        <v>44075</v>
      </c>
      <c r="I2231" s="8">
        <f>VLOOKUP(A2231,[1]!Table1[#All],33,FALSE)</f>
        <v>45929</v>
      </c>
      <c r="J2231" t="str">
        <f t="shared" ca="1" si="36"/>
        <v>Non UDO</v>
      </c>
    </row>
    <row r="2232" spans="1:10" x14ac:dyDescent="0.35">
      <c r="A2232" s="5" t="s">
        <v>72</v>
      </c>
      <c r="B2232" s="6">
        <v>45108</v>
      </c>
      <c r="C2232" s="7">
        <v>520000</v>
      </c>
      <c r="D2232" s="7">
        <v>311089</v>
      </c>
      <c r="E2232" s="7">
        <v>208911</v>
      </c>
      <c r="F2232" t="str">
        <f>VLOOKUP(A2232,[1]!Table1[#All],17,FALSE)</f>
        <v>UNITED STATES</v>
      </c>
      <c r="G2232" t="str">
        <f>VLOOKUP(A2232,[1]!Table1[#All],22,FALSE)</f>
        <v>AMERICAN SOCIETY FOR MICROBIOLOGY</v>
      </c>
      <c r="H2232" s="8">
        <f>VLOOKUP(A2232,[1]!Table1[#All],32,FALSE)</f>
        <v>44075</v>
      </c>
      <c r="I2232" s="8">
        <f>VLOOKUP(A2232,[1]!Table1[#All],33,FALSE)</f>
        <v>45929</v>
      </c>
      <c r="J2232" t="str">
        <f t="shared" ca="1" si="36"/>
        <v>Non UDO</v>
      </c>
    </row>
    <row r="2233" spans="1:10" x14ac:dyDescent="0.35">
      <c r="A2233" s="9" t="s">
        <v>72</v>
      </c>
      <c r="B2233" s="10">
        <v>45139</v>
      </c>
      <c r="C2233" s="11">
        <v>520000</v>
      </c>
      <c r="D2233" s="11">
        <v>347768.12</v>
      </c>
      <c r="E2233" s="11">
        <v>172231.88</v>
      </c>
      <c r="F2233" t="str">
        <f>VLOOKUP(A2233,[1]!Table1[#All],17,FALSE)</f>
        <v>UNITED STATES</v>
      </c>
      <c r="G2233" t="str">
        <f>VLOOKUP(A2233,[1]!Table1[#All],22,FALSE)</f>
        <v>AMERICAN SOCIETY FOR MICROBIOLOGY</v>
      </c>
      <c r="H2233" s="8">
        <f>VLOOKUP(A2233,[1]!Table1[#All],32,FALSE)</f>
        <v>44075</v>
      </c>
      <c r="I2233" s="8">
        <f>VLOOKUP(A2233,[1]!Table1[#All],33,FALSE)</f>
        <v>45929</v>
      </c>
      <c r="J2233" t="str">
        <f t="shared" ca="1" si="36"/>
        <v>Non UDO</v>
      </c>
    </row>
    <row r="2234" spans="1:10" x14ac:dyDescent="0.35">
      <c r="A2234" s="5" t="s">
        <v>72</v>
      </c>
      <c r="B2234" s="6">
        <v>45170</v>
      </c>
      <c r="C2234" s="7">
        <v>520000</v>
      </c>
      <c r="D2234" s="7">
        <v>407402.86</v>
      </c>
      <c r="E2234" s="7">
        <v>112597.14</v>
      </c>
      <c r="F2234" t="str">
        <f>VLOOKUP(A2234,[1]!Table1[#All],17,FALSE)</f>
        <v>UNITED STATES</v>
      </c>
      <c r="G2234" t="str">
        <f>VLOOKUP(A2234,[1]!Table1[#All],22,FALSE)</f>
        <v>AMERICAN SOCIETY FOR MICROBIOLOGY</v>
      </c>
      <c r="H2234" s="8">
        <f>VLOOKUP(A2234,[1]!Table1[#All],32,FALSE)</f>
        <v>44075</v>
      </c>
      <c r="I2234" s="8">
        <f>VLOOKUP(A2234,[1]!Table1[#All],33,FALSE)</f>
        <v>45929</v>
      </c>
      <c r="J2234" t="str">
        <f t="shared" ca="1" si="36"/>
        <v>Non UDO</v>
      </c>
    </row>
    <row r="2235" spans="1:10" x14ac:dyDescent="0.35">
      <c r="A2235" s="9" t="s">
        <v>73</v>
      </c>
      <c r="B2235" s="10">
        <v>44409</v>
      </c>
      <c r="C2235" s="11">
        <v>1062000</v>
      </c>
      <c r="D2235" s="11">
        <v>0</v>
      </c>
      <c r="E2235" s="11">
        <v>1062000</v>
      </c>
      <c r="F2235" t="str">
        <f>VLOOKUP(A2235,[1]!Table1[#All],17,FALSE)</f>
        <v>UNITED STATES</v>
      </c>
      <c r="G2235" t="str">
        <f>VLOOKUP(A2235,[1]!Table1[#All],22,FALSE)</f>
        <v>PROGRAM FOR APPROPRIATE TECHNOLOGY IN HEALTH(PATH)</v>
      </c>
      <c r="H2235" s="8">
        <f>VLOOKUP(A2235,[1]!Table1[#All],32,FALSE)</f>
        <v>44075</v>
      </c>
      <c r="I2235" s="8">
        <f>VLOOKUP(A2235,[1]!Table1[#All],33,FALSE)</f>
        <v>45929</v>
      </c>
      <c r="J2235" t="str">
        <f t="shared" ca="1" si="36"/>
        <v>Non UDO</v>
      </c>
    </row>
    <row r="2236" spans="1:10" x14ac:dyDescent="0.35">
      <c r="A2236" s="5" t="s">
        <v>73</v>
      </c>
      <c r="B2236" s="6">
        <v>44440</v>
      </c>
      <c r="C2236" s="7">
        <v>1062000</v>
      </c>
      <c r="D2236" s="7">
        <v>0</v>
      </c>
      <c r="E2236" s="7">
        <v>1062000</v>
      </c>
      <c r="F2236" t="str">
        <f>VLOOKUP(A2236,[1]!Table1[#All],17,FALSE)</f>
        <v>UNITED STATES</v>
      </c>
      <c r="G2236" t="str">
        <f>VLOOKUP(A2236,[1]!Table1[#All],22,FALSE)</f>
        <v>PROGRAM FOR APPROPRIATE TECHNOLOGY IN HEALTH(PATH)</v>
      </c>
      <c r="H2236" s="8">
        <f>VLOOKUP(A2236,[1]!Table1[#All],32,FALSE)</f>
        <v>44075</v>
      </c>
      <c r="I2236" s="8">
        <f>VLOOKUP(A2236,[1]!Table1[#All],33,FALSE)</f>
        <v>45929</v>
      </c>
      <c r="J2236" t="str">
        <f t="shared" ca="1" si="36"/>
        <v>Non UDO</v>
      </c>
    </row>
    <row r="2237" spans="1:10" x14ac:dyDescent="0.35">
      <c r="A2237" s="9" t="s">
        <v>73</v>
      </c>
      <c r="B2237" s="10">
        <v>44470</v>
      </c>
      <c r="C2237" s="11">
        <v>1062000</v>
      </c>
      <c r="D2237" s="11">
        <v>0</v>
      </c>
      <c r="E2237" s="11">
        <v>1062000</v>
      </c>
      <c r="F2237" t="str">
        <f>VLOOKUP(A2237,[1]!Table1[#All],17,FALSE)</f>
        <v>UNITED STATES</v>
      </c>
      <c r="G2237" t="str">
        <f>VLOOKUP(A2237,[1]!Table1[#All],22,FALSE)</f>
        <v>PROGRAM FOR APPROPRIATE TECHNOLOGY IN HEALTH(PATH)</v>
      </c>
      <c r="H2237" s="8">
        <f>VLOOKUP(A2237,[1]!Table1[#All],32,FALSE)</f>
        <v>44075</v>
      </c>
      <c r="I2237" s="8">
        <f>VLOOKUP(A2237,[1]!Table1[#All],33,FALSE)</f>
        <v>45929</v>
      </c>
      <c r="J2237" t="str">
        <f t="shared" ca="1" si="36"/>
        <v>Non UDO</v>
      </c>
    </row>
    <row r="2238" spans="1:10" x14ac:dyDescent="0.35">
      <c r="A2238" s="5" t="s">
        <v>73</v>
      </c>
      <c r="B2238" s="6">
        <v>44501</v>
      </c>
      <c r="C2238" s="7">
        <v>1062000</v>
      </c>
      <c r="D2238" s="7">
        <v>0</v>
      </c>
      <c r="E2238" s="7">
        <v>1062000</v>
      </c>
      <c r="F2238" t="str">
        <f>VLOOKUP(A2238,[1]!Table1[#All],17,FALSE)</f>
        <v>UNITED STATES</v>
      </c>
      <c r="G2238" t="str">
        <f>VLOOKUP(A2238,[1]!Table1[#All],22,FALSE)</f>
        <v>PROGRAM FOR APPROPRIATE TECHNOLOGY IN HEALTH(PATH)</v>
      </c>
      <c r="H2238" s="8">
        <f>VLOOKUP(A2238,[1]!Table1[#All],32,FALSE)</f>
        <v>44075</v>
      </c>
      <c r="I2238" s="8">
        <f>VLOOKUP(A2238,[1]!Table1[#All],33,FALSE)</f>
        <v>45929</v>
      </c>
      <c r="J2238" t="str">
        <f t="shared" ca="1" si="36"/>
        <v>Non UDO</v>
      </c>
    </row>
    <row r="2239" spans="1:10" x14ac:dyDescent="0.35">
      <c r="A2239" s="9" t="s">
        <v>73</v>
      </c>
      <c r="B2239" s="10">
        <v>44531</v>
      </c>
      <c r="C2239" s="11">
        <v>1062000</v>
      </c>
      <c r="D2239" s="11">
        <v>15578.43</v>
      </c>
      <c r="E2239" s="11">
        <v>1046421.5700000001</v>
      </c>
      <c r="F2239" t="str">
        <f>VLOOKUP(A2239,[1]!Table1[#All],17,FALSE)</f>
        <v>UNITED STATES</v>
      </c>
      <c r="G2239" t="str">
        <f>VLOOKUP(A2239,[1]!Table1[#All],22,FALSE)</f>
        <v>PROGRAM FOR APPROPRIATE TECHNOLOGY IN HEALTH(PATH)</v>
      </c>
      <c r="H2239" s="8">
        <f>VLOOKUP(A2239,[1]!Table1[#All],32,FALSE)</f>
        <v>44075</v>
      </c>
      <c r="I2239" s="8">
        <f>VLOOKUP(A2239,[1]!Table1[#All],33,FALSE)</f>
        <v>45929</v>
      </c>
      <c r="J2239" t="str">
        <f t="shared" ca="1" si="36"/>
        <v>Non UDO</v>
      </c>
    </row>
    <row r="2240" spans="1:10" x14ac:dyDescent="0.35">
      <c r="A2240" s="5" t="s">
        <v>73</v>
      </c>
      <c r="B2240" s="6">
        <v>44562</v>
      </c>
      <c r="C2240" s="7">
        <v>1062000</v>
      </c>
      <c r="D2240" s="7">
        <v>27142.73</v>
      </c>
      <c r="E2240" s="7">
        <v>1034857.27</v>
      </c>
      <c r="F2240" t="str">
        <f>VLOOKUP(A2240,[1]!Table1[#All],17,FALSE)</f>
        <v>UNITED STATES</v>
      </c>
      <c r="G2240" t="str">
        <f>VLOOKUP(A2240,[1]!Table1[#All],22,FALSE)</f>
        <v>PROGRAM FOR APPROPRIATE TECHNOLOGY IN HEALTH(PATH)</v>
      </c>
      <c r="H2240" s="8">
        <f>VLOOKUP(A2240,[1]!Table1[#All],32,FALSE)</f>
        <v>44075</v>
      </c>
      <c r="I2240" s="8">
        <f>VLOOKUP(A2240,[1]!Table1[#All],33,FALSE)</f>
        <v>45929</v>
      </c>
      <c r="J2240" t="str">
        <f t="shared" ca="1" si="36"/>
        <v>Non UDO</v>
      </c>
    </row>
    <row r="2241" spans="1:10" x14ac:dyDescent="0.35">
      <c r="A2241" s="9" t="s">
        <v>73</v>
      </c>
      <c r="B2241" s="10">
        <v>44593</v>
      </c>
      <c r="C2241" s="11">
        <v>1062000</v>
      </c>
      <c r="D2241" s="11">
        <v>27142.73</v>
      </c>
      <c r="E2241" s="11">
        <v>1034857.27</v>
      </c>
      <c r="F2241" t="str">
        <f>VLOOKUP(A2241,[1]!Table1[#All],17,FALSE)</f>
        <v>UNITED STATES</v>
      </c>
      <c r="G2241" t="str">
        <f>VLOOKUP(A2241,[1]!Table1[#All],22,FALSE)</f>
        <v>PROGRAM FOR APPROPRIATE TECHNOLOGY IN HEALTH(PATH)</v>
      </c>
      <c r="H2241" s="8">
        <f>VLOOKUP(A2241,[1]!Table1[#All],32,FALSE)</f>
        <v>44075</v>
      </c>
      <c r="I2241" s="8">
        <f>VLOOKUP(A2241,[1]!Table1[#All],33,FALSE)</f>
        <v>45929</v>
      </c>
      <c r="J2241" t="str">
        <f t="shared" ca="1" si="36"/>
        <v>Non UDO</v>
      </c>
    </row>
    <row r="2242" spans="1:10" x14ac:dyDescent="0.35">
      <c r="A2242" s="5" t="s">
        <v>73</v>
      </c>
      <c r="B2242" s="6">
        <v>44621</v>
      </c>
      <c r="C2242" s="7">
        <v>1062000</v>
      </c>
      <c r="D2242" s="7">
        <v>61190.37</v>
      </c>
      <c r="E2242" s="7">
        <v>1000809.63</v>
      </c>
      <c r="F2242" t="str">
        <f>VLOOKUP(A2242,[1]!Table1[#All],17,FALSE)</f>
        <v>UNITED STATES</v>
      </c>
      <c r="G2242" t="str">
        <f>VLOOKUP(A2242,[1]!Table1[#All],22,FALSE)</f>
        <v>PROGRAM FOR APPROPRIATE TECHNOLOGY IN HEALTH(PATH)</v>
      </c>
      <c r="H2242" s="8">
        <f>VLOOKUP(A2242,[1]!Table1[#All],32,FALSE)</f>
        <v>44075</v>
      </c>
      <c r="I2242" s="8">
        <f>VLOOKUP(A2242,[1]!Table1[#All],33,FALSE)</f>
        <v>45929</v>
      </c>
      <c r="J2242" t="str">
        <f t="shared" ca="1" si="36"/>
        <v>Non UDO</v>
      </c>
    </row>
    <row r="2243" spans="1:10" x14ac:dyDescent="0.35">
      <c r="A2243" s="9" t="s">
        <v>73</v>
      </c>
      <c r="B2243" s="10">
        <v>44652</v>
      </c>
      <c r="C2243" s="11">
        <v>1062000</v>
      </c>
      <c r="D2243" s="11">
        <v>85423.05</v>
      </c>
      <c r="E2243" s="11">
        <v>976576.95</v>
      </c>
      <c r="F2243" t="str">
        <f>VLOOKUP(A2243,[1]!Table1[#All],17,FALSE)</f>
        <v>UNITED STATES</v>
      </c>
      <c r="G2243" t="str">
        <f>VLOOKUP(A2243,[1]!Table1[#All],22,FALSE)</f>
        <v>PROGRAM FOR APPROPRIATE TECHNOLOGY IN HEALTH(PATH)</v>
      </c>
      <c r="H2243" s="8">
        <f>VLOOKUP(A2243,[1]!Table1[#All],32,FALSE)</f>
        <v>44075</v>
      </c>
      <c r="I2243" s="8">
        <f>VLOOKUP(A2243,[1]!Table1[#All],33,FALSE)</f>
        <v>45929</v>
      </c>
      <c r="J2243" t="str">
        <f t="shared" ref="J2243:J2306" ca="1" si="37">IF(AND( E2243&gt;0,TODAY()&gt;I2243),"UDO","Non UDO")</f>
        <v>Non UDO</v>
      </c>
    </row>
    <row r="2244" spans="1:10" x14ac:dyDescent="0.35">
      <c r="A2244" s="5" t="s">
        <v>73</v>
      </c>
      <c r="B2244" s="6">
        <v>44682</v>
      </c>
      <c r="C2244" s="7">
        <v>1062000</v>
      </c>
      <c r="D2244" s="7">
        <v>124947.51000000001</v>
      </c>
      <c r="E2244" s="7">
        <v>937052.49</v>
      </c>
      <c r="F2244" t="str">
        <f>VLOOKUP(A2244,[1]!Table1[#All],17,FALSE)</f>
        <v>UNITED STATES</v>
      </c>
      <c r="G2244" t="str">
        <f>VLOOKUP(A2244,[1]!Table1[#All],22,FALSE)</f>
        <v>PROGRAM FOR APPROPRIATE TECHNOLOGY IN HEALTH(PATH)</v>
      </c>
      <c r="H2244" s="8">
        <f>VLOOKUP(A2244,[1]!Table1[#All],32,FALSE)</f>
        <v>44075</v>
      </c>
      <c r="I2244" s="8">
        <f>VLOOKUP(A2244,[1]!Table1[#All],33,FALSE)</f>
        <v>45929</v>
      </c>
      <c r="J2244" t="str">
        <f t="shared" ca="1" si="37"/>
        <v>Non UDO</v>
      </c>
    </row>
    <row r="2245" spans="1:10" x14ac:dyDescent="0.35">
      <c r="A2245" s="9" t="s">
        <v>73</v>
      </c>
      <c r="B2245" s="10">
        <v>44713</v>
      </c>
      <c r="C2245" s="11">
        <v>1062000</v>
      </c>
      <c r="D2245" s="11">
        <v>178503.91</v>
      </c>
      <c r="E2245" s="11">
        <v>883496.09</v>
      </c>
      <c r="F2245" t="str">
        <f>VLOOKUP(A2245,[1]!Table1[#All],17,FALSE)</f>
        <v>UNITED STATES</v>
      </c>
      <c r="G2245" t="str">
        <f>VLOOKUP(A2245,[1]!Table1[#All],22,FALSE)</f>
        <v>PROGRAM FOR APPROPRIATE TECHNOLOGY IN HEALTH(PATH)</v>
      </c>
      <c r="H2245" s="8">
        <f>VLOOKUP(A2245,[1]!Table1[#All],32,FALSE)</f>
        <v>44075</v>
      </c>
      <c r="I2245" s="8">
        <f>VLOOKUP(A2245,[1]!Table1[#All],33,FALSE)</f>
        <v>45929</v>
      </c>
      <c r="J2245" t="str">
        <f t="shared" ca="1" si="37"/>
        <v>Non UDO</v>
      </c>
    </row>
    <row r="2246" spans="1:10" x14ac:dyDescent="0.35">
      <c r="A2246" s="5" t="s">
        <v>73</v>
      </c>
      <c r="B2246" s="6">
        <v>44743</v>
      </c>
      <c r="C2246" s="7">
        <v>1062000</v>
      </c>
      <c r="D2246" s="7">
        <v>232651.91</v>
      </c>
      <c r="E2246" s="7">
        <v>829348.09000000008</v>
      </c>
      <c r="F2246" t="str">
        <f>VLOOKUP(A2246,[1]!Table1[#All],17,FALSE)</f>
        <v>UNITED STATES</v>
      </c>
      <c r="G2246" t="str">
        <f>VLOOKUP(A2246,[1]!Table1[#All],22,FALSE)</f>
        <v>PROGRAM FOR APPROPRIATE TECHNOLOGY IN HEALTH(PATH)</v>
      </c>
      <c r="H2246" s="8">
        <f>VLOOKUP(A2246,[1]!Table1[#All],32,FALSE)</f>
        <v>44075</v>
      </c>
      <c r="I2246" s="8">
        <f>VLOOKUP(A2246,[1]!Table1[#All],33,FALSE)</f>
        <v>45929</v>
      </c>
      <c r="J2246" t="str">
        <f t="shared" ca="1" si="37"/>
        <v>Non UDO</v>
      </c>
    </row>
    <row r="2247" spans="1:10" x14ac:dyDescent="0.35">
      <c r="A2247" s="9" t="s">
        <v>73</v>
      </c>
      <c r="B2247" s="10">
        <v>44774</v>
      </c>
      <c r="C2247" s="11">
        <v>1062000</v>
      </c>
      <c r="D2247" s="11">
        <v>401795.55000000005</v>
      </c>
      <c r="E2247" s="11">
        <v>660204.44999999995</v>
      </c>
      <c r="F2247" t="str">
        <f>VLOOKUP(A2247,[1]!Table1[#All],17,FALSE)</f>
        <v>UNITED STATES</v>
      </c>
      <c r="G2247" t="str">
        <f>VLOOKUP(A2247,[1]!Table1[#All],22,FALSE)</f>
        <v>PROGRAM FOR APPROPRIATE TECHNOLOGY IN HEALTH(PATH)</v>
      </c>
      <c r="H2247" s="8">
        <f>VLOOKUP(A2247,[1]!Table1[#All],32,FALSE)</f>
        <v>44075</v>
      </c>
      <c r="I2247" s="8">
        <f>VLOOKUP(A2247,[1]!Table1[#All],33,FALSE)</f>
        <v>45929</v>
      </c>
      <c r="J2247" t="str">
        <f t="shared" ca="1" si="37"/>
        <v>Non UDO</v>
      </c>
    </row>
    <row r="2248" spans="1:10" x14ac:dyDescent="0.35">
      <c r="A2248" s="5" t="s">
        <v>73</v>
      </c>
      <c r="B2248" s="6">
        <v>44805</v>
      </c>
      <c r="C2248" s="7">
        <v>1062000</v>
      </c>
      <c r="D2248" s="7">
        <v>574503.64</v>
      </c>
      <c r="E2248" s="7">
        <v>487496.36</v>
      </c>
      <c r="F2248" t="str">
        <f>VLOOKUP(A2248,[1]!Table1[#All],17,FALSE)</f>
        <v>UNITED STATES</v>
      </c>
      <c r="G2248" t="str">
        <f>VLOOKUP(A2248,[1]!Table1[#All],22,FALSE)</f>
        <v>PROGRAM FOR APPROPRIATE TECHNOLOGY IN HEALTH(PATH)</v>
      </c>
      <c r="H2248" s="8">
        <f>VLOOKUP(A2248,[1]!Table1[#All],32,FALSE)</f>
        <v>44075</v>
      </c>
      <c r="I2248" s="8">
        <f>VLOOKUP(A2248,[1]!Table1[#All],33,FALSE)</f>
        <v>45929</v>
      </c>
      <c r="J2248" t="str">
        <f t="shared" ca="1" si="37"/>
        <v>Non UDO</v>
      </c>
    </row>
    <row r="2249" spans="1:10" x14ac:dyDescent="0.35">
      <c r="A2249" s="9" t="s">
        <v>73</v>
      </c>
      <c r="B2249" s="10">
        <v>44835</v>
      </c>
      <c r="C2249" s="11">
        <v>1062000</v>
      </c>
      <c r="D2249" s="11">
        <v>682053.52</v>
      </c>
      <c r="E2249" s="11">
        <v>379946.48000000004</v>
      </c>
      <c r="F2249" t="str">
        <f>VLOOKUP(A2249,[1]!Table1[#All],17,FALSE)</f>
        <v>UNITED STATES</v>
      </c>
      <c r="G2249" t="str">
        <f>VLOOKUP(A2249,[1]!Table1[#All],22,FALSE)</f>
        <v>PROGRAM FOR APPROPRIATE TECHNOLOGY IN HEALTH(PATH)</v>
      </c>
      <c r="H2249" s="8">
        <f>VLOOKUP(A2249,[1]!Table1[#All],32,FALSE)</f>
        <v>44075</v>
      </c>
      <c r="I2249" s="8">
        <f>VLOOKUP(A2249,[1]!Table1[#All],33,FALSE)</f>
        <v>45929</v>
      </c>
      <c r="J2249" t="str">
        <f t="shared" ca="1" si="37"/>
        <v>Non UDO</v>
      </c>
    </row>
    <row r="2250" spans="1:10" x14ac:dyDescent="0.35">
      <c r="A2250" s="5" t="s">
        <v>73</v>
      </c>
      <c r="B2250" s="6">
        <v>44866</v>
      </c>
      <c r="C2250" s="7">
        <v>1062000</v>
      </c>
      <c r="D2250" s="7">
        <v>703212.91</v>
      </c>
      <c r="E2250" s="7">
        <v>358787.09</v>
      </c>
      <c r="F2250" t="str">
        <f>VLOOKUP(A2250,[1]!Table1[#All],17,FALSE)</f>
        <v>UNITED STATES</v>
      </c>
      <c r="G2250" t="str">
        <f>VLOOKUP(A2250,[1]!Table1[#All],22,FALSE)</f>
        <v>PROGRAM FOR APPROPRIATE TECHNOLOGY IN HEALTH(PATH)</v>
      </c>
      <c r="H2250" s="8">
        <f>VLOOKUP(A2250,[1]!Table1[#All],32,FALSE)</f>
        <v>44075</v>
      </c>
      <c r="I2250" s="8">
        <f>VLOOKUP(A2250,[1]!Table1[#All],33,FALSE)</f>
        <v>45929</v>
      </c>
      <c r="J2250" t="str">
        <f t="shared" ca="1" si="37"/>
        <v>Non UDO</v>
      </c>
    </row>
    <row r="2251" spans="1:10" x14ac:dyDescent="0.35">
      <c r="A2251" s="9" t="s">
        <v>73</v>
      </c>
      <c r="B2251" s="10">
        <v>44896</v>
      </c>
      <c r="C2251" s="11">
        <v>1062000</v>
      </c>
      <c r="D2251" s="11">
        <v>711484.05</v>
      </c>
      <c r="E2251" s="11">
        <v>350515.95</v>
      </c>
      <c r="F2251" t="str">
        <f>VLOOKUP(A2251,[1]!Table1[#All],17,FALSE)</f>
        <v>UNITED STATES</v>
      </c>
      <c r="G2251" t="str">
        <f>VLOOKUP(A2251,[1]!Table1[#All],22,FALSE)</f>
        <v>PROGRAM FOR APPROPRIATE TECHNOLOGY IN HEALTH(PATH)</v>
      </c>
      <c r="H2251" s="8">
        <f>VLOOKUP(A2251,[1]!Table1[#All],32,FALSE)</f>
        <v>44075</v>
      </c>
      <c r="I2251" s="8">
        <f>VLOOKUP(A2251,[1]!Table1[#All],33,FALSE)</f>
        <v>45929</v>
      </c>
      <c r="J2251" t="str">
        <f t="shared" ca="1" si="37"/>
        <v>Non UDO</v>
      </c>
    </row>
    <row r="2252" spans="1:10" x14ac:dyDescent="0.35">
      <c r="A2252" s="5" t="s">
        <v>73</v>
      </c>
      <c r="B2252" s="6">
        <v>44927</v>
      </c>
      <c r="C2252" s="7">
        <v>1062000</v>
      </c>
      <c r="D2252" s="7">
        <v>721219.40999999992</v>
      </c>
      <c r="E2252" s="7">
        <v>340780.59</v>
      </c>
      <c r="F2252" t="str">
        <f>VLOOKUP(A2252,[1]!Table1[#All],17,FALSE)</f>
        <v>UNITED STATES</v>
      </c>
      <c r="G2252" t="str">
        <f>VLOOKUP(A2252,[1]!Table1[#All],22,FALSE)</f>
        <v>PROGRAM FOR APPROPRIATE TECHNOLOGY IN HEALTH(PATH)</v>
      </c>
      <c r="H2252" s="8">
        <f>VLOOKUP(A2252,[1]!Table1[#All],32,FALSE)</f>
        <v>44075</v>
      </c>
      <c r="I2252" s="8">
        <f>VLOOKUP(A2252,[1]!Table1[#All],33,FALSE)</f>
        <v>45929</v>
      </c>
      <c r="J2252" t="str">
        <f t="shared" ca="1" si="37"/>
        <v>Non UDO</v>
      </c>
    </row>
    <row r="2253" spans="1:10" x14ac:dyDescent="0.35">
      <c r="A2253" s="9" t="s">
        <v>73</v>
      </c>
      <c r="B2253" s="10">
        <v>44958</v>
      </c>
      <c r="C2253" s="11">
        <v>1062000</v>
      </c>
      <c r="D2253" s="11">
        <v>721219.40999999992</v>
      </c>
      <c r="E2253" s="11">
        <v>340780.59</v>
      </c>
      <c r="F2253" t="str">
        <f>VLOOKUP(A2253,[1]!Table1[#All],17,FALSE)</f>
        <v>UNITED STATES</v>
      </c>
      <c r="G2253" t="str">
        <f>VLOOKUP(A2253,[1]!Table1[#All],22,FALSE)</f>
        <v>PROGRAM FOR APPROPRIATE TECHNOLOGY IN HEALTH(PATH)</v>
      </c>
      <c r="H2253" s="8">
        <f>VLOOKUP(A2253,[1]!Table1[#All],32,FALSE)</f>
        <v>44075</v>
      </c>
      <c r="I2253" s="8">
        <f>VLOOKUP(A2253,[1]!Table1[#All],33,FALSE)</f>
        <v>45929</v>
      </c>
      <c r="J2253" t="str">
        <f t="shared" ca="1" si="37"/>
        <v>Non UDO</v>
      </c>
    </row>
    <row r="2254" spans="1:10" x14ac:dyDescent="0.35">
      <c r="A2254" s="5" t="s">
        <v>73</v>
      </c>
      <c r="B2254" s="6">
        <v>44986</v>
      </c>
      <c r="C2254" s="7">
        <v>1062000</v>
      </c>
      <c r="D2254" s="7">
        <v>721219.40999999992</v>
      </c>
      <c r="E2254" s="7">
        <v>340780.59</v>
      </c>
      <c r="F2254" t="str">
        <f>VLOOKUP(A2254,[1]!Table1[#All],17,FALSE)</f>
        <v>UNITED STATES</v>
      </c>
      <c r="G2254" t="str">
        <f>VLOOKUP(A2254,[1]!Table1[#All],22,FALSE)</f>
        <v>PROGRAM FOR APPROPRIATE TECHNOLOGY IN HEALTH(PATH)</v>
      </c>
      <c r="H2254" s="8">
        <f>VLOOKUP(A2254,[1]!Table1[#All],32,FALSE)</f>
        <v>44075</v>
      </c>
      <c r="I2254" s="8">
        <f>VLOOKUP(A2254,[1]!Table1[#All],33,FALSE)</f>
        <v>45929</v>
      </c>
      <c r="J2254" t="str">
        <f t="shared" ca="1" si="37"/>
        <v>Non UDO</v>
      </c>
    </row>
    <row r="2255" spans="1:10" x14ac:dyDescent="0.35">
      <c r="A2255" s="9" t="s">
        <v>73</v>
      </c>
      <c r="B2255" s="10">
        <v>45017</v>
      </c>
      <c r="C2255" s="11">
        <v>1062000</v>
      </c>
      <c r="D2255" s="11">
        <v>851617.69</v>
      </c>
      <c r="E2255" s="11">
        <v>210382.31</v>
      </c>
      <c r="F2255" t="str">
        <f>VLOOKUP(A2255,[1]!Table1[#All],17,FALSE)</f>
        <v>UNITED STATES</v>
      </c>
      <c r="G2255" t="str">
        <f>VLOOKUP(A2255,[1]!Table1[#All],22,FALSE)</f>
        <v>PROGRAM FOR APPROPRIATE TECHNOLOGY IN HEALTH(PATH)</v>
      </c>
      <c r="H2255" s="8">
        <f>VLOOKUP(A2255,[1]!Table1[#All],32,FALSE)</f>
        <v>44075</v>
      </c>
      <c r="I2255" s="8">
        <f>VLOOKUP(A2255,[1]!Table1[#All],33,FALSE)</f>
        <v>45929</v>
      </c>
      <c r="J2255" t="str">
        <f t="shared" ca="1" si="37"/>
        <v>Non UDO</v>
      </c>
    </row>
    <row r="2256" spans="1:10" x14ac:dyDescent="0.35">
      <c r="A2256" s="5" t="s">
        <v>73</v>
      </c>
      <c r="B2256" s="6">
        <v>45047</v>
      </c>
      <c r="C2256" s="7">
        <v>1062000</v>
      </c>
      <c r="D2256" s="7">
        <v>851617.69</v>
      </c>
      <c r="E2256" s="7">
        <v>210382.31</v>
      </c>
      <c r="F2256" t="str">
        <f>VLOOKUP(A2256,[1]!Table1[#All],17,FALSE)</f>
        <v>UNITED STATES</v>
      </c>
      <c r="G2256" t="str">
        <f>VLOOKUP(A2256,[1]!Table1[#All],22,FALSE)</f>
        <v>PROGRAM FOR APPROPRIATE TECHNOLOGY IN HEALTH(PATH)</v>
      </c>
      <c r="H2256" s="8">
        <f>VLOOKUP(A2256,[1]!Table1[#All],32,FALSE)</f>
        <v>44075</v>
      </c>
      <c r="I2256" s="8">
        <f>VLOOKUP(A2256,[1]!Table1[#All],33,FALSE)</f>
        <v>45929</v>
      </c>
      <c r="J2256" t="str">
        <f t="shared" ca="1" si="37"/>
        <v>Non UDO</v>
      </c>
    </row>
    <row r="2257" spans="1:10" x14ac:dyDescent="0.35">
      <c r="A2257" s="9" t="s">
        <v>73</v>
      </c>
      <c r="B2257" s="10">
        <v>45078</v>
      </c>
      <c r="C2257" s="11">
        <v>1062000</v>
      </c>
      <c r="D2257" s="11">
        <v>851617.69</v>
      </c>
      <c r="E2257" s="11">
        <v>210382.31</v>
      </c>
      <c r="F2257" t="str">
        <f>VLOOKUP(A2257,[1]!Table1[#All],17,FALSE)</f>
        <v>UNITED STATES</v>
      </c>
      <c r="G2257" t="str">
        <f>VLOOKUP(A2257,[1]!Table1[#All],22,FALSE)</f>
        <v>PROGRAM FOR APPROPRIATE TECHNOLOGY IN HEALTH(PATH)</v>
      </c>
      <c r="H2257" s="8">
        <f>VLOOKUP(A2257,[1]!Table1[#All],32,FALSE)</f>
        <v>44075</v>
      </c>
      <c r="I2257" s="8">
        <f>VLOOKUP(A2257,[1]!Table1[#All],33,FALSE)</f>
        <v>45929</v>
      </c>
      <c r="J2257" t="str">
        <f t="shared" ca="1" si="37"/>
        <v>Non UDO</v>
      </c>
    </row>
    <row r="2258" spans="1:10" x14ac:dyDescent="0.35">
      <c r="A2258" s="5" t="s">
        <v>73</v>
      </c>
      <c r="B2258" s="6">
        <v>45108</v>
      </c>
      <c r="C2258" s="7">
        <v>1062000</v>
      </c>
      <c r="D2258" s="7">
        <v>851617.69</v>
      </c>
      <c r="E2258" s="7">
        <v>210382.31</v>
      </c>
      <c r="F2258" t="str">
        <f>VLOOKUP(A2258,[1]!Table1[#All],17,FALSE)</f>
        <v>UNITED STATES</v>
      </c>
      <c r="G2258" t="str">
        <f>VLOOKUP(A2258,[1]!Table1[#All],22,FALSE)</f>
        <v>PROGRAM FOR APPROPRIATE TECHNOLOGY IN HEALTH(PATH)</v>
      </c>
      <c r="H2258" s="8">
        <f>VLOOKUP(A2258,[1]!Table1[#All],32,FALSE)</f>
        <v>44075</v>
      </c>
      <c r="I2258" s="8">
        <f>VLOOKUP(A2258,[1]!Table1[#All],33,FALSE)</f>
        <v>45929</v>
      </c>
      <c r="J2258" t="str">
        <f t="shared" ca="1" si="37"/>
        <v>Non UDO</v>
      </c>
    </row>
    <row r="2259" spans="1:10" x14ac:dyDescent="0.35">
      <c r="A2259" s="9" t="s">
        <v>73</v>
      </c>
      <c r="B2259" s="10">
        <v>45139</v>
      </c>
      <c r="C2259" s="11">
        <v>1062000</v>
      </c>
      <c r="D2259" s="11">
        <v>851617.69</v>
      </c>
      <c r="E2259" s="11">
        <v>210382.31</v>
      </c>
      <c r="F2259" t="str">
        <f>VLOOKUP(A2259,[1]!Table1[#All],17,FALSE)</f>
        <v>UNITED STATES</v>
      </c>
      <c r="G2259" t="str">
        <f>VLOOKUP(A2259,[1]!Table1[#All],22,FALSE)</f>
        <v>PROGRAM FOR APPROPRIATE TECHNOLOGY IN HEALTH(PATH)</v>
      </c>
      <c r="H2259" s="8">
        <f>VLOOKUP(A2259,[1]!Table1[#All],32,FALSE)</f>
        <v>44075</v>
      </c>
      <c r="I2259" s="8">
        <f>VLOOKUP(A2259,[1]!Table1[#All],33,FALSE)</f>
        <v>45929</v>
      </c>
      <c r="J2259" t="str">
        <f t="shared" ca="1" si="37"/>
        <v>Non UDO</v>
      </c>
    </row>
    <row r="2260" spans="1:10" x14ac:dyDescent="0.35">
      <c r="A2260" s="5" t="s">
        <v>73</v>
      </c>
      <c r="B2260" s="6">
        <v>45170</v>
      </c>
      <c r="C2260" s="7">
        <v>1062000</v>
      </c>
      <c r="D2260" s="7">
        <v>851617.69</v>
      </c>
      <c r="E2260" s="7">
        <v>210382.31</v>
      </c>
      <c r="F2260" t="str">
        <f>VLOOKUP(A2260,[1]!Table1[#All],17,FALSE)</f>
        <v>UNITED STATES</v>
      </c>
      <c r="G2260" t="str">
        <f>VLOOKUP(A2260,[1]!Table1[#All],22,FALSE)</f>
        <v>PROGRAM FOR APPROPRIATE TECHNOLOGY IN HEALTH(PATH)</v>
      </c>
      <c r="H2260" s="8">
        <f>VLOOKUP(A2260,[1]!Table1[#All],32,FALSE)</f>
        <v>44075</v>
      </c>
      <c r="I2260" s="8">
        <f>VLOOKUP(A2260,[1]!Table1[#All],33,FALSE)</f>
        <v>45929</v>
      </c>
      <c r="J2260" t="str">
        <f t="shared" ca="1" si="37"/>
        <v>Non UDO</v>
      </c>
    </row>
    <row r="2261" spans="1:10" x14ac:dyDescent="0.35">
      <c r="A2261" s="9" t="s">
        <v>74</v>
      </c>
      <c r="B2261" s="10">
        <v>44105</v>
      </c>
      <c r="C2261" s="11">
        <v>700000</v>
      </c>
      <c r="D2261" s="11">
        <v>0</v>
      </c>
      <c r="E2261" s="11">
        <v>700000</v>
      </c>
      <c r="F2261" t="str">
        <f>VLOOKUP(A2261,[1]!Table1[#All],17,FALSE)</f>
        <v>UNITED STATES</v>
      </c>
      <c r="G2261" t="str">
        <f>VLOOKUP(A2261,[1]!Table1[#All],22,FALSE)</f>
        <v>JOHNS HOPKINS UNIVERSITY</v>
      </c>
      <c r="H2261" s="8">
        <f>VLOOKUP(A2261,[1]!Table1[#All],32,FALSE)</f>
        <v>44104</v>
      </c>
      <c r="I2261" s="8">
        <f>VLOOKUP(A2261,[1]!Table1[#All],33,FALSE)</f>
        <v>45929</v>
      </c>
      <c r="J2261" t="str">
        <f t="shared" ca="1" si="37"/>
        <v>Non UDO</v>
      </c>
    </row>
    <row r="2262" spans="1:10" x14ac:dyDescent="0.35">
      <c r="A2262" s="5" t="s">
        <v>74</v>
      </c>
      <c r="B2262" s="6">
        <v>44136</v>
      </c>
      <c r="C2262" s="7">
        <v>700000</v>
      </c>
      <c r="D2262" s="7">
        <v>0</v>
      </c>
      <c r="E2262" s="7">
        <v>700000</v>
      </c>
      <c r="F2262" t="str">
        <f>VLOOKUP(A2262,[1]!Table1[#All],17,FALSE)</f>
        <v>UNITED STATES</v>
      </c>
      <c r="G2262" t="str">
        <f>VLOOKUP(A2262,[1]!Table1[#All],22,FALSE)</f>
        <v>JOHNS HOPKINS UNIVERSITY</v>
      </c>
      <c r="H2262" s="8">
        <f>VLOOKUP(A2262,[1]!Table1[#All],32,FALSE)</f>
        <v>44104</v>
      </c>
      <c r="I2262" s="8">
        <f>VLOOKUP(A2262,[1]!Table1[#All],33,FALSE)</f>
        <v>45929</v>
      </c>
      <c r="J2262" t="str">
        <f t="shared" ca="1" si="37"/>
        <v>Non UDO</v>
      </c>
    </row>
    <row r="2263" spans="1:10" x14ac:dyDescent="0.35">
      <c r="A2263" s="9" t="s">
        <v>74</v>
      </c>
      <c r="B2263" s="10">
        <v>44166</v>
      </c>
      <c r="C2263" s="11">
        <v>700000</v>
      </c>
      <c r="D2263" s="11">
        <v>9393</v>
      </c>
      <c r="E2263" s="11">
        <v>690607</v>
      </c>
      <c r="F2263" t="str">
        <f>VLOOKUP(A2263,[1]!Table1[#All],17,FALSE)</f>
        <v>UNITED STATES</v>
      </c>
      <c r="G2263" t="str">
        <f>VLOOKUP(A2263,[1]!Table1[#All],22,FALSE)</f>
        <v>JOHNS HOPKINS UNIVERSITY</v>
      </c>
      <c r="H2263" s="8">
        <f>VLOOKUP(A2263,[1]!Table1[#All],32,FALSE)</f>
        <v>44104</v>
      </c>
      <c r="I2263" s="8">
        <f>VLOOKUP(A2263,[1]!Table1[#All],33,FALSE)</f>
        <v>45929</v>
      </c>
      <c r="J2263" t="str">
        <f t="shared" ca="1" si="37"/>
        <v>Non UDO</v>
      </c>
    </row>
    <row r="2264" spans="1:10" x14ac:dyDescent="0.35">
      <c r="A2264" s="5" t="s">
        <v>74</v>
      </c>
      <c r="B2264" s="6">
        <v>44197</v>
      </c>
      <c r="C2264" s="7">
        <v>700000</v>
      </c>
      <c r="D2264" s="7">
        <v>55366.37</v>
      </c>
      <c r="E2264" s="7">
        <v>644633.63</v>
      </c>
      <c r="F2264" t="str">
        <f>VLOOKUP(A2264,[1]!Table1[#All],17,FALSE)</f>
        <v>UNITED STATES</v>
      </c>
      <c r="G2264" t="str">
        <f>VLOOKUP(A2264,[1]!Table1[#All],22,FALSE)</f>
        <v>JOHNS HOPKINS UNIVERSITY</v>
      </c>
      <c r="H2264" s="8">
        <f>VLOOKUP(A2264,[1]!Table1[#All],32,FALSE)</f>
        <v>44104</v>
      </c>
      <c r="I2264" s="8">
        <f>VLOOKUP(A2264,[1]!Table1[#All],33,FALSE)</f>
        <v>45929</v>
      </c>
      <c r="J2264" t="str">
        <f t="shared" ca="1" si="37"/>
        <v>Non UDO</v>
      </c>
    </row>
    <row r="2265" spans="1:10" x14ac:dyDescent="0.35">
      <c r="A2265" s="9" t="s">
        <v>74</v>
      </c>
      <c r="B2265" s="10">
        <v>44228</v>
      </c>
      <c r="C2265" s="11">
        <v>700000</v>
      </c>
      <c r="D2265" s="11">
        <v>124253.53</v>
      </c>
      <c r="E2265" s="11">
        <v>575746.47</v>
      </c>
      <c r="F2265" t="str">
        <f>VLOOKUP(A2265,[1]!Table1[#All],17,FALSE)</f>
        <v>UNITED STATES</v>
      </c>
      <c r="G2265" t="str">
        <f>VLOOKUP(A2265,[1]!Table1[#All],22,FALSE)</f>
        <v>JOHNS HOPKINS UNIVERSITY</v>
      </c>
      <c r="H2265" s="8">
        <f>VLOOKUP(A2265,[1]!Table1[#All],32,FALSE)</f>
        <v>44104</v>
      </c>
      <c r="I2265" s="8">
        <f>VLOOKUP(A2265,[1]!Table1[#All],33,FALSE)</f>
        <v>45929</v>
      </c>
      <c r="J2265" t="str">
        <f t="shared" ca="1" si="37"/>
        <v>Non UDO</v>
      </c>
    </row>
    <row r="2266" spans="1:10" x14ac:dyDescent="0.35">
      <c r="A2266" s="5" t="s">
        <v>74</v>
      </c>
      <c r="B2266" s="6">
        <v>44256</v>
      </c>
      <c r="C2266" s="7">
        <v>700000</v>
      </c>
      <c r="D2266" s="7">
        <v>157284.43</v>
      </c>
      <c r="E2266" s="7">
        <v>542715.56999999995</v>
      </c>
      <c r="F2266" t="str">
        <f>VLOOKUP(A2266,[1]!Table1[#All],17,FALSE)</f>
        <v>UNITED STATES</v>
      </c>
      <c r="G2266" t="str">
        <f>VLOOKUP(A2266,[1]!Table1[#All],22,FALSE)</f>
        <v>JOHNS HOPKINS UNIVERSITY</v>
      </c>
      <c r="H2266" s="8">
        <f>VLOOKUP(A2266,[1]!Table1[#All],32,FALSE)</f>
        <v>44104</v>
      </c>
      <c r="I2266" s="8">
        <f>VLOOKUP(A2266,[1]!Table1[#All],33,FALSE)</f>
        <v>45929</v>
      </c>
      <c r="J2266" t="str">
        <f t="shared" ca="1" si="37"/>
        <v>Non UDO</v>
      </c>
    </row>
    <row r="2267" spans="1:10" x14ac:dyDescent="0.35">
      <c r="A2267" s="9" t="s">
        <v>74</v>
      </c>
      <c r="B2267" s="10">
        <v>44317</v>
      </c>
      <c r="C2267" s="11">
        <v>700000</v>
      </c>
      <c r="D2267" s="11">
        <v>238052.19</v>
      </c>
      <c r="E2267" s="11">
        <v>461947.81</v>
      </c>
      <c r="F2267" t="str">
        <f>VLOOKUP(A2267,[1]!Table1[#All],17,FALSE)</f>
        <v>UNITED STATES</v>
      </c>
      <c r="G2267" t="str">
        <f>VLOOKUP(A2267,[1]!Table1[#All],22,FALSE)</f>
        <v>JOHNS HOPKINS UNIVERSITY</v>
      </c>
      <c r="H2267" s="8">
        <f>VLOOKUP(A2267,[1]!Table1[#All],32,FALSE)</f>
        <v>44104</v>
      </c>
      <c r="I2267" s="8">
        <f>VLOOKUP(A2267,[1]!Table1[#All],33,FALSE)</f>
        <v>45929</v>
      </c>
      <c r="J2267" t="str">
        <f t="shared" ca="1" si="37"/>
        <v>Non UDO</v>
      </c>
    </row>
    <row r="2268" spans="1:10" x14ac:dyDescent="0.35">
      <c r="A2268" s="5" t="s">
        <v>74</v>
      </c>
      <c r="B2268" s="6">
        <v>44348</v>
      </c>
      <c r="C2268" s="7">
        <v>700000</v>
      </c>
      <c r="D2268" s="7">
        <v>278015.21000000002</v>
      </c>
      <c r="E2268" s="7">
        <v>421984.79</v>
      </c>
      <c r="F2268" t="str">
        <f>VLOOKUP(A2268,[1]!Table1[#All],17,FALSE)</f>
        <v>UNITED STATES</v>
      </c>
      <c r="G2268" t="str">
        <f>VLOOKUP(A2268,[1]!Table1[#All],22,FALSE)</f>
        <v>JOHNS HOPKINS UNIVERSITY</v>
      </c>
      <c r="H2268" s="8">
        <f>VLOOKUP(A2268,[1]!Table1[#All],32,FALSE)</f>
        <v>44104</v>
      </c>
      <c r="I2268" s="8">
        <f>VLOOKUP(A2268,[1]!Table1[#All],33,FALSE)</f>
        <v>45929</v>
      </c>
      <c r="J2268" t="str">
        <f t="shared" ca="1" si="37"/>
        <v>Non UDO</v>
      </c>
    </row>
    <row r="2269" spans="1:10" x14ac:dyDescent="0.35">
      <c r="A2269" s="9" t="s">
        <v>74</v>
      </c>
      <c r="B2269" s="10">
        <v>44378</v>
      </c>
      <c r="C2269" s="11">
        <v>700000</v>
      </c>
      <c r="D2269" s="11">
        <v>299089.81</v>
      </c>
      <c r="E2269" s="11">
        <v>400910.19</v>
      </c>
      <c r="F2269" t="str">
        <f>VLOOKUP(A2269,[1]!Table1[#All],17,FALSE)</f>
        <v>UNITED STATES</v>
      </c>
      <c r="G2269" t="str">
        <f>VLOOKUP(A2269,[1]!Table1[#All],22,FALSE)</f>
        <v>JOHNS HOPKINS UNIVERSITY</v>
      </c>
      <c r="H2269" s="8">
        <f>VLOOKUP(A2269,[1]!Table1[#All],32,FALSE)</f>
        <v>44104</v>
      </c>
      <c r="I2269" s="8">
        <f>VLOOKUP(A2269,[1]!Table1[#All],33,FALSE)</f>
        <v>45929</v>
      </c>
      <c r="J2269" t="str">
        <f t="shared" ca="1" si="37"/>
        <v>Non UDO</v>
      </c>
    </row>
    <row r="2270" spans="1:10" x14ac:dyDescent="0.35">
      <c r="A2270" s="5" t="s">
        <v>74</v>
      </c>
      <c r="B2270" s="6">
        <v>44409</v>
      </c>
      <c r="C2270" s="7">
        <v>700000</v>
      </c>
      <c r="D2270" s="7">
        <v>318693.28000000003</v>
      </c>
      <c r="E2270" s="7">
        <v>381306.72</v>
      </c>
      <c r="F2270" t="str">
        <f>VLOOKUP(A2270,[1]!Table1[#All],17,FALSE)</f>
        <v>UNITED STATES</v>
      </c>
      <c r="G2270" t="str">
        <f>VLOOKUP(A2270,[1]!Table1[#All],22,FALSE)</f>
        <v>JOHNS HOPKINS UNIVERSITY</v>
      </c>
      <c r="H2270" s="8">
        <f>VLOOKUP(A2270,[1]!Table1[#All],32,FALSE)</f>
        <v>44104</v>
      </c>
      <c r="I2270" s="8">
        <f>VLOOKUP(A2270,[1]!Table1[#All],33,FALSE)</f>
        <v>45929</v>
      </c>
      <c r="J2270" t="str">
        <f t="shared" ca="1" si="37"/>
        <v>Non UDO</v>
      </c>
    </row>
    <row r="2271" spans="1:10" x14ac:dyDescent="0.35">
      <c r="A2271" s="9" t="s">
        <v>74</v>
      </c>
      <c r="B2271" s="10">
        <v>44440</v>
      </c>
      <c r="C2271" s="11">
        <v>700000</v>
      </c>
      <c r="D2271" s="11">
        <v>396561.26</v>
      </c>
      <c r="E2271" s="11">
        <v>303438.74</v>
      </c>
      <c r="F2271" t="str">
        <f>VLOOKUP(A2271,[1]!Table1[#All],17,FALSE)</f>
        <v>UNITED STATES</v>
      </c>
      <c r="G2271" t="str">
        <f>VLOOKUP(A2271,[1]!Table1[#All],22,FALSE)</f>
        <v>JOHNS HOPKINS UNIVERSITY</v>
      </c>
      <c r="H2271" s="8">
        <f>VLOOKUP(A2271,[1]!Table1[#All],32,FALSE)</f>
        <v>44104</v>
      </c>
      <c r="I2271" s="8">
        <f>VLOOKUP(A2271,[1]!Table1[#All],33,FALSE)</f>
        <v>45929</v>
      </c>
      <c r="J2271" t="str">
        <f t="shared" ca="1" si="37"/>
        <v>Non UDO</v>
      </c>
    </row>
    <row r="2272" spans="1:10" x14ac:dyDescent="0.35">
      <c r="A2272" s="5" t="s">
        <v>74</v>
      </c>
      <c r="B2272" s="6">
        <v>44470</v>
      </c>
      <c r="C2272" s="7">
        <v>700000</v>
      </c>
      <c r="D2272" s="7">
        <v>419336.89</v>
      </c>
      <c r="E2272" s="7">
        <v>280663.11</v>
      </c>
      <c r="F2272" t="str">
        <f>VLOOKUP(A2272,[1]!Table1[#All],17,FALSE)</f>
        <v>UNITED STATES</v>
      </c>
      <c r="G2272" t="str">
        <f>VLOOKUP(A2272,[1]!Table1[#All],22,FALSE)</f>
        <v>JOHNS HOPKINS UNIVERSITY</v>
      </c>
      <c r="H2272" s="8">
        <f>VLOOKUP(A2272,[1]!Table1[#All],32,FALSE)</f>
        <v>44104</v>
      </c>
      <c r="I2272" s="8">
        <f>VLOOKUP(A2272,[1]!Table1[#All],33,FALSE)</f>
        <v>45929</v>
      </c>
      <c r="J2272" t="str">
        <f t="shared" ca="1" si="37"/>
        <v>Non UDO</v>
      </c>
    </row>
    <row r="2273" spans="1:10" x14ac:dyDescent="0.35">
      <c r="A2273" s="9" t="s">
        <v>74</v>
      </c>
      <c r="B2273" s="10">
        <v>44501</v>
      </c>
      <c r="C2273" s="11">
        <v>700000</v>
      </c>
      <c r="D2273" s="11">
        <v>438513.33</v>
      </c>
      <c r="E2273" s="11">
        <v>261486.67</v>
      </c>
      <c r="F2273" t="str">
        <f>VLOOKUP(A2273,[1]!Table1[#All],17,FALSE)</f>
        <v>UNITED STATES</v>
      </c>
      <c r="G2273" t="str">
        <f>VLOOKUP(A2273,[1]!Table1[#All],22,FALSE)</f>
        <v>JOHNS HOPKINS UNIVERSITY</v>
      </c>
      <c r="H2273" s="8">
        <f>VLOOKUP(A2273,[1]!Table1[#All],32,FALSE)</f>
        <v>44104</v>
      </c>
      <c r="I2273" s="8">
        <f>VLOOKUP(A2273,[1]!Table1[#All],33,FALSE)</f>
        <v>45929</v>
      </c>
      <c r="J2273" t="str">
        <f t="shared" ca="1" si="37"/>
        <v>Non UDO</v>
      </c>
    </row>
    <row r="2274" spans="1:10" x14ac:dyDescent="0.35">
      <c r="A2274" s="5" t="s">
        <v>74</v>
      </c>
      <c r="B2274" s="6">
        <v>44531</v>
      </c>
      <c r="C2274" s="7">
        <v>700000</v>
      </c>
      <c r="D2274" s="7">
        <v>445024.72</v>
      </c>
      <c r="E2274" s="7">
        <v>254975.28</v>
      </c>
      <c r="F2274" t="str">
        <f>VLOOKUP(A2274,[1]!Table1[#All],17,FALSE)</f>
        <v>UNITED STATES</v>
      </c>
      <c r="G2274" t="str">
        <f>VLOOKUP(A2274,[1]!Table1[#All],22,FALSE)</f>
        <v>JOHNS HOPKINS UNIVERSITY</v>
      </c>
      <c r="H2274" s="8">
        <f>VLOOKUP(A2274,[1]!Table1[#All],32,FALSE)</f>
        <v>44104</v>
      </c>
      <c r="I2274" s="8">
        <f>VLOOKUP(A2274,[1]!Table1[#All],33,FALSE)</f>
        <v>45929</v>
      </c>
      <c r="J2274" t="str">
        <f t="shared" ca="1" si="37"/>
        <v>Non UDO</v>
      </c>
    </row>
    <row r="2275" spans="1:10" x14ac:dyDescent="0.35">
      <c r="A2275" s="9" t="s">
        <v>74</v>
      </c>
      <c r="B2275" s="10">
        <v>44562</v>
      </c>
      <c r="C2275" s="11">
        <v>700000</v>
      </c>
      <c r="D2275" s="11">
        <v>468850.99</v>
      </c>
      <c r="E2275" s="11">
        <v>231149.01</v>
      </c>
      <c r="F2275" t="str">
        <f>VLOOKUP(A2275,[1]!Table1[#All],17,FALSE)</f>
        <v>UNITED STATES</v>
      </c>
      <c r="G2275" t="str">
        <f>VLOOKUP(A2275,[1]!Table1[#All],22,FALSE)</f>
        <v>JOHNS HOPKINS UNIVERSITY</v>
      </c>
      <c r="H2275" s="8">
        <f>VLOOKUP(A2275,[1]!Table1[#All],32,FALSE)</f>
        <v>44104</v>
      </c>
      <c r="I2275" s="8">
        <f>VLOOKUP(A2275,[1]!Table1[#All],33,FALSE)</f>
        <v>45929</v>
      </c>
      <c r="J2275" t="str">
        <f t="shared" ca="1" si="37"/>
        <v>Non UDO</v>
      </c>
    </row>
    <row r="2276" spans="1:10" x14ac:dyDescent="0.35">
      <c r="A2276" s="5" t="s">
        <v>74</v>
      </c>
      <c r="B2276" s="6">
        <v>44593</v>
      </c>
      <c r="C2276" s="7">
        <v>700000</v>
      </c>
      <c r="D2276" s="7">
        <v>521091.46</v>
      </c>
      <c r="E2276" s="7">
        <v>178908.54</v>
      </c>
      <c r="F2276" t="str">
        <f>VLOOKUP(A2276,[1]!Table1[#All],17,FALSE)</f>
        <v>UNITED STATES</v>
      </c>
      <c r="G2276" t="str">
        <f>VLOOKUP(A2276,[1]!Table1[#All],22,FALSE)</f>
        <v>JOHNS HOPKINS UNIVERSITY</v>
      </c>
      <c r="H2276" s="8">
        <f>VLOOKUP(A2276,[1]!Table1[#All],32,FALSE)</f>
        <v>44104</v>
      </c>
      <c r="I2276" s="8">
        <f>VLOOKUP(A2276,[1]!Table1[#All],33,FALSE)</f>
        <v>45929</v>
      </c>
      <c r="J2276" t="str">
        <f t="shared" ca="1" si="37"/>
        <v>Non UDO</v>
      </c>
    </row>
    <row r="2277" spans="1:10" x14ac:dyDescent="0.35">
      <c r="A2277" s="9" t="s">
        <v>74</v>
      </c>
      <c r="B2277" s="10">
        <v>44621</v>
      </c>
      <c r="C2277" s="11">
        <v>700000</v>
      </c>
      <c r="D2277" s="11">
        <v>585595.89</v>
      </c>
      <c r="E2277" s="11">
        <v>114404.11</v>
      </c>
      <c r="F2277" t="str">
        <f>VLOOKUP(A2277,[1]!Table1[#All],17,FALSE)</f>
        <v>UNITED STATES</v>
      </c>
      <c r="G2277" t="str">
        <f>VLOOKUP(A2277,[1]!Table1[#All],22,FALSE)</f>
        <v>JOHNS HOPKINS UNIVERSITY</v>
      </c>
      <c r="H2277" s="8">
        <f>VLOOKUP(A2277,[1]!Table1[#All],32,FALSE)</f>
        <v>44104</v>
      </c>
      <c r="I2277" s="8">
        <f>VLOOKUP(A2277,[1]!Table1[#All],33,FALSE)</f>
        <v>45929</v>
      </c>
      <c r="J2277" t="str">
        <f t="shared" ca="1" si="37"/>
        <v>Non UDO</v>
      </c>
    </row>
    <row r="2278" spans="1:10" x14ac:dyDescent="0.35">
      <c r="A2278" s="5" t="s">
        <v>74</v>
      </c>
      <c r="B2278" s="6">
        <v>44652</v>
      </c>
      <c r="C2278" s="7">
        <v>700000</v>
      </c>
      <c r="D2278" s="7">
        <v>627217.05000000005</v>
      </c>
      <c r="E2278" s="7">
        <v>72782.95</v>
      </c>
      <c r="F2278" t="str">
        <f>VLOOKUP(A2278,[1]!Table1[#All],17,FALSE)</f>
        <v>UNITED STATES</v>
      </c>
      <c r="G2278" t="str">
        <f>VLOOKUP(A2278,[1]!Table1[#All],22,FALSE)</f>
        <v>JOHNS HOPKINS UNIVERSITY</v>
      </c>
      <c r="H2278" s="8">
        <f>VLOOKUP(A2278,[1]!Table1[#All],32,FALSE)</f>
        <v>44104</v>
      </c>
      <c r="I2278" s="8">
        <f>VLOOKUP(A2278,[1]!Table1[#All],33,FALSE)</f>
        <v>45929</v>
      </c>
      <c r="J2278" t="str">
        <f t="shared" ca="1" si="37"/>
        <v>Non UDO</v>
      </c>
    </row>
    <row r="2279" spans="1:10" x14ac:dyDescent="0.35">
      <c r="A2279" s="9" t="s">
        <v>74</v>
      </c>
      <c r="B2279" s="10">
        <v>44682</v>
      </c>
      <c r="C2279" s="11">
        <v>700000</v>
      </c>
      <c r="D2279" s="11">
        <v>655336.36</v>
      </c>
      <c r="E2279" s="11">
        <v>44663.64</v>
      </c>
      <c r="F2279" t="str">
        <f>VLOOKUP(A2279,[1]!Table1[#All],17,FALSE)</f>
        <v>UNITED STATES</v>
      </c>
      <c r="G2279" t="str">
        <f>VLOOKUP(A2279,[1]!Table1[#All],22,FALSE)</f>
        <v>JOHNS HOPKINS UNIVERSITY</v>
      </c>
      <c r="H2279" s="8">
        <f>VLOOKUP(A2279,[1]!Table1[#All],32,FALSE)</f>
        <v>44104</v>
      </c>
      <c r="I2279" s="8">
        <f>VLOOKUP(A2279,[1]!Table1[#All],33,FALSE)</f>
        <v>45929</v>
      </c>
      <c r="J2279" t="str">
        <f t="shared" ca="1" si="37"/>
        <v>Non UDO</v>
      </c>
    </row>
    <row r="2280" spans="1:10" x14ac:dyDescent="0.35">
      <c r="A2280" s="5" t="s">
        <v>74</v>
      </c>
      <c r="B2280" s="6">
        <v>44713</v>
      </c>
      <c r="C2280" s="7">
        <v>700000</v>
      </c>
      <c r="D2280" s="7">
        <v>690295.2</v>
      </c>
      <c r="E2280" s="7">
        <v>9704.7999999999993</v>
      </c>
      <c r="F2280" t="str">
        <f>VLOOKUP(A2280,[1]!Table1[#All],17,FALSE)</f>
        <v>UNITED STATES</v>
      </c>
      <c r="G2280" t="str">
        <f>VLOOKUP(A2280,[1]!Table1[#All],22,FALSE)</f>
        <v>JOHNS HOPKINS UNIVERSITY</v>
      </c>
      <c r="H2280" s="8">
        <f>VLOOKUP(A2280,[1]!Table1[#All],32,FALSE)</f>
        <v>44104</v>
      </c>
      <c r="I2280" s="8">
        <f>VLOOKUP(A2280,[1]!Table1[#All],33,FALSE)</f>
        <v>45929</v>
      </c>
      <c r="J2280" t="str">
        <f t="shared" ca="1" si="37"/>
        <v>Non UDO</v>
      </c>
    </row>
    <row r="2281" spans="1:10" x14ac:dyDescent="0.35">
      <c r="A2281" s="9" t="s">
        <v>74</v>
      </c>
      <c r="B2281" s="10">
        <v>44743</v>
      </c>
      <c r="C2281" s="11">
        <v>700000</v>
      </c>
      <c r="D2281" s="11">
        <v>700000</v>
      </c>
      <c r="E2281" s="11">
        <v>0</v>
      </c>
      <c r="F2281" t="str">
        <f>VLOOKUP(A2281,[1]!Table1[#All],17,FALSE)</f>
        <v>UNITED STATES</v>
      </c>
      <c r="G2281" t="str">
        <f>VLOOKUP(A2281,[1]!Table1[#All],22,FALSE)</f>
        <v>JOHNS HOPKINS UNIVERSITY</v>
      </c>
      <c r="H2281" s="8">
        <f>VLOOKUP(A2281,[1]!Table1[#All],32,FALSE)</f>
        <v>44104</v>
      </c>
      <c r="I2281" s="8">
        <f>VLOOKUP(A2281,[1]!Table1[#All],33,FALSE)</f>
        <v>45929</v>
      </c>
      <c r="J2281" t="str">
        <f t="shared" ca="1" si="37"/>
        <v>Non UDO</v>
      </c>
    </row>
    <row r="2282" spans="1:10" x14ac:dyDescent="0.35">
      <c r="A2282" s="5" t="s">
        <v>74</v>
      </c>
      <c r="B2282" s="6">
        <v>44774</v>
      </c>
      <c r="C2282" s="7">
        <v>700000</v>
      </c>
      <c r="D2282" s="7">
        <v>700000</v>
      </c>
      <c r="E2282" s="7">
        <v>0</v>
      </c>
      <c r="F2282" t="str">
        <f>VLOOKUP(A2282,[1]!Table1[#All],17,FALSE)</f>
        <v>UNITED STATES</v>
      </c>
      <c r="G2282" t="str">
        <f>VLOOKUP(A2282,[1]!Table1[#All],22,FALSE)</f>
        <v>JOHNS HOPKINS UNIVERSITY</v>
      </c>
      <c r="H2282" s="8">
        <f>VLOOKUP(A2282,[1]!Table1[#All],32,FALSE)</f>
        <v>44104</v>
      </c>
      <c r="I2282" s="8">
        <f>VLOOKUP(A2282,[1]!Table1[#All],33,FALSE)</f>
        <v>45929</v>
      </c>
      <c r="J2282" t="str">
        <f t="shared" ca="1" si="37"/>
        <v>Non UDO</v>
      </c>
    </row>
    <row r="2283" spans="1:10" x14ac:dyDescent="0.35">
      <c r="A2283" s="9" t="s">
        <v>74</v>
      </c>
      <c r="B2283" s="10">
        <v>44805</v>
      </c>
      <c r="C2283" s="11">
        <v>700000</v>
      </c>
      <c r="D2283" s="11">
        <v>700000</v>
      </c>
      <c r="E2283" s="11">
        <v>0</v>
      </c>
      <c r="F2283" t="str">
        <f>VLOOKUP(A2283,[1]!Table1[#All],17,FALSE)</f>
        <v>UNITED STATES</v>
      </c>
      <c r="G2283" t="str">
        <f>VLOOKUP(A2283,[1]!Table1[#All],22,FALSE)</f>
        <v>JOHNS HOPKINS UNIVERSITY</v>
      </c>
      <c r="H2283" s="8">
        <f>VLOOKUP(A2283,[1]!Table1[#All],32,FALSE)</f>
        <v>44104</v>
      </c>
      <c r="I2283" s="8">
        <f>VLOOKUP(A2283,[1]!Table1[#All],33,FALSE)</f>
        <v>45929</v>
      </c>
      <c r="J2283" t="str">
        <f t="shared" ca="1" si="37"/>
        <v>Non UDO</v>
      </c>
    </row>
    <row r="2284" spans="1:10" x14ac:dyDescent="0.35">
      <c r="A2284" s="5" t="s">
        <v>74</v>
      </c>
      <c r="B2284" s="6">
        <v>44835</v>
      </c>
      <c r="C2284" s="7">
        <v>700000</v>
      </c>
      <c r="D2284" s="7">
        <v>700000</v>
      </c>
      <c r="E2284" s="7">
        <v>0</v>
      </c>
      <c r="F2284" t="str">
        <f>VLOOKUP(A2284,[1]!Table1[#All],17,FALSE)</f>
        <v>UNITED STATES</v>
      </c>
      <c r="G2284" t="str">
        <f>VLOOKUP(A2284,[1]!Table1[#All],22,FALSE)</f>
        <v>JOHNS HOPKINS UNIVERSITY</v>
      </c>
      <c r="H2284" s="8">
        <f>VLOOKUP(A2284,[1]!Table1[#All],32,FALSE)</f>
        <v>44104</v>
      </c>
      <c r="I2284" s="8">
        <f>VLOOKUP(A2284,[1]!Table1[#All],33,FALSE)</f>
        <v>45929</v>
      </c>
      <c r="J2284" t="str">
        <f t="shared" ca="1" si="37"/>
        <v>Non UDO</v>
      </c>
    </row>
    <row r="2285" spans="1:10" x14ac:dyDescent="0.35">
      <c r="A2285" s="9" t="s">
        <v>74</v>
      </c>
      <c r="B2285" s="10">
        <v>44866</v>
      </c>
      <c r="C2285" s="11">
        <v>700000</v>
      </c>
      <c r="D2285" s="11">
        <v>700000</v>
      </c>
      <c r="E2285" s="11">
        <v>0</v>
      </c>
      <c r="F2285" t="str">
        <f>VLOOKUP(A2285,[1]!Table1[#All],17,FALSE)</f>
        <v>UNITED STATES</v>
      </c>
      <c r="G2285" t="str">
        <f>VLOOKUP(A2285,[1]!Table1[#All],22,FALSE)</f>
        <v>JOHNS HOPKINS UNIVERSITY</v>
      </c>
      <c r="H2285" s="8">
        <f>VLOOKUP(A2285,[1]!Table1[#All],32,FALSE)</f>
        <v>44104</v>
      </c>
      <c r="I2285" s="8">
        <f>VLOOKUP(A2285,[1]!Table1[#All],33,FALSE)</f>
        <v>45929</v>
      </c>
      <c r="J2285" t="str">
        <f t="shared" ca="1" si="37"/>
        <v>Non UDO</v>
      </c>
    </row>
    <row r="2286" spans="1:10" x14ac:dyDescent="0.35">
      <c r="A2286" s="5" t="s">
        <v>74</v>
      </c>
      <c r="B2286" s="6">
        <v>44896</v>
      </c>
      <c r="C2286" s="7">
        <v>700000</v>
      </c>
      <c r="D2286" s="7">
        <v>700000</v>
      </c>
      <c r="E2286" s="7">
        <v>0</v>
      </c>
      <c r="F2286" t="str">
        <f>VLOOKUP(A2286,[1]!Table1[#All],17,FALSE)</f>
        <v>UNITED STATES</v>
      </c>
      <c r="G2286" t="str">
        <f>VLOOKUP(A2286,[1]!Table1[#All],22,FALSE)</f>
        <v>JOHNS HOPKINS UNIVERSITY</v>
      </c>
      <c r="H2286" s="8">
        <f>VLOOKUP(A2286,[1]!Table1[#All],32,FALSE)</f>
        <v>44104</v>
      </c>
      <c r="I2286" s="8">
        <f>VLOOKUP(A2286,[1]!Table1[#All],33,FALSE)</f>
        <v>45929</v>
      </c>
      <c r="J2286" t="str">
        <f t="shared" ca="1" si="37"/>
        <v>Non UDO</v>
      </c>
    </row>
    <row r="2287" spans="1:10" x14ac:dyDescent="0.35">
      <c r="A2287" s="9" t="s">
        <v>74</v>
      </c>
      <c r="B2287" s="10">
        <v>44927</v>
      </c>
      <c r="C2287" s="11">
        <v>700000</v>
      </c>
      <c r="D2287" s="11">
        <v>700000</v>
      </c>
      <c r="E2287" s="11">
        <v>0</v>
      </c>
      <c r="F2287" t="str">
        <f>VLOOKUP(A2287,[1]!Table1[#All],17,FALSE)</f>
        <v>UNITED STATES</v>
      </c>
      <c r="G2287" t="str">
        <f>VLOOKUP(A2287,[1]!Table1[#All],22,FALSE)</f>
        <v>JOHNS HOPKINS UNIVERSITY</v>
      </c>
      <c r="H2287" s="8">
        <f>VLOOKUP(A2287,[1]!Table1[#All],32,FALSE)</f>
        <v>44104</v>
      </c>
      <c r="I2287" s="8">
        <f>VLOOKUP(A2287,[1]!Table1[#All],33,FALSE)</f>
        <v>45929</v>
      </c>
      <c r="J2287" t="str">
        <f t="shared" ca="1" si="37"/>
        <v>Non UDO</v>
      </c>
    </row>
    <row r="2288" spans="1:10" x14ac:dyDescent="0.35">
      <c r="A2288" s="5" t="s">
        <v>74</v>
      </c>
      <c r="B2288" s="6">
        <v>44958</v>
      </c>
      <c r="C2288" s="7">
        <v>700000</v>
      </c>
      <c r="D2288" s="7">
        <v>700000</v>
      </c>
      <c r="E2288" s="7">
        <v>0</v>
      </c>
      <c r="F2288" t="str">
        <f>VLOOKUP(A2288,[1]!Table1[#All],17,FALSE)</f>
        <v>UNITED STATES</v>
      </c>
      <c r="G2288" t="str">
        <f>VLOOKUP(A2288,[1]!Table1[#All],22,FALSE)</f>
        <v>JOHNS HOPKINS UNIVERSITY</v>
      </c>
      <c r="H2288" s="8">
        <f>VLOOKUP(A2288,[1]!Table1[#All],32,FALSE)</f>
        <v>44104</v>
      </c>
      <c r="I2288" s="8">
        <f>VLOOKUP(A2288,[1]!Table1[#All],33,FALSE)</f>
        <v>45929</v>
      </c>
      <c r="J2288" t="str">
        <f t="shared" ca="1" si="37"/>
        <v>Non UDO</v>
      </c>
    </row>
    <row r="2289" spans="1:10" x14ac:dyDescent="0.35">
      <c r="A2289" s="9" t="s">
        <v>74</v>
      </c>
      <c r="B2289" s="10">
        <v>44986</v>
      </c>
      <c r="C2289" s="11">
        <v>700000</v>
      </c>
      <c r="D2289" s="11">
        <v>700000</v>
      </c>
      <c r="E2289" s="11">
        <v>0</v>
      </c>
      <c r="F2289" t="str">
        <f>VLOOKUP(A2289,[1]!Table1[#All],17,FALSE)</f>
        <v>UNITED STATES</v>
      </c>
      <c r="G2289" t="str">
        <f>VLOOKUP(A2289,[1]!Table1[#All],22,FALSE)</f>
        <v>JOHNS HOPKINS UNIVERSITY</v>
      </c>
      <c r="H2289" s="8">
        <f>VLOOKUP(A2289,[1]!Table1[#All],32,FALSE)</f>
        <v>44104</v>
      </c>
      <c r="I2289" s="8">
        <f>VLOOKUP(A2289,[1]!Table1[#All],33,FALSE)</f>
        <v>45929</v>
      </c>
      <c r="J2289" t="str">
        <f t="shared" ca="1" si="37"/>
        <v>Non UDO</v>
      </c>
    </row>
    <row r="2290" spans="1:10" x14ac:dyDescent="0.35">
      <c r="A2290" s="5" t="s">
        <v>74</v>
      </c>
      <c r="B2290" s="6">
        <v>45017</v>
      </c>
      <c r="C2290" s="7">
        <v>700000</v>
      </c>
      <c r="D2290" s="7">
        <v>700000</v>
      </c>
      <c r="E2290" s="7">
        <v>0</v>
      </c>
      <c r="F2290" t="str">
        <f>VLOOKUP(A2290,[1]!Table1[#All],17,FALSE)</f>
        <v>UNITED STATES</v>
      </c>
      <c r="G2290" t="str">
        <f>VLOOKUP(A2290,[1]!Table1[#All],22,FALSE)</f>
        <v>JOHNS HOPKINS UNIVERSITY</v>
      </c>
      <c r="H2290" s="8">
        <f>VLOOKUP(A2290,[1]!Table1[#All],32,FALSE)</f>
        <v>44104</v>
      </c>
      <c r="I2290" s="8">
        <f>VLOOKUP(A2290,[1]!Table1[#All],33,FALSE)</f>
        <v>45929</v>
      </c>
      <c r="J2290" t="str">
        <f t="shared" ca="1" si="37"/>
        <v>Non UDO</v>
      </c>
    </row>
    <row r="2291" spans="1:10" x14ac:dyDescent="0.35">
      <c r="A2291" s="9" t="s">
        <v>74</v>
      </c>
      <c r="B2291" s="10">
        <v>45047</v>
      </c>
      <c r="C2291" s="11">
        <v>700000</v>
      </c>
      <c r="D2291" s="11">
        <v>700000</v>
      </c>
      <c r="E2291" s="11">
        <v>0</v>
      </c>
      <c r="F2291" t="str">
        <f>VLOOKUP(A2291,[1]!Table1[#All],17,FALSE)</f>
        <v>UNITED STATES</v>
      </c>
      <c r="G2291" t="str">
        <f>VLOOKUP(A2291,[1]!Table1[#All],22,FALSE)</f>
        <v>JOHNS HOPKINS UNIVERSITY</v>
      </c>
      <c r="H2291" s="8">
        <f>VLOOKUP(A2291,[1]!Table1[#All],32,FALSE)</f>
        <v>44104</v>
      </c>
      <c r="I2291" s="8">
        <f>VLOOKUP(A2291,[1]!Table1[#All],33,FALSE)</f>
        <v>45929</v>
      </c>
      <c r="J2291" t="str">
        <f t="shared" ca="1" si="37"/>
        <v>Non UDO</v>
      </c>
    </row>
    <row r="2292" spans="1:10" x14ac:dyDescent="0.35">
      <c r="A2292" s="5" t="s">
        <v>74</v>
      </c>
      <c r="B2292" s="6">
        <v>45078</v>
      </c>
      <c r="C2292" s="7">
        <v>700000</v>
      </c>
      <c r="D2292" s="7">
        <v>700000</v>
      </c>
      <c r="E2292" s="7">
        <v>0</v>
      </c>
      <c r="F2292" t="str">
        <f>VLOOKUP(A2292,[1]!Table1[#All],17,FALSE)</f>
        <v>UNITED STATES</v>
      </c>
      <c r="G2292" t="str">
        <f>VLOOKUP(A2292,[1]!Table1[#All],22,FALSE)</f>
        <v>JOHNS HOPKINS UNIVERSITY</v>
      </c>
      <c r="H2292" s="8">
        <f>VLOOKUP(A2292,[1]!Table1[#All],32,FALSE)</f>
        <v>44104</v>
      </c>
      <c r="I2292" s="8">
        <f>VLOOKUP(A2292,[1]!Table1[#All],33,FALSE)</f>
        <v>45929</v>
      </c>
      <c r="J2292" t="str">
        <f t="shared" ca="1" si="37"/>
        <v>Non UDO</v>
      </c>
    </row>
    <row r="2293" spans="1:10" x14ac:dyDescent="0.35">
      <c r="A2293" s="9" t="s">
        <v>74</v>
      </c>
      <c r="B2293" s="10">
        <v>45108</v>
      </c>
      <c r="C2293" s="11">
        <v>700000</v>
      </c>
      <c r="D2293" s="11">
        <v>700000</v>
      </c>
      <c r="E2293" s="11">
        <v>0</v>
      </c>
      <c r="F2293" t="str">
        <f>VLOOKUP(A2293,[1]!Table1[#All],17,FALSE)</f>
        <v>UNITED STATES</v>
      </c>
      <c r="G2293" t="str">
        <f>VLOOKUP(A2293,[1]!Table1[#All],22,FALSE)</f>
        <v>JOHNS HOPKINS UNIVERSITY</v>
      </c>
      <c r="H2293" s="8">
        <f>VLOOKUP(A2293,[1]!Table1[#All],32,FALSE)</f>
        <v>44104</v>
      </c>
      <c r="I2293" s="8">
        <f>VLOOKUP(A2293,[1]!Table1[#All],33,FALSE)</f>
        <v>45929</v>
      </c>
      <c r="J2293" t="str">
        <f t="shared" ca="1" si="37"/>
        <v>Non UDO</v>
      </c>
    </row>
    <row r="2294" spans="1:10" x14ac:dyDescent="0.35">
      <c r="A2294" s="5" t="s">
        <v>74</v>
      </c>
      <c r="B2294" s="6">
        <v>45139</v>
      </c>
      <c r="C2294" s="7">
        <v>700000</v>
      </c>
      <c r="D2294" s="7">
        <v>700000</v>
      </c>
      <c r="E2294" s="7">
        <v>0</v>
      </c>
      <c r="F2294" t="str">
        <f>VLOOKUP(A2294,[1]!Table1[#All],17,FALSE)</f>
        <v>UNITED STATES</v>
      </c>
      <c r="G2294" t="str">
        <f>VLOOKUP(A2294,[1]!Table1[#All],22,FALSE)</f>
        <v>JOHNS HOPKINS UNIVERSITY</v>
      </c>
      <c r="H2294" s="8">
        <f>VLOOKUP(A2294,[1]!Table1[#All],32,FALSE)</f>
        <v>44104</v>
      </c>
      <c r="I2294" s="8">
        <f>VLOOKUP(A2294,[1]!Table1[#All],33,FALSE)</f>
        <v>45929</v>
      </c>
      <c r="J2294" t="str">
        <f t="shared" ca="1" si="37"/>
        <v>Non UDO</v>
      </c>
    </row>
    <row r="2295" spans="1:10" x14ac:dyDescent="0.35">
      <c r="A2295" s="9" t="s">
        <v>74</v>
      </c>
      <c r="B2295" s="10">
        <v>45170</v>
      </c>
      <c r="C2295" s="11">
        <v>700000</v>
      </c>
      <c r="D2295" s="11">
        <v>700000</v>
      </c>
      <c r="E2295" s="11">
        <v>0</v>
      </c>
      <c r="F2295" t="str">
        <f>VLOOKUP(A2295,[1]!Table1[#All],17,FALSE)</f>
        <v>UNITED STATES</v>
      </c>
      <c r="G2295" t="str">
        <f>VLOOKUP(A2295,[1]!Table1[#All],22,FALSE)</f>
        <v>JOHNS HOPKINS UNIVERSITY</v>
      </c>
      <c r="H2295" s="8">
        <f>VLOOKUP(A2295,[1]!Table1[#All],32,FALSE)</f>
        <v>44104</v>
      </c>
      <c r="I2295" s="8">
        <f>VLOOKUP(A2295,[1]!Table1[#All],33,FALSE)</f>
        <v>45929</v>
      </c>
      <c r="J2295" t="str">
        <f t="shared" ca="1" si="37"/>
        <v>Non UDO</v>
      </c>
    </row>
    <row r="2296" spans="1:10" x14ac:dyDescent="0.35">
      <c r="A2296" s="5" t="s">
        <v>75</v>
      </c>
      <c r="B2296" s="6">
        <v>44105</v>
      </c>
      <c r="C2296" s="7">
        <v>200000</v>
      </c>
      <c r="D2296" s="7">
        <v>0</v>
      </c>
      <c r="E2296" s="7">
        <v>200000</v>
      </c>
      <c r="F2296" t="str">
        <f>VLOOKUP(A2296,[1]!Table1[#All],17,FALSE)</f>
        <v>UNITED STATES</v>
      </c>
      <c r="G2296" t="str">
        <f>VLOOKUP(A2296,[1]!Table1[#All],22,FALSE)</f>
        <v>UNIVERSITY OF CALIFORNIA-SAN FRANCISCO</v>
      </c>
      <c r="H2296" s="8">
        <f>VLOOKUP(A2296,[1]!Table1[#All],32,FALSE)</f>
        <v>44104</v>
      </c>
      <c r="I2296" s="8">
        <f>VLOOKUP(A2296,[1]!Table1[#All],33,FALSE)</f>
        <v>45929</v>
      </c>
      <c r="J2296" t="str">
        <f t="shared" ca="1" si="37"/>
        <v>Non UDO</v>
      </c>
    </row>
    <row r="2297" spans="1:10" x14ac:dyDescent="0.35">
      <c r="A2297" s="9" t="s">
        <v>75</v>
      </c>
      <c r="B2297" s="10">
        <v>44136</v>
      </c>
      <c r="C2297" s="11">
        <v>200000</v>
      </c>
      <c r="D2297" s="11">
        <v>0</v>
      </c>
      <c r="E2297" s="11">
        <v>200000</v>
      </c>
      <c r="F2297" t="str">
        <f>VLOOKUP(A2297,[1]!Table1[#All],17,FALSE)</f>
        <v>UNITED STATES</v>
      </c>
      <c r="G2297" t="str">
        <f>VLOOKUP(A2297,[1]!Table1[#All],22,FALSE)</f>
        <v>UNIVERSITY OF CALIFORNIA-SAN FRANCISCO</v>
      </c>
      <c r="H2297" s="8">
        <f>VLOOKUP(A2297,[1]!Table1[#All],32,FALSE)</f>
        <v>44104</v>
      </c>
      <c r="I2297" s="8">
        <f>VLOOKUP(A2297,[1]!Table1[#All],33,FALSE)</f>
        <v>45929</v>
      </c>
      <c r="J2297" t="str">
        <f t="shared" ca="1" si="37"/>
        <v>Non UDO</v>
      </c>
    </row>
    <row r="2298" spans="1:10" x14ac:dyDescent="0.35">
      <c r="A2298" s="5" t="s">
        <v>75</v>
      </c>
      <c r="B2298" s="6">
        <v>44166</v>
      </c>
      <c r="C2298" s="7">
        <v>200000</v>
      </c>
      <c r="D2298" s="7">
        <v>0</v>
      </c>
      <c r="E2298" s="7">
        <v>200000</v>
      </c>
      <c r="F2298" t="str">
        <f>VLOOKUP(A2298,[1]!Table1[#All],17,FALSE)</f>
        <v>UNITED STATES</v>
      </c>
      <c r="G2298" t="str">
        <f>VLOOKUP(A2298,[1]!Table1[#All],22,FALSE)</f>
        <v>UNIVERSITY OF CALIFORNIA-SAN FRANCISCO</v>
      </c>
      <c r="H2298" s="8">
        <f>VLOOKUP(A2298,[1]!Table1[#All],32,FALSE)</f>
        <v>44104</v>
      </c>
      <c r="I2298" s="8">
        <f>VLOOKUP(A2298,[1]!Table1[#All],33,FALSE)</f>
        <v>45929</v>
      </c>
      <c r="J2298" t="str">
        <f t="shared" ca="1" si="37"/>
        <v>Non UDO</v>
      </c>
    </row>
    <row r="2299" spans="1:10" x14ac:dyDescent="0.35">
      <c r="A2299" s="9" t="s">
        <v>75</v>
      </c>
      <c r="B2299" s="10">
        <v>44197</v>
      </c>
      <c r="C2299" s="11">
        <v>200000</v>
      </c>
      <c r="D2299" s="11">
        <v>0</v>
      </c>
      <c r="E2299" s="11">
        <v>200000</v>
      </c>
      <c r="F2299" t="str">
        <f>VLOOKUP(A2299,[1]!Table1[#All],17,FALSE)</f>
        <v>UNITED STATES</v>
      </c>
      <c r="G2299" t="str">
        <f>VLOOKUP(A2299,[1]!Table1[#All],22,FALSE)</f>
        <v>UNIVERSITY OF CALIFORNIA-SAN FRANCISCO</v>
      </c>
      <c r="H2299" s="8">
        <f>VLOOKUP(A2299,[1]!Table1[#All],32,FALSE)</f>
        <v>44104</v>
      </c>
      <c r="I2299" s="8">
        <f>VLOOKUP(A2299,[1]!Table1[#All],33,FALSE)</f>
        <v>45929</v>
      </c>
      <c r="J2299" t="str">
        <f t="shared" ca="1" si="37"/>
        <v>Non UDO</v>
      </c>
    </row>
    <row r="2300" spans="1:10" x14ac:dyDescent="0.35">
      <c r="A2300" s="5" t="s">
        <v>75</v>
      </c>
      <c r="B2300" s="6">
        <v>44228</v>
      </c>
      <c r="C2300" s="7">
        <v>200000</v>
      </c>
      <c r="D2300" s="7">
        <v>5792.81</v>
      </c>
      <c r="E2300" s="7">
        <v>194207.19</v>
      </c>
      <c r="F2300" t="str">
        <f>VLOOKUP(A2300,[1]!Table1[#All],17,FALSE)</f>
        <v>UNITED STATES</v>
      </c>
      <c r="G2300" t="str">
        <f>VLOOKUP(A2300,[1]!Table1[#All],22,FALSE)</f>
        <v>UNIVERSITY OF CALIFORNIA-SAN FRANCISCO</v>
      </c>
      <c r="H2300" s="8">
        <f>VLOOKUP(A2300,[1]!Table1[#All],32,FALSE)</f>
        <v>44104</v>
      </c>
      <c r="I2300" s="8">
        <f>VLOOKUP(A2300,[1]!Table1[#All],33,FALSE)</f>
        <v>45929</v>
      </c>
      <c r="J2300" t="str">
        <f t="shared" ca="1" si="37"/>
        <v>Non UDO</v>
      </c>
    </row>
    <row r="2301" spans="1:10" x14ac:dyDescent="0.35">
      <c r="A2301" s="9" t="s">
        <v>75</v>
      </c>
      <c r="B2301" s="10">
        <v>44256</v>
      </c>
      <c r="C2301" s="11">
        <v>200000</v>
      </c>
      <c r="D2301" s="11">
        <v>5760.91</v>
      </c>
      <c r="E2301" s="11">
        <v>194239.09</v>
      </c>
      <c r="F2301" t="str">
        <f>VLOOKUP(A2301,[1]!Table1[#All],17,FALSE)</f>
        <v>UNITED STATES</v>
      </c>
      <c r="G2301" t="str">
        <f>VLOOKUP(A2301,[1]!Table1[#All],22,FALSE)</f>
        <v>UNIVERSITY OF CALIFORNIA-SAN FRANCISCO</v>
      </c>
      <c r="H2301" s="8">
        <f>VLOOKUP(A2301,[1]!Table1[#All],32,FALSE)</f>
        <v>44104</v>
      </c>
      <c r="I2301" s="8">
        <f>VLOOKUP(A2301,[1]!Table1[#All],33,FALSE)</f>
        <v>45929</v>
      </c>
      <c r="J2301" t="str">
        <f t="shared" ca="1" si="37"/>
        <v>Non UDO</v>
      </c>
    </row>
    <row r="2302" spans="1:10" x14ac:dyDescent="0.35">
      <c r="A2302" s="5" t="s">
        <v>75</v>
      </c>
      <c r="B2302" s="6">
        <v>44287</v>
      </c>
      <c r="C2302" s="7">
        <v>200000</v>
      </c>
      <c r="D2302" s="7">
        <v>23233.54</v>
      </c>
      <c r="E2302" s="7">
        <v>176766.46</v>
      </c>
      <c r="F2302" t="str">
        <f>VLOOKUP(A2302,[1]!Table1[#All],17,FALSE)</f>
        <v>UNITED STATES</v>
      </c>
      <c r="G2302" t="str">
        <f>VLOOKUP(A2302,[1]!Table1[#All],22,FALSE)</f>
        <v>UNIVERSITY OF CALIFORNIA-SAN FRANCISCO</v>
      </c>
      <c r="H2302" s="8">
        <f>VLOOKUP(A2302,[1]!Table1[#All],32,FALSE)</f>
        <v>44104</v>
      </c>
      <c r="I2302" s="8">
        <f>VLOOKUP(A2302,[1]!Table1[#All],33,FALSE)</f>
        <v>45929</v>
      </c>
      <c r="J2302" t="str">
        <f t="shared" ca="1" si="37"/>
        <v>Non UDO</v>
      </c>
    </row>
    <row r="2303" spans="1:10" x14ac:dyDescent="0.35">
      <c r="A2303" s="9" t="s">
        <v>75</v>
      </c>
      <c r="B2303" s="10">
        <v>44317</v>
      </c>
      <c r="C2303" s="11">
        <v>200000</v>
      </c>
      <c r="D2303" s="11">
        <v>45471.49</v>
      </c>
      <c r="E2303" s="11">
        <v>154528.51</v>
      </c>
      <c r="F2303" t="str">
        <f>VLOOKUP(A2303,[1]!Table1[#All],17,FALSE)</f>
        <v>UNITED STATES</v>
      </c>
      <c r="G2303" t="str">
        <f>VLOOKUP(A2303,[1]!Table1[#All],22,FALSE)</f>
        <v>UNIVERSITY OF CALIFORNIA-SAN FRANCISCO</v>
      </c>
      <c r="H2303" s="8">
        <f>VLOOKUP(A2303,[1]!Table1[#All],32,FALSE)</f>
        <v>44104</v>
      </c>
      <c r="I2303" s="8">
        <f>VLOOKUP(A2303,[1]!Table1[#All],33,FALSE)</f>
        <v>45929</v>
      </c>
      <c r="J2303" t="str">
        <f t="shared" ca="1" si="37"/>
        <v>Non UDO</v>
      </c>
    </row>
    <row r="2304" spans="1:10" x14ac:dyDescent="0.35">
      <c r="A2304" s="5" t="s">
        <v>75</v>
      </c>
      <c r="B2304" s="6">
        <v>44348</v>
      </c>
      <c r="C2304" s="7">
        <v>200000</v>
      </c>
      <c r="D2304" s="7">
        <v>64743.4</v>
      </c>
      <c r="E2304" s="7">
        <v>135256.6</v>
      </c>
      <c r="F2304" t="str">
        <f>VLOOKUP(A2304,[1]!Table1[#All],17,FALSE)</f>
        <v>UNITED STATES</v>
      </c>
      <c r="G2304" t="str">
        <f>VLOOKUP(A2304,[1]!Table1[#All],22,FALSE)</f>
        <v>UNIVERSITY OF CALIFORNIA-SAN FRANCISCO</v>
      </c>
      <c r="H2304" s="8">
        <f>VLOOKUP(A2304,[1]!Table1[#All],32,FALSE)</f>
        <v>44104</v>
      </c>
      <c r="I2304" s="8">
        <f>VLOOKUP(A2304,[1]!Table1[#All],33,FALSE)</f>
        <v>45929</v>
      </c>
      <c r="J2304" t="str">
        <f t="shared" ca="1" si="37"/>
        <v>Non UDO</v>
      </c>
    </row>
    <row r="2305" spans="1:10" x14ac:dyDescent="0.35">
      <c r="A2305" s="9" t="s">
        <v>75</v>
      </c>
      <c r="B2305" s="10">
        <v>44378</v>
      </c>
      <c r="C2305" s="11">
        <v>200000</v>
      </c>
      <c r="D2305" s="11">
        <v>94832.97</v>
      </c>
      <c r="E2305" s="11">
        <v>105167.03</v>
      </c>
      <c r="F2305" t="str">
        <f>VLOOKUP(A2305,[1]!Table1[#All],17,FALSE)</f>
        <v>UNITED STATES</v>
      </c>
      <c r="G2305" t="str">
        <f>VLOOKUP(A2305,[1]!Table1[#All],22,FALSE)</f>
        <v>UNIVERSITY OF CALIFORNIA-SAN FRANCISCO</v>
      </c>
      <c r="H2305" s="8">
        <f>VLOOKUP(A2305,[1]!Table1[#All],32,FALSE)</f>
        <v>44104</v>
      </c>
      <c r="I2305" s="8">
        <f>VLOOKUP(A2305,[1]!Table1[#All],33,FALSE)</f>
        <v>45929</v>
      </c>
      <c r="J2305" t="str">
        <f t="shared" ca="1" si="37"/>
        <v>Non UDO</v>
      </c>
    </row>
    <row r="2306" spans="1:10" x14ac:dyDescent="0.35">
      <c r="A2306" s="5" t="s">
        <v>75</v>
      </c>
      <c r="B2306" s="6">
        <v>44409</v>
      </c>
      <c r="C2306" s="7">
        <v>200000</v>
      </c>
      <c r="D2306" s="7">
        <v>114345.14</v>
      </c>
      <c r="E2306" s="7">
        <v>85654.86</v>
      </c>
      <c r="F2306" t="str">
        <f>VLOOKUP(A2306,[1]!Table1[#All],17,FALSE)</f>
        <v>UNITED STATES</v>
      </c>
      <c r="G2306" t="str">
        <f>VLOOKUP(A2306,[1]!Table1[#All],22,FALSE)</f>
        <v>UNIVERSITY OF CALIFORNIA-SAN FRANCISCO</v>
      </c>
      <c r="H2306" s="8">
        <f>VLOOKUP(A2306,[1]!Table1[#All],32,FALSE)</f>
        <v>44104</v>
      </c>
      <c r="I2306" s="8">
        <f>VLOOKUP(A2306,[1]!Table1[#All],33,FALSE)</f>
        <v>45929</v>
      </c>
      <c r="J2306" t="str">
        <f t="shared" ca="1" si="37"/>
        <v>Non UDO</v>
      </c>
    </row>
    <row r="2307" spans="1:10" x14ac:dyDescent="0.35">
      <c r="A2307" s="9" t="s">
        <v>75</v>
      </c>
      <c r="B2307" s="10">
        <v>44440</v>
      </c>
      <c r="C2307" s="11">
        <v>200000</v>
      </c>
      <c r="D2307" s="11">
        <v>154750.29999999999</v>
      </c>
      <c r="E2307" s="11">
        <v>45249.7</v>
      </c>
      <c r="F2307" t="str">
        <f>VLOOKUP(A2307,[1]!Table1[#All],17,FALSE)</f>
        <v>UNITED STATES</v>
      </c>
      <c r="G2307" t="str">
        <f>VLOOKUP(A2307,[1]!Table1[#All],22,FALSE)</f>
        <v>UNIVERSITY OF CALIFORNIA-SAN FRANCISCO</v>
      </c>
      <c r="H2307" s="8">
        <f>VLOOKUP(A2307,[1]!Table1[#All],32,FALSE)</f>
        <v>44104</v>
      </c>
      <c r="I2307" s="8">
        <f>VLOOKUP(A2307,[1]!Table1[#All],33,FALSE)</f>
        <v>45929</v>
      </c>
      <c r="J2307" t="str">
        <f t="shared" ref="J2307:J2370" ca="1" si="38">IF(AND( E2307&gt;0,TODAY()&gt;I2307),"UDO","Non UDO")</f>
        <v>Non UDO</v>
      </c>
    </row>
    <row r="2308" spans="1:10" x14ac:dyDescent="0.35">
      <c r="A2308" s="5" t="s">
        <v>75</v>
      </c>
      <c r="B2308" s="6">
        <v>44470</v>
      </c>
      <c r="C2308" s="7">
        <v>200000</v>
      </c>
      <c r="D2308" s="7">
        <v>166514.57999999999</v>
      </c>
      <c r="E2308" s="7">
        <v>33485.42</v>
      </c>
      <c r="F2308" t="str">
        <f>VLOOKUP(A2308,[1]!Table1[#All],17,FALSE)</f>
        <v>UNITED STATES</v>
      </c>
      <c r="G2308" t="str">
        <f>VLOOKUP(A2308,[1]!Table1[#All],22,FALSE)</f>
        <v>UNIVERSITY OF CALIFORNIA-SAN FRANCISCO</v>
      </c>
      <c r="H2308" s="8">
        <f>VLOOKUP(A2308,[1]!Table1[#All],32,FALSE)</f>
        <v>44104</v>
      </c>
      <c r="I2308" s="8">
        <f>VLOOKUP(A2308,[1]!Table1[#All],33,FALSE)</f>
        <v>45929</v>
      </c>
      <c r="J2308" t="str">
        <f t="shared" ca="1" si="38"/>
        <v>Non UDO</v>
      </c>
    </row>
    <row r="2309" spans="1:10" x14ac:dyDescent="0.35">
      <c r="A2309" s="9" t="s">
        <v>75</v>
      </c>
      <c r="B2309" s="10">
        <v>44501</v>
      </c>
      <c r="C2309" s="11">
        <v>200000</v>
      </c>
      <c r="D2309" s="11">
        <v>180502.76</v>
      </c>
      <c r="E2309" s="11">
        <v>19497.240000000002</v>
      </c>
      <c r="F2309" t="str">
        <f>VLOOKUP(A2309,[1]!Table1[#All],17,FALSE)</f>
        <v>UNITED STATES</v>
      </c>
      <c r="G2309" t="str">
        <f>VLOOKUP(A2309,[1]!Table1[#All],22,FALSE)</f>
        <v>UNIVERSITY OF CALIFORNIA-SAN FRANCISCO</v>
      </c>
      <c r="H2309" s="8">
        <f>VLOOKUP(A2309,[1]!Table1[#All],32,FALSE)</f>
        <v>44104</v>
      </c>
      <c r="I2309" s="8">
        <f>VLOOKUP(A2309,[1]!Table1[#All],33,FALSE)</f>
        <v>45929</v>
      </c>
      <c r="J2309" t="str">
        <f t="shared" ca="1" si="38"/>
        <v>Non UDO</v>
      </c>
    </row>
    <row r="2310" spans="1:10" x14ac:dyDescent="0.35">
      <c r="A2310" s="5" t="s">
        <v>75</v>
      </c>
      <c r="B2310" s="6">
        <v>44531</v>
      </c>
      <c r="C2310" s="7">
        <v>200000</v>
      </c>
      <c r="D2310" s="7">
        <v>167224.03</v>
      </c>
      <c r="E2310" s="7">
        <v>32775.97</v>
      </c>
      <c r="F2310" t="str">
        <f>VLOOKUP(A2310,[1]!Table1[#All],17,FALSE)</f>
        <v>UNITED STATES</v>
      </c>
      <c r="G2310" t="str">
        <f>VLOOKUP(A2310,[1]!Table1[#All],22,FALSE)</f>
        <v>UNIVERSITY OF CALIFORNIA-SAN FRANCISCO</v>
      </c>
      <c r="H2310" s="8">
        <f>VLOOKUP(A2310,[1]!Table1[#All],32,FALSE)</f>
        <v>44104</v>
      </c>
      <c r="I2310" s="8">
        <f>VLOOKUP(A2310,[1]!Table1[#All],33,FALSE)</f>
        <v>45929</v>
      </c>
      <c r="J2310" t="str">
        <f t="shared" ca="1" si="38"/>
        <v>Non UDO</v>
      </c>
    </row>
    <row r="2311" spans="1:10" x14ac:dyDescent="0.35">
      <c r="A2311" s="9" t="s">
        <v>75</v>
      </c>
      <c r="B2311" s="10">
        <v>44562</v>
      </c>
      <c r="C2311" s="11">
        <v>200000</v>
      </c>
      <c r="D2311" s="11">
        <v>173014.02</v>
      </c>
      <c r="E2311" s="11">
        <v>26985.98</v>
      </c>
      <c r="F2311" t="str">
        <f>VLOOKUP(A2311,[1]!Table1[#All],17,FALSE)</f>
        <v>UNITED STATES</v>
      </c>
      <c r="G2311" t="str">
        <f>VLOOKUP(A2311,[1]!Table1[#All],22,FALSE)</f>
        <v>UNIVERSITY OF CALIFORNIA-SAN FRANCISCO</v>
      </c>
      <c r="H2311" s="8">
        <f>VLOOKUP(A2311,[1]!Table1[#All],32,FALSE)</f>
        <v>44104</v>
      </c>
      <c r="I2311" s="8">
        <f>VLOOKUP(A2311,[1]!Table1[#All],33,FALSE)</f>
        <v>45929</v>
      </c>
      <c r="J2311" t="str">
        <f t="shared" ca="1" si="38"/>
        <v>Non UDO</v>
      </c>
    </row>
    <row r="2312" spans="1:10" x14ac:dyDescent="0.35">
      <c r="A2312" s="5" t="s">
        <v>75</v>
      </c>
      <c r="B2312" s="6">
        <v>44593</v>
      </c>
      <c r="C2312" s="7">
        <v>200000</v>
      </c>
      <c r="D2312" s="7">
        <v>177665.84</v>
      </c>
      <c r="E2312" s="7">
        <v>22334.16</v>
      </c>
      <c r="F2312" t="str">
        <f>VLOOKUP(A2312,[1]!Table1[#All],17,FALSE)</f>
        <v>UNITED STATES</v>
      </c>
      <c r="G2312" t="str">
        <f>VLOOKUP(A2312,[1]!Table1[#All],22,FALSE)</f>
        <v>UNIVERSITY OF CALIFORNIA-SAN FRANCISCO</v>
      </c>
      <c r="H2312" s="8">
        <f>VLOOKUP(A2312,[1]!Table1[#All],32,FALSE)</f>
        <v>44104</v>
      </c>
      <c r="I2312" s="8">
        <f>VLOOKUP(A2312,[1]!Table1[#All],33,FALSE)</f>
        <v>45929</v>
      </c>
      <c r="J2312" t="str">
        <f t="shared" ca="1" si="38"/>
        <v>Non UDO</v>
      </c>
    </row>
    <row r="2313" spans="1:10" x14ac:dyDescent="0.35">
      <c r="A2313" s="9" t="s">
        <v>75</v>
      </c>
      <c r="B2313" s="10">
        <v>44621</v>
      </c>
      <c r="C2313" s="11">
        <v>200000</v>
      </c>
      <c r="D2313" s="11">
        <v>187990.97</v>
      </c>
      <c r="E2313" s="11">
        <v>12009.03</v>
      </c>
      <c r="F2313" t="str">
        <f>VLOOKUP(A2313,[1]!Table1[#All],17,FALSE)</f>
        <v>UNITED STATES</v>
      </c>
      <c r="G2313" t="str">
        <f>VLOOKUP(A2313,[1]!Table1[#All],22,FALSE)</f>
        <v>UNIVERSITY OF CALIFORNIA-SAN FRANCISCO</v>
      </c>
      <c r="H2313" s="8">
        <f>VLOOKUP(A2313,[1]!Table1[#All],32,FALSE)</f>
        <v>44104</v>
      </c>
      <c r="I2313" s="8">
        <f>VLOOKUP(A2313,[1]!Table1[#All],33,FALSE)</f>
        <v>45929</v>
      </c>
      <c r="J2313" t="str">
        <f t="shared" ca="1" si="38"/>
        <v>Non UDO</v>
      </c>
    </row>
    <row r="2314" spans="1:10" x14ac:dyDescent="0.35">
      <c r="A2314" s="5" t="s">
        <v>75</v>
      </c>
      <c r="B2314" s="6">
        <v>44652</v>
      </c>
      <c r="C2314" s="7">
        <v>200000</v>
      </c>
      <c r="D2314" s="7">
        <v>194917.91</v>
      </c>
      <c r="E2314" s="7">
        <v>5082.09</v>
      </c>
      <c r="F2314" t="str">
        <f>VLOOKUP(A2314,[1]!Table1[#All],17,FALSE)</f>
        <v>UNITED STATES</v>
      </c>
      <c r="G2314" t="str">
        <f>VLOOKUP(A2314,[1]!Table1[#All],22,FALSE)</f>
        <v>UNIVERSITY OF CALIFORNIA-SAN FRANCISCO</v>
      </c>
      <c r="H2314" s="8">
        <f>VLOOKUP(A2314,[1]!Table1[#All],32,FALSE)</f>
        <v>44104</v>
      </c>
      <c r="I2314" s="8">
        <f>VLOOKUP(A2314,[1]!Table1[#All],33,FALSE)</f>
        <v>45929</v>
      </c>
      <c r="J2314" t="str">
        <f t="shared" ca="1" si="38"/>
        <v>Non UDO</v>
      </c>
    </row>
    <row r="2315" spans="1:10" x14ac:dyDescent="0.35">
      <c r="A2315" s="9" t="s">
        <v>75</v>
      </c>
      <c r="B2315" s="10">
        <v>44682</v>
      </c>
      <c r="C2315" s="11">
        <v>200000</v>
      </c>
      <c r="D2315" s="11">
        <v>194917.91</v>
      </c>
      <c r="E2315" s="11">
        <v>5082.09</v>
      </c>
      <c r="F2315" t="str">
        <f>VLOOKUP(A2315,[1]!Table1[#All],17,FALSE)</f>
        <v>UNITED STATES</v>
      </c>
      <c r="G2315" t="str">
        <f>VLOOKUP(A2315,[1]!Table1[#All],22,FALSE)</f>
        <v>UNIVERSITY OF CALIFORNIA-SAN FRANCISCO</v>
      </c>
      <c r="H2315" s="8">
        <f>VLOOKUP(A2315,[1]!Table1[#All],32,FALSE)</f>
        <v>44104</v>
      </c>
      <c r="I2315" s="8">
        <f>VLOOKUP(A2315,[1]!Table1[#All],33,FALSE)</f>
        <v>45929</v>
      </c>
      <c r="J2315" t="str">
        <f t="shared" ca="1" si="38"/>
        <v>Non UDO</v>
      </c>
    </row>
    <row r="2316" spans="1:10" x14ac:dyDescent="0.35">
      <c r="A2316" s="5" t="s">
        <v>75</v>
      </c>
      <c r="B2316" s="6">
        <v>44713</v>
      </c>
      <c r="C2316" s="7">
        <v>200000</v>
      </c>
      <c r="D2316" s="7">
        <v>194917.91</v>
      </c>
      <c r="E2316" s="7">
        <v>5082.09</v>
      </c>
      <c r="F2316" t="str">
        <f>VLOOKUP(A2316,[1]!Table1[#All],17,FALSE)</f>
        <v>UNITED STATES</v>
      </c>
      <c r="G2316" t="str">
        <f>VLOOKUP(A2316,[1]!Table1[#All],22,FALSE)</f>
        <v>UNIVERSITY OF CALIFORNIA-SAN FRANCISCO</v>
      </c>
      <c r="H2316" s="8">
        <f>VLOOKUP(A2316,[1]!Table1[#All],32,FALSE)</f>
        <v>44104</v>
      </c>
      <c r="I2316" s="8">
        <f>VLOOKUP(A2316,[1]!Table1[#All],33,FALSE)</f>
        <v>45929</v>
      </c>
      <c r="J2316" t="str">
        <f t="shared" ca="1" si="38"/>
        <v>Non UDO</v>
      </c>
    </row>
    <row r="2317" spans="1:10" x14ac:dyDescent="0.35">
      <c r="A2317" s="9" t="s">
        <v>75</v>
      </c>
      <c r="B2317" s="10">
        <v>44743</v>
      </c>
      <c r="C2317" s="11">
        <v>200000</v>
      </c>
      <c r="D2317" s="11">
        <v>194917.91</v>
      </c>
      <c r="E2317" s="11">
        <v>5082.09</v>
      </c>
      <c r="F2317" t="str">
        <f>VLOOKUP(A2317,[1]!Table1[#All],17,FALSE)</f>
        <v>UNITED STATES</v>
      </c>
      <c r="G2317" t="str">
        <f>VLOOKUP(A2317,[1]!Table1[#All],22,FALSE)</f>
        <v>UNIVERSITY OF CALIFORNIA-SAN FRANCISCO</v>
      </c>
      <c r="H2317" s="8">
        <f>VLOOKUP(A2317,[1]!Table1[#All],32,FALSE)</f>
        <v>44104</v>
      </c>
      <c r="I2317" s="8">
        <f>VLOOKUP(A2317,[1]!Table1[#All],33,FALSE)</f>
        <v>45929</v>
      </c>
      <c r="J2317" t="str">
        <f t="shared" ca="1" si="38"/>
        <v>Non UDO</v>
      </c>
    </row>
    <row r="2318" spans="1:10" x14ac:dyDescent="0.35">
      <c r="A2318" s="5" t="s">
        <v>75</v>
      </c>
      <c r="B2318" s="6">
        <v>44774</v>
      </c>
      <c r="C2318" s="7">
        <v>200000</v>
      </c>
      <c r="D2318" s="7">
        <v>194917.91</v>
      </c>
      <c r="E2318" s="7">
        <v>5082.09</v>
      </c>
      <c r="F2318" t="str">
        <f>VLOOKUP(A2318,[1]!Table1[#All],17,FALSE)</f>
        <v>UNITED STATES</v>
      </c>
      <c r="G2318" t="str">
        <f>VLOOKUP(A2318,[1]!Table1[#All],22,FALSE)</f>
        <v>UNIVERSITY OF CALIFORNIA-SAN FRANCISCO</v>
      </c>
      <c r="H2318" s="8">
        <f>VLOOKUP(A2318,[1]!Table1[#All],32,FALSE)</f>
        <v>44104</v>
      </c>
      <c r="I2318" s="8">
        <f>VLOOKUP(A2318,[1]!Table1[#All],33,FALSE)</f>
        <v>45929</v>
      </c>
      <c r="J2318" t="str">
        <f t="shared" ca="1" si="38"/>
        <v>Non UDO</v>
      </c>
    </row>
    <row r="2319" spans="1:10" x14ac:dyDescent="0.35">
      <c r="A2319" s="9" t="s">
        <v>75</v>
      </c>
      <c r="B2319" s="10">
        <v>44805</v>
      </c>
      <c r="C2319" s="11">
        <v>200000</v>
      </c>
      <c r="D2319" s="11">
        <v>200000</v>
      </c>
      <c r="E2319" s="11">
        <v>0</v>
      </c>
      <c r="F2319" t="str">
        <f>VLOOKUP(A2319,[1]!Table1[#All],17,FALSE)</f>
        <v>UNITED STATES</v>
      </c>
      <c r="G2319" t="str">
        <f>VLOOKUP(A2319,[1]!Table1[#All],22,FALSE)</f>
        <v>UNIVERSITY OF CALIFORNIA-SAN FRANCISCO</v>
      </c>
      <c r="H2319" s="8">
        <f>VLOOKUP(A2319,[1]!Table1[#All],32,FALSE)</f>
        <v>44104</v>
      </c>
      <c r="I2319" s="8">
        <f>VLOOKUP(A2319,[1]!Table1[#All],33,FALSE)</f>
        <v>45929</v>
      </c>
      <c r="J2319" t="str">
        <f t="shared" ca="1" si="38"/>
        <v>Non UDO</v>
      </c>
    </row>
    <row r="2320" spans="1:10" x14ac:dyDescent="0.35">
      <c r="A2320" s="5" t="s">
        <v>75</v>
      </c>
      <c r="B2320" s="6">
        <v>44835</v>
      </c>
      <c r="C2320" s="7">
        <v>200000</v>
      </c>
      <c r="D2320" s="7">
        <v>200000</v>
      </c>
      <c r="E2320" s="7">
        <v>0</v>
      </c>
      <c r="F2320" t="str">
        <f>VLOOKUP(A2320,[1]!Table1[#All],17,FALSE)</f>
        <v>UNITED STATES</v>
      </c>
      <c r="G2320" t="str">
        <f>VLOOKUP(A2320,[1]!Table1[#All],22,FALSE)</f>
        <v>UNIVERSITY OF CALIFORNIA-SAN FRANCISCO</v>
      </c>
      <c r="H2320" s="8">
        <f>VLOOKUP(A2320,[1]!Table1[#All],32,FALSE)</f>
        <v>44104</v>
      </c>
      <c r="I2320" s="8">
        <f>VLOOKUP(A2320,[1]!Table1[#All],33,FALSE)</f>
        <v>45929</v>
      </c>
      <c r="J2320" t="str">
        <f t="shared" ca="1" si="38"/>
        <v>Non UDO</v>
      </c>
    </row>
    <row r="2321" spans="1:10" x14ac:dyDescent="0.35">
      <c r="A2321" s="9" t="s">
        <v>75</v>
      </c>
      <c r="B2321" s="10">
        <v>44866</v>
      </c>
      <c r="C2321" s="11">
        <v>200000</v>
      </c>
      <c r="D2321" s="11">
        <v>200000</v>
      </c>
      <c r="E2321" s="11">
        <v>0</v>
      </c>
      <c r="F2321" t="str">
        <f>VLOOKUP(A2321,[1]!Table1[#All],17,FALSE)</f>
        <v>UNITED STATES</v>
      </c>
      <c r="G2321" t="str">
        <f>VLOOKUP(A2321,[1]!Table1[#All],22,FALSE)</f>
        <v>UNIVERSITY OF CALIFORNIA-SAN FRANCISCO</v>
      </c>
      <c r="H2321" s="8">
        <f>VLOOKUP(A2321,[1]!Table1[#All],32,FALSE)</f>
        <v>44104</v>
      </c>
      <c r="I2321" s="8">
        <f>VLOOKUP(A2321,[1]!Table1[#All],33,FALSE)</f>
        <v>45929</v>
      </c>
      <c r="J2321" t="str">
        <f t="shared" ca="1" si="38"/>
        <v>Non UDO</v>
      </c>
    </row>
    <row r="2322" spans="1:10" x14ac:dyDescent="0.35">
      <c r="A2322" s="5" t="s">
        <v>75</v>
      </c>
      <c r="B2322" s="6">
        <v>44896</v>
      </c>
      <c r="C2322" s="7">
        <v>200000</v>
      </c>
      <c r="D2322" s="7">
        <v>200000</v>
      </c>
      <c r="E2322" s="7">
        <v>0</v>
      </c>
      <c r="F2322" t="str">
        <f>VLOOKUP(A2322,[1]!Table1[#All],17,FALSE)</f>
        <v>UNITED STATES</v>
      </c>
      <c r="G2322" t="str">
        <f>VLOOKUP(A2322,[1]!Table1[#All],22,FALSE)</f>
        <v>UNIVERSITY OF CALIFORNIA-SAN FRANCISCO</v>
      </c>
      <c r="H2322" s="8">
        <f>VLOOKUP(A2322,[1]!Table1[#All],32,FALSE)</f>
        <v>44104</v>
      </c>
      <c r="I2322" s="8">
        <f>VLOOKUP(A2322,[1]!Table1[#All],33,FALSE)</f>
        <v>45929</v>
      </c>
      <c r="J2322" t="str">
        <f t="shared" ca="1" si="38"/>
        <v>Non UDO</v>
      </c>
    </row>
    <row r="2323" spans="1:10" x14ac:dyDescent="0.35">
      <c r="A2323" s="9" t="s">
        <v>75</v>
      </c>
      <c r="B2323" s="10">
        <v>44927</v>
      </c>
      <c r="C2323" s="11">
        <v>200000</v>
      </c>
      <c r="D2323" s="11">
        <v>200000</v>
      </c>
      <c r="E2323" s="11">
        <v>0</v>
      </c>
      <c r="F2323" t="str">
        <f>VLOOKUP(A2323,[1]!Table1[#All],17,FALSE)</f>
        <v>UNITED STATES</v>
      </c>
      <c r="G2323" t="str">
        <f>VLOOKUP(A2323,[1]!Table1[#All],22,FALSE)</f>
        <v>UNIVERSITY OF CALIFORNIA-SAN FRANCISCO</v>
      </c>
      <c r="H2323" s="8">
        <f>VLOOKUP(A2323,[1]!Table1[#All],32,FALSE)</f>
        <v>44104</v>
      </c>
      <c r="I2323" s="8">
        <f>VLOOKUP(A2323,[1]!Table1[#All],33,FALSE)</f>
        <v>45929</v>
      </c>
      <c r="J2323" t="str">
        <f t="shared" ca="1" si="38"/>
        <v>Non UDO</v>
      </c>
    </row>
    <row r="2324" spans="1:10" x14ac:dyDescent="0.35">
      <c r="A2324" s="5" t="s">
        <v>75</v>
      </c>
      <c r="B2324" s="6">
        <v>44958</v>
      </c>
      <c r="C2324" s="7">
        <v>200000</v>
      </c>
      <c r="D2324" s="7">
        <v>200000</v>
      </c>
      <c r="E2324" s="7">
        <v>0</v>
      </c>
      <c r="F2324" t="str">
        <f>VLOOKUP(A2324,[1]!Table1[#All],17,FALSE)</f>
        <v>UNITED STATES</v>
      </c>
      <c r="G2324" t="str">
        <f>VLOOKUP(A2324,[1]!Table1[#All],22,FALSE)</f>
        <v>UNIVERSITY OF CALIFORNIA-SAN FRANCISCO</v>
      </c>
      <c r="H2324" s="8">
        <f>VLOOKUP(A2324,[1]!Table1[#All],32,FALSE)</f>
        <v>44104</v>
      </c>
      <c r="I2324" s="8">
        <f>VLOOKUP(A2324,[1]!Table1[#All],33,FALSE)</f>
        <v>45929</v>
      </c>
      <c r="J2324" t="str">
        <f t="shared" ca="1" si="38"/>
        <v>Non UDO</v>
      </c>
    </row>
    <row r="2325" spans="1:10" x14ac:dyDescent="0.35">
      <c r="A2325" s="9" t="s">
        <v>75</v>
      </c>
      <c r="B2325" s="10">
        <v>44986</v>
      </c>
      <c r="C2325" s="11">
        <v>200000</v>
      </c>
      <c r="D2325" s="11">
        <v>200000</v>
      </c>
      <c r="E2325" s="11">
        <v>0</v>
      </c>
      <c r="F2325" t="str">
        <f>VLOOKUP(A2325,[1]!Table1[#All],17,FALSE)</f>
        <v>UNITED STATES</v>
      </c>
      <c r="G2325" t="str">
        <f>VLOOKUP(A2325,[1]!Table1[#All],22,FALSE)</f>
        <v>UNIVERSITY OF CALIFORNIA-SAN FRANCISCO</v>
      </c>
      <c r="H2325" s="8">
        <f>VLOOKUP(A2325,[1]!Table1[#All],32,FALSE)</f>
        <v>44104</v>
      </c>
      <c r="I2325" s="8">
        <f>VLOOKUP(A2325,[1]!Table1[#All],33,FALSE)</f>
        <v>45929</v>
      </c>
      <c r="J2325" t="str">
        <f t="shared" ca="1" si="38"/>
        <v>Non UDO</v>
      </c>
    </row>
    <row r="2326" spans="1:10" x14ac:dyDescent="0.35">
      <c r="A2326" s="5" t="s">
        <v>75</v>
      </c>
      <c r="B2326" s="6">
        <v>45017</v>
      </c>
      <c r="C2326" s="7">
        <v>200000</v>
      </c>
      <c r="D2326" s="7">
        <v>200000</v>
      </c>
      <c r="E2326" s="7">
        <v>0</v>
      </c>
      <c r="F2326" t="str">
        <f>VLOOKUP(A2326,[1]!Table1[#All],17,FALSE)</f>
        <v>UNITED STATES</v>
      </c>
      <c r="G2326" t="str">
        <f>VLOOKUP(A2326,[1]!Table1[#All],22,FALSE)</f>
        <v>UNIVERSITY OF CALIFORNIA-SAN FRANCISCO</v>
      </c>
      <c r="H2326" s="8">
        <f>VLOOKUP(A2326,[1]!Table1[#All],32,FALSE)</f>
        <v>44104</v>
      </c>
      <c r="I2326" s="8">
        <f>VLOOKUP(A2326,[1]!Table1[#All],33,FALSE)</f>
        <v>45929</v>
      </c>
      <c r="J2326" t="str">
        <f t="shared" ca="1" si="38"/>
        <v>Non UDO</v>
      </c>
    </row>
    <row r="2327" spans="1:10" x14ac:dyDescent="0.35">
      <c r="A2327" s="9" t="s">
        <v>75</v>
      </c>
      <c r="B2327" s="10">
        <v>45047</v>
      </c>
      <c r="C2327" s="11">
        <v>200000</v>
      </c>
      <c r="D2327" s="11">
        <v>200000</v>
      </c>
      <c r="E2327" s="11">
        <v>0</v>
      </c>
      <c r="F2327" t="str">
        <f>VLOOKUP(A2327,[1]!Table1[#All],17,FALSE)</f>
        <v>UNITED STATES</v>
      </c>
      <c r="G2327" t="str">
        <f>VLOOKUP(A2327,[1]!Table1[#All],22,FALSE)</f>
        <v>UNIVERSITY OF CALIFORNIA-SAN FRANCISCO</v>
      </c>
      <c r="H2327" s="8">
        <f>VLOOKUP(A2327,[1]!Table1[#All],32,FALSE)</f>
        <v>44104</v>
      </c>
      <c r="I2327" s="8">
        <f>VLOOKUP(A2327,[1]!Table1[#All],33,FALSE)</f>
        <v>45929</v>
      </c>
      <c r="J2327" t="str">
        <f t="shared" ca="1" si="38"/>
        <v>Non UDO</v>
      </c>
    </row>
    <row r="2328" spans="1:10" x14ac:dyDescent="0.35">
      <c r="A2328" s="5" t="s">
        <v>75</v>
      </c>
      <c r="B2328" s="6">
        <v>45078</v>
      </c>
      <c r="C2328" s="7">
        <v>200000</v>
      </c>
      <c r="D2328" s="7">
        <v>200000</v>
      </c>
      <c r="E2328" s="7">
        <v>0</v>
      </c>
      <c r="F2328" t="str">
        <f>VLOOKUP(A2328,[1]!Table1[#All],17,FALSE)</f>
        <v>UNITED STATES</v>
      </c>
      <c r="G2328" t="str">
        <f>VLOOKUP(A2328,[1]!Table1[#All],22,FALSE)</f>
        <v>UNIVERSITY OF CALIFORNIA-SAN FRANCISCO</v>
      </c>
      <c r="H2328" s="8">
        <f>VLOOKUP(A2328,[1]!Table1[#All],32,FALSE)</f>
        <v>44104</v>
      </c>
      <c r="I2328" s="8">
        <f>VLOOKUP(A2328,[1]!Table1[#All],33,FALSE)</f>
        <v>45929</v>
      </c>
      <c r="J2328" t="str">
        <f t="shared" ca="1" si="38"/>
        <v>Non UDO</v>
      </c>
    </row>
    <row r="2329" spans="1:10" x14ac:dyDescent="0.35">
      <c r="A2329" s="9" t="s">
        <v>75</v>
      </c>
      <c r="B2329" s="10">
        <v>45108</v>
      </c>
      <c r="C2329" s="11">
        <v>200000</v>
      </c>
      <c r="D2329" s="11">
        <v>200000</v>
      </c>
      <c r="E2329" s="11">
        <v>0</v>
      </c>
      <c r="F2329" t="str">
        <f>VLOOKUP(A2329,[1]!Table1[#All],17,FALSE)</f>
        <v>UNITED STATES</v>
      </c>
      <c r="G2329" t="str">
        <f>VLOOKUP(A2329,[1]!Table1[#All],22,FALSE)</f>
        <v>UNIVERSITY OF CALIFORNIA-SAN FRANCISCO</v>
      </c>
      <c r="H2329" s="8">
        <f>VLOOKUP(A2329,[1]!Table1[#All],32,FALSE)</f>
        <v>44104</v>
      </c>
      <c r="I2329" s="8">
        <f>VLOOKUP(A2329,[1]!Table1[#All],33,FALSE)</f>
        <v>45929</v>
      </c>
      <c r="J2329" t="str">
        <f t="shared" ca="1" si="38"/>
        <v>Non UDO</v>
      </c>
    </row>
    <row r="2330" spans="1:10" x14ac:dyDescent="0.35">
      <c r="A2330" s="5" t="s">
        <v>75</v>
      </c>
      <c r="B2330" s="6">
        <v>45139</v>
      </c>
      <c r="C2330" s="7">
        <v>200000</v>
      </c>
      <c r="D2330" s="7">
        <v>200000</v>
      </c>
      <c r="E2330" s="7">
        <v>0</v>
      </c>
      <c r="F2330" t="str">
        <f>VLOOKUP(A2330,[1]!Table1[#All],17,FALSE)</f>
        <v>UNITED STATES</v>
      </c>
      <c r="G2330" t="str">
        <f>VLOOKUP(A2330,[1]!Table1[#All],22,FALSE)</f>
        <v>UNIVERSITY OF CALIFORNIA-SAN FRANCISCO</v>
      </c>
      <c r="H2330" s="8">
        <f>VLOOKUP(A2330,[1]!Table1[#All],32,FALSE)</f>
        <v>44104</v>
      </c>
      <c r="I2330" s="8">
        <f>VLOOKUP(A2330,[1]!Table1[#All],33,FALSE)</f>
        <v>45929</v>
      </c>
      <c r="J2330" t="str">
        <f t="shared" ca="1" si="38"/>
        <v>Non UDO</v>
      </c>
    </row>
    <row r="2331" spans="1:10" x14ac:dyDescent="0.35">
      <c r="A2331" s="9" t="s">
        <v>75</v>
      </c>
      <c r="B2331" s="10">
        <v>45170</v>
      </c>
      <c r="C2331" s="11">
        <v>200000</v>
      </c>
      <c r="D2331" s="11">
        <v>200000</v>
      </c>
      <c r="E2331" s="11">
        <v>0</v>
      </c>
      <c r="F2331" t="str">
        <f>VLOOKUP(A2331,[1]!Table1[#All],17,FALSE)</f>
        <v>UNITED STATES</v>
      </c>
      <c r="G2331" t="str">
        <f>VLOOKUP(A2331,[1]!Table1[#All],22,FALSE)</f>
        <v>UNIVERSITY OF CALIFORNIA-SAN FRANCISCO</v>
      </c>
      <c r="H2331" s="8">
        <f>VLOOKUP(A2331,[1]!Table1[#All],32,FALSE)</f>
        <v>44104</v>
      </c>
      <c r="I2331" s="8">
        <f>VLOOKUP(A2331,[1]!Table1[#All],33,FALSE)</f>
        <v>45929</v>
      </c>
      <c r="J2331" t="str">
        <f t="shared" ca="1" si="38"/>
        <v>Non UDO</v>
      </c>
    </row>
    <row r="2332" spans="1:10" x14ac:dyDescent="0.35">
      <c r="A2332" s="5" t="s">
        <v>76</v>
      </c>
      <c r="B2332" s="6">
        <v>44409</v>
      </c>
      <c r="C2332" s="7">
        <v>350000</v>
      </c>
      <c r="D2332" s="7">
        <v>0</v>
      </c>
      <c r="E2332" s="7">
        <v>350000</v>
      </c>
      <c r="F2332" t="str">
        <f>VLOOKUP(A2332,[1]!Table1[#All],17,FALSE)</f>
        <v>UNITED STATES</v>
      </c>
      <c r="G2332" t="str">
        <f>VLOOKUP(A2332,[1]!Table1[#All],22,FALSE)</f>
        <v>RESEARCH TRIANGLE INSTITUTE</v>
      </c>
      <c r="H2332" s="8">
        <f>VLOOKUP(A2332,[1]!Table1[#All],32,FALSE)</f>
        <v>44104</v>
      </c>
      <c r="I2332" s="8">
        <f>VLOOKUP(A2332,[1]!Table1[#All],33,FALSE)</f>
        <v>44833</v>
      </c>
      <c r="J2332" t="str">
        <f t="shared" ca="1" si="38"/>
        <v>UDO</v>
      </c>
    </row>
    <row r="2333" spans="1:10" x14ac:dyDescent="0.35">
      <c r="A2333" s="9" t="s">
        <v>76</v>
      </c>
      <c r="B2333" s="10">
        <v>44440</v>
      </c>
      <c r="C2333" s="11">
        <v>350000</v>
      </c>
      <c r="D2333" s="11">
        <v>0</v>
      </c>
      <c r="E2333" s="11">
        <v>350000</v>
      </c>
      <c r="F2333" t="str">
        <f>VLOOKUP(A2333,[1]!Table1[#All],17,FALSE)</f>
        <v>UNITED STATES</v>
      </c>
      <c r="G2333" t="str">
        <f>VLOOKUP(A2333,[1]!Table1[#All],22,FALSE)</f>
        <v>RESEARCH TRIANGLE INSTITUTE</v>
      </c>
      <c r="H2333" s="8">
        <f>VLOOKUP(A2333,[1]!Table1[#All],32,FALSE)</f>
        <v>44104</v>
      </c>
      <c r="I2333" s="8">
        <f>VLOOKUP(A2333,[1]!Table1[#All],33,FALSE)</f>
        <v>44833</v>
      </c>
      <c r="J2333" t="str">
        <f t="shared" ca="1" si="38"/>
        <v>UDO</v>
      </c>
    </row>
    <row r="2334" spans="1:10" x14ac:dyDescent="0.35">
      <c r="A2334" s="5" t="s">
        <v>76</v>
      </c>
      <c r="B2334" s="6">
        <v>44470</v>
      </c>
      <c r="C2334" s="7">
        <v>350000</v>
      </c>
      <c r="D2334" s="7">
        <v>0</v>
      </c>
      <c r="E2334" s="7">
        <v>350000</v>
      </c>
      <c r="F2334" t="str">
        <f>VLOOKUP(A2334,[1]!Table1[#All],17,FALSE)</f>
        <v>UNITED STATES</v>
      </c>
      <c r="G2334" t="str">
        <f>VLOOKUP(A2334,[1]!Table1[#All],22,FALSE)</f>
        <v>RESEARCH TRIANGLE INSTITUTE</v>
      </c>
      <c r="H2334" s="8">
        <f>VLOOKUP(A2334,[1]!Table1[#All],32,FALSE)</f>
        <v>44104</v>
      </c>
      <c r="I2334" s="8">
        <f>VLOOKUP(A2334,[1]!Table1[#All],33,FALSE)</f>
        <v>44833</v>
      </c>
      <c r="J2334" t="str">
        <f t="shared" ca="1" si="38"/>
        <v>UDO</v>
      </c>
    </row>
    <row r="2335" spans="1:10" x14ac:dyDescent="0.35">
      <c r="A2335" s="9" t="s">
        <v>76</v>
      </c>
      <c r="B2335" s="10">
        <v>44501</v>
      </c>
      <c r="C2335" s="11">
        <v>350000</v>
      </c>
      <c r="D2335" s="11">
        <v>18485.28</v>
      </c>
      <c r="E2335" s="11">
        <v>331514.71999999997</v>
      </c>
      <c r="F2335" t="str">
        <f>VLOOKUP(A2335,[1]!Table1[#All],17,FALSE)</f>
        <v>UNITED STATES</v>
      </c>
      <c r="G2335" t="str">
        <f>VLOOKUP(A2335,[1]!Table1[#All],22,FALSE)</f>
        <v>RESEARCH TRIANGLE INSTITUTE</v>
      </c>
      <c r="H2335" s="8">
        <f>VLOOKUP(A2335,[1]!Table1[#All],32,FALSE)</f>
        <v>44104</v>
      </c>
      <c r="I2335" s="8">
        <f>VLOOKUP(A2335,[1]!Table1[#All],33,FALSE)</f>
        <v>44833</v>
      </c>
      <c r="J2335" t="str">
        <f t="shared" ca="1" si="38"/>
        <v>UDO</v>
      </c>
    </row>
    <row r="2336" spans="1:10" x14ac:dyDescent="0.35">
      <c r="A2336" s="5" t="s">
        <v>76</v>
      </c>
      <c r="B2336" s="6">
        <v>44531</v>
      </c>
      <c r="C2336" s="7">
        <v>350000</v>
      </c>
      <c r="D2336" s="7">
        <v>33780.65</v>
      </c>
      <c r="E2336" s="7">
        <v>316219.34999999998</v>
      </c>
      <c r="F2336" t="str">
        <f>VLOOKUP(A2336,[1]!Table1[#All],17,FALSE)</f>
        <v>UNITED STATES</v>
      </c>
      <c r="G2336" t="str">
        <f>VLOOKUP(A2336,[1]!Table1[#All],22,FALSE)</f>
        <v>RESEARCH TRIANGLE INSTITUTE</v>
      </c>
      <c r="H2336" s="8">
        <f>VLOOKUP(A2336,[1]!Table1[#All],32,FALSE)</f>
        <v>44104</v>
      </c>
      <c r="I2336" s="8">
        <f>VLOOKUP(A2336,[1]!Table1[#All],33,FALSE)</f>
        <v>44833</v>
      </c>
      <c r="J2336" t="str">
        <f t="shared" ca="1" si="38"/>
        <v>UDO</v>
      </c>
    </row>
    <row r="2337" spans="1:10" x14ac:dyDescent="0.35">
      <c r="A2337" s="9" t="s">
        <v>76</v>
      </c>
      <c r="B2337" s="10">
        <v>44562</v>
      </c>
      <c r="C2337" s="11">
        <v>350000</v>
      </c>
      <c r="D2337" s="11">
        <v>44289.4</v>
      </c>
      <c r="E2337" s="11">
        <v>305710.59999999998</v>
      </c>
      <c r="F2337" t="str">
        <f>VLOOKUP(A2337,[1]!Table1[#All],17,FALSE)</f>
        <v>UNITED STATES</v>
      </c>
      <c r="G2337" t="str">
        <f>VLOOKUP(A2337,[1]!Table1[#All],22,FALSE)</f>
        <v>RESEARCH TRIANGLE INSTITUTE</v>
      </c>
      <c r="H2337" s="8">
        <f>VLOOKUP(A2337,[1]!Table1[#All],32,FALSE)</f>
        <v>44104</v>
      </c>
      <c r="I2337" s="8">
        <f>VLOOKUP(A2337,[1]!Table1[#All],33,FALSE)</f>
        <v>44833</v>
      </c>
      <c r="J2337" t="str">
        <f t="shared" ca="1" si="38"/>
        <v>UDO</v>
      </c>
    </row>
    <row r="2338" spans="1:10" x14ac:dyDescent="0.35">
      <c r="A2338" s="5" t="s">
        <v>76</v>
      </c>
      <c r="B2338" s="6">
        <v>44593</v>
      </c>
      <c r="C2338" s="7">
        <v>350000</v>
      </c>
      <c r="D2338" s="7">
        <v>44289.4</v>
      </c>
      <c r="E2338" s="7">
        <v>305710.59999999998</v>
      </c>
      <c r="F2338" t="str">
        <f>VLOOKUP(A2338,[1]!Table1[#All],17,FALSE)</f>
        <v>UNITED STATES</v>
      </c>
      <c r="G2338" t="str">
        <f>VLOOKUP(A2338,[1]!Table1[#All],22,FALSE)</f>
        <v>RESEARCH TRIANGLE INSTITUTE</v>
      </c>
      <c r="H2338" s="8">
        <f>VLOOKUP(A2338,[1]!Table1[#All],32,FALSE)</f>
        <v>44104</v>
      </c>
      <c r="I2338" s="8">
        <f>VLOOKUP(A2338,[1]!Table1[#All],33,FALSE)</f>
        <v>44833</v>
      </c>
      <c r="J2338" t="str">
        <f t="shared" ca="1" si="38"/>
        <v>UDO</v>
      </c>
    </row>
    <row r="2339" spans="1:10" x14ac:dyDescent="0.35">
      <c r="A2339" s="9" t="s">
        <v>76</v>
      </c>
      <c r="B2339" s="10">
        <v>44621</v>
      </c>
      <c r="C2339" s="11">
        <v>350000</v>
      </c>
      <c r="D2339" s="11">
        <v>44289.4</v>
      </c>
      <c r="E2339" s="11">
        <v>305710.59999999998</v>
      </c>
      <c r="F2339" t="str">
        <f>VLOOKUP(A2339,[1]!Table1[#All],17,FALSE)</f>
        <v>UNITED STATES</v>
      </c>
      <c r="G2339" t="str">
        <f>VLOOKUP(A2339,[1]!Table1[#All],22,FALSE)</f>
        <v>RESEARCH TRIANGLE INSTITUTE</v>
      </c>
      <c r="H2339" s="8">
        <f>VLOOKUP(A2339,[1]!Table1[#All],32,FALSE)</f>
        <v>44104</v>
      </c>
      <c r="I2339" s="8">
        <f>VLOOKUP(A2339,[1]!Table1[#All],33,FALSE)</f>
        <v>44833</v>
      </c>
      <c r="J2339" t="str">
        <f t="shared" ca="1" si="38"/>
        <v>UDO</v>
      </c>
    </row>
    <row r="2340" spans="1:10" x14ac:dyDescent="0.35">
      <c r="A2340" s="5" t="s">
        <v>76</v>
      </c>
      <c r="B2340" s="6">
        <v>44652</v>
      </c>
      <c r="C2340" s="7">
        <v>350000</v>
      </c>
      <c r="D2340" s="7">
        <v>97325.46</v>
      </c>
      <c r="E2340" s="7">
        <v>252674.54</v>
      </c>
      <c r="F2340" t="str">
        <f>VLOOKUP(A2340,[1]!Table1[#All],17,FALSE)</f>
        <v>UNITED STATES</v>
      </c>
      <c r="G2340" t="str">
        <f>VLOOKUP(A2340,[1]!Table1[#All],22,FALSE)</f>
        <v>RESEARCH TRIANGLE INSTITUTE</v>
      </c>
      <c r="H2340" s="8">
        <f>VLOOKUP(A2340,[1]!Table1[#All],32,FALSE)</f>
        <v>44104</v>
      </c>
      <c r="I2340" s="8">
        <f>VLOOKUP(A2340,[1]!Table1[#All],33,FALSE)</f>
        <v>44833</v>
      </c>
      <c r="J2340" t="str">
        <f t="shared" ca="1" si="38"/>
        <v>UDO</v>
      </c>
    </row>
    <row r="2341" spans="1:10" x14ac:dyDescent="0.35">
      <c r="A2341" s="9" t="s">
        <v>76</v>
      </c>
      <c r="B2341" s="10">
        <v>44682</v>
      </c>
      <c r="C2341" s="11">
        <v>350000</v>
      </c>
      <c r="D2341" s="11">
        <v>117118.04</v>
      </c>
      <c r="E2341" s="11">
        <v>232881.96</v>
      </c>
      <c r="F2341" t="str">
        <f>VLOOKUP(A2341,[1]!Table1[#All],17,FALSE)</f>
        <v>UNITED STATES</v>
      </c>
      <c r="G2341" t="str">
        <f>VLOOKUP(A2341,[1]!Table1[#All],22,FALSE)</f>
        <v>RESEARCH TRIANGLE INSTITUTE</v>
      </c>
      <c r="H2341" s="8">
        <f>VLOOKUP(A2341,[1]!Table1[#All],32,FALSE)</f>
        <v>44104</v>
      </c>
      <c r="I2341" s="8">
        <f>VLOOKUP(A2341,[1]!Table1[#All],33,FALSE)</f>
        <v>44833</v>
      </c>
      <c r="J2341" t="str">
        <f t="shared" ca="1" si="38"/>
        <v>UDO</v>
      </c>
    </row>
    <row r="2342" spans="1:10" x14ac:dyDescent="0.35">
      <c r="A2342" s="5" t="s">
        <v>76</v>
      </c>
      <c r="B2342" s="6">
        <v>44713</v>
      </c>
      <c r="C2342" s="7">
        <v>350000</v>
      </c>
      <c r="D2342" s="7">
        <v>136011.17000000001</v>
      </c>
      <c r="E2342" s="7">
        <v>213988.83</v>
      </c>
      <c r="F2342" t="str">
        <f>VLOOKUP(A2342,[1]!Table1[#All],17,FALSE)</f>
        <v>UNITED STATES</v>
      </c>
      <c r="G2342" t="str">
        <f>VLOOKUP(A2342,[1]!Table1[#All],22,FALSE)</f>
        <v>RESEARCH TRIANGLE INSTITUTE</v>
      </c>
      <c r="H2342" s="8">
        <f>VLOOKUP(A2342,[1]!Table1[#All],32,FALSE)</f>
        <v>44104</v>
      </c>
      <c r="I2342" s="8">
        <f>VLOOKUP(A2342,[1]!Table1[#All],33,FALSE)</f>
        <v>44833</v>
      </c>
      <c r="J2342" t="str">
        <f t="shared" ca="1" si="38"/>
        <v>UDO</v>
      </c>
    </row>
    <row r="2343" spans="1:10" x14ac:dyDescent="0.35">
      <c r="A2343" s="9" t="s">
        <v>76</v>
      </c>
      <c r="B2343" s="10">
        <v>44743</v>
      </c>
      <c r="C2343" s="11">
        <v>350000</v>
      </c>
      <c r="D2343" s="11">
        <v>169210.82</v>
      </c>
      <c r="E2343" s="11">
        <v>180789.18</v>
      </c>
      <c r="F2343" t="str">
        <f>VLOOKUP(A2343,[1]!Table1[#All],17,FALSE)</f>
        <v>UNITED STATES</v>
      </c>
      <c r="G2343" t="str">
        <f>VLOOKUP(A2343,[1]!Table1[#All],22,FALSE)</f>
        <v>RESEARCH TRIANGLE INSTITUTE</v>
      </c>
      <c r="H2343" s="8">
        <f>VLOOKUP(A2343,[1]!Table1[#All],32,FALSE)</f>
        <v>44104</v>
      </c>
      <c r="I2343" s="8">
        <f>VLOOKUP(A2343,[1]!Table1[#All],33,FALSE)</f>
        <v>44833</v>
      </c>
      <c r="J2343" t="str">
        <f t="shared" ca="1" si="38"/>
        <v>UDO</v>
      </c>
    </row>
    <row r="2344" spans="1:10" x14ac:dyDescent="0.35">
      <c r="A2344" s="5" t="s">
        <v>76</v>
      </c>
      <c r="B2344" s="6">
        <v>44774</v>
      </c>
      <c r="C2344" s="7">
        <v>350000</v>
      </c>
      <c r="D2344" s="7">
        <v>203865.05</v>
      </c>
      <c r="E2344" s="7">
        <v>146134.95000000001</v>
      </c>
      <c r="F2344" t="str">
        <f>VLOOKUP(A2344,[1]!Table1[#All],17,FALSE)</f>
        <v>UNITED STATES</v>
      </c>
      <c r="G2344" t="str">
        <f>VLOOKUP(A2344,[1]!Table1[#All],22,FALSE)</f>
        <v>RESEARCH TRIANGLE INSTITUTE</v>
      </c>
      <c r="H2344" s="8">
        <f>VLOOKUP(A2344,[1]!Table1[#All],32,FALSE)</f>
        <v>44104</v>
      </c>
      <c r="I2344" s="8">
        <f>VLOOKUP(A2344,[1]!Table1[#All],33,FALSE)</f>
        <v>44833</v>
      </c>
      <c r="J2344" t="str">
        <f t="shared" ca="1" si="38"/>
        <v>UDO</v>
      </c>
    </row>
    <row r="2345" spans="1:10" x14ac:dyDescent="0.35">
      <c r="A2345" s="9" t="s">
        <v>76</v>
      </c>
      <c r="B2345" s="10">
        <v>44805</v>
      </c>
      <c r="C2345" s="11">
        <v>350000</v>
      </c>
      <c r="D2345" s="11">
        <v>222695.4</v>
      </c>
      <c r="E2345" s="11">
        <v>127304.6</v>
      </c>
      <c r="F2345" t="str">
        <f>VLOOKUP(A2345,[1]!Table1[#All],17,FALSE)</f>
        <v>UNITED STATES</v>
      </c>
      <c r="G2345" t="str">
        <f>VLOOKUP(A2345,[1]!Table1[#All],22,FALSE)</f>
        <v>RESEARCH TRIANGLE INSTITUTE</v>
      </c>
      <c r="H2345" s="8">
        <f>VLOOKUP(A2345,[1]!Table1[#All],32,FALSE)</f>
        <v>44104</v>
      </c>
      <c r="I2345" s="8">
        <f>VLOOKUP(A2345,[1]!Table1[#All],33,FALSE)</f>
        <v>44833</v>
      </c>
      <c r="J2345" t="str">
        <f t="shared" ca="1" si="38"/>
        <v>UDO</v>
      </c>
    </row>
    <row r="2346" spans="1:10" x14ac:dyDescent="0.35">
      <c r="A2346" s="5" t="s">
        <v>76</v>
      </c>
      <c r="B2346" s="6">
        <v>44835</v>
      </c>
      <c r="C2346" s="7">
        <v>350000</v>
      </c>
      <c r="D2346" s="7">
        <v>241832.29</v>
      </c>
      <c r="E2346" s="7">
        <v>108167.71</v>
      </c>
      <c r="F2346" t="str">
        <f>VLOOKUP(A2346,[1]!Table1[#All],17,FALSE)</f>
        <v>UNITED STATES</v>
      </c>
      <c r="G2346" t="str">
        <f>VLOOKUP(A2346,[1]!Table1[#All],22,FALSE)</f>
        <v>RESEARCH TRIANGLE INSTITUTE</v>
      </c>
      <c r="H2346" s="8">
        <f>VLOOKUP(A2346,[1]!Table1[#All],32,FALSE)</f>
        <v>44104</v>
      </c>
      <c r="I2346" s="8">
        <f>VLOOKUP(A2346,[1]!Table1[#All],33,FALSE)</f>
        <v>44833</v>
      </c>
      <c r="J2346" t="str">
        <f t="shared" ca="1" si="38"/>
        <v>UDO</v>
      </c>
    </row>
    <row r="2347" spans="1:10" x14ac:dyDescent="0.35">
      <c r="A2347" s="9" t="s">
        <v>76</v>
      </c>
      <c r="B2347" s="10">
        <v>44866</v>
      </c>
      <c r="C2347" s="11">
        <v>350000</v>
      </c>
      <c r="D2347" s="11">
        <v>264242.86</v>
      </c>
      <c r="E2347" s="11">
        <v>85757.14</v>
      </c>
      <c r="F2347" t="str">
        <f>VLOOKUP(A2347,[1]!Table1[#All],17,FALSE)</f>
        <v>UNITED STATES</v>
      </c>
      <c r="G2347" t="str">
        <f>VLOOKUP(A2347,[1]!Table1[#All],22,FALSE)</f>
        <v>RESEARCH TRIANGLE INSTITUTE</v>
      </c>
      <c r="H2347" s="8">
        <f>VLOOKUP(A2347,[1]!Table1[#All],32,FALSE)</f>
        <v>44104</v>
      </c>
      <c r="I2347" s="8">
        <f>VLOOKUP(A2347,[1]!Table1[#All],33,FALSE)</f>
        <v>44833</v>
      </c>
      <c r="J2347" t="str">
        <f t="shared" ca="1" si="38"/>
        <v>UDO</v>
      </c>
    </row>
    <row r="2348" spans="1:10" x14ac:dyDescent="0.35">
      <c r="A2348" s="5" t="s">
        <v>76</v>
      </c>
      <c r="B2348" s="6">
        <v>44896</v>
      </c>
      <c r="C2348" s="7">
        <v>350000</v>
      </c>
      <c r="D2348" s="7">
        <v>278175.99</v>
      </c>
      <c r="E2348" s="7">
        <v>71824.009999999995</v>
      </c>
      <c r="F2348" t="str">
        <f>VLOOKUP(A2348,[1]!Table1[#All],17,FALSE)</f>
        <v>UNITED STATES</v>
      </c>
      <c r="G2348" t="str">
        <f>VLOOKUP(A2348,[1]!Table1[#All],22,FALSE)</f>
        <v>RESEARCH TRIANGLE INSTITUTE</v>
      </c>
      <c r="H2348" s="8">
        <f>VLOOKUP(A2348,[1]!Table1[#All],32,FALSE)</f>
        <v>44104</v>
      </c>
      <c r="I2348" s="8">
        <f>VLOOKUP(A2348,[1]!Table1[#All],33,FALSE)</f>
        <v>44833</v>
      </c>
      <c r="J2348" t="str">
        <f t="shared" ca="1" si="38"/>
        <v>UDO</v>
      </c>
    </row>
    <row r="2349" spans="1:10" x14ac:dyDescent="0.35">
      <c r="A2349" s="9" t="s">
        <v>76</v>
      </c>
      <c r="B2349" s="10">
        <v>44927</v>
      </c>
      <c r="C2349" s="11">
        <v>350000</v>
      </c>
      <c r="D2349" s="11">
        <v>301245.19</v>
      </c>
      <c r="E2349" s="11">
        <v>48754.81</v>
      </c>
      <c r="F2349" t="str">
        <f>VLOOKUP(A2349,[1]!Table1[#All],17,FALSE)</f>
        <v>UNITED STATES</v>
      </c>
      <c r="G2349" t="str">
        <f>VLOOKUP(A2349,[1]!Table1[#All],22,FALSE)</f>
        <v>RESEARCH TRIANGLE INSTITUTE</v>
      </c>
      <c r="H2349" s="8">
        <f>VLOOKUP(A2349,[1]!Table1[#All],32,FALSE)</f>
        <v>44104</v>
      </c>
      <c r="I2349" s="8">
        <f>VLOOKUP(A2349,[1]!Table1[#All],33,FALSE)</f>
        <v>44833</v>
      </c>
      <c r="J2349" t="str">
        <f t="shared" ca="1" si="38"/>
        <v>UDO</v>
      </c>
    </row>
    <row r="2350" spans="1:10" x14ac:dyDescent="0.35">
      <c r="A2350" s="5" t="s">
        <v>76</v>
      </c>
      <c r="B2350" s="6">
        <v>44958</v>
      </c>
      <c r="C2350" s="7">
        <v>350000</v>
      </c>
      <c r="D2350" s="7">
        <v>337196.96</v>
      </c>
      <c r="E2350" s="7">
        <v>12803.04</v>
      </c>
      <c r="F2350" t="str">
        <f>VLOOKUP(A2350,[1]!Table1[#All],17,FALSE)</f>
        <v>UNITED STATES</v>
      </c>
      <c r="G2350" t="str">
        <f>VLOOKUP(A2350,[1]!Table1[#All],22,FALSE)</f>
        <v>RESEARCH TRIANGLE INSTITUTE</v>
      </c>
      <c r="H2350" s="8">
        <f>VLOOKUP(A2350,[1]!Table1[#All],32,FALSE)</f>
        <v>44104</v>
      </c>
      <c r="I2350" s="8">
        <f>VLOOKUP(A2350,[1]!Table1[#All],33,FALSE)</f>
        <v>44833</v>
      </c>
      <c r="J2350" t="str">
        <f t="shared" ca="1" si="38"/>
        <v>UDO</v>
      </c>
    </row>
    <row r="2351" spans="1:10" x14ac:dyDescent="0.35">
      <c r="A2351" s="9" t="s">
        <v>76</v>
      </c>
      <c r="B2351" s="10">
        <v>44986</v>
      </c>
      <c r="C2351" s="11">
        <v>350000</v>
      </c>
      <c r="D2351" s="11">
        <v>350000</v>
      </c>
      <c r="E2351" s="11">
        <v>0</v>
      </c>
      <c r="F2351" t="str">
        <f>VLOOKUP(A2351,[1]!Table1[#All],17,FALSE)</f>
        <v>UNITED STATES</v>
      </c>
      <c r="G2351" t="str">
        <f>VLOOKUP(A2351,[1]!Table1[#All],22,FALSE)</f>
        <v>RESEARCH TRIANGLE INSTITUTE</v>
      </c>
      <c r="H2351" s="8">
        <f>VLOOKUP(A2351,[1]!Table1[#All],32,FALSE)</f>
        <v>44104</v>
      </c>
      <c r="I2351" s="8">
        <f>VLOOKUP(A2351,[1]!Table1[#All],33,FALSE)</f>
        <v>44833</v>
      </c>
      <c r="J2351" t="str">
        <f t="shared" ca="1" si="38"/>
        <v>Non UDO</v>
      </c>
    </row>
    <row r="2352" spans="1:10" x14ac:dyDescent="0.35">
      <c r="A2352" s="5" t="s">
        <v>76</v>
      </c>
      <c r="B2352" s="6">
        <v>45017</v>
      </c>
      <c r="C2352" s="7">
        <v>350000</v>
      </c>
      <c r="D2352" s="7">
        <v>350000</v>
      </c>
      <c r="E2352" s="7">
        <v>0</v>
      </c>
      <c r="F2352" t="str">
        <f>VLOOKUP(A2352,[1]!Table1[#All],17,FALSE)</f>
        <v>UNITED STATES</v>
      </c>
      <c r="G2352" t="str">
        <f>VLOOKUP(A2352,[1]!Table1[#All],22,FALSE)</f>
        <v>RESEARCH TRIANGLE INSTITUTE</v>
      </c>
      <c r="H2352" s="8">
        <f>VLOOKUP(A2352,[1]!Table1[#All],32,FALSE)</f>
        <v>44104</v>
      </c>
      <c r="I2352" s="8">
        <f>VLOOKUP(A2352,[1]!Table1[#All],33,FALSE)</f>
        <v>44833</v>
      </c>
      <c r="J2352" t="str">
        <f t="shared" ca="1" si="38"/>
        <v>Non UDO</v>
      </c>
    </row>
    <row r="2353" spans="1:10" x14ac:dyDescent="0.35">
      <c r="A2353" s="9" t="s">
        <v>76</v>
      </c>
      <c r="B2353" s="10">
        <v>45047</v>
      </c>
      <c r="C2353" s="11">
        <v>350000</v>
      </c>
      <c r="D2353" s="11">
        <v>350000</v>
      </c>
      <c r="E2353" s="11">
        <v>0</v>
      </c>
      <c r="F2353" t="str">
        <f>VLOOKUP(A2353,[1]!Table1[#All],17,FALSE)</f>
        <v>UNITED STATES</v>
      </c>
      <c r="G2353" t="str">
        <f>VLOOKUP(A2353,[1]!Table1[#All],22,FALSE)</f>
        <v>RESEARCH TRIANGLE INSTITUTE</v>
      </c>
      <c r="H2353" s="8">
        <f>VLOOKUP(A2353,[1]!Table1[#All],32,FALSE)</f>
        <v>44104</v>
      </c>
      <c r="I2353" s="8">
        <f>VLOOKUP(A2353,[1]!Table1[#All],33,FALSE)</f>
        <v>44833</v>
      </c>
      <c r="J2353" t="str">
        <f t="shared" ca="1" si="38"/>
        <v>Non UDO</v>
      </c>
    </row>
    <row r="2354" spans="1:10" x14ac:dyDescent="0.35">
      <c r="A2354" s="5" t="s">
        <v>76</v>
      </c>
      <c r="B2354" s="6">
        <v>45078</v>
      </c>
      <c r="C2354" s="7">
        <v>350000</v>
      </c>
      <c r="D2354" s="7">
        <v>350000</v>
      </c>
      <c r="E2354" s="7">
        <v>0</v>
      </c>
      <c r="F2354" t="str">
        <f>VLOOKUP(A2354,[1]!Table1[#All],17,FALSE)</f>
        <v>UNITED STATES</v>
      </c>
      <c r="G2354" t="str">
        <f>VLOOKUP(A2354,[1]!Table1[#All],22,FALSE)</f>
        <v>RESEARCH TRIANGLE INSTITUTE</v>
      </c>
      <c r="H2354" s="8">
        <f>VLOOKUP(A2354,[1]!Table1[#All],32,FALSE)</f>
        <v>44104</v>
      </c>
      <c r="I2354" s="8">
        <f>VLOOKUP(A2354,[1]!Table1[#All],33,FALSE)</f>
        <v>44833</v>
      </c>
      <c r="J2354" t="str">
        <f t="shared" ca="1" si="38"/>
        <v>Non UDO</v>
      </c>
    </row>
    <row r="2355" spans="1:10" x14ac:dyDescent="0.35">
      <c r="A2355" s="9" t="s">
        <v>76</v>
      </c>
      <c r="B2355" s="10">
        <v>45108</v>
      </c>
      <c r="C2355" s="11">
        <v>350000</v>
      </c>
      <c r="D2355" s="11">
        <v>350000</v>
      </c>
      <c r="E2355" s="11">
        <v>0</v>
      </c>
      <c r="F2355" t="str">
        <f>VLOOKUP(A2355,[1]!Table1[#All],17,FALSE)</f>
        <v>UNITED STATES</v>
      </c>
      <c r="G2355" t="str">
        <f>VLOOKUP(A2355,[1]!Table1[#All],22,FALSE)</f>
        <v>RESEARCH TRIANGLE INSTITUTE</v>
      </c>
      <c r="H2355" s="8">
        <f>VLOOKUP(A2355,[1]!Table1[#All],32,FALSE)</f>
        <v>44104</v>
      </c>
      <c r="I2355" s="8">
        <f>VLOOKUP(A2355,[1]!Table1[#All],33,FALSE)</f>
        <v>44833</v>
      </c>
      <c r="J2355" t="str">
        <f t="shared" ca="1" si="38"/>
        <v>Non UDO</v>
      </c>
    </row>
    <row r="2356" spans="1:10" x14ac:dyDescent="0.35">
      <c r="A2356" s="5" t="s">
        <v>76</v>
      </c>
      <c r="B2356" s="6">
        <v>45139</v>
      </c>
      <c r="C2356" s="7">
        <v>350000</v>
      </c>
      <c r="D2356" s="7">
        <v>350000</v>
      </c>
      <c r="E2356" s="7">
        <v>0</v>
      </c>
      <c r="F2356" t="str">
        <f>VLOOKUP(A2356,[1]!Table1[#All],17,FALSE)</f>
        <v>UNITED STATES</v>
      </c>
      <c r="G2356" t="str">
        <f>VLOOKUP(A2356,[1]!Table1[#All],22,FALSE)</f>
        <v>RESEARCH TRIANGLE INSTITUTE</v>
      </c>
      <c r="H2356" s="8">
        <f>VLOOKUP(A2356,[1]!Table1[#All],32,FALSE)</f>
        <v>44104</v>
      </c>
      <c r="I2356" s="8">
        <f>VLOOKUP(A2356,[1]!Table1[#All],33,FALSE)</f>
        <v>44833</v>
      </c>
      <c r="J2356" t="str">
        <f t="shared" ca="1" si="38"/>
        <v>Non UDO</v>
      </c>
    </row>
    <row r="2357" spans="1:10" x14ac:dyDescent="0.35">
      <c r="A2357" s="9" t="s">
        <v>76</v>
      </c>
      <c r="B2357" s="10">
        <v>45170</v>
      </c>
      <c r="C2357" s="11">
        <v>350000</v>
      </c>
      <c r="D2357" s="11">
        <v>350000</v>
      </c>
      <c r="E2357" s="11">
        <v>0</v>
      </c>
      <c r="F2357" t="str">
        <f>VLOOKUP(A2357,[1]!Table1[#All],17,FALSE)</f>
        <v>UNITED STATES</v>
      </c>
      <c r="G2357" t="str">
        <f>VLOOKUP(A2357,[1]!Table1[#All],22,FALSE)</f>
        <v>RESEARCH TRIANGLE INSTITUTE</v>
      </c>
      <c r="H2357" s="8">
        <f>VLOOKUP(A2357,[1]!Table1[#All],32,FALSE)</f>
        <v>44104</v>
      </c>
      <c r="I2357" s="8">
        <f>VLOOKUP(A2357,[1]!Table1[#All],33,FALSE)</f>
        <v>44833</v>
      </c>
      <c r="J2357" t="str">
        <f t="shared" ca="1" si="38"/>
        <v>Non UDO</v>
      </c>
    </row>
    <row r="2358" spans="1:10" x14ac:dyDescent="0.35">
      <c r="A2358" s="5" t="s">
        <v>77</v>
      </c>
      <c r="B2358" s="6">
        <v>44105</v>
      </c>
      <c r="C2358" s="7">
        <v>715000</v>
      </c>
      <c r="D2358" s="7">
        <v>0</v>
      </c>
      <c r="E2358" s="7">
        <v>715000</v>
      </c>
      <c r="F2358" t="str">
        <f>VLOOKUP(A2358,[1]!Table1[#All],17,FALSE)</f>
        <v>UNITED STATES</v>
      </c>
      <c r="G2358" t="str">
        <f>VLOOKUP(A2358,[1]!Table1[#All],22,FALSE)</f>
        <v>UNIVERSITY OF WASHINGTON</v>
      </c>
      <c r="H2358" s="8">
        <f>VLOOKUP(A2358,[1]!Table1[#All],32,FALSE)</f>
        <v>44075</v>
      </c>
      <c r="I2358" s="8">
        <f>VLOOKUP(A2358,[1]!Table1[#All],33,FALSE)</f>
        <v>45929</v>
      </c>
      <c r="J2358" t="str">
        <f t="shared" ca="1" si="38"/>
        <v>Non UDO</v>
      </c>
    </row>
    <row r="2359" spans="1:10" x14ac:dyDescent="0.35">
      <c r="A2359" s="9" t="s">
        <v>77</v>
      </c>
      <c r="B2359" s="10">
        <v>44136</v>
      </c>
      <c r="C2359" s="11">
        <v>715000</v>
      </c>
      <c r="D2359" s="11">
        <v>4410.92</v>
      </c>
      <c r="E2359" s="11">
        <v>710589.08</v>
      </c>
      <c r="F2359" t="str">
        <f>VLOOKUP(A2359,[1]!Table1[#All],17,FALSE)</f>
        <v>UNITED STATES</v>
      </c>
      <c r="G2359" t="str">
        <f>VLOOKUP(A2359,[1]!Table1[#All],22,FALSE)</f>
        <v>UNIVERSITY OF WASHINGTON</v>
      </c>
      <c r="H2359" s="8">
        <f>VLOOKUP(A2359,[1]!Table1[#All],32,FALSE)</f>
        <v>44075</v>
      </c>
      <c r="I2359" s="8">
        <f>VLOOKUP(A2359,[1]!Table1[#All],33,FALSE)</f>
        <v>45929</v>
      </c>
      <c r="J2359" t="str">
        <f t="shared" ca="1" si="38"/>
        <v>Non UDO</v>
      </c>
    </row>
    <row r="2360" spans="1:10" x14ac:dyDescent="0.35">
      <c r="A2360" s="5" t="s">
        <v>77</v>
      </c>
      <c r="B2360" s="6">
        <v>44166</v>
      </c>
      <c r="C2360" s="7">
        <v>715000</v>
      </c>
      <c r="D2360" s="7">
        <v>16302.26</v>
      </c>
      <c r="E2360" s="7">
        <v>698697.74</v>
      </c>
      <c r="F2360" t="str">
        <f>VLOOKUP(A2360,[1]!Table1[#All],17,FALSE)</f>
        <v>UNITED STATES</v>
      </c>
      <c r="G2360" t="str">
        <f>VLOOKUP(A2360,[1]!Table1[#All],22,FALSE)</f>
        <v>UNIVERSITY OF WASHINGTON</v>
      </c>
      <c r="H2360" s="8">
        <f>VLOOKUP(A2360,[1]!Table1[#All],32,FALSE)</f>
        <v>44075</v>
      </c>
      <c r="I2360" s="8">
        <f>VLOOKUP(A2360,[1]!Table1[#All],33,FALSE)</f>
        <v>45929</v>
      </c>
      <c r="J2360" t="str">
        <f t="shared" ca="1" si="38"/>
        <v>Non UDO</v>
      </c>
    </row>
    <row r="2361" spans="1:10" x14ac:dyDescent="0.35">
      <c r="A2361" s="9" t="s">
        <v>77</v>
      </c>
      <c r="B2361" s="10">
        <v>44197</v>
      </c>
      <c r="C2361" s="11">
        <v>715000</v>
      </c>
      <c r="D2361" s="11">
        <v>61926.44</v>
      </c>
      <c r="E2361" s="11">
        <v>653073.56000000006</v>
      </c>
      <c r="F2361" t="str">
        <f>VLOOKUP(A2361,[1]!Table1[#All],17,FALSE)</f>
        <v>UNITED STATES</v>
      </c>
      <c r="G2361" t="str">
        <f>VLOOKUP(A2361,[1]!Table1[#All],22,FALSE)</f>
        <v>UNIVERSITY OF WASHINGTON</v>
      </c>
      <c r="H2361" s="8">
        <f>VLOOKUP(A2361,[1]!Table1[#All],32,FALSE)</f>
        <v>44075</v>
      </c>
      <c r="I2361" s="8">
        <f>VLOOKUP(A2361,[1]!Table1[#All],33,FALSE)</f>
        <v>45929</v>
      </c>
      <c r="J2361" t="str">
        <f t="shared" ca="1" si="38"/>
        <v>Non UDO</v>
      </c>
    </row>
    <row r="2362" spans="1:10" x14ac:dyDescent="0.35">
      <c r="A2362" s="5" t="s">
        <v>77</v>
      </c>
      <c r="B2362" s="6">
        <v>44228</v>
      </c>
      <c r="C2362" s="7">
        <v>715000</v>
      </c>
      <c r="D2362" s="7">
        <v>84085.89</v>
      </c>
      <c r="E2362" s="7">
        <v>630914.11</v>
      </c>
      <c r="F2362" t="str">
        <f>VLOOKUP(A2362,[1]!Table1[#All],17,FALSE)</f>
        <v>UNITED STATES</v>
      </c>
      <c r="G2362" t="str">
        <f>VLOOKUP(A2362,[1]!Table1[#All],22,FALSE)</f>
        <v>UNIVERSITY OF WASHINGTON</v>
      </c>
      <c r="H2362" s="8">
        <f>VLOOKUP(A2362,[1]!Table1[#All],32,FALSE)</f>
        <v>44075</v>
      </c>
      <c r="I2362" s="8">
        <f>VLOOKUP(A2362,[1]!Table1[#All],33,FALSE)</f>
        <v>45929</v>
      </c>
      <c r="J2362" t="str">
        <f t="shared" ca="1" si="38"/>
        <v>Non UDO</v>
      </c>
    </row>
    <row r="2363" spans="1:10" x14ac:dyDescent="0.35">
      <c r="A2363" s="9" t="s">
        <v>77</v>
      </c>
      <c r="B2363" s="10">
        <v>44256</v>
      </c>
      <c r="C2363" s="11">
        <v>715000</v>
      </c>
      <c r="D2363" s="11">
        <v>129665.14</v>
      </c>
      <c r="E2363" s="11">
        <v>585334.86</v>
      </c>
      <c r="F2363" t="str">
        <f>VLOOKUP(A2363,[1]!Table1[#All],17,FALSE)</f>
        <v>UNITED STATES</v>
      </c>
      <c r="G2363" t="str">
        <f>VLOOKUP(A2363,[1]!Table1[#All],22,FALSE)</f>
        <v>UNIVERSITY OF WASHINGTON</v>
      </c>
      <c r="H2363" s="8">
        <f>VLOOKUP(A2363,[1]!Table1[#All],32,FALSE)</f>
        <v>44075</v>
      </c>
      <c r="I2363" s="8">
        <f>VLOOKUP(A2363,[1]!Table1[#All],33,FALSE)</f>
        <v>45929</v>
      </c>
      <c r="J2363" t="str">
        <f t="shared" ca="1" si="38"/>
        <v>Non UDO</v>
      </c>
    </row>
    <row r="2364" spans="1:10" x14ac:dyDescent="0.35">
      <c r="A2364" s="5" t="s">
        <v>77</v>
      </c>
      <c r="B2364" s="6">
        <v>44287</v>
      </c>
      <c r="C2364" s="7">
        <v>715000</v>
      </c>
      <c r="D2364" s="7">
        <v>266585.21999999997</v>
      </c>
      <c r="E2364" s="7">
        <v>448414.78</v>
      </c>
      <c r="F2364" t="str">
        <f>VLOOKUP(A2364,[1]!Table1[#All],17,FALSE)</f>
        <v>UNITED STATES</v>
      </c>
      <c r="G2364" t="str">
        <f>VLOOKUP(A2364,[1]!Table1[#All],22,FALSE)</f>
        <v>UNIVERSITY OF WASHINGTON</v>
      </c>
      <c r="H2364" s="8">
        <f>VLOOKUP(A2364,[1]!Table1[#All],32,FALSE)</f>
        <v>44075</v>
      </c>
      <c r="I2364" s="8">
        <f>VLOOKUP(A2364,[1]!Table1[#All],33,FALSE)</f>
        <v>45929</v>
      </c>
      <c r="J2364" t="str">
        <f t="shared" ca="1" si="38"/>
        <v>Non UDO</v>
      </c>
    </row>
    <row r="2365" spans="1:10" x14ac:dyDescent="0.35">
      <c r="A2365" s="9" t="s">
        <v>77</v>
      </c>
      <c r="B2365" s="10">
        <v>44317</v>
      </c>
      <c r="C2365" s="11">
        <v>715000</v>
      </c>
      <c r="D2365" s="11">
        <v>332284.89</v>
      </c>
      <c r="E2365" s="11">
        <v>382715.11</v>
      </c>
      <c r="F2365" t="str">
        <f>VLOOKUP(A2365,[1]!Table1[#All],17,FALSE)</f>
        <v>UNITED STATES</v>
      </c>
      <c r="G2365" t="str">
        <f>VLOOKUP(A2365,[1]!Table1[#All],22,FALSE)</f>
        <v>UNIVERSITY OF WASHINGTON</v>
      </c>
      <c r="H2365" s="8">
        <f>VLOOKUP(A2365,[1]!Table1[#All],32,FALSE)</f>
        <v>44075</v>
      </c>
      <c r="I2365" s="8">
        <f>VLOOKUP(A2365,[1]!Table1[#All],33,FALSE)</f>
        <v>45929</v>
      </c>
      <c r="J2365" t="str">
        <f t="shared" ca="1" si="38"/>
        <v>Non UDO</v>
      </c>
    </row>
    <row r="2366" spans="1:10" x14ac:dyDescent="0.35">
      <c r="A2366" s="5" t="s">
        <v>77</v>
      </c>
      <c r="B2366" s="6">
        <v>44348</v>
      </c>
      <c r="C2366" s="7">
        <v>715000</v>
      </c>
      <c r="D2366" s="7">
        <v>394783.31</v>
      </c>
      <c r="E2366" s="7">
        <v>320216.69</v>
      </c>
      <c r="F2366" t="str">
        <f>VLOOKUP(A2366,[1]!Table1[#All],17,FALSE)</f>
        <v>UNITED STATES</v>
      </c>
      <c r="G2366" t="str">
        <f>VLOOKUP(A2366,[1]!Table1[#All],22,FALSE)</f>
        <v>UNIVERSITY OF WASHINGTON</v>
      </c>
      <c r="H2366" s="8">
        <f>VLOOKUP(A2366,[1]!Table1[#All],32,FALSE)</f>
        <v>44075</v>
      </c>
      <c r="I2366" s="8">
        <f>VLOOKUP(A2366,[1]!Table1[#All],33,FALSE)</f>
        <v>45929</v>
      </c>
      <c r="J2366" t="str">
        <f t="shared" ca="1" si="38"/>
        <v>Non UDO</v>
      </c>
    </row>
    <row r="2367" spans="1:10" x14ac:dyDescent="0.35">
      <c r="A2367" s="9" t="s">
        <v>77</v>
      </c>
      <c r="B2367" s="10">
        <v>44378</v>
      </c>
      <c r="C2367" s="11">
        <v>715000</v>
      </c>
      <c r="D2367" s="11">
        <v>486971.12</v>
      </c>
      <c r="E2367" s="11">
        <v>228028.88</v>
      </c>
      <c r="F2367" t="str">
        <f>VLOOKUP(A2367,[1]!Table1[#All],17,FALSE)</f>
        <v>UNITED STATES</v>
      </c>
      <c r="G2367" t="str">
        <f>VLOOKUP(A2367,[1]!Table1[#All],22,FALSE)</f>
        <v>UNIVERSITY OF WASHINGTON</v>
      </c>
      <c r="H2367" s="8">
        <f>VLOOKUP(A2367,[1]!Table1[#All],32,FALSE)</f>
        <v>44075</v>
      </c>
      <c r="I2367" s="8">
        <f>VLOOKUP(A2367,[1]!Table1[#All],33,FALSE)</f>
        <v>45929</v>
      </c>
      <c r="J2367" t="str">
        <f t="shared" ca="1" si="38"/>
        <v>Non UDO</v>
      </c>
    </row>
    <row r="2368" spans="1:10" x14ac:dyDescent="0.35">
      <c r="A2368" s="5" t="s">
        <v>77</v>
      </c>
      <c r="B2368" s="6">
        <v>44409</v>
      </c>
      <c r="C2368" s="7">
        <v>715000</v>
      </c>
      <c r="D2368" s="7">
        <v>570659.02</v>
      </c>
      <c r="E2368" s="7">
        <v>144340.98000000001</v>
      </c>
      <c r="F2368" t="str">
        <f>VLOOKUP(A2368,[1]!Table1[#All],17,FALSE)</f>
        <v>UNITED STATES</v>
      </c>
      <c r="G2368" t="str">
        <f>VLOOKUP(A2368,[1]!Table1[#All],22,FALSE)</f>
        <v>UNIVERSITY OF WASHINGTON</v>
      </c>
      <c r="H2368" s="8">
        <f>VLOOKUP(A2368,[1]!Table1[#All],32,FALSE)</f>
        <v>44075</v>
      </c>
      <c r="I2368" s="8">
        <f>VLOOKUP(A2368,[1]!Table1[#All],33,FALSE)</f>
        <v>45929</v>
      </c>
      <c r="J2368" t="str">
        <f t="shared" ca="1" si="38"/>
        <v>Non UDO</v>
      </c>
    </row>
    <row r="2369" spans="1:10" x14ac:dyDescent="0.35">
      <c r="A2369" s="9" t="s">
        <v>77</v>
      </c>
      <c r="B2369" s="10">
        <v>44440</v>
      </c>
      <c r="C2369" s="11">
        <v>715000</v>
      </c>
      <c r="D2369" s="11">
        <v>682859.41</v>
      </c>
      <c r="E2369" s="11">
        <v>32140.59</v>
      </c>
      <c r="F2369" t="str">
        <f>VLOOKUP(A2369,[1]!Table1[#All],17,FALSE)</f>
        <v>UNITED STATES</v>
      </c>
      <c r="G2369" t="str">
        <f>VLOOKUP(A2369,[1]!Table1[#All],22,FALSE)</f>
        <v>UNIVERSITY OF WASHINGTON</v>
      </c>
      <c r="H2369" s="8">
        <f>VLOOKUP(A2369,[1]!Table1[#All],32,FALSE)</f>
        <v>44075</v>
      </c>
      <c r="I2369" s="8">
        <f>VLOOKUP(A2369,[1]!Table1[#All],33,FALSE)</f>
        <v>45929</v>
      </c>
      <c r="J2369" t="str">
        <f t="shared" ca="1" si="38"/>
        <v>Non UDO</v>
      </c>
    </row>
    <row r="2370" spans="1:10" x14ac:dyDescent="0.35">
      <c r="A2370" s="5" t="s">
        <v>77</v>
      </c>
      <c r="B2370" s="6">
        <v>44470</v>
      </c>
      <c r="C2370" s="7">
        <v>715000</v>
      </c>
      <c r="D2370" s="7">
        <v>715000</v>
      </c>
      <c r="E2370" s="7">
        <v>0</v>
      </c>
      <c r="F2370" t="str">
        <f>VLOOKUP(A2370,[1]!Table1[#All],17,FALSE)</f>
        <v>UNITED STATES</v>
      </c>
      <c r="G2370" t="str">
        <f>VLOOKUP(A2370,[1]!Table1[#All],22,FALSE)</f>
        <v>UNIVERSITY OF WASHINGTON</v>
      </c>
      <c r="H2370" s="8">
        <f>VLOOKUP(A2370,[1]!Table1[#All],32,FALSE)</f>
        <v>44075</v>
      </c>
      <c r="I2370" s="8">
        <f>VLOOKUP(A2370,[1]!Table1[#All],33,FALSE)</f>
        <v>45929</v>
      </c>
      <c r="J2370" t="str">
        <f t="shared" ca="1" si="38"/>
        <v>Non UDO</v>
      </c>
    </row>
    <row r="2371" spans="1:10" x14ac:dyDescent="0.35">
      <c r="A2371" s="9" t="s">
        <v>77</v>
      </c>
      <c r="B2371" s="10">
        <v>44501</v>
      </c>
      <c r="C2371" s="11">
        <v>715000</v>
      </c>
      <c r="D2371" s="11">
        <v>710384.67</v>
      </c>
      <c r="E2371" s="11">
        <v>4615.33</v>
      </c>
      <c r="F2371" t="str">
        <f>VLOOKUP(A2371,[1]!Table1[#All],17,FALSE)</f>
        <v>UNITED STATES</v>
      </c>
      <c r="G2371" t="str">
        <f>VLOOKUP(A2371,[1]!Table1[#All],22,FALSE)</f>
        <v>UNIVERSITY OF WASHINGTON</v>
      </c>
      <c r="H2371" s="8">
        <f>VLOOKUP(A2371,[1]!Table1[#All],32,FALSE)</f>
        <v>44075</v>
      </c>
      <c r="I2371" s="8">
        <f>VLOOKUP(A2371,[1]!Table1[#All],33,FALSE)</f>
        <v>45929</v>
      </c>
      <c r="J2371" t="str">
        <f t="shared" ref="J2371:J2434" ca="1" si="39">IF(AND( E2371&gt;0,TODAY()&gt;I2371),"UDO","Non UDO")</f>
        <v>Non UDO</v>
      </c>
    </row>
    <row r="2372" spans="1:10" x14ac:dyDescent="0.35">
      <c r="A2372" s="5" t="s">
        <v>77</v>
      </c>
      <c r="B2372" s="6">
        <v>44531</v>
      </c>
      <c r="C2372" s="7">
        <v>715000</v>
      </c>
      <c r="D2372" s="7">
        <v>712569.48</v>
      </c>
      <c r="E2372" s="7">
        <v>2430.52</v>
      </c>
      <c r="F2372" t="str">
        <f>VLOOKUP(A2372,[1]!Table1[#All],17,FALSE)</f>
        <v>UNITED STATES</v>
      </c>
      <c r="G2372" t="str">
        <f>VLOOKUP(A2372,[1]!Table1[#All],22,FALSE)</f>
        <v>UNIVERSITY OF WASHINGTON</v>
      </c>
      <c r="H2372" s="8">
        <f>VLOOKUP(A2372,[1]!Table1[#All],32,FALSE)</f>
        <v>44075</v>
      </c>
      <c r="I2372" s="8">
        <f>VLOOKUP(A2372,[1]!Table1[#All],33,FALSE)</f>
        <v>45929</v>
      </c>
      <c r="J2372" t="str">
        <f t="shared" ca="1" si="39"/>
        <v>Non UDO</v>
      </c>
    </row>
    <row r="2373" spans="1:10" x14ac:dyDescent="0.35">
      <c r="A2373" s="9" t="s">
        <v>77</v>
      </c>
      <c r="B2373" s="10">
        <v>44562</v>
      </c>
      <c r="C2373" s="11">
        <v>715000</v>
      </c>
      <c r="D2373" s="11">
        <v>712569.48</v>
      </c>
      <c r="E2373" s="11">
        <v>2430.52</v>
      </c>
      <c r="F2373" t="str">
        <f>VLOOKUP(A2373,[1]!Table1[#All],17,FALSE)</f>
        <v>UNITED STATES</v>
      </c>
      <c r="G2373" t="str">
        <f>VLOOKUP(A2373,[1]!Table1[#All],22,FALSE)</f>
        <v>UNIVERSITY OF WASHINGTON</v>
      </c>
      <c r="H2373" s="8">
        <f>VLOOKUP(A2373,[1]!Table1[#All],32,FALSE)</f>
        <v>44075</v>
      </c>
      <c r="I2373" s="8">
        <f>VLOOKUP(A2373,[1]!Table1[#All],33,FALSE)</f>
        <v>45929</v>
      </c>
      <c r="J2373" t="str">
        <f t="shared" ca="1" si="39"/>
        <v>Non UDO</v>
      </c>
    </row>
    <row r="2374" spans="1:10" x14ac:dyDescent="0.35">
      <c r="A2374" s="5" t="s">
        <v>77</v>
      </c>
      <c r="B2374" s="6">
        <v>44593</v>
      </c>
      <c r="C2374" s="7">
        <v>715000</v>
      </c>
      <c r="D2374" s="7">
        <v>712569.48</v>
      </c>
      <c r="E2374" s="7">
        <v>2430.52</v>
      </c>
      <c r="F2374" t="str">
        <f>VLOOKUP(A2374,[1]!Table1[#All],17,FALSE)</f>
        <v>UNITED STATES</v>
      </c>
      <c r="G2374" t="str">
        <f>VLOOKUP(A2374,[1]!Table1[#All],22,FALSE)</f>
        <v>UNIVERSITY OF WASHINGTON</v>
      </c>
      <c r="H2374" s="8">
        <f>VLOOKUP(A2374,[1]!Table1[#All],32,FALSE)</f>
        <v>44075</v>
      </c>
      <c r="I2374" s="8">
        <f>VLOOKUP(A2374,[1]!Table1[#All],33,FALSE)</f>
        <v>45929</v>
      </c>
      <c r="J2374" t="str">
        <f t="shared" ca="1" si="39"/>
        <v>Non UDO</v>
      </c>
    </row>
    <row r="2375" spans="1:10" x14ac:dyDescent="0.35">
      <c r="A2375" s="9" t="s">
        <v>77</v>
      </c>
      <c r="B2375" s="10">
        <v>44621</v>
      </c>
      <c r="C2375" s="11">
        <v>715000</v>
      </c>
      <c r="D2375" s="11">
        <v>712569.48</v>
      </c>
      <c r="E2375" s="11">
        <v>2430.52</v>
      </c>
      <c r="F2375" t="str">
        <f>VLOOKUP(A2375,[1]!Table1[#All],17,FALSE)</f>
        <v>UNITED STATES</v>
      </c>
      <c r="G2375" t="str">
        <f>VLOOKUP(A2375,[1]!Table1[#All],22,FALSE)</f>
        <v>UNIVERSITY OF WASHINGTON</v>
      </c>
      <c r="H2375" s="8">
        <f>VLOOKUP(A2375,[1]!Table1[#All],32,FALSE)</f>
        <v>44075</v>
      </c>
      <c r="I2375" s="8">
        <f>VLOOKUP(A2375,[1]!Table1[#All],33,FALSE)</f>
        <v>45929</v>
      </c>
      <c r="J2375" t="str">
        <f t="shared" ca="1" si="39"/>
        <v>Non UDO</v>
      </c>
    </row>
    <row r="2376" spans="1:10" x14ac:dyDescent="0.35">
      <c r="A2376" s="5" t="s">
        <v>77</v>
      </c>
      <c r="B2376" s="6">
        <v>44652</v>
      </c>
      <c r="C2376" s="7">
        <v>715000</v>
      </c>
      <c r="D2376" s="7">
        <v>712569.48</v>
      </c>
      <c r="E2376" s="7">
        <v>2430.52</v>
      </c>
      <c r="F2376" t="str">
        <f>VLOOKUP(A2376,[1]!Table1[#All],17,FALSE)</f>
        <v>UNITED STATES</v>
      </c>
      <c r="G2376" t="str">
        <f>VLOOKUP(A2376,[1]!Table1[#All],22,FALSE)</f>
        <v>UNIVERSITY OF WASHINGTON</v>
      </c>
      <c r="H2376" s="8">
        <f>VLOOKUP(A2376,[1]!Table1[#All],32,FALSE)</f>
        <v>44075</v>
      </c>
      <c r="I2376" s="8">
        <f>VLOOKUP(A2376,[1]!Table1[#All],33,FALSE)</f>
        <v>45929</v>
      </c>
      <c r="J2376" t="str">
        <f t="shared" ca="1" si="39"/>
        <v>Non UDO</v>
      </c>
    </row>
    <row r="2377" spans="1:10" x14ac:dyDescent="0.35">
      <c r="A2377" s="9" t="s">
        <v>77</v>
      </c>
      <c r="B2377" s="10">
        <v>44682</v>
      </c>
      <c r="C2377" s="11">
        <v>715000</v>
      </c>
      <c r="D2377" s="11">
        <v>712569.48</v>
      </c>
      <c r="E2377" s="11">
        <v>2430.52</v>
      </c>
      <c r="F2377" t="str">
        <f>VLOOKUP(A2377,[1]!Table1[#All],17,FALSE)</f>
        <v>UNITED STATES</v>
      </c>
      <c r="G2377" t="str">
        <f>VLOOKUP(A2377,[1]!Table1[#All],22,FALSE)</f>
        <v>UNIVERSITY OF WASHINGTON</v>
      </c>
      <c r="H2377" s="8">
        <f>VLOOKUP(A2377,[1]!Table1[#All],32,FALSE)</f>
        <v>44075</v>
      </c>
      <c r="I2377" s="8">
        <f>VLOOKUP(A2377,[1]!Table1[#All],33,FALSE)</f>
        <v>45929</v>
      </c>
      <c r="J2377" t="str">
        <f t="shared" ca="1" si="39"/>
        <v>Non UDO</v>
      </c>
    </row>
    <row r="2378" spans="1:10" x14ac:dyDescent="0.35">
      <c r="A2378" s="5" t="s">
        <v>77</v>
      </c>
      <c r="B2378" s="6">
        <v>44713</v>
      </c>
      <c r="C2378" s="7">
        <v>715000</v>
      </c>
      <c r="D2378" s="7">
        <v>713537.36</v>
      </c>
      <c r="E2378" s="7">
        <v>1462.64</v>
      </c>
      <c r="F2378" t="str">
        <f>VLOOKUP(A2378,[1]!Table1[#All],17,FALSE)</f>
        <v>UNITED STATES</v>
      </c>
      <c r="G2378" t="str">
        <f>VLOOKUP(A2378,[1]!Table1[#All],22,FALSE)</f>
        <v>UNIVERSITY OF WASHINGTON</v>
      </c>
      <c r="H2378" s="8">
        <f>VLOOKUP(A2378,[1]!Table1[#All],32,FALSE)</f>
        <v>44075</v>
      </c>
      <c r="I2378" s="8">
        <f>VLOOKUP(A2378,[1]!Table1[#All],33,FALSE)</f>
        <v>45929</v>
      </c>
      <c r="J2378" t="str">
        <f t="shared" ca="1" si="39"/>
        <v>Non UDO</v>
      </c>
    </row>
    <row r="2379" spans="1:10" x14ac:dyDescent="0.35">
      <c r="A2379" s="9" t="s">
        <v>77</v>
      </c>
      <c r="B2379" s="10">
        <v>44743</v>
      </c>
      <c r="C2379" s="11">
        <v>715000</v>
      </c>
      <c r="D2379" s="11">
        <v>713537.36</v>
      </c>
      <c r="E2379" s="11">
        <v>1462.64</v>
      </c>
      <c r="F2379" t="str">
        <f>VLOOKUP(A2379,[1]!Table1[#All],17,FALSE)</f>
        <v>UNITED STATES</v>
      </c>
      <c r="G2379" t="str">
        <f>VLOOKUP(A2379,[1]!Table1[#All],22,FALSE)</f>
        <v>UNIVERSITY OF WASHINGTON</v>
      </c>
      <c r="H2379" s="8">
        <f>VLOOKUP(A2379,[1]!Table1[#All],32,FALSE)</f>
        <v>44075</v>
      </c>
      <c r="I2379" s="8">
        <f>VLOOKUP(A2379,[1]!Table1[#All],33,FALSE)</f>
        <v>45929</v>
      </c>
      <c r="J2379" t="str">
        <f t="shared" ca="1" si="39"/>
        <v>Non UDO</v>
      </c>
    </row>
    <row r="2380" spans="1:10" x14ac:dyDescent="0.35">
      <c r="A2380" s="5" t="s">
        <v>77</v>
      </c>
      <c r="B2380" s="6">
        <v>44774</v>
      </c>
      <c r="C2380" s="7">
        <v>715000</v>
      </c>
      <c r="D2380" s="7">
        <v>715000</v>
      </c>
      <c r="E2380" s="7">
        <v>0</v>
      </c>
      <c r="F2380" t="str">
        <f>VLOOKUP(A2380,[1]!Table1[#All],17,FALSE)</f>
        <v>UNITED STATES</v>
      </c>
      <c r="G2380" t="str">
        <f>VLOOKUP(A2380,[1]!Table1[#All],22,FALSE)</f>
        <v>UNIVERSITY OF WASHINGTON</v>
      </c>
      <c r="H2380" s="8">
        <f>VLOOKUP(A2380,[1]!Table1[#All],32,FALSE)</f>
        <v>44075</v>
      </c>
      <c r="I2380" s="8">
        <f>VLOOKUP(A2380,[1]!Table1[#All],33,FALSE)</f>
        <v>45929</v>
      </c>
      <c r="J2380" t="str">
        <f t="shared" ca="1" si="39"/>
        <v>Non UDO</v>
      </c>
    </row>
    <row r="2381" spans="1:10" x14ac:dyDescent="0.35">
      <c r="A2381" s="9" t="s">
        <v>77</v>
      </c>
      <c r="B2381" s="10">
        <v>44805</v>
      </c>
      <c r="C2381" s="11">
        <v>715000</v>
      </c>
      <c r="D2381" s="11">
        <v>715000</v>
      </c>
      <c r="E2381" s="11">
        <v>0</v>
      </c>
      <c r="F2381" t="str">
        <f>VLOOKUP(A2381,[1]!Table1[#All],17,FALSE)</f>
        <v>UNITED STATES</v>
      </c>
      <c r="G2381" t="str">
        <f>VLOOKUP(A2381,[1]!Table1[#All],22,FALSE)</f>
        <v>UNIVERSITY OF WASHINGTON</v>
      </c>
      <c r="H2381" s="8">
        <f>VLOOKUP(A2381,[1]!Table1[#All],32,FALSE)</f>
        <v>44075</v>
      </c>
      <c r="I2381" s="8">
        <f>VLOOKUP(A2381,[1]!Table1[#All],33,FALSE)</f>
        <v>45929</v>
      </c>
      <c r="J2381" t="str">
        <f t="shared" ca="1" si="39"/>
        <v>Non UDO</v>
      </c>
    </row>
    <row r="2382" spans="1:10" x14ac:dyDescent="0.35">
      <c r="A2382" s="5" t="s">
        <v>77</v>
      </c>
      <c r="B2382" s="6">
        <v>44835</v>
      </c>
      <c r="C2382" s="7">
        <v>715000</v>
      </c>
      <c r="D2382" s="7">
        <v>715000</v>
      </c>
      <c r="E2382" s="7">
        <v>0</v>
      </c>
      <c r="F2382" t="str">
        <f>VLOOKUP(A2382,[1]!Table1[#All],17,FALSE)</f>
        <v>UNITED STATES</v>
      </c>
      <c r="G2382" t="str">
        <f>VLOOKUP(A2382,[1]!Table1[#All],22,FALSE)</f>
        <v>UNIVERSITY OF WASHINGTON</v>
      </c>
      <c r="H2382" s="8">
        <f>VLOOKUP(A2382,[1]!Table1[#All],32,FALSE)</f>
        <v>44075</v>
      </c>
      <c r="I2382" s="8">
        <f>VLOOKUP(A2382,[1]!Table1[#All],33,FALSE)</f>
        <v>45929</v>
      </c>
      <c r="J2382" t="str">
        <f t="shared" ca="1" si="39"/>
        <v>Non UDO</v>
      </c>
    </row>
    <row r="2383" spans="1:10" x14ac:dyDescent="0.35">
      <c r="A2383" s="9" t="s">
        <v>77</v>
      </c>
      <c r="B2383" s="10">
        <v>44866</v>
      </c>
      <c r="C2383" s="11">
        <v>715000</v>
      </c>
      <c r="D2383" s="11">
        <v>715000</v>
      </c>
      <c r="E2383" s="11">
        <v>0</v>
      </c>
      <c r="F2383" t="str">
        <f>VLOOKUP(A2383,[1]!Table1[#All],17,FALSE)</f>
        <v>UNITED STATES</v>
      </c>
      <c r="G2383" t="str">
        <f>VLOOKUP(A2383,[1]!Table1[#All],22,FALSE)</f>
        <v>UNIVERSITY OF WASHINGTON</v>
      </c>
      <c r="H2383" s="8">
        <f>VLOOKUP(A2383,[1]!Table1[#All],32,FALSE)</f>
        <v>44075</v>
      </c>
      <c r="I2383" s="8">
        <f>VLOOKUP(A2383,[1]!Table1[#All],33,FALSE)</f>
        <v>45929</v>
      </c>
      <c r="J2383" t="str">
        <f t="shared" ca="1" si="39"/>
        <v>Non UDO</v>
      </c>
    </row>
    <row r="2384" spans="1:10" x14ac:dyDescent="0.35">
      <c r="A2384" s="5" t="s">
        <v>77</v>
      </c>
      <c r="B2384" s="6">
        <v>44896</v>
      </c>
      <c r="C2384" s="7">
        <v>715000</v>
      </c>
      <c r="D2384" s="7">
        <v>715000</v>
      </c>
      <c r="E2384" s="7">
        <v>0</v>
      </c>
      <c r="F2384" t="str">
        <f>VLOOKUP(A2384,[1]!Table1[#All],17,FALSE)</f>
        <v>UNITED STATES</v>
      </c>
      <c r="G2384" t="str">
        <f>VLOOKUP(A2384,[1]!Table1[#All],22,FALSE)</f>
        <v>UNIVERSITY OF WASHINGTON</v>
      </c>
      <c r="H2384" s="8">
        <f>VLOOKUP(A2384,[1]!Table1[#All],32,FALSE)</f>
        <v>44075</v>
      </c>
      <c r="I2384" s="8">
        <f>VLOOKUP(A2384,[1]!Table1[#All],33,FALSE)</f>
        <v>45929</v>
      </c>
      <c r="J2384" t="str">
        <f t="shared" ca="1" si="39"/>
        <v>Non UDO</v>
      </c>
    </row>
    <row r="2385" spans="1:10" x14ac:dyDescent="0.35">
      <c r="A2385" s="9" t="s">
        <v>77</v>
      </c>
      <c r="B2385" s="10">
        <v>44927</v>
      </c>
      <c r="C2385" s="11">
        <v>715000</v>
      </c>
      <c r="D2385" s="11">
        <v>715000</v>
      </c>
      <c r="E2385" s="11">
        <v>0</v>
      </c>
      <c r="F2385" t="str">
        <f>VLOOKUP(A2385,[1]!Table1[#All],17,FALSE)</f>
        <v>UNITED STATES</v>
      </c>
      <c r="G2385" t="str">
        <f>VLOOKUP(A2385,[1]!Table1[#All],22,FALSE)</f>
        <v>UNIVERSITY OF WASHINGTON</v>
      </c>
      <c r="H2385" s="8">
        <f>VLOOKUP(A2385,[1]!Table1[#All],32,FALSE)</f>
        <v>44075</v>
      </c>
      <c r="I2385" s="8">
        <f>VLOOKUP(A2385,[1]!Table1[#All],33,FALSE)</f>
        <v>45929</v>
      </c>
      <c r="J2385" t="str">
        <f t="shared" ca="1" si="39"/>
        <v>Non UDO</v>
      </c>
    </row>
    <row r="2386" spans="1:10" x14ac:dyDescent="0.35">
      <c r="A2386" s="5" t="s">
        <v>77</v>
      </c>
      <c r="B2386" s="6">
        <v>44958</v>
      </c>
      <c r="C2386" s="7">
        <v>715000</v>
      </c>
      <c r="D2386" s="7">
        <v>715000</v>
      </c>
      <c r="E2386" s="7">
        <v>0</v>
      </c>
      <c r="F2386" t="str">
        <f>VLOOKUP(A2386,[1]!Table1[#All],17,FALSE)</f>
        <v>UNITED STATES</v>
      </c>
      <c r="G2386" t="str">
        <f>VLOOKUP(A2386,[1]!Table1[#All],22,FALSE)</f>
        <v>UNIVERSITY OF WASHINGTON</v>
      </c>
      <c r="H2386" s="8">
        <f>VLOOKUP(A2386,[1]!Table1[#All],32,FALSE)</f>
        <v>44075</v>
      </c>
      <c r="I2386" s="8">
        <f>VLOOKUP(A2386,[1]!Table1[#All],33,FALSE)</f>
        <v>45929</v>
      </c>
      <c r="J2386" t="str">
        <f t="shared" ca="1" si="39"/>
        <v>Non UDO</v>
      </c>
    </row>
    <row r="2387" spans="1:10" x14ac:dyDescent="0.35">
      <c r="A2387" s="9" t="s">
        <v>77</v>
      </c>
      <c r="B2387" s="10">
        <v>44986</v>
      </c>
      <c r="C2387" s="11">
        <v>715000</v>
      </c>
      <c r="D2387" s="11">
        <v>715000</v>
      </c>
      <c r="E2387" s="11">
        <v>0</v>
      </c>
      <c r="F2387" t="str">
        <f>VLOOKUP(A2387,[1]!Table1[#All],17,FALSE)</f>
        <v>UNITED STATES</v>
      </c>
      <c r="G2387" t="str">
        <f>VLOOKUP(A2387,[1]!Table1[#All],22,FALSE)</f>
        <v>UNIVERSITY OF WASHINGTON</v>
      </c>
      <c r="H2387" s="8">
        <f>VLOOKUP(A2387,[1]!Table1[#All],32,FALSE)</f>
        <v>44075</v>
      </c>
      <c r="I2387" s="8">
        <f>VLOOKUP(A2387,[1]!Table1[#All],33,FALSE)</f>
        <v>45929</v>
      </c>
      <c r="J2387" t="str">
        <f t="shared" ca="1" si="39"/>
        <v>Non UDO</v>
      </c>
    </row>
    <row r="2388" spans="1:10" x14ac:dyDescent="0.35">
      <c r="A2388" s="5" t="s">
        <v>77</v>
      </c>
      <c r="B2388" s="6">
        <v>45017</v>
      </c>
      <c r="C2388" s="7">
        <v>715000</v>
      </c>
      <c r="D2388" s="7">
        <v>715000</v>
      </c>
      <c r="E2388" s="7">
        <v>0</v>
      </c>
      <c r="F2388" t="str">
        <f>VLOOKUP(A2388,[1]!Table1[#All],17,FALSE)</f>
        <v>UNITED STATES</v>
      </c>
      <c r="G2388" t="str">
        <f>VLOOKUP(A2388,[1]!Table1[#All],22,FALSE)</f>
        <v>UNIVERSITY OF WASHINGTON</v>
      </c>
      <c r="H2388" s="8">
        <f>VLOOKUP(A2388,[1]!Table1[#All],32,FALSE)</f>
        <v>44075</v>
      </c>
      <c r="I2388" s="8">
        <f>VLOOKUP(A2388,[1]!Table1[#All],33,FALSE)</f>
        <v>45929</v>
      </c>
      <c r="J2388" t="str">
        <f t="shared" ca="1" si="39"/>
        <v>Non UDO</v>
      </c>
    </row>
    <row r="2389" spans="1:10" x14ac:dyDescent="0.35">
      <c r="A2389" s="9" t="s">
        <v>77</v>
      </c>
      <c r="B2389" s="10">
        <v>45047</v>
      </c>
      <c r="C2389" s="11">
        <v>715000</v>
      </c>
      <c r="D2389" s="11">
        <v>715000</v>
      </c>
      <c r="E2389" s="11">
        <v>0</v>
      </c>
      <c r="F2389" t="str">
        <f>VLOOKUP(A2389,[1]!Table1[#All],17,FALSE)</f>
        <v>UNITED STATES</v>
      </c>
      <c r="G2389" t="str">
        <f>VLOOKUP(A2389,[1]!Table1[#All],22,FALSE)</f>
        <v>UNIVERSITY OF WASHINGTON</v>
      </c>
      <c r="H2389" s="8">
        <f>VLOOKUP(A2389,[1]!Table1[#All],32,FALSE)</f>
        <v>44075</v>
      </c>
      <c r="I2389" s="8">
        <f>VLOOKUP(A2389,[1]!Table1[#All],33,FALSE)</f>
        <v>45929</v>
      </c>
      <c r="J2389" t="str">
        <f t="shared" ca="1" si="39"/>
        <v>Non UDO</v>
      </c>
    </row>
    <row r="2390" spans="1:10" x14ac:dyDescent="0.35">
      <c r="A2390" s="5" t="s">
        <v>77</v>
      </c>
      <c r="B2390" s="6">
        <v>45078</v>
      </c>
      <c r="C2390" s="7">
        <v>715000</v>
      </c>
      <c r="D2390" s="7">
        <v>715000</v>
      </c>
      <c r="E2390" s="7">
        <v>0</v>
      </c>
      <c r="F2390" t="str">
        <f>VLOOKUP(A2390,[1]!Table1[#All],17,FALSE)</f>
        <v>UNITED STATES</v>
      </c>
      <c r="G2390" t="str">
        <f>VLOOKUP(A2390,[1]!Table1[#All],22,FALSE)</f>
        <v>UNIVERSITY OF WASHINGTON</v>
      </c>
      <c r="H2390" s="8">
        <f>VLOOKUP(A2390,[1]!Table1[#All],32,FALSE)</f>
        <v>44075</v>
      </c>
      <c r="I2390" s="8">
        <f>VLOOKUP(A2390,[1]!Table1[#All],33,FALSE)</f>
        <v>45929</v>
      </c>
      <c r="J2390" t="str">
        <f t="shared" ca="1" si="39"/>
        <v>Non UDO</v>
      </c>
    </row>
    <row r="2391" spans="1:10" x14ac:dyDescent="0.35">
      <c r="A2391" s="9" t="s">
        <v>77</v>
      </c>
      <c r="B2391" s="10">
        <v>45108</v>
      </c>
      <c r="C2391" s="11">
        <v>715000</v>
      </c>
      <c r="D2391" s="11">
        <v>715000</v>
      </c>
      <c r="E2391" s="11">
        <v>0</v>
      </c>
      <c r="F2391" t="str">
        <f>VLOOKUP(A2391,[1]!Table1[#All],17,FALSE)</f>
        <v>UNITED STATES</v>
      </c>
      <c r="G2391" t="str">
        <f>VLOOKUP(A2391,[1]!Table1[#All],22,FALSE)</f>
        <v>UNIVERSITY OF WASHINGTON</v>
      </c>
      <c r="H2391" s="8">
        <f>VLOOKUP(A2391,[1]!Table1[#All],32,FALSE)</f>
        <v>44075</v>
      </c>
      <c r="I2391" s="8">
        <f>VLOOKUP(A2391,[1]!Table1[#All],33,FALSE)</f>
        <v>45929</v>
      </c>
      <c r="J2391" t="str">
        <f t="shared" ca="1" si="39"/>
        <v>Non UDO</v>
      </c>
    </row>
    <row r="2392" spans="1:10" x14ac:dyDescent="0.35">
      <c r="A2392" s="5" t="s">
        <v>77</v>
      </c>
      <c r="B2392" s="6">
        <v>45139</v>
      </c>
      <c r="C2392" s="7">
        <v>715000</v>
      </c>
      <c r="D2392" s="7">
        <v>715000</v>
      </c>
      <c r="E2392" s="7">
        <v>0</v>
      </c>
      <c r="F2392" t="str">
        <f>VLOOKUP(A2392,[1]!Table1[#All],17,FALSE)</f>
        <v>UNITED STATES</v>
      </c>
      <c r="G2392" t="str">
        <f>VLOOKUP(A2392,[1]!Table1[#All],22,FALSE)</f>
        <v>UNIVERSITY OF WASHINGTON</v>
      </c>
      <c r="H2392" s="8">
        <f>VLOOKUP(A2392,[1]!Table1[#All],32,FALSE)</f>
        <v>44075</v>
      </c>
      <c r="I2392" s="8">
        <f>VLOOKUP(A2392,[1]!Table1[#All],33,FALSE)</f>
        <v>45929</v>
      </c>
      <c r="J2392" t="str">
        <f t="shared" ca="1" si="39"/>
        <v>Non UDO</v>
      </c>
    </row>
    <row r="2393" spans="1:10" x14ac:dyDescent="0.35">
      <c r="A2393" s="9" t="s">
        <v>77</v>
      </c>
      <c r="B2393" s="10">
        <v>45170</v>
      </c>
      <c r="C2393" s="11">
        <v>715000</v>
      </c>
      <c r="D2393" s="11">
        <v>715000</v>
      </c>
      <c r="E2393" s="11">
        <v>0</v>
      </c>
      <c r="F2393" t="str">
        <f>VLOOKUP(A2393,[1]!Table1[#All],17,FALSE)</f>
        <v>UNITED STATES</v>
      </c>
      <c r="G2393" t="str">
        <f>VLOOKUP(A2393,[1]!Table1[#All],22,FALSE)</f>
        <v>UNIVERSITY OF WASHINGTON</v>
      </c>
      <c r="H2393" s="8">
        <f>VLOOKUP(A2393,[1]!Table1[#All],32,FALSE)</f>
        <v>44075</v>
      </c>
      <c r="I2393" s="8">
        <f>VLOOKUP(A2393,[1]!Table1[#All],33,FALSE)</f>
        <v>45929</v>
      </c>
      <c r="J2393" t="str">
        <f t="shared" ca="1" si="39"/>
        <v>Non UDO</v>
      </c>
    </row>
    <row r="2394" spans="1:10" x14ac:dyDescent="0.35">
      <c r="A2394" s="5" t="s">
        <v>78</v>
      </c>
      <c r="B2394" s="6">
        <v>44105</v>
      </c>
      <c r="C2394" s="7">
        <v>1138000</v>
      </c>
      <c r="D2394" s="7">
        <v>0</v>
      </c>
      <c r="E2394" s="7">
        <v>1138000</v>
      </c>
      <c r="F2394" t="str">
        <f>VLOOKUP(A2394,[1]!Table1[#All],17,FALSE)</f>
        <v>UNITED STATES</v>
      </c>
      <c r="G2394" t="str">
        <f>VLOOKUP(A2394,[1]!Table1[#All],22,FALSE)</f>
        <v>ASSN OF PUBLIC HEALTH LABORATORIES</v>
      </c>
      <c r="H2394" s="8">
        <f>VLOOKUP(A2394,[1]!Table1[#All],32,FALSE)</f>
        <v>44075</v>
      </c>
      <c r="I2394" s="8">
        <f>VLOOKUP(A2394,[1]!Table1[#All],33,FALSE)</f>
        <v>45929</v>
      </c>
      <c r="J2394" t="str">
        <f t="shared" ca="1" si="39"/>
        <v>Non UDO</v>
      </c>
    </row>
    <row r="2395" spans="1:10" x14ac:dyDescent="0.35">
      <c r="A2395" s="9" t="s">
        <v>78</v>
      </c>
      <c r="B2395" s="10">
        <v>44136</v>
      </c>
      <c r="C2395" s="11">
        <v>1138000</v>
      </c>
      <c r="D2395" s="11">
        <v>2041.82</v>
      </c>
      <c r="E2395" s="11">
        <v>1135958.1800000002</v>
      </c>
      <c r="F2395" t="str">
        <f>VLOOKUP(A2395,[1]!Table1[#All],17,FALSE)</f>
        <v>UNITED STATES</v>
      </c>
      <c r="G2395" t="str">
        <f>VLOOKUP(A2395,[1]!Table1[#All],22,FALSE)</f>
        <v>ASSN OF PUBLIC HEALTH LABORATORIES</v>
      </c>
      <c r="H2395" s="8">
        <f>VLOOKUP(A2395,[1]!Table1[#All],32,FALSE)</f>
        <v>44075</v>
      </c>
      <c r="I2395" s="8">
        <f>VLOOKUP(A2395,[1]!Table1[#All],33,FALSE)</f>
        <v>45929</v>
      </c>
      <c r="J2395" t="str">
        <f t="shared" ca="1" si="39"/>
        <v>Non UDO</v>
      </c>
    </row>
    <row r="2396" spans="1:10" x14ac:dyDescent="0.35">
      <c r="A2396" s="5" t="s">
        <v>78</v>
      </c>
      <c r="B2396" s="6">
        <v>44166</v>
      </c>
      <c r="C2396" s="7">
        <v>1138000</v>
      </c>
      <c r="D2396" s="7">
        <v>65772.2</v>
      </c>
      <c r="E2396" s="7">
        <v>1072227.8</v>
      </c>
      <c r="F2396" t="str">
        <f>VLOOKUP(A2396,[1]!Table1[#All],17,FALSE)</f>
        <v>UNITED STATES</v>
      </c>
      <c r="G2396" t="str">
        <f>VLOOKUP(A2396,[1]!Table1[#All],22,FALSE)</f>
        <v>ASSN OF PUBLIC HEALTH LABORATORIES</v>
      </c>
      <c r="H2396" s="8">
        <f>VLOOKUP(A2396,[1]!Table1[#All],32,FALSE)</f>
        <v>44075</v>
      </c>
      <c r="I2396" s="8">
        <f>VLOOKUP(A2396,[1]!Table1[#All],33,FALSE)</f>
        <v>45929</v>
      </c>
      <c r="J2396" t="str">
        <f t="shared" ca="1" si="39"/>
        <v>Non UDO</v>
      </c>
    </row>
    <row r="2397" spans="1:10" x14ac:dyDescent="0.35">
      <c r="A2397" s="9" t="s">
        <v>78</v>
      </c>
      <c r="B2397" s="10">
        <v>44197</v>
      </c>
      <c r="C2397" s="11">
        <v>1138000</v>
      </c>
      <c r="D2397" s="11">
        <v>222515.6</v>
      </c>
      <c r="E2397" s="11">
        <v>915484.39999999991</v>
      </c>
      <c r="F2397" t="str">
        <f>VLOOKUP(A2397,[1]!Table1[#All],17,FALSE)</f>
        <v>UNITED STATES</v>
      </c>
      <c r="G2397" t="str">
        <f>VLOOKUP(A2397,[1]!Table1[#All],22,FALSE)</f>
        <v>ASSN OF PUBLIC HEALTH LABORATORIES</v>
      </c>
      <c r="H2397" s="8">
        <f>VLOOKUP(A2397,[1]!Table1[#All],32,FALSE)</f>
        <v>44075</v>
      </c>
      <c r="I2397" s="8">
        <f>VLOOKUP(A2397,[1]!Table1[#All],33,FALSE)</f>
        <v>45929</v>
      </c>
      <c r="J2397" t="str">
        <f t="shared" ca="1" si="39"/>
        <v>Non UDO</v>
      </c>
    </row>
    <row r="2398" spans="1:10" x14ac:dyDescent="0.35">
      <c r="A2398" s="5" t="s">
        <v>78</v>
      </c>
      <c r="B2398" s="6">
        <v>44228</v>
      </c>
      <c r="C2398" s="7">
        <v>1138000</v>
      </c>
      <c r="D2398" s="7">
        <v>222515.6</v>
      </c>
      <c r="E2398" s="7">
        <v>915484.39999999991</v>
      </c>
      <c r="F2398" t="str">
        <f>VLOOKUP(A2398,[1]!Table1[#All],17,FALSE)</f>
        <v>UNITED STATES</v>
      </c>
      <c r="G2398" t="str">
        <f>VLOOKUP(A2398,[1]!Table1[#All],22,FALSE)</f>
        <v>ASSN OF PUBLIC HEALTH LABORATORIES</v>
      </c>
      <c r="H2398" s="8">
        <f>VLOOKUP(A2398,[1]!Table1[#All],32,FALSE)</f>
        <v>44075</v>
      </c>
      <c r="I2398" s="8">
        <f>VLOOKUP(A2398,[1]!Table1[#All],33,FALSE)</f>
        <v>45929</v>
      </c>
      <c r="J2398" t="str">
        <f t="shared" ca="1" si="39"/>
        <v>Non UDO</v>
      </c>
    </row>
    <row r="2399" spans="1:10" x14ac:dyDescent="0.35">
      <c r="A2399" s="9" t="s">
        <v>78</v>
      </c>
      <c r="B2399" s="10">
        <v>44256</v>
      </c>
      <c r="C2399" s="11">
        <v>1138000</v>
      </c>
      <c r="D2399" s="11">
        <v>256491.43</v>
      </c>
      <c r="E2399" s="11">
        <v>881508.57000000007</v>
      </c>
      <c r="F2399" t="str">
        <f>VLOOKUP(A2399,[1]!Table1[#All],17,FALSE)</f>
        <v>UNITED STATES</v>
      </c>
      <c r="G2399" t="str">
        <f>VLOOKUP(A2399,[1]!Table1[#All],22,FALSE)</f>
        <v>ASSN OF PUBLIC HEALTH LABORATORIES</v>
      </c>
      <c r="H2399" s="8">
        <f>VLOOKUP(A2399,[1]!Table1[#All],32,FALSE)</f>
        <v>44075</v>
      </c>
      <c r="I2399" s="8">
        <f>VLOOKUP(A2399,[1]!Table1[#All],33,FALSE)</f>
        <v>45929</v>
      </c>
      <c r="J2399" t="str">
        <f t="shared" ca="1" si="39"/>
        <v>Non UDO</v>
      </c>
    </row>
    <row r="2400" spans="1:10" x14ac:dyDescent="0.35">
      <c r="A2400" s="5" t="s">
        <v>78</v>
      </c>
      <c r="B2400" s="6">
        <v>44287</v>
      </c>
      <c r="C2400" s="7">
        <v>513000</v>
      </c>
      <c r="D2400" s="7">
        <v>167599.38</v>
      </c>
      <c r="E2400" s="7">
        <v>345400.62</v>
      </c>
      <c r="F2400" t="str">
        <f>VLOOKUP(A2400,[1]!Table1[#All],17,FALSE)</f>
        <v>UNITED STATES</v>
      </c>
      <c r="G2400" t="str">
        <f>VLOOKUP(A2400,[1]!Table1[#All],22,FALSE)</f>
        <v>ASSN OF PUBLIC HEALTH LABORATORIES</v>
      </c>
      <c r="H2400" s="8">
        <f>VLOOKUP(A2400,[1]!Table1[#All],32,FALSE)</f>
        <v>44075</v>
      </c>
      <c r="I2400" s="8">
        <f>VLOOKUP(A2400,[1]!Table1[#All],33,FALSE)</f>
        <v>45929</v>
      </c>
      <c r="J2400" t="str">
        <f t="shared" ca="1" si="39"/>
        <v>Non UDO</v>
      </c>
    </row>
    <row r="2401" spans="1:10" x14ac:dyDescent="0.35">
      <c r="A2401" s="9" t="s">
        <v>78</v>
      </c>
      <c r="B2401" s="10">
        <v>44317</v>
      </c>
      <c r="C2401" s="11">
        <v>1138000</v>
      </c>
      <c r="D2401" s="11">
        <v>627644.06000000006</v>
      </c>
      <c r="E2401" s="11">
        <v>510355.94</v>
      </c>
      <c r="F2401" t="str">
        <f>VLOOKUP(A2401,[1]!Table1[#All],17,FALSE)</f>
        <v>UNITED STATES</v>
      </c>
      <c r="G2401" t="str">
        <f>VLOOKUP(A2401,[1]!Table1[#All],22,FALSE)</f>
        <v>ASSN OF PUBLIC HEALTH LABORATORIES</v>
      </c>
      <c r="H2401" s="8">
        <f>VLOOKUP(A2401,[1]!Table1[#All],32,FALSE)</f>
        <v>44075</v>
      </c>
      <c r="I2401" s="8">
        <f>VLOOKUP(A2401,[1]!Table1[#All],33,FALSE)</f>
        <v>45929</v>
      </c>
      <c r="J2401" t="str">
        <f t="shared" ca="1" si="39"/>
        <v>Non UDO</v>
      </c>
    </row>
    <row r="2402" spans="1:10" x14ac:dyDescent="0.35">
      <c r="A2402" s="5" t="s">
        <v>78</v>
      </c>
      <c r="B2402" s="6">
        <v>44348</v>
      </c>
      <c r="C2402" s="7">
        <v>1138000</v>
      </c>
      <c r="D2402" s="7">
        <v>652124.83000000007</v>
      </c>
      <c r="E2402" s="7">
        <v>485875.17</v>
      </c>
      <c r="F2402" t="str">
        <f>VLOOKUP(A2402,[1]!Table1[#All],17,FALSE)</f>
        <v>UNITED STATES</v>
      </c>
      <c r="G2402" t="str">
        <f>VLOOKUP(A2402,[1]!Table1[#All],22,FALSE)</f>
        <v>ASSN OF PUBLIC HEALTH LABORATORIES</v>
      </c>
      <c r="H2402" s="8">
        <f>VLOOKUP(A2402,[1]!Table1[#All],32,FALSE)</f>
        <v>44075</v>
      </c>
      <c r="I2402" s="8">
        <f>VLOOKUP(A2402,[1]!Table1[#All],33,FALSE)</f>
        <v>45929</v>
      </c>
      <c r="J2402" t="str">
        <f t="shared" ca="1" si="39"/>
        <v>Non UDO</v>
      </c>
    </row>
    <row r="2403" spans="1:10" x14ac:dyDescent="0.35">
      <c r="A2403" s="9" t="s">
        <v>78</v>
      </c>
      <c r="B2403" s="10">
        <v>44378</v>
      </c>
      <c r="C2403" s="11">
        <v>1138000</v>
      </c>
      <c r="D2403" s="11">
        <v>697478.92999999993</v>
      </c>
      <c r="E2403" s="11">
        <v>440521.06999999995</v>
      </c>
      <c r="F2403" t="str">
        <f>VLOOKUP(A2403,[1]!Table1[#All],17,FALSE)</f>
        <v>UNITED STATES</v>
      </c>
      <c r="G2403" t="str">
        <f>VLOOKUP(A2403,[1]!Table1[#All],22,FALSE)</f>
        <v>ASSN OF PUBLIC HEALTH LABORATORIES</v>
      </c>
      <c r="H2403" s="8">
        <f>VLOOKUP(A2403,[1]!Table1[#All],32,FALSE)</f>
        <v>44075</v>
      </c>
      <c r="I2403" s="8">
        <f>VLOOKUP(A2403,[1]!Table1[#All],33,FALSE)</f>
        <v>45929</v>
      </c>
      <c r="J2403" t="str">
        <f t="shared" ca="1" si="39"/>
        <v>Non UDO</v>
      </c>
    </row>
    <row r="2404" spans="1:10" x14ac:dyDescent="0.35">
      <c r="A2404" s="5" t="s">
        <v>78</v>
      </c>
      <c r="B2404" s="6">
        <v>44409</v>
      </c>
      <c r="C2404" s="7">
        <v>1138000</v>
      </c>
      <c r="D2404" s="7">
        <v>785447.94</v>
      </c>
      <c r="E2404" s="7">
        <v>352552.06</v>
      </c>
      <c r="F2404" t="str">
        <f>VLOOKUP(A2404,[1]!Table1[#All],17,FALSE)</f>
        <v>UNITED STATES</v>
      </c>
      <c r="G2404" t="str">
        <f>VLOOKUP(A2404,[1]!Table1[#All],22,FALSE)</f>
        <v>ASSN OF PUBLIC HEALTH LABORATORIES</v>
      </c>
      <c r="H2404" s="8">
        <f>VLOOKUP(A2404,[1]!Table1[#All],32,FALSE)</f>
        <v>44075</v>
      </c>
      <c r="I2404" s="8">
        <f>VLOOKUP(A2404,[1]!Table1[#All],33,FALSE)</f>
        <v>45929</v>
      </c>
      <c r="J2404" t="str">
        <f t="shared" ca="1" si="39"/>
        <v>Non UDO</v>
      </c>
    </row>
    <row r="2405" spans="1:10" x14ac:dyDescent="0.35">
      <c r="A2405" s="9" t="s">
        <v>78</v>
      </c>
      <c r="B2405" s="10">
        <v>44440</v>
      </c>
      <c r="C2405" s="11">
        <v>1138000</v>
      </c>
      <c r="D2405" s="11">
        <v>906723.85000000009</v>
      </c>
      <c r="E2405" s="11">
        <v>231276.15</v>
      </c>
      <c r="F2405" t="str">
        <f>VLOOKUP(A2405,[1]!Table1[#All],17,FALSE)</f>
        <v>UNITED STATES</v>
      </c>
      <c r="G2405" t="str">
        <f>VLOOKUP(A2405,[1]!Table1[#All],22,FALSE)</f>
        <v>ASSN OF PUBLIC HEALTH LABORATORIES</v>
      </c>
      <c r="H2405" s="8">
        <f>VLOOKUP(A2405,[1]!Table1[#All],32,FALSE)</f>
        <v>44075</v>
      </c>
      <c r="I2405" s="8">
        <f>VLOOKUP(A2405,[1]!Table1[#All],33,FALSE)</f>
        <v>45929</v>
      </c>
      <c r="J2405" t="str">
        <f t="shared" ca="1" si="39"/>
        <v>Non UDO</v>
      </c>
    </row>
    <row r="2406" spans="1:10" x14ac:dyDescent="0.35">
      <c r="A2406" s="5" t="s">
        <v>78</v>
      </c>
      <c r="B2406" s="6">
        <v>44470</v>
      </c>
      <c r="C2406" s="7">
        <v>1138000</v>
      </c>
      <c r="D2406" s="7">
        <v>936061.01</v>
      </c>
      <c r="E2406" s="7">
        <v>201938.99</v>
      </c>
      <c r="F2406" t="str">
        <f>VLOOKUP(A2406,[1]!Table1[#All],17,FALSE)</f>
        <v>UNITED STATES</v>
      </c>
      <c r="G2406" t="str">
        <f>VLOOKUP(A2406,[1]!Table1[#All],22,FALSE)</f>
        <v>ASSN OF PUBLIC HEALTH LABORATORIES</v>
      </c>
      <c r="H2406" s="8">
        <f>VLOOKUP(A2406,[1]!Table1[#All],32,FALSE)</f>
        <v>44075</v>
      </c>
      <c r="I2406" s="8">
        <f>VLOOKUP(A2406,[1]!Table1[#All],33,FALSE)</f>
        <v>45929</v>
      </c>
      <c r="J2406" t="str">
        <f t="shared" ca="1" si="39"/>
        <v>Non UDO</v>
      </c>
    </row>
    <row r="2407" spans="1:10" x14ac:dyDescent="0.35">
      <c r="A2407" s="9" t="s">
        <v>78</v>
      </c>
      <c r="B2407" s="10">
        <v>44501</v>
      </c>
      <c r="C2407" s="11">
        <v>1138000</v>
      </c>
      <c r="D2407" s="11">
        <v>1021649.52</v>
      </c>
      <c r="E2407" s="11">
        <v>116350.48</v>
      </c>
      <c r="F2407" t="str">
        <f>VLOOKUP(A2407,[1]!Table1[#All],17,FALSE)</f>
        <v>UNITED STATES</v>
      </c>
      <c r="G2407" t="str">
        <f>VLOOKUP(A2407,[1]!Table1[#All],22,FALSE)</f>
        <v>ASSN OF PUBLIC HEALTH LABORATORIES</v>
      </c>
      <c r="H2407" s="8">
        <f>VLOOKUP(A2407,[1]!Table1[#All],32,FALSE)</f>
        <v>44075</v>
      </c>
      <c r="I2407" s="8">
        <f>VLOOKUP(A2407,[1]!Table1[#All],33,FALSE)</f>
        <v>45929</v>
      </c>
      <c r="J2407" t="str">
        <f t="shared" ca="1" si="39"/>
        <v>Non UDO</v>
      </c>
    </row>
    <row r="2408" spans="1:10" x14ac:dyDescent="0.35">
      <c r="A2408" s="5" t="s">
        <v>78</v>
      </c>
      <c r="B2408" s="6">
        <v>44531</v>
      </c>
      <c r="C2408" s="7">
        <v>1138000</v>
      </c>
      <c r="D2408" s="7">
        <v>1067824.93</v>
      </c>
      <c r="E2408" s="7">
        <v>70175.070000000007</v>
      </c>
      <c r="F2408" t="str">
        <f>VLOOKUP(A2408,[1]!Table1[#All],17,FALSE)</f>
        <v>UNITED STATES</v>
      </c>
      <c r="G2408" t="str">
        <f>VLOOKUP(A2408,[1]!Table1[#All],22,FALSE)</f>
        <v>ASSN OF PUBLIC HEALTH LABORATORIES</v>
      </c>
      <c r="H2408" s="8">
        <f>VLOOKUP(A2408,[1]!Table1[#All],32,FALSE)</f>
        <v>44075</v>
      </c>
      <c r="I2408" s="8">
        <f>VLOOKUP(A2408,[1]!Table1[#All],33,FALSE)</f>
        <v>45929</v>
      </c>
      <c r="J2408" t="str">
        <f t="shared" ca="1" si="39"/>
        <v>Non UDO</v>
      </c>
    </row>
    <row r="2409" spans="1:10" x14ac:dyDescent="0.35">
      <c r="A2409" s="9" t="s">
        <v>78</v>
      </c>
      <c r="B2409" s="10">
        <v>44562</v>
      </c>
      <c r="C2409" s="11">
        <v>1138000</v>
      </c>
      <c r="D2409" s="11">
        <v>1067824.93</v>
      </c>
      <c r="E2409" s="11">
        <v>70175.070000000007</v>
      </c>
      <c r="F2409" t="str">
        <f>VLOOKUP(A2409,[1]!Table1[#All],17,FALSE)</f>
        <v>UNITED STATES</v>
      </c>
      <c r="G2409" t="str">
        <f>VLOOKUP(A2409,[1]!Table1[#All],22,FALSE)</f>
        <v>ASSN OF PUBLIC HEALTH LABORATORIES</v>
      </c>
      <c r="H2409" s="8">
        <f>VLOOKUP(A2409,[1]!Table1[#All],32,FALSE)</f>
        <v>44075</v>
      </c>
      <c r="I2409" s="8">
        <f>VLOOKUP(A2409,[1]!Table1[#All],33,FALSE)</f>
        <v>45929</v>
      </c>
      <c r="J2409" t="str">
        <f t="shared" ca="1" si="39"/>
        <v>Non UDO</v>
      </c>
    </row>
    <row r="2410" spans="1:10" x14ac:dyDescent="0.35">
      <c r="A2410" s="5" t="s">
        <v>78</v>
      </c>
      <c r="B2410" s="6">
        <v>44593</v>
      </c>
      <c r="C2410" s="7">
        <v>1138000</v>
      </c>
      <c r="D2410" s="7">
        <v>1067824.93</v>
      </c>
      <c r="E2410" s="7">
        <v>70175.070000000007</v>
      </c>
      <c r="F2410" t="str">
        <f>VLOOKUP(A2410,[1]!Table1[#All],17,FALSE)</f>
        <v>UNITED STATES</v>
      </c>
      <c r="G2410" t="str">
        <f>VLOOKUP(A2410,[1]!Table1[#All],22,FALSE)</f>
        <v>ASSN OF PUBLIC HEALTH LABORATORIES</v>
      </c>
      <c r="H2410" s="8">
        <f>VLOOKUP(A2410,[1]!Table1[#All],32,FALSE)</f>
        <v>44075</v>
      </c>
      <c r="I2410" s="8">
        <f>VLOOKUP(A2410,[1]!Table1[#All],33,FALSE)</f>
        <v>45929</v>
      </c>
      <c r="J2410" t="str">
        <f t="shared" ca="1" si="39"/>
        <v>Non UDO</v>
      </c>
    </row>
    <row r="2411" spans="1:10" x14ac:dyDescent="0.35">
      <c r="A2411" s="9" t="s">
        <v>78</v>
      </c>
      <c r="B2411" s="10">
        <v>44621</v>
      </c>
      <c r="C2411" s="11">
        <v>1138000</v>
      </c>
      <c r="D2411" s="11">
        <v>1077241.68</v>
      </c>
      <c r="E2411" s="11">
        <v>60758.32</v>
      </c>
      <c r="F2411" t="str">
        <f>VLOOKUP(A2411,[1]!Table1[#All],17,FALSE)</f>
        <v>UNITED STATES</v>
      </c>
      <c r="G2411" t="str">
        <f>VLOOKUP(A2411,[1]!Table1[#All],22,FALSE)</f>
        <v>ASSN OF PUBLIC HEALTH LABORATORIES</v>
      </c>
      <c r="H2411" s="8">
        <f>VLOOKUP(A2411,[1]!Table1[#All],32,FALSE)</f>
        <v>44075</v>
      </c>
      <c r="I2411" s="8">
        <f>VLOOKUP(A2411,[1]!Table1[#All],33,FALSE)</f>
        <v>45929</v>
      </c>
      <c r="J2411" t="str">
        <f t="shared" ca="1" si="39"/>
        <v>Non UDO</v>
      </c>
    </row>
    <row r="2412" spans="1:10" x14ac:dyDescent="0.35">
      <c r="A2412" s="5" t="s">
        <v>78</v>
      </c>
      <c r="B2412" s="6">
        <v>44652</v>
      </c>
      <c r="C2412" s="7">
        <v>1138000</v>
      </c>
      <c r="D2412" s="7">
        <v>1092064.29</v>
      </c>
      <c r="E2412" s="7">
        <v>45935.71</v>
      </c>
      <c r="F2412" t="str">
        <f>VLOOKUP(A2412,[1]!Table1[#All],17,FALSE)</f>
        <v>UNITED STATES</v>
      </c>
      <c r="G2412" t="str">
        <f>VLOOKUP(A2412,[1]!Table1[#All],22,FALSE)</f>
        <v>ASSN OF PUBLIC HEALTH LABORATORIES</v>
      </c>
      <c r="H2412" s="8">
        <f>VLOOKUP(A2412,[1]!Table1[#All],32,FALSE)</f>
        <v>44075</v>
      </c>
      <c r="I2412" s="8">
        <f>VLOOKUP(A2412,[1]!Table1[#All],33,FALSE)</f>
        <v>45929</v>
      </c>
      <c r="J2412" t="str">
        <f t="shared" ca="1" si="39"/>
        <v>Non UDO</v>
      </c>
    </row>
    <row r="2413" spans="1:10" x14ac:dyDescent="0.35">
      <c r="A2413" s="9" t="s">
        <v>78</v>
      </c>
      <c r="B2413" s="10">
        <v>44682</v>
      </c>
      <c r="C2413" s="11">
        <v>1138000</v>
      </c>
      <c r="D2413" s="11">
        <v>1092973.07</v>
      </c>
      <c r="E2413" s="11">
        <v>45026.93</v>
      </c>
      <c r="F2413" t="str">
        <f>VLOOKUP(A2413,[1]!Table1[#All],17,FALSE)</f>
        <v>UNITED STATES</v>
      </c>
      <c r="G2413" t="str">
        <f>VLOOKUP(A2413,[1]!Table1[#All],22,FALSE)</f>
        <v>ASSN OF PUBLIC HEALTH LABORATORIES</v>
      </c>
      <c r="H2413" s="8">
        <f>VLOOKUP(A2413,[1]!Table1[#All],32,FALSE)</f>
        <v>44075</v>
      </c>
      <c r="I2413" s="8">
        <f>VLOOKUP(A2413,[1]!Table1[#All],33,FALSE)</f>
        <v>45929</v>
      </c>
      <c r="J2413" t="str">
        <f t="shared" ca="1" si="39"/>
        <v>Non UDO</v>
      </c>
    </row>
    <row r="2414" spans="1:10" x14ac:dyDescent="0.35">
      <c r="A2414" s="5" t="s">
        <v>78</v>
      </c>
      <c r="B2414" s="6">
        <v>44713</v>
      </c>
      <c r="C2414" s="7">
        <v>1138000</v>
      </c>
      <c r="D2414" s="7">
        <v>1094482.8599999999</v>
      </c>
      <c r="E2414" s="7">
        <v>43517.14</v>
      </c>
      <c r="F2414" t="str">
        <f>VLOOKUP(A2414,[1]!Table1[#All],17,FALSE)</f>
        <v>UNITED STATES</v>
      </c>
      <c r="G2414" t="str">
        <f>VLOOKUP(A2414,[1]!Table1[#All],22,FALSE)</f>
        <v>ASSN OF PUBLIC HEALTH LABORATORIES</v>
      </c>
      <c r="H2414" s="8">
        <f>VLOOKUP(A2414,[1]!Table1[#All],32,FALSE)</f>
        <v>44075</v>
      </c>
      <c r="I2414" s="8">
        <f>VLOOKUP(A2414,[1]!Table1[#All],33,FALSE)</f>
        <v>45929</v>
      </c>
      <c r="J2414" t="str">
        <f t="shared" ca="1" si="39"/>
        <v>Non UDO</v>
      </c>
    </row>
    <row r="2415" spans="1:10" x14ac:dyDescent="0.35">
      <c r="A2415" s="9" t="s">
        <v>78</v>
      </c>
      <c r="B2415" s="10">
        <v>44743</v>
      </c>
      <c r="C2415" s="11">
        <v>1138000</v>
      </c>
      <c r="D2415" s="11">
        <v>1094482.8599999999</v>
      </c>
      <c r="E2415" s="11">
        <v>43517.14</v>
      </c>
      <c r="F2415" t="str">
        <f>VLOOKUP(A2415,[1]!Table1[#All],17,FALSE)</f>
        <v>UNITED STATES</v>
      </c>
      <c r="G2415" t="str">
        <f>VLOOKUP(A2415,[1]!Table1[#All],22,FALSE)</f>
        <v>ASSN OF PUBLIC HEALTH LABORATORIES</v>
      </c>
      <c r="H2415" s="8">
        <f>VLOOKUP(A2415,[1]!Table1[#All],32,FALSE)</f>
        <v>44075</v>
      </c>
      <c r="I2415" s="8">
        <f>VLOOKUP(A2415,[1]!Table1[#All],33,FALSE)</f>
        <v>45929</v>
      </c>
      <c r="J2415" t="str">
        <f t="shared" ca="1" si="39"/>
        <v>Non UDO</v>
      </c>
    </row>
    <row r="2416" spans="1:10" x14ac:dyDescent="0.35">
      <c r="A2416" s="5" t="s">
        <v>78</v>
      </c>
      <c r="B2416" s="6">
        <v>44774</v>
      </c>
      <c r="C2416" s="7">
        <v>1138000</v>
      </c>
      <c r="D2416" s="7">
        <v>1095760.3</v>
      </c>
      <c r="E2416" s="7">
        <v>42239.7</v>
      </c>
      <c r="F2416" t="str">
        <f>VLOOKUP(A2416,[1]!Table1[#All],17,FALSE)</f>
        <v>UNITED STATES</v>
      </c>
      <c r="G2416" t="str">
        <f>VLOOKUP(A2416,[1]!Table1[#All],22,FALSE)</f>
        <v>ASSN OF PUBLIC HEALTH LABORATORIES</v>
      </c>
      <c r="H2416" s="8">
        <f>VLOOKUP(A2416,[1]!Table1[#All],32,FALSE)</f>
        <v>44075</v>
      </c>
      <c r="I2416" s="8">
        <f>VLOOKUP(A2416,[1]!Table1[#All],33,FALSE)</f>
        <v>45929</v>
      </c>
      <c r="J2416" t="str">
        <f t="shared" ca="1" si="39"/>
        <v>Non UDO</v>
      </c>
    </row>
    <row r="2417" spans="1:10" x14ac:dyDescent="0.35">
      <c r="A2417" s="9" t="s">
        <v>78</v>
      </c>
      <c r="B2417" s="10">
        <v>44805</v>
      </c>
      <c r="C2417" s="11">
        <v>1138000</v>
      </c>
      <c r="D2417" s="11">
        <v>1096439.1099999999</v>
      </c>
      <c r="E2417" s="11">
        <v>41560.89</v>
      </c>
      <c r="F2417" t="str">
        <f>VLOOKUP(A2417,[1]!Table1[#All],17,FALSE)</f>
        <v>UNITED STATES</v>
      </c>
      <c r="G2417" t="str">
        <f>VLOOKUP(A2417,[1]!Table1[#All],22,FALSE)</f>
        <v>ASSN OF PUBLIC HEALTH LABORATORIES</v>
      </c>
      <c r="H2417" s="8">
        <f>VLOOKUP(A2417,[1]!Table1[#All],32,FALSE)</f>
        <v>44075</v>
      </c>
      <c r="I2417" s="8">
        <f>VLOOKUP(A2417,[1]!Table1[#All],33,FALSE)</f>
        <v>45929</v>
      </c>
      <c r="J2417" t="str">
        <f t="shared" ca="1" si="39"/>
        <v>Non UDO</v>
      </c>
    </row>
    <row r="2418" spans="1:10" x14ac:dyDescent="0.35">
      <c r="A2418" s="5" t="s">
        <v>78</v>
      </c>
      <c r="B2418" s="6">
        <v>44835</v>
      </c>
      <c r="C2418" s="7">
        <v>1138000</v>
      </c>
      <c r="D2418" s="7">
        <v>1097622.78</v>
      </c>
      <c r="E2418" s="7">
        <v>40377.22</v>
      </c>
      <c r="F2418" t="str">
        <f>VLOOKUP(A2418,[1]!Table1[#All],17,FALSE)</f>
        <v>UNITED STATES</v>
      </c>
      <c r="G2418" t="str">
        <f>VLOOKUP(A2418,[1]!Table1[#All],22,FALSE)</f>
        <v>ASSN OF PUBLIC HEALTH LABORATORIES</v>
      </c>
      <c r="H2418" s="8">
        <f>VLOOKUP(A2418,[1]!Table1[#All],32,FALSE)</f>
        <v>44075</v>
      </c>
      <c r="I2418" s="8">
        <f>VLOOKUP(A2418,[1]!Table1[#All],33,FALSE)</f>
        <v>45929</v>
      </c>
      <c r="J2418" t="str">
        <f t="shared" ca="1" si="39"/>
        <v>Non UDO</v>
      </c>
    </row>
    <row r="2419" spans="1:10" x14ac:dyDescent="0.35">
      <c r="A2419" s="9" t="s">
        <v>78</v>
      </c>
      <c r="B2419" s="10">
        <v>44866</v>
      </c>
      <c r="C2419" s="11">
        <v>1138000</v>
      </c>
      <c r="D2419" s="11">
        <v>1098273.29</v>
      </c>
      <c r="E2419" s="11">
        <v>39726.71</v>
      </c>
      <c r="F2419" t="str">
        <f>VLOOKUP(A2419,[1]!Table1[#All],17,FALSE)</f>
        <v>UNITED STATES</v>
      </c>
      <c r="G2419" t="str">
        <f>VLOOKUP(A2419,[1]!Table1[#All],22,FALSE)</f>
        <v>ASSN OF PUBLIC HEALTH LABORATORIES</v>
      </c>
      <c r="H2419" s="8">
        <f>VLOOKUP(A2419,[1]!Table1[#All],32,FALSE)</f>
        <v>44075</v>
      </c>
      <c r="I2419" s="8">
        <f>VLOOKUP(A2419,[1]!Table1[#All],33,FALSE)</f>
        <v>45929</v>
      </c>
      <c r="J2419" t="str">
        <f t="shared" ca="1" si="39"/>
        <v>Non UDO</v>
      </c>
    </row>
    <row r="2420" spans="1:10" x14ac:dyDescent="0.35">
      <c r="A2420" s="5" t="s">
        <v>78</v>
      </c>
      <c r="B2420" s="6">
        <v>44896</v>
      </c>
      <c r="C2420" s="7">
        <v>1138000</v>
      </c>
      <c r="D2420" s="7">
        <v>1105127.3700000001</v>
      </c>
      <c r="E2420" s="7">
        <v>32872.629999999997</v>
      </c>
      <c r="F2420" t="str">
        <f>VLOOKUP(A2420,[1]!Table1[#All],17,FALSE)</f>
        <v>UNITED STATES</v>
      </c>
      <c r="G2420" t="str">
        <f>VLOOKUP(A2420,[1]!Table1[#All],22,FALSE)</f>
        <v>ASSN OF PUBLIC HEALTH LABORATORIES</v>
      </c>
      <c r="H2420" s="8">
        <f>VLOOKUP(A2420,[1]!Table1[#All],32,FALSE)</f>
        <v>44075</v>
      </c>
      <c r="I2420" s="8">
        <f>VLOOKUP(A2420,[1]!Table1[#All],33,FALSE)</f>
        <v>45929</v>
      </c>
      <c r="J2420" t="str">
        <f t="shared" ca="1" si="39"/>
        <v>Non UDO</v>
      </c>
    </row>
    <row r="2421" spans="1:10" x14ac:dyDescent="0.35">
      <c r="A2421" s="9" t="s">
        <v>78</v>
      </c>
      <c r="B2421" s="10">
        <v>44927</v>
      </c>
      <c r="C2421" s="11">
        <v>1138000</v>
      </c>
      <c r="D2421" s="11">
        <v>1105127.3700000001</v>
      </c>
      <c r="E2421" s="11">
        <v>32872.629999999997</v>
      </c>
      <c r="F2421" t="str">
        <f>VLOOKUP(A2421,[1]!Table1[#All],17,FALSE)</f>
        <v>UNITED STATES</v>
      </c>
      <c r="G2421" t="str">
        <f>VLOOKUP(A2421,[1]!Table1[#All],22,FALSE)</f>
        <v>ASSN OF PUBLIC HEALTH LABORATORIES</v>
      </c>
      <c r="H2421" s="8">
        <f>VLOOKUP(A2421,[1]!Table1[#All],32,FALSE)</f>
        <v>44075</v>
      </c>
      <c r="I2421" s="8">
        <f>VLOOKUP(A2421,[1]!Table1[#All],33,FALSE)</f>
        <v>45929</v>
      </c>
      <c r="J2421" t="str">
        <f t="shared" ca="1" si="39"/>
        <v>Non UDO</v>
      </c>
    </row>
    <row r="2422" spans="1:10" x14ac:dyDescent="0.35">
      <c r="A2422" s="5" t="s">
        <v>78</v>
      </c>
      <c r="B2422" s="6">
        <v>44958</v>
      </c>
      <c r="C2422" s="7">
        <v>1138000</v>
      </c>
      <c r="D2422" s="7">
        <v>1105127.3700000001</v>
      </c>
      <c r="E2422" s="7">
        <v>32872.629999999997</v>
      </c>
      <c r="F2422" t="str">
        <f>VLOOKUP(A2422,[1]!Table1[#All],17,FALSE)</f>
        <v>UNITED STATES</v>
      </c>
      <c r="G2422" t="str">
        <f>VLOOKUP(A2422,[1]!Table1[#All],22,FALSE)</f>
        <v>ASSN OF PUBLIC HEALTH LABORATORIES</v>
      </c>
      <c r="H2422" s="8">
        <f>VLOOKUP(A2422,[1]!Table1[#All],32,FALSE)</f>
        <v>44075</v>
      </c>
      <c r="I2422" s="8">
        <f>VLOOKUP(A2422,[1]!Table1[#All],33,FALSE)</f>
        <v>45929</v>
      </c>
      <c r="J2422" t="str">
        <f t="shared" ca="1" si="39"/>
        <v>Non UDO</v>
      </c>
    </row>
    <row r="2423" spans="1:10" x14ac:dyDescent="0.35">
      <c r="A2423" s="9" t="s">
        <v>78</v>
      </c>
      <c r="B2423" s="10">
        <v>44986</v>
      </c>
      <c r="C2423" s="11">
        <v>1138000</v>
      </c>
      <c r="D2423" s="11">
        <v>1105127.3700000001</v>
      </c>
      <c r="E2423" s="11">
        <v>32872.629999999997</v>
      </c>
      <c r="F2423" t="str">
        <f>VLOOKUP(A2423,[1]!Table1[#All],17,FALSE)</f>
        <v>UNITED STATES</v>
      </c>
      <c r="G2423" t="str">
        <f>VLOOKUP(A2423,[1]!Table1[#All],22,FALSE)</f>
        <v>ASSN OF PUBLIC HEALTH LABORATORIES</v>
      </c>
      <c r="H2423" s="8">
        <f>VLOOKUP(A2423,[1]!Table1[#All],32,FALSE)</f>
        <v>44075</v>
      </c>
      <c r="I2423" s="8">
        <f>VLOOKUP(A2423,[1]!Table1[#All],33,FALSE)</f>
        <v>45929</v>
      </c>
      <c r="J2423" t="str">
        <f t="shared" ca="1" si="39"/>
        <v>Non UDO</v>
      </c>
    </row>
    <row r="2424" spans="1:10" x14ac:dyDescent="0.35">
      <c r="A2424" s="5" t="s">
        <v>78</v>
      </c>
      <c r="B2424" s="6">
        <v>45017</v>
      </c>
      <c r="C2424" s="7">
        <v>1138000</v>
      </c>
      <c r="D2424" s="7">
        <v>1105127.3700000001</v>
      </c>
      <c r="E2424" s="7">
        <v>32872.629999999997</v>
      </c>
      <c r="F2424" t="str">
        <f>VLOOKUP(A2424,[1]!Table1[#All],17,FALSE)</f>
        <v>UNITED STATES</v>
      </c>
      <c r="G2424" t="str">
        <f>VLOOKUP(A2424,[1]!Table1[#All],22,FALSE)</f>
        <v>ASSN OF PUBLIC HEALTH LABORATORIES</v>
      </c>
      <c r="H2424" s="8">
        <f>VLOOKUP(A2424,[1]!Table1[#All],32,FALSE)</f>
        <v>44075</v>
      </c>
      <c r="I2424" s="8">
        <f>VLOOKUP(A2424,[1]!Table1[#All],33,FALSE)</f>
        <v>45929</v>
      </c>
      <c r="J2424" t="str">
        <f t="shared" ca="1" si="39"/>
        <v>Non UDO</v>
      </c>
    </row>
    <row r="2425" spans="1:10" x14ac:dyDescent="0.35">
      <c r="A2425" s="9" t="s">
        <v>78</v>
      </c>
      <c r="B2425" s="10">
        <v>45047</v>
      </c>
      <c r="C2425" s="11">
        <v>1138000</v>
      </c>
      <c r="D2425" s="11">
        <v>1105127.3700000001</v>
      </c>
      <c r="E2425" s="11">
        <v>32872.629999999997</v>
      </c>
      <c r="F2425" t="str">
        <f>VLOOKUP(A2425,[1]!Table1[#All],17,FALSE)</f>
        <v>UNITED STATES</v>
      </c>
      <c r="G2425" t="str">
        <f>VLOOKUP(A2425,[1]!Table1[#All],22,FALSE)</f>
        <v>ASSN OF PUBLIC HEALTH LABORATORIES</v>
      </c>
      <c r="H2425" s="8">
        <f>VLOOKUP(A2425,[1]!Table1[#All],32,FALSE)</f>
        <v>44075</v>
      </c>
      <c r="I2425" s="8">
        <f>VLOOKUP(A2425,[1]!Table1[#All],33,FALSE)</f>
        <v>45929</v>
      </c>
      <c r="J2425" t="str">
        <f t="shared" ca="1" si="39"/>
        <v>Non UDO</v>
      </c>
    </row>
    <row r="2426" spans="1:10" x14ac:dyDescent="0.35">
      <c r="A2426" s="5" t="s">
        <v>78</v>
      </c>
      <c r="B2426" s="6">
        <v>45078</v>
      </c>
      <c r="C2426" s="7">
        <v>1138000</v>
      </c>
      <c r="D2426" s="7">
        <v>1105127.3700000001</v>
      </c>
      <c r="E2426" s="7">
        <v>32872.629999999997</v>
      </c>
      <c r="F2426" t="str">
        <f>VLOOKUP(A2426,[1]!Table1[#All],17,FALSE)</f>
        <v>UNITED STATES</v>
      </c>
      <c r="G2426" t="str">
        <f>VLOOKUP(A2426,[1]!Table1[#All],22,FALSE)</f>
        <v>ASSN OF PUBLIC HEALTH LABORATORIES</v>
      </c>
      <c r="H2426" s="8">
        <f>VLOOKUP(A2426,[1]!Table1[#All],32,FALSE)</f>
        <v>44075</v>
      </c>
      <c r="I2426" s="8">
        <f>VLOOKUP(A2426,[1]!Table1[#All],33,FALSE)</f>
        <v>45929</v>
      </c>
      <c r="J2426" t="str">
        <f t="shared" ca="1" si="39"/>
        <v>Non UDO</v>
      </c>
    </row>
    <row r="2427" spans="1:10" x14ac:dyDescent="0.35">
      <c r="A2427" s="9" t="s">
        <v>78</v>
      </c>
      <c r="B2427" s="10">
        <v>45108</v>
      </c>
      <c r="C2427" s="11">
        <v>1138000</v>
      </c>
      <c r="D2427" s="11">
        <v>1085835.21</v>
      </c>
      <c r="E2427" s="11">
        <v>52164.79</v>
      </c>
      <c r="F2427" t="str">
        <f>VLOOKUP(A2427,[1]!Table1[#All],17,FALSE)</f>
        <v>UNITED STATES</v>
      </c>
      <c r="G2427" t="str">
        <f>VLOOKUP(A2427,[1]!Table1[#All],22,FALSE)</f>
        <v>ASSN OF PUBLIC HEALTH LABORATORIES</v>
      </c>
      <c r="H2427" s="8">
        <f>VLOOKUP(A2427,[1]!Table1[#All],32,FALSE)</f>
        <v>44075</v>
      </c>
      <c r="I2427" s="8">
        <f>VLOOKUP(A2427,[1]!Table1[#All],33,FALSE)</f>
        <v>45929</v>
      </c>
      <c r="J2427" t="str">
        <f t="shared" ca="1" si="39"/>
        <v>Non UDO</v>
      </c>
    </row>
    <row r="2428" spans="1:10" x14ac:dyDescent="0.35">
      <c r="A2428" s="5" t="s">
        <v>78</v>
      </c>
      <c r="B2428" s="6">
        <v>45139</v>
      </c>
      <c r="C2428" s="7">
        <v>1138000</v>
      </c>
      <c r="D2428" s="7">
        <v>1086202.1599999999</v>
      </c>
      <c r="E2428" s="7">
        <v>51797.84</v>
      </c>
      <c r="F2428" t="str">
        <f>VLOOKUP(A2428,[1]!Table1[#All],17,FALSE)</f>
        <v>UNITED STATES</v>
      </c>
      <c r="G2428" t="str">
        <f>VLOOKUP(A2428,[1]!Table1[#All],22,FALSE)</f>
        <v>ASSN OF PUBLIC HEALTH LABORATORIES</v>
      </c>
      <c r="H2428" s="8">
        <f>VLOOKUP(A2428,[1]!Table1[#All],32,FALSE)</f>
        <v>44075</v>
      </c>
      <c r="I2428" s="8">
        <f>VLOOKUP(A2428,[1]!Table1[#All],33,FALSE)</f>
        <v>45929</v>
      </c>
      <c r="J2428" t="str">
        <f t="shared" ca="1" si="39"/>
        <v>Non UDO</v>
      </c>
    </row>
    <row r="2429" spans="1:10" x14ac:dyDescent="0.35">
      <c r="A2429" s="9" t="s">
        <v>78</v>
      </c>
      <c r="B2429" s="10">
        <v>45170</v>
      </c>
      <c r="C2429" s="11">
        <v>1138000</v>
      </c>
      <c r="D2429" s="11">
        <v>1090079.98</v>
      </c>
      <c r="E2429" s="11">
        <v>47920.02</v>
      </c>
      <c r="F2429" t="str">
        <f>VLOOKUP(A2429,[1]!Table1[#All],17,FALSE)</f>
        <v>UNITED STATES</v>
      </c>
      <c r="G2429" t="str">
        <f>VLOOKUP(A2429,[1]!Table1[#All],22,FALSE)</f>
        <v>ASSN OF PUBLIC HEALTH LABORATORIES</v>
      </c>
      <c r="H2429" s="8">
        <f>VLOOKUP(A2429,[1]!Table1[#All],32,FALSE)</f>
        <v>44075</v>
      </c>
      <c r="I2429" s="8">
        <f>VLOOKUP(A2429,[1]!Table1[#All],33,FALSE)</f>
        <v>45929</v>
      </c>
      <c r="J2429" t="str">
        <f t="shared" ca="1" si="39"/>
        <v>Non UDO</v>
      </c>
    </row>
    <row r="2430" spans="1:10" x14ac:dyDescent="0.35">
      <c r="A2430" s="5" t="s">
        <v>79</v>
      </c>
      <c r="B2430" s="6">
        <v>44409</v>
      </c>
      <c r="C2430" s="7">
        <v>1107452</v>
      </c>
      <c r="D2430" s="7">
        <v>0</v>
      </c>
      <c r="E2430" s="7">
        <v>1107452</v>
      </c>
      <c r="F2430" t="str">
        <f>VLOOKUP(A2430,[1]!Table1[#All],17,FALSE)</f>
        <v>UNITED STATES</v>
      </c>
      <c r="G2430" t="str">
        <f>VLOOKUP(A2430,[1]!Table1[#All],22,FALSE)</f>
        <v>Trustees Of Columbia University In The City Of New York</v>
      </c>
      <c r="H2430" s="8">
        <f>VLOOKUP(A2430,[1]!Table1[#All],32,FALSE)</f>
        <v>44075</v>
      </c>
      <c r="I2430" s="8">
        <f>VLOOKUP(A2430,[1]!Table1[#All],33,FALSE)</f>
        <v>45929</v>
      </c>
      <c r="J2430" t="str">
        <f t="shared" ca="1" si="39"/>
        <v>Non UDO</v>
      </c>
    </row>
    <row r="2431" spans="1:10" x14ac:dyDescent="0.35">
      <c r="A2431" s="9" t="s">
        <v>79</v>
      </c>
      <c r="B2431" s="10">
        <v>44440</v>
      </c>
      <c r="C2431" s="11">
        <v>1107452</v>
      </c>
      <c r="D2431" s="11">
        <v>0</v>
      </c>
      <c r="E2431" s="11">
        <v>1107452</v>
      </c>
      <c r="F2431" t="str">
        <f>VLOOKUP(A2431,[1]!Table1[#All],17,FALSE)</f>
        <v>UNITED STATES</v>
      </c>
      <c r="G2431" t="str">
        <f>VLOOKUP(A2431,[1]!Table1[#All],22,FALSE)</f>
        <v>Trustees Of Columbia University In The City Of New York</v>
      </c>
      <c r="H2431" s="8">
        <f>VLOOKUP(A2431,[1]!Table1[#All],32,FALSE)</f>
        <v>44075</v>
      </c>
      <c r="I2431" s="8">
        <f>VLOOKUP(A2431,[1]!Table1[#All],33,FALSE)</f>
        <v>45929</v>
      </c>
      <c r="J2431" t="str">
        <f t="shared" ca="1" si="39"/>
        <v>Non UDO</v>
      </c>
    </row>
    <row r="2432" spans="1:10" x14ac:dyDescent="0.35">
      <c r="A2432" s="5" t="s">
        <v>79</v>
      </c>
      <c r="B2432" s="6">
        <v>44470</v>
      </c>
      <c r="C2432" s="7">
        <v>1107452</v>
      </c>
      <c r="D2432" s="7">
        <v>0</v>
      </c>
      <c r="E2432" s="7">
        <v>1107452</v>
      </c>
      <c r="F2432" t="str">
        <f>VLOOKUP(A2432,[1]!Table1[#All],17,FALSE)</f>
        <v>UNITED STATES</v>
      </c>
      <c r="G2432" t="str">
        <f>VLOOKUP(A2432,[1]!Table1[#All],22,FALSE)</f>
        <v>Trustees Of Columbia University In The City Of New York</v>
      </c>
      <c r="H2432" s="8">
        <f>VLOOKUP(A2432,[1]!Table1[#All],32,FALSE)</f>
        <v>44075</v>
      </c>
      <c r="I2432" s="8">
        <f>VLOOKUP(A2432,[1]!Table1[#All],33,FALSE)</f>
        <v>45929</v>
      </c>
      <c r="J2432" t="str">
        <f t="shared" ca="1" si="39"/>
        <v>Non UDO</v>
      </c>
    </row>
    <row r="2433" spans="1:10" x14ac:dyDescent="0.35">
      <c r="A2433" s="9" t="s">
        <v>79</v>
      </c>
      <c r="B2433" s="10">
        <v>44501</v>
      </c>
      <c r="C2433" s="11">
        <v>1107452</v>
      </c>
      <c r="D2433" s="11">
        <v>0</v>
      </c>
      <c r="E2433" s="11">
        <v>1107452</v>
      </c>
      <c r="F2433" t="str">
        <f>VLOOKUP(A2433,[1]!Table1[#All],17,FALSE)</f>
        <v>UNITED STATES</v>
      </c>
      <c r="G2433" t="str">
        <f>VLOOKUP(A2433,[1]!Table1[#All],22,FALSE)</f>
        <v>Trustees Of Columbia University In The City Of New York</v>
      </c>
      <c r="H2433" s="8">
        <f>VLOOKUP(A2433,[1]!Table1[#All],32,FALSE)</f>
        <v>44075</v>
      </c>
      <c r="I2433" s="8">
        <f>VLOOKUP(A2433,[1]!Table1[#All],33,FALSE)</f>
        <v>45929</v>
      </c>
      <c r="J2433" t="str">
        <f t="shared" ca="1" si="39"/>
        <v>Non UDO</v>
      </c>
    </row>
    <row r="2434" spans="1:10" x14ac:dyDescent="0.35">
      <c r="A2434" s="5" t="s">
        <v>79</v>
      </c>
      <c r="B2434" s="6">
        <v>44531</v>
      </c>
      <c r="C2434" s="7">
        <v>1107452</v>
      </c>
      <c r="D2434" s="7">
        <v>50031.58</v>
      </c>
      <c r="E2434" s="7">
        <v>1057420.42</v>
      </c>
      <c r="F2434" t="str">
        <f>VLOOKUP(A2434,[1]!Table1[#All],17,FALSE)</f>
        <v>UNITED STATES</v>
      </c>
      <c r="G2434" t="str">
        <f>VLOOKUP(A2434,[1]!Table1[#All],22,FALSE)</f>
        <v>Trustees Of Columbia University In The City Of New York</v>
      </c>
      <c r="H2434" s="8">
        <f>VLOOKUP(A2434,[1]!Table1[#All],32,FALSE)</f>
        <v>44075</v>
      </c>
      <c r="I2434" s="8">
        <f>VLOOKUP(A2434,[1]!Table1[#All],33,FALSE)</f>
        <v>45929</v>
      </c>
      <c r="J2434" t="str">
        <f t="shared" ca="1" si="39"/>
        <v>Non UDO</v>
      </c>
    </row>
    <row r="2435" spans="1:10" x14ac:dyDescent="0.35">
      <c r="A2435" s="9" t="s">
        <v>79</v>
      </c>
      <c r="B2435" s="10">
        <v>44562</v>
      </c>
      <c r="C2435" s="11">
        <v>1107452</v>
      </c>
      <c r="D2435" s="11">
        <v>234546.37</v>
      </c>
      <c r="E2435" s="11">
        <v>872905.62999999989</v>
      </c>
      <c r="F2435" t="str">
        <f>VLOOKUP(A2435,[1]!Table1[#All],17,FALSE)</f>
        <v>UNITED STATES</v>
      </c>
      <c r="G2435" t="str">
        <f>VLOOKUP(A2435,[1]!Table1[#All],22,FALSE)</f>
        <v>Trustees Of Columbia University In The City Of New York</v>
      </c>
      <c r="H2435" s="8">
        <f>VLOOKUP(A2435,[1]!Table1[#All],32,FALSE)</f>
        <v>44075</v>
      </c>
      <c r="I2435" s="8">
        <f>VLOOKUP(A2435,[1]!Table1[#All],33,FALSE)</f>
        <v>45929</v>
      </c>
      <c r="J2435" t="str">
        <f t="shared" ref="J2435:J2498" ca="1" si="40">IF(AND( E2435&gt;0,TODAY()&gt;I2435),"UDO","Non UDO")</f>
        <v>Non UDO</v>
      </c>
    </row>
    <row r="2436" spans="1:10" x14ac:dyDescent="0.35">
      <c r="A2436" s="5" t="s">
        <v>79</v>
      </c>
      <c r="B2436" s="6">
        <v>44593</v>
      </c>
      <c r="C2436" s="7">
        <v>1107452</v>
      </c>
      <c r="D2436" s="7">
        <v>348653.57</v>
      </c>
      <c r="E2436" s="7">
        <v>758798.42999999993</v>
      </c>
      <c r="F2436" t="str">
        <f>VLOOKUP(A2436,[1]!Table1[#All],17,FALSE)</f>
        <v>UNITED STATES</v>
      </c>
      <c r="G2436" t="str">
        <f>VLOOKUP(A2436,[1]!Table1[#All],22,FALSE)</f>
        <v>Trustees Of Columbia University In The City Of New York</v>
      </c>
      <c r="H2436" s="8">
        <f>VLOOKUP(A2436,[1]!Table1[#All],32,FALSE)</f>
        <v>44075</v>
      </c>
      <c r="I2436" s="8">
        <f>VLOOKUP(A2436,[1]!Table1[#All],33,FALSE)</f>
        <v>45929</v>
      </c>
      <c r="J2436" t="str">
        <f t="shared" ca="1" si="40"/>
        <v>Non UDO</v>
      </c>
    </row>
    <row r="2437" spans="1:10" x14ac:dyDescent="0.35">
      <c r="A2437" s="9" t="s">
        <v>79</v>
      </c>
      <c r="B2437" s="10">
        <v>44621</v>
      </c>
      <c r="C2437" s="11">
        <v>1107452</v>
      </c>
      <c r="D2437" s="11">
        <v>433464.12</v>
      </c>
      <c r="E2437" s="11">
        <v>673987.88000000012</v>
      </c>
      <c r="F2437" t="str">
        <f>VLOOKUP(A2437,[1]!Table1[#All],17,FALSE)</f>
        <v>UNITED STATES</v>
      </c>
      <c r="G2437" t="str">
        <f>VLOOKUP(A2437,[1]!Table1[#All],22,FALSE)</f>
        <v>Trustees Of Columbia University In The City Of New York</v>
      </c>
      <c r="H2437" s="8">
        <f>VLOOKUP(A2437,[1]!Table1[#All],32,FALSE)</f>
        <v>44075</v>
      </c>
      <c r="I2437" s="8">
        <f>VLOOKUP(A2437,[1]!Table1[#All],33,FALSE)</f>
        <v>45929</v>
      </c>
      <c r="J2437" t="str">
        <f t="shared" ca="1" si="40"/>
        <v>Non UDO</v>
      </c>
    </row>
    <row r="2438" spans="1:10" x14ac:dyDescent="0.35">
      <c r="A2438" s="5" t="s">
        <v>79</v>
      </c>
      <c r="B2438" s="6">
        <v>44652</v>
      </c>
      <c r="C2438" s="7">
        <v>1107452</v>
      </c>
      <c r="D2438" s="7">
        <v>437214.28</v>
      </c>
      <c r="E2438" s="7">
        <v>670237.72</v>
      </c>
      <c r="F2438" t="str">
        <f>VLOOKUP(A2438,[1]!Table1[#All],17,FALSE)</f>
        <v>UNITED STATES</v>
      </c>
      <c r="G2438" t="str">
        <f>VLOOKUP(A2438,[1]!Table1[#All],22,FALSE)</f>
        <v>Trustees Of Columbia University In The City Of New York</v>
      </c>
      <c r="H2438" s="8">
        <f>VLOOKUP(A2438,[1]!Table1[#All],32,FALSE)</f>
        <v>44075</v>
      </c>
      <c r="I2438" s="8">
        <f>VLOOKUP(A2438,[1]!Table1[#All],33,FALSE)</f>
        <v>45929</v>
      </c>
      <c r="J2438" t="str">
        <f t="shared" ca="1" si="40"/>
        <v>Non UDO</v>
      </c>
    </row>
    <row r="2439" spans="1:10" x14ac:dyDescent="0.35">
      <c r="A2439" s="9" t="s">
        <v>79</v>
      </c>
      <c r="B2439" s="10">
        <v>44682</v>
      </c>
      <c r="C2439" s="11">
        <v>1107452</v>
      </c>
      <c r="D2439" s="11">
        <v>517641.18000000005</v>
      </c>
      <c r="E2439" s="11">
        <v>589810.81999999995</v>
      </c>
      <c r="F2439" t="str">
        <f>VLOOKUP(A2439,[1]!Table1[#All],17,FALSE)</f>
        <v>UNITED STATES</v>
      </c>
      <c r="G2439" t="str">
        <f>VLOOKUP(A2439,[1]!Table1[#All],22,FALSE)</f>
        <v>Trustees Of Columbia University In The City Of New York</v>
      </c>
      <c r="H2439" s="8">
        <f>VLOOKUP(A2439,[1]!Table1[#All],32,FALSE)</f>
        <v>44075</v>
      </c>
      <c r="I2439" s="8">
        <f>VLOOKUP(A2439,[1]!Table1[#All],33,FALSE)</f>
        <v>45929</v>
      </c>
      <c r="J2439" t="str">
        <f t="shared" ca="1" si="40"/>
        <v>Non UDO</v>
      </c>
    </row>
    <row r="2440" spans="1:10" x14ac:dyDescent="0.35">
      <c r="A2440" s="5" t="s">
        <v>79</v>
      </c>
      <c r="B2440" s="6">
        <v>44713</v>
      </c>
      <c r="C2440" s="7">
        <v>1107452</v>
      </c>
      <c r="D2440" s="7">
        <v>611155.87</v>
      </c>
      <c r="E2440" s="7">
        <v>496296.13</v>
      </c>
      <c r="F2440" t="str">
        <f>VLOOKUP(A2440,[1]!Table1[#All],17,FALSE)</f>
        <v>UNITED STATES</v>
      </c>
      <c r="G2440" t="str">
        <f>VLOOKUP(A2440,[1]!Table1[#All],22,FALSE)</f>
        <v>Trustees Of Columbia University In The City Of New York</v>
      </c>
      <c r="H2440" s="8">
        <f>VLOOKUP(A2440,[1]!Table1[#All],32,FALSE)</f>
        <v>44075</v>
      </c>
      <c r="I2440" s="8">
        <f>VLOOKUP(A2440,[1]!Table1[#All],33,FALSE)</f>
        <v>45929</v>
      </c>
      <c r="J2440" t="str">
        <f t="shared" ca="1" si="40"/>
        <v>Non UDO</v>
      </c>
    </row>
    <row r="2441" spans="1:10" x14ac:dyDescent="0.35">
      <c r="A2441" s="9" t="s">
        <v>79</v>
      </c>
      <c r="B2441" s="10">
        <v>44743</v>
      </c>
      <c r="C2441" s="11">
        <v>1107452</v>
      </c>
      <c r="D2441" s="11">
        <v>689079.84</v>
      </c>
      <c r="E2441" s="11">
        <v>418372.16000000003</v>
      </c>
      <c r="F2441" t="str">
        <f>VLOOKUP(A2441,[1]!Table1[#All],17,FALSE)</f>
        <v>UNITED STATES</v>
      </c>
      <c r="G2441" t="str">
        <f>VLOOKUP(A2441,[1]!Table1[#All],22,FALSE)</f>
        <v>Trustees Of Columbia University In The City Of New York</v>
      </c>
      <c r="H2441" s="8">
        <f>VLOOKUP(A2441,[1]!Table1[#All],32,FALSE)</f>
        <v>44075</v>
      </c>
      <c r="I2441" s="8">
        <f>VLOOKUP(A2441,[1]!Table1[#All],33,FALSE)</f>
        <v>45929</v>
      </c>
      <c r="J2441" t="str">
        <f t="shared" ca="1" si="40"/>
        <v>Non UDO</v>
      </c>
    </row>
    <row r="2442" spans="1:10" x14ac:dyDescent="0.35">
      <c r="A2442" s="5" t="s">
        <v>79</v>
      </c>
      <c r="B2442" s="6">
        <v>44774</v>
      </c>
      <c r="C2442" s="7">
        <v>1107452</v>
      </c>
      <c r="D2442" s="7">
        <v>754385.52</v>
      </c>
      <c r="E2442" s="7">
        <v>353066.48</v>
      </c>
      <c r="F2442" t="str">
        <f>VLOOKUP(A2442,[1]!Table1[#All],17,FALSE)</f>
        <v>UNITED STATES</v>
      </c>
      <c r="G2442" t="str">
        <f>VLOOKUP(A2442,[1]!Table1[#All],22,FALSE)</f>
        <v>Trustees Of Columbia University In The City Of New York</v>
      </c>
      <c r="H2442" s="8">
        <f>VLOOKUP(A2442,[1]!Table1[#All],32,FALSE)</f>
        <v>44075</v>
      </c>
      <c r="I2442" s="8">
        <f>VLOOKUP(A2442,[1]!Table1[#All],33,FALSE)</f>
        <v>45929</v>
      </c>
      <c r="J2442" t="str">
        <f t="shared" ca="1" si="40"/>
        <v>Non UDO</v>
      </c>
    </row>
    <row r="2443" spans="1:10" x14ac:dyDescent="0.35">
      <c r="A2443" s="9" t="s">
        <v>79</v>
      </c>
      <c r="B2443" s="10">
        <v>44805</v>
      </c>
      <c r="C2443" s="11">
        <v>1107452</v>
      </c>
      <c r="D2443" s="11">
        <v>941105.55</v>
      </c>
      <c r="E2443" s="11">
        <v>166346.45000000001</v>
      </c>
      <c r="F2443" t="str">
        <f>VLOOKUP(A2443,[1]!Table1[#All],17,FALSE)</f>
        <v>UNITED STATES</v>
      </c>
      <c r="G2443" t="str">
        <f>VLOOKUP(A2443,[1]!Table1[#All],22,FALSE)</f>
        <v>Trustees Of Columbia University In The City Of New York</v>
      </c>
      <c r="H2443" s="8">
        <f>VLOOKUP(A2443,[1]!Table1[#All],32,FALSE)</f>
        <v>44075</v>
      </c>
      <c r="I2443" s="8">
        <f>VLOOKUP(A2443,[1]!Table1[#All],33,FALSE)</f>
        <v>45929</v>
      </c>
      <c r="J2443" t="str">
        <f t="shared" ca="1" si="40"/>
        <v>Non UDO</v>
      </c>
    </row>
    <row r="2444" spans="1:10" x14ac:dyDescent="0.35">
      <c r="A2444" s="5" t="s">
        <v>79</v>
      </c>
      <c r="B2444" s="6">
        <v>44835</v>
      </c>
      <c r="C2444" s="7">
        <v>1107452</v>
      </c>
      <c r="D2444" s="7">
        <v>946804.56</v>
      </c>
      <c r="E2444" s="7">
        <v>160647.44</v>
      </c>
      <c r="F2444" t="str">
        <f>VLOOKUP(A2444,[1]!Table1[#All],17,FALSE)</f>
        <v>UNITED STATES</v>
      </c>
      <c r="G2444" t="str">
        <f>VLOOKUP(A2444,[1]!Table1[#All],22,FALSE)</f>
        <v>Trustees Of Columbia University In The City Of New York</v>
      </c>
      <c r="H2444" s="8">
        <f>VLOOKUP(A2444,[1]!Table1[#All],32,FALSE)</f>
        <v>44075</v>
      </c>
      <c r="I2444" s="8">
        <f>VLOOKUP(A2444,[1]!Table1[#All],33,FALSE)</f>
        <v>45929</v>
      </c>
      <c r="J2444" t="str">
        <f t="shared" ca="1" si="40"/>
        <v>Non UDO</v>
      </c>
    </row>
    <row r="2445" spans="1:10" x14ac:dyDescent="0.35">
      <c r="A2445" s="9" t="s">
        <v>79</v>
      </c>
      <c r="B2445" s="10">
        <v>44866</v>
      </c>
      <c r="C2445" s="11">
        <v>1107452</v>
      </c>
      <c r="D2445" s="11">
        <v>966826.02</v>
      </c>
      <c r="E2445" s="11">
        <v>140625.97999999998</v>
      </c>
      <c r="F2445" t="str">
        <f>VLOOKUP(A2445,[1]!Table1[#All],17,FALSE)</f>
        <v>UNITED STATES</v>
      </c>
      <c r="G2445" t="str">
        <f>VLOOKUP(A2445,[1]!Table1[#All],22,FALSE)</f>
        <v>Trustees Of Columbia University In The City Of New York</v>
      </c>
      <c r="H2445" s="8">
        <f>VLOOKUP(A2445,[1]!Table1[#All],32,FALSE)</f>
        <v>44075</v>
      </c>
      <c r="I2445" s="8">
        <f>VLOOKUP(A2445,[1]!Table1[#All],33,FALSE)</f>
        <v>45929</v>
      </c>
      <c r="J2445" t="str">
        <f t="shared" ca="1" si="40"/>
        <v>Non UDO</v>
      </c>
    </row>
    <row r="2446" spans="1:10" x14ac:dyDescent="0.35">
      <c r="A2446" s="5" t="s">
        <v>79</v>
      </c>
      <c r="B2446" s="6">
        <v>44896</v>
      </c>
      <c r="C2446" s="7">
        <v>1107452</v>
      </c>
      <c r="D2446" s="7">
        <v>1008368.49</v>
      </c>
      <c r="E2446" s="7">
        <v>99083.51</v>
      </c>
      <c r="F2446" t="str">
        <f>VLOOKUP(A2446,[1]!Table1[#All],17,FALSE)</f>
        <v>UNITED STATES</v>
      </c>
      <c r="G2446" t="str">
        <f>VLOOKUP(A2446,[1]!Table1[#All],22,FALSE)</f>
        <v>Trustees Of Columbia University In The City Of New York</v>
      </c>
      <c r="H2446" s="8">
        <f>VLOOKUP(A2446,[1]!Table1[#All],32,FALSE)</f>
        <v>44075</v>
      </c>
      <c r="I2446" s="8">
        <f>VLOOKUP(A2446,[1]!Table1[#All],33,FALSE)</f>
        <v>45929</v>
      </c>
      <c r="J2446" t="str">
        <f t="shared" ca="1" si="40"/>
        <v>Non UDO</v>
      </c>
    </row>
    <row r="2447" spans="1:10" x14ac:dyDescent="0.35">
      <c r="A2447" s="9" t="s">
        <v>79</v>
      </c>
      <c r="B2447" s="10">
        <v>44927</v>
      </c>
      <c r="C2447" s="11">
        <v>1107452</v>
      </c>
      <c r="D2447" s="11">
        <v>1014475.06</v>
      </c>
      <c r="E2447" s="11">
        <v>92976.94</v>
      </c>
      <c r="F2447" t="str">
        <f>VLOOKUP(A2447,[1]!Table1[#All],17,FALSE)</f>
        <v>UNITED STATES</v>
      </c>
      <c r="G2447" t="str">
        <f>VLOOKUP(A2447,[1]!Table1[#All],22,FALSE)</f>
        <v>Trustees Of Columbia University In The City Of New York</v>
      </c>
      <c r="H2447" s="8">
        <f>VLOOKUP(A2447,[1]!Table1[#All],32,FALSE)</f>
        <v>44075</v>
      </c>
      <c r="I2447" s="8">
        <f>VLOOKUP(A2447,[1]!Table1[#All],33,FALSE)</f>
        <v>45929</v>
      </c>
      <c r="J2447" t="str">
        <f t="shared" ca="1" si="40"/>
        <v>Non UDO</v>
      </c>
    </row>
    <row r="2448" spans="1:10" x14ac:dyDescent="0.35">
      <c r="A2448" s="5" t="s">
        <v>79</v>
      </c>
      <c r="B2448" s="6">
        <v>44958</v>
      </c>
      <c r="C2448" s="7">
        <v>1107452</v>
      </c>
      <c r="D2448" s="7">
        <v>1018667.8200000001</v>
      </c>
      <c r="E2448" s="7">
        <v>88784.18</v>
      </c>
      <c r="F2448" t="str">
        <f>VLOOKUP(A2448,[1]!Table1[#All],17,FALSE)</f>
        <v>UNITED STATES</v>
      </c>
      <c r="G2448" t="str">
        <f>VLOOKUP(A2448,[1]!Table1[#All],22,FALSE)</f>
        <v>Trustees Of Columbia University In The City Of New York</v>
      </c>
      <c r="H2448" s="8">
        <f>VLOOKUP(A2448,[1]!Table1[#All],32,FALSE)</f>
        <v>44075</v>
      </c>
      <c r="I2448" s="8">
        <f>VLOOKUP(A2448,[1]!Table1[#All],33,FALSE)</f>
        <v>45929</v>
      </c>
      <c r="J2448" t="str">
        <f t="shared" ca="1" si="40"/>
        <v>Non UDO</v>
      </c>
    </row>
    <row r="2449" spans="1:10" x14ac:dyDescent="0.35">
      <c r="A2449" s="9" t="s">
        <v>79</v>
      </c>
      <c r="B2449" s="10">
        <v>44986</v>
      </c>
      <c r="C2449" s="11">
        <v>1107452</v>
      </c>
      <c r="D2449" s="11">
        <v>1021810.27</v>
      </c>
      <c r="E2449" s="11">
        <v>85641.73</v>
      </c>
      <c r="F2449" t="str">
        <f>VLOOKUP(A2449,[1]!Table1[#All],17,FALSE)</f>
        <v>UNITED STATES</v>
      </c>
      <c r="G2449" t="str">
        <f>VLOOKUP(A2449,[1]!Table1[#All],22,FALSE)</f>
        <v>Trustees Of Columbia University In The City Of New York</v>
      </c>
      <c r="H2449" s="8">
        <f>VLOOKUP(A2449,[1]!Table1[#All],32,FALSE)</f>
        <v>44075</v>
      </c>
      <c r="I2449" s="8">
        <f>VLOOKUP(A2449,[1]!Table1[#All],33,FALSE)</f>
        <v>45929</v>
      </c>
      <c r="J2449" t="str">
        <f t="shared" ca="1" si="40"/>
        <v>Non UDO</v>
      </c>
    </row>
    <row r="2450" spans="1:10" x14ac:dyDescent="0.35">
      <c r="A2450" s="5" t="s">
        <v>79</v>
      </c>
      <c r="B2450" s="6">
        <v>45017</v>
      </c>
      <c r="C2450" s="7">
        <v>1107452</v>
      </c>
      <c r="D2450" s="7">
        <v>1026757.0700000001</v>
      </c>
      <c r="E2450" s="7">
        <v>80694.930000000008</v>
      </c>
      <c r="F2450" t="str">
        <f>VLOOKUP(A2450,[1]!Table1[#All],17,FALSE)</f>
        <v>UNITED STATES</v>
      </c>
      <c r="G2450" t="str">
        <f>VLOOKUP(A2450,[1]!Table1[#All],22,FALSE)</f>
        <v>Trustees Of Columbia University In The City Of New York</v>
      </c>
      <c r="H2450" s="8">
        <f>VLOOKUP(A2450,[1]!Table1[#All],32,FALSE)</f>
        <v>44075</v>
      </c>
      <c r="I2450" s="8">
        <f>VLOOKUP(A2450,[1]!Table1[#All],33,FALSE)</f>
        <v>45929</v>
      </c>
      <c r="J2450" t="str">
        <f t="shared" ca="1" si="40"/>
        <v>Non UDO</v>
      </c>
    </row>
    <row r="2451" spans="1:10" x14ac:dyDescent="0.35">
      <c r="A2451" s="9" t="s">
        <v>79</v>
      </c>
      <c r="B2451" s="10">
        <v>45047</v>
      </c>
      <c r="C2451" s="11">
        <v>1107452</v>
      </c>
      <c r="D2451" s="11">
        <v>1048286.55</v>
      </c>
      <c r="E2451" s="11">
        <v>59165.45</v>
      </c>
      <c r="F2451" t="str">
        <f>VLOOKUP(A2451,[1]!Table1[#All],17,FALSE)</f>
        <v>UNITED STATES</v>
      </c>
      <c r="G2451" t="str">
        <f>VLOOKUP(A2451,[1]!Table1[#All],22,FALSE)</f>
        <v>Trustees Of Columbia University In The City Of New York</v>
      </c>
      <c r="H2451" s="8">
        <f>VLOOKUP(A2451,[1]!Table1[#All],32,FALSE)</f>
        <v>44075</v>
      </c>
      <c r="I2451" s="8">
        <f>VLOOKUP(A2451,[1]!Table1[#All],33,FALSE)</f>
        <v>45929</v>
      </c>
      <c r="J2451" t="str">
        <f t="shared" ca="1" si="40"/>
        <v>Non UDO</v>
      </c>
    </row>
    <row r="2452" spans="1:10" x14ac:dyDescent="0.35">
      <c r="A2452" s="5" t="s">
        <v>79</v>
      </c>
      <c r="B2452" s="6">
        <v>45078</v>
      </c>
      <c r="C2452" s="7">
        <v>1107452</v>
      </c>
      <c r="D2452" s="7">
        <v>1048583</v>
      </c>
      <c r="E2452" s="7">
        <v>58869</v>
      </c>
      <c r="F2452" t="str">
        <f>VLOOKUP(A2452,[1]!Table1[#All],17,FALSE)</f>
        <v>UNITED STATES</v>
      </c>
      <c r="G2452" t="str">
        <f>VLOOKUP(A2452,[1]!Table1[#All],22,FALSE)</f>
        <v>Trustees Of Columbia University In The City Of New York</v>
      </c>
      <c r="H2452" s="8">
        <f>VLOOKUP(A2452,[1]!Table1[#All],32,FALSE)</f>
        <v>44075</v>
      </c>
      <c r="I2452" s="8">
        <f>VLOOKUP(A2452,[1]!Table1[#All],33,FALSE)</f>
        <v>45929</v>
      </c>
      <c r="J2452" t="str">
        <f t="shared" ca="1" si="40"/>
        <v>Non UDO</v>
      </c>
    </row>
    <row r="2453" spans="1:10" x14ac:dyDescent="0.35">
      <c r="A2453" s="9" t="s">
        <v>79</v>
      </c>
      <c r="B2453" s="10">
        <v>45108</v>
      </c>
      <c r="C2453" s="11">
        <v>1107452</v>
      </c>
      <c r="D2453" s="11">
        <v>1051237.04</v>
      </c>
      <c r="E2453" s="11">
        <v>56214.959999999992</v>
      </c>
      <c r="F2453" t="str">
        <f>VLOOKUP(A2453,[1]!Table1[#All],17,FALSE)</f>
        <v>UNITED STATES</v>
      </c>
      <c r="G2453" t="str">
        <f>VLOOKUP(A2453,[1]!Table1[#All],22,FALSE)</f>
        <v>Trustees Of Columbia University In The City Of New York</v>
      </c>
      <c r="H2453" s="8">
        <f>VLOOKUP(A2453,[1]!Table1[#All],32,FALSE)</f>
        <v>44075</v>
      </c>
      <c r="I2453" s="8">
        <f>VLOOKUP(A2453,[1]!Table1[#All],33,FALSE)</f>
        <v>45929</v>
      </c>
      <c r="J2453" t="str">
        <f t="shared" ca="1" si="40"/>
        <v>Non UDO</v>
      </c>
    </row>
    <row r="2454" spans="1:10" x14ac:dyDescent="0.35">
      <c r="A2454" s="5" t="s">
        <v>79</v>
      </c>
      <c r="B2454" s="6">
        <v>45139</v>
      </c>
      <c r="C2454" s="7">
        <v>1107452</v>
      </c>
      <c r="D2454" s="7">
        <v>1053314.6800000002</v>
      </c>
      <c r="E2454" s="7">
        <v>54137.319999999992</v>
      </c>
      <c r="F2454" t="str">
        <f>VLOOKUP(A2454,[1]!Table1[#All],17,FALSE)</f>
        <v>UNITED STATES</v>
      </c>
      <c r="G2454" t="str">
        <f>VLOOKUP(A2454,[1]!Table1[#All],22,FALSE)</f>
        <v>Trustees Of Columbia University In The City Of New York</v>
      </c>
      <c r="H2454" s="8">
        <f>VLOOKUP(A2454,[1]!Table1[#All],32,FALSE)</f>
        <v>44075</v>
      </c>
      <c r="I2454" s="8">
        <f>VLOOKUP(A2454,[1]!Table1[#All],33,FALSE)</f>
        <v>45929</v>
      </c>
      <c r="J2454" t="str">
        <f t="shared" ca="1" si="40"/>
        <v>Non UDO</v>
      </c>
    </row>
    <row r="2455" spans="1:10" x14ac:dyDescent="0.35">
      <c r="A2455" s="9" t="s">
        <v>79</v>
      </c>
      <c r="B2455" s="10">
        <v>45170</v>
      </c>
      <c r="C2455" s="11">
        <v>1107452</v>
      </c>
      <c r="D2455" s="11">
        <v>1053329.08</v>
      </c>
      <c r="E2455" s="11">
        <v>54122.92</v>
      </c>
      <c r="F2455" t="str">
        <f>VLOOKUP(A2455,[1]!Table1[#All],17,FALSE)</f>
        <v>UNITED STATES</v>
      </c>
      <c r="G2455" t="str">
        <f>VLOOKUP(A2455,[1]!Table1[#All],22,FALSE)</f>
        <v>Trustees Of Columbia University In The City Of New York</v>
      </c>
      <c r="H2455" s="8">
        <f>VLOOKUP(A2455,[1]!Table1[#All],32,FALSE)</f>
        <v>44075</v>
      </c>
      <c r="I2455" s="8">
        <f>VLOOKUP(A2455,[1]!Table1[#All],33,FALSE)</f>
        <v>45929</v>
      </c>
      <c r="J2455" t="str">
        <f t="shared" ca="1" si="40"/>
        <v>Non UDO</v>
      </c>
    </row>
    <row r="2456" spans="1:10" x14ac:dyDescent="0.35">
      <c r="A2456" s="5" t="s">
        <v>80</v>
      </c>
      <c r="B2456" s="6">
        <v>44105</v>
      </c>
      <c r="C2456" s="7">
        <v>2976906</v>
      </c>
      <c r="D2456" s="7">
        <v>0</v>
      </c>
      <c r="E2456" s="11">
        <f t="shared" ref="E2456:E2490" si="41">C2456-D2456</f>
        <v>2976906</v>
      </c>
      <c r="F2456" t="str">
        <f>VLOOKUP(A2456,[1]!Table1[#All],17,FALSE)</f>
        <v>UGANDA</v>
      </c>
      <c r="G2456" t="str">
        <f>VLOOKUP(A2456,[1]!Table1[#All],22,FALSE)</f>
        <v>African Field Epidemology Network Limited AFENET -</v>
      </c>
      <c r="H2456" s="8">
        <f>VLOOKUP(A2456,[1]!Table1[#All],32,FALSE)</f>
        <v>44104</v>
      </c>
      <c r="I2456" s="8">
        <f>VLOOKUP(A2456,[1]!Table1[#All],33,FALSE)</f>
        <v>45929</v>
      </c>
      <c r="J2456" t="str">
        <f t="shared" ca="1" si="40"/>
        <v>Non UDO</v>
      </c>
    </row>
    <row r="2457" spans="1:10" x14ac:dyDescent="0.35">
      <c r="A2457" s="9" t="s">
        <v>80</v>
      </c>
      <c r="B2457" s="10">
        <v>44136</v>
      </c>
      <c r="C2457" s="11">
        <v>2976906</v>
      </c>
      <c r="D2457" s="11">
        <v>0</v>
      </c>
      <c r="E2457" s="11">
        <f t="shared" si="41"/>
        <v>2976906</v>
      </c>
      <c r="F2457" t="str">
        <f>VLOOKUP(A2457,[1]!Table1[#All],17,FALSE)</f>
        <v>UGANDA</v>
      </c>
      <c r="G2457" t="str">
        <f>VLOOKUP(A2457,[1]!Table1[#All],22,FALSE)</f>
        <v>African Field Epidemology Network Limited AFENET -</v>
      </c>
      <c r="H2457" s="8">
        <f>VLOOKUP(A2457,[1]!Table1[#All],32,FALSE)</f>
        <v>44104</v>
      </c>
      <c r="I2457" s="8">
        <f>VLOOKUP(A2457,[1]!Table1[#All],33,FALSE)</f>
        <v>45929</v>
      </c>
      <c r="J2457" t="str">
        <f t="shared" ca="1" si="40"/>
        <v>Non UDO</v>
      </c>
    </row>
    <row r="2458" spans="1:10" x14ac:dyDescent="0.35">
      <c r="A2458" s="5" t="s">
        <v>80</v>
      </c>
      <c r="B2458" s="6">
        <v>44166</v>
      </c>
      <c r="C2458" s="7">
        <v>2976906</v>
      </c>
      <c r="D2458" s="7">
        <v>0</v>
      </c>
      <c r="E2458" s="11">
        <f t="shared" si="41"/>
        <v>2976906</v>
      </c>
      <c r="F2458" t="str">
        <f>VLOOKUP(A2458,[1]!Table1[#All],17,FALSE)</f>
        <v>UGANDA</v>
      </c>
      <c r="G2458" t="str">
        <f>VLOOKUP(A2458,[1]!Table1[#All],22,FALSE)</f>
        <v>African Field Epidemology Network Limited AFENET -</v>
      </c>
      <c r="H2458" s="8">
        <f>VLOOKUP(A2458,[1]!Table1[#All],32,FALSE)</f>
        <v>44104</v>
      </c>
      <c r="I2458" s="8">
        <f>VLOOKUP(A2458,[1]!Table1[#All],33,FALSE)</f>
        <v>45929</v>
      </c>
      <c r="J2458" t="str">
        <f t="shared" ca="1" si="40"/>
        <v>Non UDO</v>
      </c>
    </row>
    <row r="2459" spans="1:10" x14ac:dyDescent="0.35">
      <c r="A2459" s="9" t="s">
        <v>80</v>
      </c>
      <c r="B2459" s="10">
        <v>44197</v>
      </c>
      <c r="C2459" s="11">
        <v>2976906</v>
      </c>
      <c r="D2459" s="11">
        <v>0</v>
      </c>
      <c r="E2459" s="11">
        <f t="shared" si="41"/>
        <v>2976906</v>
      </c>
      <c r="F2459" t="str">
        <f>VLOOKUP(A2459,[1]!Table1[#All],17,FALSE)</f>
        <v>UGANDA</v>
      </c>
      <c r="G2459" t="str">
        <f>VLOOKUP(A2459,[1]!Table1[#All],22,FALSE)</f>
        <v>African Field Epidemology Network Limited AFENET -</v>
      </c>
      <c r="H2459" s="8">
        <f>VLOOKUP(A2459,[1]!Table1[#All],32,FALSE)</f>
        <v>44104</v>
      </c>
      <c r="I2459" s="8">
        <f>VLOOKUP(A2459,[1]!Table1[#All],33,FALSE)</f>
        <v>45929</v>
      </c>
      <c r="J2459" t="str">
        <f t="shared" ca="1" si="40"/>
        <v>Non UDO</v>
      </c>
    </row>
    <row r="2460" spans="1:10" x14ac:dyDescent="0.35">
      <c r="A2460" s="5" t="s">
        <v>80</v>
      </c>
      <c r="B2460" s="6">
        <v>44228</v>
      </c>
      <c r="C2460" s="7">
        <v>2976906</v>
      </c>
      <c r="D2460" s="7">
        <v>0</v>
      </c>
      <c r="E2460" s="11">
        <f t="shared" si="41"/>
        <v>2976906</v>
      </c>
      <c r="F2460" t="str">
        <f>VLOOKUP(A2460,[1]!Table1[#All],17,FALSE)</f>
        <v>UGANDA</v>
      </c>
      <c r="G2460" t="str">
        <f>VLOOKUP(A2460,[1]!Table1[#All],22,FALSE)</f>
        <v>African Field Epidemology Network Limited AFENET -</v>
      </c>
      <c r="H2460" s="8">
        <f>VLOOKUP(A2460,[1]!Table1[#All],32,FALSE)</f>
        <v>44104</v>
      </c>
      <c r="I2460" s="8">
        <f>VLOOKUP(A2460,[1]!Table1[#All],33,FALSE)</f>
        <v>45929</v>
      </c>
      <c r="J2460" t="str">
        <f t="shared" ca="1" si="40"/>
        <v>Non UDO</v>
      </c>
    </row>
    <row r="2461" spans="1:10" x14ac:dyDescent="0.35">
      <c r="A2461" s="9" t="s">
        <v>80</v>
      </c>
      <c r="B2461" s="10">
        <v>44256</v>
      </c>
      <c r="C2461" s="11">
        <v>2976906</v>
      </c>
      <c r="D2461" s="11">
        <v>0</v>
      </c>
      <c r="E2461" s="11">
        <f t="shared" si="41"/>
        <v>2976906</v>
      </c>
      <c r="F2461" t="str">
        <f>VLOOKUP(A2461,[1]!Table1[#All],17,FALSE)</f>
        <v>UGANDA</v>
      </c>
      <c r="G2461" t="str">
        <f>VLOOKUP(A2461,[1]!Table1[#All],22,FALSE)</f>
        <v>African Field Epidemology Network Limited AFENET -</v>
      </c>
      <c r="H2461" s="8">
        <f>VLOOKUP(A2461,[1]!Table1[#All],32,FALSE)</f>
        <v>44104</v>
      </c>
      <c r="I2461" s="8">
        <f>VLOOKUP(A2461,[1]!Table1[#All],33,FALSE)</f>
        <v>45929</v>
      </c>
      <c r="J2461" t="str">
        <f t="shared" ca="1" si="40"/>
        <v>Non UDO</v>
      </c>
    </row>
    <row r="2462" spans="1:10" x14ac:dyDescent="0.35">
      <c r="A2462" s="5" t="s">
        <v>80</v>
      </c>
      <c r="B2462" s="6">
        <v>44287</v>
      </c>
      <c r="C2462" s="7">
        <v>2976906</v>
      </c>
      <c r="D2462" s="7">
        <v>0</v>
      </c>
      <c r="E2462" s="11">
        <f t="shared" si="41"/>
        <v>2976906</v>
      </c>
      <c r="F2462" t="str">
        <f>VLOOKUP(A2462,[1]!Table1[#All],17,FALSE)</f>
        <v>UGANDA</v>
      </c>
      <c r="G2462" t="str">
        <f>VLOOKUP(A2462,[1]!Table1[#All],22,FALSE)</f>
        <v>African Field Epidemology Network Limited AFENET -</v>
      </c>
      <c r="H2462" s="8">
        <f>VLOOKUP(A2462,[1]!Table1[#All],32,FALSE)</f>
        <v>44104</v>
      </c>
      <c r="I2462" s="8">
        <f>VLOOKUP(A2462,[1]!Table1[#All],33,FALSE)</f>
        <v>45929</v>
      </c>
      <c r="J2462" t="str">
        <f t="shared" ca="1" si="40"/>
        <v>Non UDO</v>
      </c>
    </row>
    <row r="2463" spans="1:10" x14ac:dyDescent="0.35">
      <c r="A2463" s="9" t="s">
        <v>80</v>
      </c>
      <c r="B2463" s="10">
        <v>44317</v>
      </c>
      <c r="C2463" s="11">
        <v>2976906</v>
      </c>
      <c r="D2463" s="11">
        <v>0</v>
      </c>
      <c r="E2463" s="11">
        <f t="shared" si="41"/>
        <v>2976906</v>
      </c>
      <c r="F2463" t="str">
        <f>VLOOKUP(A2463,[1]!Table1[#All],17,FALSE)</f>
        <v>UGANDA</v>
      </c>
      <c r="G2463" t="str">
        <f>VLOOKUP(A2463,[1]!Table1[#All],22,FALSE)</f>
        <v>African Field Epidemology Network Limited AFENET -</v>
      </c>
      <c r="H2463" s="8">
        <f>VLOOKUP(A2463,[1]!Table1[#All],32,FALSE)</f>
        <v>44104</v>
      </c>
      <c r="I2463" s="8">
        <f>VLOOKUP(A2463,[1]!Table1[#All],33,FALSE)</f>
        <v>45929</v>
      </c>
      <c r="J2463" t="str">
        <f t="shared" ca="1" si="40"/>
        <v>Non UDO</v>
      </c>
    </row>
    <row r="2464" spans="1:10" x14ac:dyDescent="0.35">
      <c r="A2464" s="5" t="s">
        <v>80</v>
      </c>
      <c r="B2464" s="6">
        <v>44348</v>
      </c>
      <c r="C2464" s="7">
        <v>2976906</v>
      </c>
      <c r="D2464" s="7">
        <v>0</v>
      </c>
      <c r="E2464" s="11">
        <f t="shared" si="41"/>
        <v>2976906</v>
      </c>
      <c r="F2464" t="str">
        <f>VLOOKUP(A2464,[1]!Table1[#All],17,FALSE)</f>
        <v>UGANDA</v>
      </c>
      <c r="G2464" t="str">
        <f>VLOOKUP(A2464,[1]!Table1[#All],22,FALSE)</f>
        <v>African Field Epidemology Network Limited AFENET -</v>
      </c>
      <c r="H2464" s="8">
        <f>VLOOKUP(A2464,[1]!Table1[#All],32,FALSE)</f>
        <v>44104</v>
      </c>
      <c r="I2464" s="8">
        <f>VLOOKUP(A2464,[1]!Table1[#All],33,FALSE)</f>
        <v>45929</v>
      </c>
      <c r="J2464" t="str">
        <f t="shared" ca="1" si="40"/>
        <v>Non UDO</v>
      </c>
    </row>
    <row r="2465" spans="1:10" x14ac:dyDescent="0.35">
      <c r="A2465" s="9" t="s">
        <v>80</v>
      </c>
      <c r="B2465" s="10">
        <v>44378</v>
      </c>
      <c r="C2465" s="11">
        <v>2976906</v>
      </c>
      <c r="D2465" s="7">
        <v>0</v>
      </c>
      <c r="E2465" s="11">
        <f t="shared" si="41"/>
        <v>2976906</v>
      </c>
      <c r="F2465" t="str">
        <f>VLOOKUP(A2465,[1]!Table1[#All],17,FALSE)</f>
        <v>UGANDA</v>
      </c>
      <c r="G2465" t="str">
        <f>VLOOKUP(A2465,[1]!Table1[#All],22,FALSE)</f>
        <v>African Field Epidemology Network Limited AFENET -</v>
      </c>
      <c r="H2465" s="8">
        <f>VLOOKUP(A2465,[1]!Table1[#All],32,FALSE)</f>
        <v>44104</v>
      </c>
      <c r="I2465" s="8">
        <f>VLOOKUP(A2465,[1]!Table1[#All],33,FALSE)</f>
        <v>45929</v>
      </c>
      <c r="J2465" t="str">
        <f t="shared" ca="1" si="40"/>
        <v>Non UDO</v>
      </c>
    </row>
    <row r="2466" spans="1:10" x14ac:dyDescent="0.35">
      <c r="A2466" s="5" t="s">
        <v>80</v>
      </c>
      <c r="B2466" s="6">
        <v>44409</v>
      </c>
      <c r="C2466" s="7">
        <v>2976906</v>
      </c>
      <c r="D2466" s="7">
        <v>0</v>
      </c>
      <c r="E2466" s="11">
        <f t="shared" si="41"/>
        <v>2976906</v>
      </c>
      <c r="F2466" t="str">
        <f>VLOOKUP(A2466,[1]!Table1[#All],17,FALSE)</f>
        <v>UGANDA</v>
      </c>
      <c r="G2466" t="str">
        <f>VLOOKUP(A2466,[1]!Table1[#All],22,FALSE)</f>
        <v>African Field Epidemology Network Limited AFENET -</v>
      </c>
      <c r="H2466" s="8">
        <f>VLOOKUP(A2466,[1]!Table1[#All],32,FALSE)</f>
        <v>44104</v>
      </c>
      <c r="I2466" s="8">
        <f>VLOOKUP(A2466,[1]!Table1[#All],33,FALSE)</f>
        <v>45929</v>
      </c>
      <c r="J2466" t="str">
        <f t="shared" ca="1" si="40"/>
        <v>Non UDO</v>
      </c>
    </row>
    <row r="2467" spans="1:10" x14ac:dyDescent="0.35">
      <c r="A2467" s="9" t="s">
        <v>80</v>
      </c>
      <c r="B2467" s="10">
        <v>44440</v>
      </c>
      <c r="C2467" s="11">
        <v>2976906</v>
      </c>
      <c r="D2467" s="7">
        <v>0</v>
      </c>
      <c r="E2467" s="11">
        <f t="shared" si="41"/>
        <v>2976906</v>
      </c>
      <c r="F2467" t="str">
        <f>VLOOKUP(A2467,[1]!Table1[#All],17,FALSE)</f>
        <v>UGANDA</v>
      </c>
      <c r="G2467" t="str">
        <f>VLOOKUP(A2467,[1]!Table1[#All],22,FALSE)</f>
        <v>African Field Epidemology Network Limited AFENET -</v>
      </c>
      <c r="H2467" s="8">
        <f>VLOOKUP(A2467,[1]!Table1[#All],32,FALSE)</f>
        <v>44104</v>
      </c>
      <c r="I2467" s="8">
        <f>VLOOKUP(A2467,[1]!Table1[#All],33,FALSE)</f>
        <v>45929</v>
      </c>
      <c r="J2467" t="str">
        <f t="shared" ca="1" si="40"/>
        <v>Non UDO</v>
      </c>
    </row>
    <row r="2468" spans="1:10" x14ac:dyDescent="0.35">
      <c r="A2468" s="5" t="s">
        <v>80</v>
      </c>
      <c r="B2468" s="6">
        <v>44470</v>
      </c>
      <c r="C2468" s="7">
        <v>2976906</v>
      </c>
      <c r="D2468" s="7">
        <v>0</v>
      </c>
      <c r="E2468" s="11">
        <f t="shared" si="41"/>
        <v>2976906</v>
      </c>
      <c r="F2468" t="str">
        <f>VLOOKUP(A2468,[1]!Table1[#All],17,FALSE)</f>
        <v>UGANDA</v>
      </c>
      <c r="G2468" t="str">
        <f>VLOOKUP(A2468,[1]!Table1[#All],22,FALSE)</f>
        <v>African Field Epidemology Network Limited AFENET -</v>
      </c>
      <c r="H2468" s="8">
        <f>VLOOKUP(A2468,[1]!Table1[#All],32,FALSE)</f>
        <v>44104</v>
      </c>
      <c r="I2468" s="8">
        <f>VLOOKUP(A2468,[1]!Table1[#All],33,FALSE)</f>
        <v>45929</v>
      </c>
      <c r="J2468" t="str">
        <f t="shared" ca="1" si="40"/>
        <v>Non UDO</v>
      </c>
    </row>
    <row r="2469" spans="1:10" x14ac:dyDescent="0.35">
      <c r="A2469" s="9" t="s">
        <v>80</v>
      </c>
      <c r="B2469" s="10">
        <v>44501</v>
      </c>
      <c r="C2469" s="11">
        <v>2976906</v>
      </c>
      <c r="D2469" s="7">
        <v>0</v>
      </c>
      <c r="E2469" s="11">
        <f t="shared" si="41"/>
        <v>2976906</v>
      </c>
      <c r="F2469" t="str">
        <f>VLOOKUP(A2469,[1]!Table1[#All],17,FALSE)</f>
        <v>UGANDA</v>
      </c>
      <c r="G2469" t="str">
        <f>VLOOKUP(A2469,[1]!Table1[#All],22,FALSE)</f>
        <v>African Field Epidemology Network Limited AFENET -</v>
      </c>
      <c r="H2469" s="8">
        <f>VLOOKUP(A2469,[1]!Table1[#All],32,FALSE)</f>
        <v>44104</v>
      </c>
      <c r="I2469" s="8">
        <f>VLOOKUP(A2469,[1]!Table1[#All],33,FALSE)</f>
        <v>45929</v>
      </c>
      <c r="J2469" t="str">
        <f t="shared" ca="1" si="40"/>
        <v>Non UDO</v>
      </c>
    </row>
    <row r="2470" spans="1:10" x14ac:dyDescent="0.35">
      <c r="A2470" s="5" t="s">
        <v>80</v>
      </c>
      <c r="B2470" s="6">
        <v>44531</v>
      </c>
      <c r="C2470" s="7">
        <v>2976906</v>
      </c>
      <c r="D2470" s="7">
        <v>0</v>
      </c>
      <c r="E2470" s="11">
        <f t="shared" si="41"/>
        <v>2976906</v>
      </c>
      <c r="F2470" t="str">
        <f>VLOOKUP(A2470,[1]!Table1[#All],17,FALSE)</f>
        <v>UGANDA</v>
      </c>
      <c r="G2470" t="str">
        <f>VLOOKUP(A2470,[1]!Table1[#All],22,FALSE)</f>
        <v>African Field Epidemology Network Limited AFENET -</v>
      </c>
      <c r="H2470" s="8">
        <f>VLOOKUP(A2470,[1]!Table1[#All],32,FALSE)</f>
        <v>44104</v>
      </c>
      <c r="I2470" s="8">
        <f>VLOOKUP(A2470,[1]!Table1[#All],33,FALSE)</f>
        <v>45929</v>
      </c>
      <c r="J2470" t="str">
        <f t="shared" ca="1" si="40"/>
        <v>Non UDO</v>
      </c>
    </row>
    <row r="2471" spans="1:10" x14ac:dyDescent="0.35">
      <c r="A2471" s="9" t="s">
        <v>80</v>
      </c>
      <c r="B2471" s="10">
        <v>44562</v>
      </c>
      <c r="C2471" s="11">
        <v>2976906</v>
      </c>
      <c r="D2471" s="7">
        <v>0</v>
      </c>
      <c r="E2471" s="11">
        <f t="shared" si="41"/>
        <v>2976906</v>
      </c>
      <c r="F2471" t="str">
        <f>VLOOKUP(A2471,[1]!Table1[#All],17,FALSE)</f>
        <v>UGANDA</v>
      </c>
      <c r="G2471" t="str">
        <f>VLOOKUP(A2471,[1]!Table1[#All],22,FALSE)</f>
        <v>African Field Epidemology Network Limited AFENET -</v>
      </c>
      <c r="H2471" s="8">
        <f>VLOOKUP(A2471,[1]!Table1[#All],32,FALSE)</f>
        <v>44104</v>
      </c>
      <c r="I2471" s="8">
        <f>VLOOKUP(A2471,[1]!Table1[#All],33,FALSE)</f>
        <v>45929</v>
      </c>
      <c r="J2471" t="str">
        <f t="shared" ca="1" si="40"/>
        <v>Non UDO</v>
      </c>
    </row>
    <row r="2472" spans="1:10" x14ac:dyDescent="0.35">
      <c r="A2472" s="5" t="s">
        <v>80</v>
      </c>
      <c r="B2472" s="6">
        <v>44593</v>
      </c>
      <c r="C2472" s="7">
        <v>2976906</v>
      </c>
      <c r="D2472" s="7">
        <v>0</v>
      </c>
      <c r="E2472" s="11">
        <f t="shared" si="41"/>
        <v>2976906</v>
      </c>
      <c r="F2472" t="str">
        <f>VLOOKUP(A2472,[1]!Table1[#All],17,FALSE)</f>
        <v>UGANDA</v>
      </c>
      <c r="G2472" t="str">
        <f>VLOOKUP(A2472,[1]!Table1[#All],22,FALSE)</f>
        <v>African Field Epidemology Network Limited AFENET -</v>
      </c>
      <c r="H2472" s="8">
        <f>VLOOKUP(A2472,[1]!Table1[#All],32,FALSE)</f>
        <v>44104</v>
      </c>
      <c r="I2472" s="8">
        <f>VLOOKUP(A2472,[1]!Table1[#All],33,FALSE)</f>
        <v>45929</v>
      </c>
      <c r="J2472" t="str">
        <f t="shared" ca="1" si="40"/>
        <v>Non UDO</v>
      </c>
    </row>
    <row r="2473" spans="1:10" x14ac:dyDescent="0.35">
      <c r="A2473" s="9" t="s">
        <v>80</v>
      </c>
      <c r="B2473" s="10">
        <v>44621</v>
      </c>
      <c r="C2473" s="11">
        <v>2976906</v>
      </c>
      <c r="D2473" s="7">
        <v>0</v>
      </c>
      <c r="E2473" s="11">
        <f t="shared" si="41"/>
        <v>2976906</v>
      </c>
      <c r="F2473" t="str">
        <f>VLOOKUP(A2473,[1]!Table1[#All],17,FALSE)</f>
        <v>UGANDA</v>
      </c>
      <c r="G2473" t="str">
        <f>VLOOKUP(A2473,[1]!Table1[#All],22,FALSE)</f>
        <v>African Field Epidemology Network Limited AFENET -</v>
      </c>
      <c r="H2473" s="8">
        <f>VLOOKUP(A2473,[1]!Table1[#All],32,FALSE)</f>
        <v>44104</v>
      </c>
      <c r="I2473" s="8">
        <f>VLOOKUP(A2473,[1]!Table1[#All],33,FALSE)</f>
        <v>45929</v>
      </c>
      <c r="J2473" t="str">
        <f t="shared" ca="1" si="40"/>
        <v>Non UDO</v>
      </c>
    </row>
    <row r="2474" spans="1:10" x14ac:dyDescent="0.35">
      <c r="A2474" s="5" t="s">
        <v>80</v>
      </c>
      <c r="B2474" s="6">
        <v>44652</v>
      </c>
      <c r="C2474" s="7">
        <v>2976906</v>
      </c>
      <c r="D2474" s="7">
        <v>0</v>
      </c>
      <c r="E2474" s="11">
        <f t="shared" si="41"/>
        <v>2976906</v>
      </c>
      <c r="F2474" t="str">
        <f>VLOOKUP(A2474,[1]!Table1[#All],17,FALSE)</f>
        <v>UGANDA</v>
      </c>
      <c r="G2474" t="str">
        <f>VLOOKUP(A2474,[1]!Table1[#All],22,FALSE)</f>
        <v>African Field Epidemology Network Limited AFENET -</v>
      </c>
      <c r="H2474" s="8">
        <f>VLOOKUP(A2474,[1]!Table1[#All],32,FALSE)</f>
        <v>44104</v>
      </c>
      <c r="I2474" s="8">
        <f>VLOOKUP(A2474,[1]!Table1[#All],33,FALSE)</f>
        <v>45929</v>
      </c>
      <c r="J2474" t="str">
        <f t="shared" ca="1" si="40"/>
        <v>Non UDO</v>
      </c>
    </row>
    <row r="2475" spans="1:10" x14ac:dyDescent="0.35">
      <c r="A2475" s="9" t="s">
        <v>80</v>
      </c>
      <c r="B2475" s="10">
        <v>44682</v>
      </c>
      <c r="C2475" s="11">
        <v>2976906</v>
      </c>
      <c r="D2475" s="7">
        <v>0</v>
      </c>
      <c r="E2475" s="11">
        <f t="shared" si="41"/>
        <v>2976906</v>
      </c>
      <c r="F2475" t="str">
        <f>VLOOKUP(A2475,[1]!Table1[#All],17,FALSE)</f>
        <v>UGANDA</v>
      </c>
      <c r="G2475" t="str">
        <f>VLOOKUP(A2475,[1]!Table1[#All],22,FALSE)</f>
        <v>African Field Epidemology Network Limited AFENET -</v>
      </c>
      <c r="H2475" s="8">
        <f>VLOOKUP(A2475,[1]!Table1[#All],32,FALSE)</f>
        <v>44104</v>
      </c>
      <c r="I2475" s="8">
        <f>VLOOKUP(A2475,[1]!Table1[#All],33,FALSE)</f>
        <v>45929</v>
      </c>
      <c r="J2475" t="str">
        <f t="shared" ca="1" si="40"/>
        <v>Non UDO</v>
      </c>
    </row>
    <row r="2476" spans="1:10" x14ac:dyDescent="0.35">
      <c r="A2476" s="5" t="s">
        <v>80</v>
      </c>
      <c r="B2476" s="6">
        <v>44713</v>
      </c>
      <c r="C2476" s="7">
        <v>2976906</v>
      </c>
      <c r="D2476" s="7">
        <v>0</v>
      </c>
      <c r="E2476" s="11">
        <f t="shared" si="41"/>
        <v>2976906</v>
      </c>
      <c r="F2476" t="str">
        <f>VLOOKUP(A2476,[1]!Table1[#All],17,FALSE)</f>
        <v>UGANDA</v>
      </c>
      <c r="G2476" t="str">
        <f>VLOOKUP(A2476,[1]!Table1[#All],22,FALSE)</f>
        <v>African Field Epidemology Network Limited AFENET -</v>
      </c>
      <c r="H2476" s="8">
        <f>VLOOKUP(A2476,[1]!Table1[#All],32,FALSE)</f>
        <v>44104</v>
      </c>
      <c r="I2476" s="8">
        <f>VLOOKUP(A2476,[1]!Table1[#All],33,FALSE)</f>
        <v>45929</v>
      </c>
      <c r="J2476" t="str">
        <f t="shared" ca="1" si="40"/>
        <v>Non UDO</v>
      </c>
    </row>
    <row r="2477" spans="1:10" x14ac:dyDescent="0.35">
      <c r="A2477" s="9" t="s">
        <v>80</v>
      </c>
      <c r="B2477" s="10">
        <v>44743</v>
      </c>
      <c r="C2477" s="11">
        <v>2976906</v>
      </c>
      <c r="D2477" s="7">
        <v>0</v>
      </c>
      <c r="E2477" s="11">
        <f t="shared" si="41"/>
        <v>2976906</v>
      </c>
      <c r="F2477" t="str">
        <f>VLOOKUP(A2477,[1]!Table1[#All],17,FALSE)</f>
        <v>UGANDA</v>
      </c>
      <c r="G2477" t="str">
        <f>VLOOKUP(A2477,[1]!Table1[#All],22,FALSE)</f>
        <v>African Field Epidemology Network Limited AFENET -</v>
      </c>
      <c r="H2477" s="8">
        <f>VLOOKUP(A2477,[1]!Table1[#All],32,FALSE)</f>
        <v>44104</v>
      </c>
      <c r="I2477" s="8">
        <f>VLOOKUP(A2477,[1]!Table1[#All],33,FALSE)</f>
        <v>45929</v>
      </c>
      <c r="J2477" t="str">
        <f t="shared" ca="1" si="40"/>
        <v>Non UDO</v>
      </c>
    </row>
    <row r="2478" spans="1:10" x14ac:dyDescent="0.35">
      <c r="A2478" s="5" t="s">
        <v>80</v>
      </c>
      <c r="B2478" s="6">
        <v>44774</v>
      </c>
      <c r="C2478" s="7">
        <v>2976906</v>
      </c>
      <c r="D2478" s="7">
        <v>0</v>
      </c>
      <c r="E2478" s="11">
        <f t="shared" si="41"/>
        <v>2976906</v>
      </c>
      <c r="F2478" t="str">
        <f>VLOOKUP(A2478,[1]!Table1[#All],17,FALSE)</f>
        <v>UGANDA</v>
      </c>
      <c r="G2478" t="str">
        <f>VLOOKUP(A2478,[1]!Table1[#All],22,FALSE)</f>
        <v>African Field Epidemology Network Limited AFENET -</v>
      </c>
      <c r="H2478" s="8">
        <f>VLOOKUP(A2478,[1]!Table1[#All],32,FALSE)</f>
        <v>44104</v>
      </c>
      <c r="I2478" s="8">
        <f>VLOOKUP(A2478,[1]!Table1[#All],33,FALSE)</f>
        <v>45929</v>
      </c>
      <c r="J2478" t="str">
        <f t="shared" ca="1" si="40"/>
        <v>Non UDO</v>
      </c>
    </row>
    <row r="2479" spans="1:10" x14ac:dyDescent="0.35">
      <c r="A2479" s="9" t="s">
        <v>80</v>
      </c>
      <c r="B2479" s="10">
        <v>44805</v>
      </c>
      <c r="C2479" s="11">
        <v>2976906</v>
      </c>
      <c r="D2479" s="7">
        <v>0</v>
      </c>
      <c r="E2479" s="11">
        <f t="shared" si="41"/>
        <v>2976906</v>
      </c>
      <c r="F2479" t="str">
        <f>VLOOKUP(A2479,[1]!Table1[#All],17,FALSE)</f>
        <v>UGANDA</v>
      </c>
      <c r="G2479" t="str">
        <f>VLOOKUP(A2479,[1]!Table1[#All],22,FALSE)</f>
        <v>African Field Epidemology Network Limited AFENET -</v>
      </c>
      <c r="H2479" s="8">
        <f>VLOOKUP(A2479,[1]!Table1[#All],32,FALSE)</f>
        <v>44104</v>
      </c>
      <c r="I2479" s="8">
        <f>VLOOKUP(A2479,[1]!Table1[#All],33,FALSE)</f>
        <v>45929</v>
      </c>
      <c r="J2479" t="str">
        <f t="shared" ca="1" si="40"/>
        <v>Non UDO</v>
      </c>
    </row>
    <row r="2480" spans="1:10" x14ac:dyDescent="0.35">
      <c r="A2480" s="5" t="s">
        <v>80</v>
      </c>
      <c r="B2480" s="6">
        <v>44835</v>
      </c>
      <c r="C2480" s="7">
        <v>2976906</v>
      </c>
      <c r="D2480" s="7">
        <v>0</v>
      </c>
      <c r="E2480" s="11">
        <f t="shared" si="41"/>
        <v>2976906</v>
      </c>
      <c r="F2480" t="str">
        <f>VLOOKUP(A2480,[1]!Table1[#All],17,FALSE)</f>
        <v>UGANDA</v>
      </c>
      <c r="G2480" t="str">
        <f>VLOOKUP(A2480,[1]!Table1[#All],22,FALSE)</f>
        <v>African Field Epidemology Network Limited AFENET -</v>
      </c>
      <c r="H2480" s="8">
        <f>VLOOKUP(A2480,[1]!Table1[#All],32,FALSE)</f>
        <v>44104</v>
      </c>
      <c r="I2480" s="8">
        <f>VLOOKUP(A2480,[1]!Table1[#All],33,FALSE)</f>
        <v>45929</v>
      </c>
      <c r="J2480" t="str">
        <f t="shared" ca="1" si="40"/>
        <v>Non UDO</v>
      </c>
    </row>
    <row r="2481" spans="1:10" x14ac:dyDescent="0.35">
      <c r="A2481" s="9" t="s">
        <v>80</v>
      </c>
      <c r="B2481" s="10">
        <v>44866</v>
      </c>
      <c r="C2481" s="11">
        <v>2976906</v>
      </c>
      <c r="D2481" s="7">
        <v>0</v>
      </c>
      <c r="E2481" s="11">
        <f t="shared" si="41"/>
        <v>2976906</v>
      </c>
      <c r="F2481" t="str">
        <f>VLOOKUP(A2481,[1]!Table1[#All],17,FALSE)</f>
        <v>UGANDA</v>
      </c>
      <c r="G2481" t="str">
        <f>VLOOKUP(A2481,[1]!Table1[#All],22,FALSE)</f>
        <v>African Field Epidemology Network Limited AFENET -</v>
      </c>
      <c r="H2481" s="8">
        <f>VLOOKUP(A2481,[1]!Table1[#All],32,FALSE)</f>
        <v>44104</v>
      </c>
      <c r="I2481" s="8">
        <f>VLOOKUP(A2481,[1]!Table1[#All],33,FALSE)</f>
        <v>45929</v>
      </c>
      <c r="J2481" t="str">
        <f t="shared" ca="1" si="40"/>
        <v>Non UDO</v>
      </c>
    </row>
    <row r="2482" spans="1:10" x14ac:dyDescent="0.35">
      <c r="A2482" s="5" t="s">
        <v>80</v>
      </c>
      <c r="B2482" s="6">
        <v>44896</v>
      </c>
      <c r="C2482" s="7">
        <v>2976906</v>
      </c>
      <c r="D2482" s="7">
        <v>0</v>
      </c>
      <c r="E2482" s="11">
        <f t="shared" si="41"/>
        <v>2976906</v>
      </c>
      <c r="F2482" t="str">
        <f>VLOOKUP(A2482,[1]!Table1[#All],17,FALSE)</f>
        <v>UGANDA</v>
      </c>
      <c r="G2482" t="str">
        <f>VLOOKUP(A2482,[1]!Table1[#All],22,FALSE)</f>
        <v>African Field Epidemology Network Limited AFENET -</v>
      </c>
      <c r="H2482" s="8">
        <f>VLOOKUP(A2482,[1]!Table1[#All],32,FALSE)</f>
        <v>44104</v>
      </c>
      <c r="I2482" s="8">
        <f>VLOOKUP(A2482,[1]!Table1[#All],33,FALSE)</f>
        <v>45929</v>
      </c>
      <c r="J2482" t="str">
        <f t="shared" ca="1" si="40"/>
        <v>Non UDO</v>
      </c>
    </row>
    <row r="2483" spans="1:10" x14ac:dyDescent="0.35">
      <c r="A2483" s="9" t="s">
        <v>80</v>
      </c>
      <c r="B2483" s="10">
        <v>44927</v>
      </c>
      <c r="C2483" s="11">
        <v>2976906</v>
      </c>
      <c r="D2483" s="7">
        <v>0</v>
      </c>
      <c r="E2483" s="11">
        <f t="shared" si="41"/>
        <v>2976906</v>
      </c>
      <c r="F2483" t="str">
        <f>VLOOKUP(A2483,[1]!Table1[#All],17,FALSE)</f>
        <v>UGANDA</v>
      </c>
      <c r="G2483" t="str">
        <f>VLOOKUP(A2483,[1]!Table1[#All],22,FALSE)</f>
        <v>African Field Epidemology Network Limited AFENET -</v>
      </c>
      <c r="H2483" s="8">
        <f>VLOOKUP(A2483,[1]!Table1[#All],32,FALSE)</f>
        <v>44104</v>
      </c>
      <c r="I2483" s="8">
        <f>VLOOKUP(A2483,[1]!Table1[#All],33,FALSE)</f>
        <v>45929</v>
      </c>
      <c r="J2483" t="str">
        <f t="shared" ca="1" si="40"/>
        <v>Non UDO</v>
      </c>
    </row>
    <row r="2484" spans="1:10" x14ac:dyDescent="0.35">
      <c r="A2484" s="5" t="s">
        <v>80</v>
      </c>
      <c r="B2484" s="6">
        <v>44958</v>
      </c>
      <c r="C2484" s="7">
        <v>2976906</v>
      </c>
      <c r="D2484" s="7">
        <v>0</v>
      </c>
      <c r="E2484" s="11">
        <f t="shared" si="41"/>
        <v>2976906</v>
      </c>
      <c r="F2484" t="str">
        <f>VLOOKUP(A2484,[1]!Table1[#All],17,FALSE)</f>
        <v>UGANDA</v>
      </c>
      <c r="G2484" t="str">
        <f>VLOOKUP(A2484,[1]!Table1[#All],22,FALSE)</f>
        <v>African Field Epidemology Network Limited AFENET -</v>
      </c>
      <c r="H2484" s="8">
        <f>VLOOKUP(A2484,[1]!Table1[#All],32,FALSE)</f>
        <v>44104</v>
      </c>
      <c r="I2484" s="8">
        <f>VLOOKUP(A2484,[1]!Table1[#All],33,FALSE)</f>
        <v>45929</v>
      </c>
      <c r="J2484" t="str">
        <f t="shared" ca="1" si="40"/>
        <v>Non UDO</v>
      </c>
    </row>
    <row r="2485" spans="1:10" x14ac:dyDescent="0.35">
      <c r="A2485" s="9" t="s">
        <v>80</v>
      </c>
      <c r="B2485" s="10">
        <v>44986</v>
      </c>
      <c r="C2485" s="11">
        <v>2976906</v>
      </c>
      <c r="D2485" s="7">
        <v>0</v>
      </c>
      <c r="E2485" s="11">
        <f t="shared" si="41"/>
        <v>2976906</v>
      </c>
      <c r="F2485" t="str">
        <f>VLOOKUP(A2485,[1]!Table1[#All],17,FALSE)</f>
        <v>UGANDA</v>
      </c>
      <c r="G2485" t="str">
        <f>VLOOKUP(A2485,[1]!Table1[#All],22,FALSE)</f>
        <v>African Field Epidemology Network Limited AFENET -</v>
      </c>
      <c r="H2485" s="8">
        <f>VLOOKUP(A2485,[1]!Table1[#All],32,FALSE)</f>
        <v>44104</v>
      </c>
      <c r="I2485" s="8">
        <f>VLOOKUP(A2485,[1]!Table1[#All],33,FALSE)</f>
        <v>45929</v>
      </c>
      <c r="J2485" t="str">
        <f t="shared" ca="1" si="40"/>
        <v>Non UDO</v>
      </c>
    </row>
    <row r="2486" spans="1:10" x14ac:dyDescent="0.35">
      <c r="A2486" s="5" t="s">
        <v>80</v>
      </c>
      <c r="B2486" s="6">
        <v>45017</v>
      </c>
      <c r="C2486" s="7">
        <v>2976906</v>
      </c>
      <c r="D2486" s="7">
        <v>0</v>
      </c>
      <c r="E2486" s="11">
        <f t="shared" si="41"/>
        <v>2976906</v>
      </c>
      <c r="F2486" t="str">
        <f>VLOOKUP(A2486,[1]!Table1[#All],17,FALSE)</f>
        <v>UGANDA</v>
      </c>
      <c r="G2486" t="str">
        <f>VLOOKUP(A2486,[1]!Table1[#All],22,FALSE)</f>
        <v>African Field Epidemology Network Limited AFENET -</v>
      </c>
      <c r="H2486" s="8">
        <f>VLOOKUP(A2486,[1]!Table1[#All],32,FALSE)</f>
        <v>44104</v>
      </c>
      <c r="I2486" s="8">
        <f>VLOOKUP(A2486,[1]!Table1[#All],33,FALSE)</f>
        <v>45929</v>
      </c>
      <c r="J2486" t="str">
        <f t="shared" ca="1" si="40"/>
        <v>Non UDO</v>
      </c>
    </row>
    <row r="2487" spans="1:10" x14ac:dyDescent="0.35">
      <c r="A2487" s="9" t="s">
        <v>80</v>
      </c>
      <c r="B2487" s="10">
        <v>45047</v>
      </c>
      <c r="C2487" s="11">
        <v>2976906</v>
      </c>
      <c r="D2487" s="7">
        <v>0</v>
      </c>
      <c r="E2487" s="11">
        <f t="shared" si="41"/>
        <v>2976906</v>
      </c>
      <c r="F2487" t="str">
        <f>VLOOKUP(A2487,[1]!Table1[#All],17,FALSE)</f>
        <v>UGANDA</v>
      </c>
      <c r="G2487" t="str">
        <f>VLOOKUP(A2487,[1]!Table1[#All],22,FALSE)</f>
        <v>African Field Epidemology Network Limited AFENET -</v>
      </c>
      <c r="H2487" s="8">
        <f>VLOOKUP(A2487,[1]!Table1[#All],32,FALSE)</f>
        <v>44104</v>
      </c>
      <c r="I2487" s="8">
        <f>VLOOKUP(A2487,[1]!Table1[#All],33,FALSE)</f>
        <v>45929</v>
      </c>
      <c r="J2487" t="str">
        <f t="shared" ca="1" si="40"/>
        <v>Non UDO</v>
      </c>
    </row>
    <row r="2488" spans="1:10" x14ac:dyDescent="0.35">
      <c r="A2488" s="5" t="s">
        <v>80</v>
      </c>
      <c r="B2488" s="6">
        <v>45078</v>
      </c>
      <c r="C2488" s="7">
        <v>2976906</v>
      </c>
      <c r="D2488" s="7">
        <v>0</v>
      </c>
      <c r="E2488" s="11">
        <f t="shared" si="41"/>
        <v>2976906</v>
      </c>
      <c r="F2488" t="str">
        <f>VLOOKUP(A2488,[1]!Table1[#All],17,FALSE)</f>
        <v>UGANDA</v>
      </c>
      <c r="G2488" t="str">
        <f>VLOOKUP(A2488,[1]!Table1[#All],22,FALSE)</f>
        <v>African Field Epidemology Network Limited AFENET -</v>
      </c>
      <c r="H2488" s="8">
        <f>VLOOKUP(A2488,[1]!Table1[#All],32,FALSE)</f>
        <v>44104</v>
      </c>
      <c r="I2488" s="8">
        <f>VLOOKUP(A2488,[1]!Table1[#All],33,FALSE)</f>
        <v>45929</v>
      </c>
      <c r="J2488" t="str">
        <f t="shared" ca="1" si="40"/>
        <v>Non UDO</v>
      </c>
    </row>
    <row r="2489" spans="1:10" x14ac:dyDescent="0.35">
      <c r="A2489" s="9" t="s">
        <v>80</v>
      </c>
      <c r="B2489" s="10">
        <v>45108</v>
      </c>
      <c r="C2489" s="11">
        <v>2976906</v>
      </c>
      <c r="D2489" s="7">
        <v>0</v>
      </c>
      <c r="E2489" s="11">
        <f t="shared" si="41"/>
        <v>2976906</v>
      </c>
      <c r="F2489" t="str">
        <f>VLOOKUP(A2489,[1]!Table1[#All],17,FALSE)</f>
        <v>UGANDA</v>
      </c>
      <c r="G2489" t="str">
        <f>VLOOKUP(A2489,[1]!Table1[#All],22,FALSE)</f>
        <v>African Field Epidemology Network Limited AFENET -</v>
      </c>
      <c r="H2489" s="8">
        <f>VLOOKUP(A2489,[1]!Table1[#All],32,FALSE)</f>
        <v>44104</v>
      </c>
      <c r="I2489" s="8">
        <f>VLOOKUP(A2489,[1]!Table1[#All],33,FALSE)</f>
        <v>45929</v>
      </c>
      <c r="J2489" t="str">
        <f t="shared" ca="1" si="40"/>
        <v>Non UDO</v>
      </c>
    </row>
    <row r="2490" spans="1:10" x14ac:dyDescent="0.35">
      <c r="A2490" s="5" t="s">
        <v>80</v>
      </c>
      <c r="B2490" s="6">
        <v>45139</v>
      </c>
      <c r="C2490" s="7">
        <v>2976906</v>
      </c>
      <c r="D2490" s="7">
        <v>0</v>
      </c>
      <c r="E2490" s="11">
        <f t="shared" si="41"/>
        <v>2976906</v>
      </c>
      <c r="F2490" t="str">
        <f>VLOOKUP(A2490,[1]!Table1[#All],17,FALSE)</f>
        <v>UGANDA</v>
      </c>
      <c r="G2490" t="str">
        <f>VLOOKUP(A2490,[1]!Table1[#All],22,FALSE)</f>
        <v>African Field Epidemology Network Limited AFENET -</v>
      </c>
      <c r="H2490" s="8">
        <f>VLOOKUP(A2490,[1]!Table1[#All],32,FALSE)</f>
        <v>44104</v>
      </c>
      <c r="I2490" s="8">
        <f>VLOOKUP(A2490,[1]!Table1[#All],33,FALSE)</f>
        <v>45929</v>
      </c>
      <c r="J2490" t="str">
        <f t="shared" ca="1" si="40"/>
        <v>Non UDO</v>
      </c>
    </row>
    <row r="2491" spans="1:10" x14ac:dyDescent="0.35">
      <c r="A2491" s="9" t="s">
        <v>80</v>
      </c>
      <c r="B2491" s="10">
        <v>45170</v>
      </c>
      <c r="C2491" s="11">
        <v>2976906</v>
      </c>
      <c r="D2491" s="11">
        <f>C2491/2</f>
        <v>1488453</v>
      </c>
      <c r="E2491" s="11">
        <f>C2491-D2491</f>
        <v>1488453</v>
      </c>
      <c r="F2491" t="str">
        <f>VLOOKUP(A2491,[1]!Table1[#All],17,FALSE)</f>
        <v>UGANDA</v>
      </c>
      <c r="G2491" t="str">
        <f>VLOOKUP(A2491,[1]!Table1[#All],22,FALSE)</f>
        <v>African Field Epidemology Network Limited AFENET -</v>
      </c>
      <c r="H2491" s="8">
        <f>VLOOKUP(A2491,[1]!Table1[#All],32,FALSE)</f>
        <v>44104</v>
      </c>
      <c r="I2491" s="8">
        <f>VLOOKUP(A2491,[1]!Table1[#All],33,FALSE)</f>
        <v>45929</v>
      </c>
      <c r="J2491" t="str">
        <f t="shared" ca="1" si="40"/>
        <v>Non UDO</v>
      </c>
    </row>
    <row r="2492" spans="1:10" x14ac:dyDescent="0.35">
      <c r="A2492" s="5" t="s">
        <v>81</v>
      </c>
      <c r="B2492" s="6">
        <v>44105</v>
      </c>
      <c r="C2492" s="7">
        <v>1208350</v>
      </c>
      <c r="D2492" s="7">
        <v>0</v>
      </c>
      <c r="E2492" s="7">
        <v>1208350</v>
      </c>
      <c r="F2492" t="str">
        <f>VLOOKUP(A2492,[1]!Table1[#All],17,FALSE)</f>
        <v>UNITED STATES</v>
      </c>
      <c r="G2492" t="str">
        <f>VLOOKUP(A2492,[1]!Table1[#All],22,FALSE)</f>
        <v>Trustees Of Columbia University In The City Of New</v>
      </c>
      <c r="H2492" s="8">
        <f>VLOOKUP(A2492,[1]!Table1[#All],32,FALSE)</f>
        <v>44104</v>
      </c>
      <c r="I2492" s="8">
        <f>VLOOKUP(A2492,[1]!Table1[#All],33,FALSE)</f>
        <v>45929</v>
      </c>
      <c r="J2492" t="str">
        <f t="shared" ca="1" si="40"/>
        <v>Non UDO</v>
      </c>
    </row>
    <row r="2493" spans="1:10" x14ac:dyDescent="0.35">
      <c r="A2493" s="9" t="s">
        <v>81</v>
      </c>
      <c r="B2493" s="10">
        <v>44136</v>
      </c>
      <c r="C2493" s="11">
        <v>1208350</v>
      </c>
      <c r="D2493" s="11">
        <v>12245.29</v>
      </c>
      <c r="E2493" s="11">
        <v>1196104.71</v>
      </c>
      <c r="F2493" t="str">
        <f>VLOOKUP(A2493,[1]!Table1[#All],17,FALSE)</f>
        <v>UNITED STATES</v>
      </c>
      <c r="G2493" t="str">
        <f>VLOOKUP(A2493,[1]!Table1[#All],22,FALSE)</f>
        <v>Trustees Of Columbia University In The City Of New</v>
      </c>
      <c r="H2493" s="8">
        <f>VLOOKUP(A2493,[1]!Table1[#All],32,FALSE)</f>
        <v>44104</v>
      </c>
      <c r="I2493" s="8">
        <f>VLOOKUP(A2493,[1]!Table1[#All],33,FALSE)</f>
        <v>45929</v>
      </c>
      <c r="J2493" t="str">
        <f t="shared" ca="1" si="40"/>
        <v>Non UDO</v>
      </c>
    </row>
    <row r="2494" spans="1:10" x14ac:dyDescent="0.35">
      <c r="A2494" s="5" t="s">
        <v>81</v>
      </c>
      <c r="B2494" s="6">
        <v>44166</v>
      </c>
      <c r="C2494" s="7">
        <v>1208350</v>
      </c>
      <c r="D2494" s="7">
        <v>97884.87</v>
      </c>
      <c r="E2494" s="7">
        <v>1110465.1300000001</v>
      </c>
      <c r="F2494" t="str">
        <f>VLOOKUP(A2494,[1]!Table1[#All],17,FALSE)</f>
        <v>UNITED STATES</v>
      </c>
      <c r="G2494" t="str">
        <f>VLOOKUP(A2494,[1]!Table1[#All],22,FALSE)</f>
        <v>Trustees Of Columbia University In The City Of New</v>
      </c>
      <c r="H2494" s="8">
        <f>VLOOKUP(A2494,[1]!Table1[#All],32,FALSE)</f>
        <v>44104</v>
      </c>
      <c r="I2494" s="8">
        <f>VLOOKUP(A2494,[1]!Table1[#All],33,FALSE)</f>
        <v>45929</v>
      </c>
      <c r="J2494" t="str">
        <f t="shared" ca="1" si="40"/>
        <v>Non UDO</v>
      </c>
    </row>
    <row r="2495" spans="1:10" x14ac:dyDescent="0.35">
      <c r="A2495" s="9" t="s">
        <v>81</v>
      </c>
      <c r="B2495" s="10">
        <v>44197</v>
      </c>
      <c r="C2495" s="11">
        <v>1208350</v>
      </c>
      <c r="D2495" s="11">
        <v>389074.87</v>
      </c>
      <c r="E2495" s="11">
        <v>819275.13</v>
      </c>
      <c r="F2495" t="str">
        <f>VLOOKUP(A2495,[1]!Table1[#All],17,FALSE)</f>
        <v>UNITED STATES</v>
      </c>
      <c r="G2495" t="str">
        <f>VLOOKUP(A2495,[1]!Table1[#All],22,FALSE)</f>
        <v>Trustees Of Columbia University In The City Of New</v>
      </c>
      <c r="H2495" s="8">
        <f>VLOOKUP(A2495,[1]!Table1[#All],32,FALSE)</f>
        <v>44104</v>
      </c>
      <c r="I2495" s="8">
        <f>VLOOKUP(A2495,[1]!Table1[#All],33,FALSE)</f>
        <v>45929</v>
      </c>
      <c r="J2495" t="str">
        <f t="shared" ca="1" si="40"/>
        <v>Non UDO</v>
      </c>
    </row>
    <row r="2496" spans="1:10" x14ac:dyDescent="0.35">
      <c r="A2496" s="5" t="s">
        <v>81</v>
      </c>
      <c r="B2496" s="6">
        <v>44228</v>
      </c>
      <c r="C2496" s="7">
        <v>1208350</v>
      </c>
      <c r="D2496" s="7">
        <v>500532.09</v>
      </c>
      <c r="E2496" s="7">
        <v>707817.91</v>
      </c>
      <c r="F2496" t="str">
        <f>VLOOKUP(A2496,[1]!Table1[#All],17,FALSE)</f>
        <v>UNITED STATES</v>
      </c>
      <c r="G2496" t="str">
        <f>VLOOKUP(A2496,[1]!Table1[#All],22,FALSE)</f>
        <v>Trustees Of Columbia University In The City Of New</v>
      </c>
      <c r="H2496" s="8">
        <f>VLOOKUP(A2496,[1]!Table1[#All],32,FALSE)</f>
        <v>44104</v>
      </c>
      <c r="I2496" s="8">
        <f>VLOOKUP(A2496,[1]!Table1[#All],33,FALSE)</f>
        <v>45929</v>
      </c>
      <c r="J2496" t="str">
        <f t="shared" ca="1" si="40"/>
        <v>Non UDO</v>
      </c>
    </row>
    <row r="2497" spans="1:10" x14ac:dyDescent="0.35">
      <c r="A2497" s="9" t="s">
        <v>81</v>
      </c>
      <c r="B2497" s="10">
        <v>44256</v>
      </c>
      <c r="C2497" s="11">
        <v>1208350</v>
      </c>
      <c r="D2497" s="11">
        <v>604667.13</v>
      </c>
      <c r="E2497" s="11">
        <v>603682.87</v>
      </c>
      <c r="F2497" t="str">
        <f>VLOOKUP(A2497,[1]!Table1[#All],17,FALSE)</f>
        <v>UNITED STATES</v>
      </c>
      <c r="G2497" t="str">
        <f>VLOOKUP(A2497,[1]!Table1[#All],22,FALSE)</f>
        <v>Trustees Of Columbia University In The City Of New</v>
      </c>
      <c r="H2497" s="8">
        <f>VLOOKUP(A2497,[1]!Table1[#All],32,FALSE)</f>
        <v>44104</v>
      </c>
      <c r="I2497" s="8">
        <f>VLOOKUP(A2497,[1]!Table1[#All],33,FALSE)</f>
        <v>45929</v>
      </c>
      <c r="J2497" t="str">
        <f t="shared" ca="1" si="40"/>
        <v>Non UDO</v>
      </c>
    </row>
    <row r="2498" spans="1:10" x14ac:dyDescent="0.35">
      <c r="A2498" s="5" t="s">
        <v>81</v>
      </c>
      <c r="B2498" s="6">
        <v>44287</v>
      </c>
      <c r="C2498" s="7">
        <v>1037000</v>
      </c>
      <c r="D2498" s="7">
        <v>585777.17000000004</v>
      </c>
      <c r="E2498" s="7">
        <v>451222.83</v>
      </c>
      <c r="F2498" t="str">
        <f>VLOOKUP(A2498,[1]!Table1[#All],17,FALSE)</f>
        <v>UNITED STATES</v>
      </c>
      <c r="G2498" t="str">
        <f>VLOOKUP(A2498,[1]!Table1[#All],22,FALSE)</f>
        <v>Trustees Of Columbia University In The City Of New</v>
      </c>
      <c r="H2498" s="8">
        <f>VLOOKUP(A2498,[1]!Table1[#All],32,FALSE)</f>
        <v>44104</v>
      </c>
      <c r="I2498" s="8">
        <f>VLOOKUP(A2498,[1]!Table1[#All],33,FALSE)</f>
        <v>45929</v>
      </c>
      <c r="J2498" t="str">
        <f t="shared" ca="1" si="40"/>
        <v>Non UDO</v>
      </c>
    </row>
    <row r="2499" spans="1:10" x14ac:dyDescent="0.35">
      <c r="A2499" s="9" t="s">
        <v>81</v>
      </c>
      <c r="B2499" s="10">
        <v>44317</v>
      </c>
      <c r="C2499" s="11">
        <v>1208350</v>
      </c>
      <c r="D2499" s="11">
        <v>927444.34000000008</v>
      </c>
      <c r="E2499" s="11">
        <v>280905.66000000003</v>
      </c>
      <c r="F2499" t="str">
        <f>VLOOKUP(A2499,[1]!Table1[#All],17,FALSE)</f>
        <v>UNITED STATES</v>
      </c>
      <c r="G2499" t="str">
        <f>VLOOKUP(A2499,[1]!Table1[#All],22,FALSE)</f>
        <v>Trustees Of Columbia University In The City Of New</v>
      </c>
      <c r="H2499" s="8">
        <f>VLOOKUP(A2499,[1]!Table1[#All],32,FALSE)</f>
        <v>44104</v>
      </c>
      <c r="I2499" s="8">
        <f>VLOOKUP(A2499,[1]!Table1[#All],33,FALSE)</f>
        <v>45929</v>
      </c>
      <c r="J2499" t="str">
        <f t="shared" ref="J2499:J2562" ca="1" si="42">IF(AND( E2499&gt;0,TODAY()&gt;I2499),"UDO","Non UDO")</f>
        <v>Non UDO</v>
      </c>
    </row>
    <row r="2500" spans="1:10" x14ac:dyDescent="0.35">
      <c r="A2500" s="5" t="s">
        <v>81</v>
      </c>
      <c r="B2500" s="6">
        <v>44348</v>
      </c>
      <c r="C2500" s="7">
        <v>1208350</v>
      </c>
      <c r="D2500" s="7">
        <v>999088.91999999993</v>
      </c>
      <c r="E2500" s="7">
        <v>209261.08000000002</v>
      </c>
      <c r="F2500" t="str">
        <f>VLOOKUP(A2500,[1]!Table1[#All],17,FALSE)</f>
        <v>UNITED STATES</v>
      </c>
      <c r="G2500" t="str">
        <f>VLOOKUP(A2500,[1]!Table1[#All],22,FALSE)</f>
        <v>Trustees Of Columbia University In The City Of New</v>
      </c>
      <c r="H2500" s="8">
        <f>VLOOKUP(A2500,[1]!Table1[#All],32,FALSE)</f>
        <v>44104</v>
      </c>
      <c r="I2500" s="8">
        <f>VLOOKUP(A2500,[1]!Table1[#All],33,FALSE)</f>
        <v>45929</v>
      </c>
      <c r="J2500" t="str">
        <f t="shared" ca="1" si="42"/>
        <v>Non UDO</v>
      </c>
    </row>
    <row r="2501" spans="1:10" x14ac:dyDescent="0.35">
      <c r="A2501" s="9" t="s">
        <v>81</v>
      </c>
      <c r="B2501" s="10">
        <v>44378</v>
      </c>
      <c r="C2501" s="11">
        <v>1208350</v>
      </c>
      <c r="D2501" s="11">
        <v>1157340.8500000001</v>
      </c>
      <c r="E2501" s="11">
        <v>51009.149999999994</v>
      </c>
      <c r="F2501" t="str">
        <f>VLOOKUP(A2501,[1]!Table1[#All],17,FALSE)</f>
        <v>UNITED STATES</v>
      </c>
      <c r="G2501" t="str">
        <f>VLOOKUP(A2501,[1]!Table1[#All],22,FALSE)</f>
        <v>Trustees Of Columbia University In The City Of New</v>
      </c>
      <c r="H2501" s="8">
        <f>VLOOKUP(A2501,[1]!Table1[#All],32,FALSE)</f>
        <v>44104</v>
      </c>
      <c r="I2501" s="8">
        <f>VLOOKUP(A2501,[1]!Table1[#All],33,FALSE)</f>
        <v>45929</v>
      </c>
      <c r="J2501" t="str">
        <f t="shared" ca="1" si="42"/>
        <v>Non UDO</v>
      </c>
    </row>
    <row r="2502" spans="1:10" x14ac:dyDescent="0.35">
      <c r="A2502" s="5" t="s">
        <v>81</v>
      </c>
      <c r="B2502" s="6">
        <v>44409</v>
      </c>
      <c r="C2502" s="7">
        <v>1208350</v>
      </c>
      <c r="D2502" s="7">
        <v>1159999.05</v>
      </c>
      <c r="E2502" s="7">
        <v>48350.95</v>
      </c>
      <c r="F2502" t="str">
        <f>VLOOKUP(A2502,[1]!Table1[#All],17,FALSE)</f>
        <v>UNITED STATES</v>
      </c>
      <c r="G2502" t="str">
        <f>VLOOKUP(A2502,[1]!Table1[#All],22,FALSE)</f>
        <v>Trustees Of Columbia University In The City Of New</v>
      </c>
      <c r="H2502" s="8">
        <f>VLOOKUP(A2502,[1]!Table1[#All],32,FALSE)</f>
        <v>44104</v>
      </c>
      <c r="I2502" s="8">
        <f>VLOOKUP(A2502,[1]!Table1[#All],33,FALSE)</f>
        <v>45929</v>
      </c>
      <c r="J2502" t="str">
        <f t="shared" ca="1" si="42"/>
        <v>Non UDO</v>
      </c>
    </row>
    <row r="2503" spans="1:10" x14ac:dyDescent="0.35">
      <c r="A2503" s="9" t="s">
        <v>81</v>
      </c>
      <c r="B2503" s="10">
        <v>44440</v>
      </c>
      <c r="C2503" s="11">
        <v>1208350</v>
      </c>
      <c r="D2503" s="11">
        <v>1207037.52</v>
      </c>
      <c r="E2503" s="11">
        <v>1312.48</v>
      </c>
      <c r="F2503" t="str">
        <f>VLOOKUP(A2503,[1]!Table1[#All],17,FALSE)</f>
        <v>UNITED STATES</v>
      </c>
      <c r="G2503" t="str">
        <f>VLOOKUP(A2503,[1]!Table1[#All],22,FALSE)</f>
        <v>Trustees Of Columbia University In The City Of New</v>
      </c>
      <c r="H2503" s="8">
        <f>VLOOKUP(A2503,[1]!Table1[#All],32,FALSE)</f>
        <v>44104</v>
      </c>
      <c r="I2503" s="8">
        <f>VLOOKUP(A2503,[1]!Table1[#All],33,FALSE)</f>
        <v>45929</v>
      </c>
      <c r="J2503" t="str">
        <f t="shared" ca="1" si="42"/>
        <v>Non UDO</v>
      </c>
    </row>
    <row r="2504" spans="1:10" x14ac:dyDescent="0.35">
      <c r="A2504" s="5" t="s">
        <v>81</v>
      </c>
      <c r="B2504" s="6">
        <v>44470</v>
      </c>
      <c r="C2504" s="7">
        <v>1208350</v>
      </c>
      <c r="D2504" s="7">
        <v>1207037.52</v>
      </c>
      <c r="E2504" s="7">
        <v>1312.48</v>
      </c>
      <c r="F2504" t="str">
        <f>VLOOKUP(A2504,[1]!Table1[#All],17,FALSE)</f>
        <v>UNITED STATES</v>
      </c>
      <c r="G2504" t="str">
        <f>VLOOKUP(A2504,[1]!Table1[#All],22,FALSE)</f>
        <v>Trustees Of Columbia University In The City Of New</v>
      </c>
      <c r="H2504" s="8">
        <f>VLOOKUP(A2504,[1]!Table1[#All],32,FALSE)</f>
        <v>44104</v>
      </c>
      <c r="I2504" s="8">
        <f>VLOOKUP(A2504,[1]!Table1[#All],33,FALSE)</f>
        <v>45929</v>
      </c>
      <c r="J2504" t="str">
        <f t="shared" ca="1" si="42"/>
        <v>Non UDO</v>
      </c>
    </row>
    <row r="2505" spans="1:10" x14ac:dyDescent="0.35">
      <c r="A2505" s="9" t="s">
        <v>81</v>
      </c>
      <c r="B2505" s="10">
        <v>44501</v>
      </c>
      <c r="C2505" s="11">
        <v>1208350</v>
      </c>
      <c r="D2505" s="11">
        <v>1208350</v>
      </c>
      <c r="E2505" s="11">
        <v>0</v>
      </c>
      <c r="F2505" t="str">
        <f>VLOOKUP(A2505,[1]!Table1[#All],17,FALSE)</f>
        <v>UNITED STATES</v>
      </c>
      <c r="G2505" t="str">
        <f>VLOOKUP(A2505,[1]!Table1[#All],22,FALSE)</f>
        <v>Trustees Of Columbia University In The City Of New</v>
      </c>
      <c r="H2505" s="8">
        <f>VLOOKUP(A2505,[1]!Table1[#All],32,FALSE)</f>
        <v>44104</v>
      </c>
      <c r="I2505" s="8">
        <f>VLOOKUP(A2505,[1]!Table1[#All],33,FALSE)</f>
        <v>45929</v>
      </c>
      <c r="J2505" t="str">
        <f t="shared" ca="1" si="42"/>
        <v>Non UDO</v>
      </c>
    </row>
    <row r="2506" spans="1:10" x14ac:dyDescent="0.35">
      <c r="A2506" s="5" t="s">
        <v>81</v>
      </c>
      <c r="B2506" s="6">
        <v>44531</v>
      </c>
      <c r="C2506" s="7">
        <v>1208350</v>
      </c>
      <c r="D2506" s="7">
        <v>1208350</v>
      </c>
      <c r="E2506" s="7">
        <v>0</v>
      </c>
      <c r="F2506" t="str">
        <f>VLOOKUP(A2506,[1]!Table1[#All],17,FALSE)</f>
        <v>UNITED STATES</v>
      </c>
      <c r="G2506" t="str">
        <f>VLOOKUP(A2506,[1]!Table1[#All],22,FALSE)</f>
        <v>Trustees Of Columbia University In The City Of New</v>
      </c>
      <c r="H2506" s="8">
        <f>VLOOKUP(A2506,[1]!Table1[#All],32,FALSE)</f>
        <v>44104</v>
      </c>
      <c r="I2506" s="8">
        <f>VLOOKUP(A2506,[1]!Table1[#All],33,FALSE)</f>
        <v>45929</v>
      </c>
      <c r="J2506" t="str">
        <f t="shared" ca="1" si="42"/>
        <v>Non UDO</v>
      </c>
    </row>
    <row r="2507" spans="1:10" x14ac:dyDescent="0.35">
      <c r="A2507" s="9" t="s">
        <v>81</v>
      </c>
      <c r="B2507" s="10">
        <v>44562</v>
      </c>
      <c r="C2507" s="11">
        <v>1208350</v>
      </c>
      <c r="D2507" s="11">
        <v>1208350</v>
      </c>
      <c r="E2507" s="11">
        <v>0</v>
      </c>
      <c r="F2507" t="str">
        <f>VLOOKUP(A2507,[1]!Table1[#All],17,FALSE)</f>
        <v>UNITED STATES</v>
      </c>
      <c r="G2507" t="str">
        <f>VLOOKUP(A2507,[1]!Table1[#All],22,FALSE)</f>
        <v>Trustees Of Columbia University In The City Of New</v>
      </c>
      <c r="H2507" s="8">
        <f>VLOOKUP(A2507,[1]!Table1[#All],32,FALSE)</f>
        <v>44104</v>
      </c>
      <c r="I2507" s="8">
        <f>VLOOKUP(A2507,[1]!Table1[#All],33,FALSE)</f>
        <v>45929</v>
      </c>
      <c r="J2507" t="str">
        <f t="shared" ca="1" si="42"/>
        <v>Non UDO</v>
      </c>
    </row>
    <row r="2508" spans="1:10" x14ac:dyDescent="0.35">
      <c r="A2508" s="5" t="s">
        <v>81</v>
      </c>
      <c r="B2508" s="6">
        <v>44593</v>
      </c>
      <c r="C2508" s="7">
        <v>1208350</v>
      </c>
      <c r="D2508" s="7">
        <v>1208350</v>
      </c>
      <c r="E2508" s="7">
        <v>0</v>
      </c>
      <c r="F2508" t="str">
        <f>VLOOKUP(A2508,[1]!Table1[#All],17,FALSE)</f>
        <v>UNITED STATES</v>
      </c>
      <c r="G2508" t="str">
        <f>VLOOKUP(A2508,[1]!Table1[#All],22,FALSE)</f>
        <v>Trustees Of Columbia University In The City Of New</v>
      </c>
      <c r="H2508" s="8">
        <f>VLOOKUP(A2508,[1]!Table1[#All],32,FALSE)</f>
        <v>44104</v>
      </c>
      <c r="I2508" s="8">
        <f>VLOOKUP(A2508,[1]!Table1[#All],33,FALSE)</f>
        <v>45929</v>
      </c>
      <c r="J2508" t="str">
        <f t="shared" ca="1" si="42"/>
        <v>Non UDO</v>
      </c>
    </row>
    <row r="2509" spans="1:10" x14ac:dyDescent="0.35">
      <c r="A2509" s="9" t="s">
        <v>81</v>
      </c>
      <c r="B2509" s="10">
        <v>44621</v>
      </c>
      <c r="C2509" s="11">
        <v>1208350</v>
      </c>
      <c r="D2509" s="11">
        <v>1208350</v>
      </c>
      <c r="E2509" s="11">
        <v>0</v>
      </c>
      <c r="F2509" t="str">
        <f>VLOOKUP(A2509,[1]!Table1[#All],17,FALSE)</f>
        <v>UNITED STATES</v>
      </c>
      <c r="G2509" t="str">
        <f>VLOOKUP(A2509,[1]!Table1[#All],22,FALSE)</f>
        <v>Trustees Of Columbia University In The City Of New</v>
      </c>
      <c r="H2509" s="8">
        <f>VLOOKUP(A2509,[1]!Table1[#All],32,FALSE)</f>
        <v>44104</v>
      </c>
      <c r="I2509" s="8">
        <f>VLOOKUP(A2509,[1]!Table1[#All],33,FALSE)</f>
        <v>45929</v>
      </c>
      <c r="J2509" t="str">
        <f t="shared" ca="1" si="42"/>
        <v>Non UDO</v>
      </c>
    </row>
    <row r="2510" spans="1:10" x14ac:dyDescent="0.35">
      <c r="A2510" s="5" t="s">
        <v>81</v>
      </c>
      <c r="B2510" s="6">
        <v>44652</v>
      </c>
      <c r="C2510" s="7">
        <v>1208350</v>
      </c>
      <c r="D2510" s="7">
        <v>1208350</v>
      </c>
      <c r="E2510" s="7">
        <v>0</v>
      </c>
      <c r="F2510" t="str">
        <f>VLOOKUP(A2510,[1]!Table1[#All],17,FALSE)</f>
        <v>UNITED STATES</v>
      </c>
      <c r="G2510" t="str">
        <f>VLOOKUP(A2510,[1]!Table1[#All],22,FALSE)</f>
        <v>Trustees Of Columbia University In The City Of New</v>
      </c>
      <c r="H2510" s="8">
        <f>VLOOKUP(A2510,[1]!Table1[#All],32,FALSE)</f>
        <v>44104</v>
      </c>
      <c r="I2510" s="8">
        <f>VLOOKUP(A2510,[1]!Table1[#All],33,FALSE)</f>
        <v>45929</v>
      </c>
      <c r="J2510" t="str">
        <f t="shared" ca="1" si="42"/>
        <v>Non UDO</v>
      </c>
    </row>
    <row r="2511" spans="1:10" x14ac:dyDescent="0.35">
      <c r="A2511" s="9" t="s">
        <v>81</v>
      </c>
      <c r="B2511" s="10">
        <v>44682</v>
      </c>
      <c r="C2511" s="11">
        <v>1208350</v>
      </c>
      <c r="D2511" s="11">
        <v>1208350</v>
      </c>
      <c r="E2511" s="11">
        <v>0</v>
      </c>
      <c r="F2511" t="str">
        <f>VLOOKUP(A2511,[1]!Table1[#All],17,FALSE)</f>
        <v>UNITED STATES</v>
      </c>
      <c r="G2511" t="str">
        <f>VLOOKUP(A2511,[1]!Table1[#All],22,FALSE)</f>
        <v>Trustees Of Columbia University In The City Of New</v>
      </c>
      <c r="H2511" s="8">
        <f>VLOOKUP(A2511,[1]!Table1[#All],32,FALSE)</f>
        <v>44104</v>
      </c>
      <c r="I2511" s="8">
        <f>VLOOKUP(A2511,[1]!Table1[#All],33,FALSE)</f>
        <v>45929</v>
      </c>
      <c r="J2511" t="str">
        <f t="shared" ca="1" si="42"/>
        <v>Non UDO</v>
      </c>
    </row>
    <row r="2512" spans="1:10" x14ac:dyDescent="0.35">
      <c r="A2512" s="5" t="s">
        <v>81</v>
      </c>
      <c r="B2512" s="6">
        <v>44713</v>
      </c>
      <c r="C2512" s="7">
        <v>1208350</v>
      </c>
      <c r="D2512" s="7">
        <v>1208350</v>
      </c>
      <c r="E2512" s="7">
        <v>0</v>
      </c>
      <c r="F2512" t="str">
        <f>VLOOKUP(A2512,[1]!Table1[#All],17,FALSE)</f>
        <v>UNITED STATES</v>
      </c>
      <c r="G2512" t="str">
        <f>VLOOKUP(A2512,[1]!Table1[#All],22,FALSE)</f>
        <v>Trustees Of Columbia University In The City Of New</v>
      </c>
      <c r="H2512" s="8">
        <f>VLOOKUP(A2512,[1]!Table1[#All],32,FALSE)</f>
        <v>44104</v>
      </c>
      <c r="I2512" s="8">
        <f>VLOOKUP(A2512,[1]!Table1[#All],33,FALSE)</f>
        <v>45929</v>
      </c>
      <c r="J2512" t="str">
        <f t="shared" ca="1" si="42"/>
        <v>Non UDO</v>
      </c>
    </row>
    <row r="2513" spans="1:10" x14ac:dyDescent="0.35">
      <c r="A2513" s="9" t="s">
        <v>81</v>
      </c>
      <c r="B2513" s="10">
        <v>44743</v>
      </c>
      <c r="C2513" s="11">
        <v>1208350</v>
      </c>
      <c r="D2513" s="11">
        <v>1208350</v>
      </c>
      <c r="E2513" s="11">
        <v>0</v>
      </c>
      <c r="F2513" t="str">
        <f>VLOOKUP(A2513,[1]!Table1[#All],17,FALSE)</f>
        <v>UNITED STATES</v>
      </c>
      <c r="G2513" t="str">
        <f>VLOOKUP(A2513,[1]!Table1[#All],22,FALSE)</f>
        <v>Trustees Of Columbia University In The City Of New</v>
      </c>
      <c r="H2513" s="8">
        <f>VLOOKUP(A2513,[1]!Table1[#All],32,FALSE)</f>
        <v>44104</v>
      </c>
      <c r="I2513" s="8">
        <f>VLOOKUP(A2513,[1]!Table1[#All],33,FALSE)</f>
        <v>45929</v>
      </c>
      <c r="J2513" t="str">
        <f t="shared" ca="1" si="42"/>
        <v>Non UDO</v>
      </c>
    </row>
    <row r="2514" spans="1:10" x14ac:dyDescent="0.35">
      <c r="A2514" s="5" t="s">
        <v>81</v>
      </c>
      <c r="B2514" s="6">
        <v>44774</v>
      </c>
      <c r="C2514" s="7">
        <v>1208350</v>
      </c>
      <c r="D2514" s="7">
        <v>1208350</v>
      </c>
      <c r="E2514" s="7">
        <v>0</v>
      </c>
      <c r="F2514" t="str">
        <f>VLOOKUP(A2514,[1]!Table1[#All],17,FALSE)</f>
        <v>UNITED STATES</v>
      </c>
      <c r="G2514" t="str">
        <f>VLOOKUP(A2514,[1]!Table1[#All],22,FALSE)</f>
        <v>Trustees Of Columbia University In The City Of New</v>
      </c>
      <c r="H2514" s="8">
        <f>VLOOKUP(A2514,[1]!Table1[#All],32,FALSE)</f>
        <v>44104</v>
      </c>
      <c r="I2514" s="8">
        <f>VLOOKUP(A2514,[1]!Table1[#All],33,FALSE)</f>
        <v>45929</v>
      </c>
      <c r="J2514" t="str">
        <f t="shared" ca="1" si="42"/>
        <v>Non UDO</v>
      </c>
    </row>
    <row r="2515" spans="1:10" x14ac:dyDescent="0.35">
      <c r="A2515" s="9" t="s">
        <v>81</v>
      </c>
      <c r="B2515" s="10">
        <v>44805</v>
      </c>
      <c r="C2515" s="11">
        <v>1208350</v>
      </c>
      <c r="D2515" s="11">
        <v>1208350</v>
      </c>
      <c r="E2515" s="11">
        <v>0</v>
      </c>
      <c r="F2515" t="str">
        <f>VLOOKUP(A2515,[1]!Table1[#All],17,FALSE)</f>
        <v>UNITED STATES</v>
      </c>
      <c r="G2515" t="str">
        <f>VLOOKUP(A2515,[1]!Table1[#All],22,FALSE)</f>
        <v>Trustees Of Columbia University In The City Of New</v>
      </c>
      <c r="H2515" s="8">
        <f>VLOOKUP(A2515,[1]!Table1[#All],32,FALSE)</f>
        <v>44104</v>
      </c>
      <c r="I2515" s="8">
        <f>VLOOKUP(A2515,[1]!Table1[#All],33,FALSE)</f>
        <v>45929</v>
      </c>
      <c r="J2515" t="str">
        <f t="shared" ca="1" si="42"/>
        <v>Non UDO</v>
      </c>
    </row>
    <row r="2516" spans="1:10" x14ac:dyDescent="0.35">
      <c r="A2516" s="5" t="s">
        <v>81</v>
      </c>
      <c r="B2516" s="6">
        <v>44835</v>
      </c>
      <c r="C2516" s="7">
        <v>1208350</v>
      </c>
      <c r="D2516" s="7">
        <v>1208350</v>
      </c>
      <c r="E2516" s="7">
        <v>0</v>
      </c>
      <c r="F2516" t="str">
        <f>VLOOKUP(A2516,[1]!Table1[#All],17,FALSE)</f>
        <v>UNITED STATES</v>
      </c>
      <c r="G2516" t="str">
        <f>VLOOKUP(A2516,[1]!Table1[#All],22,FALSE)</f>
        <v>Trustees Of Columbia University In The City Of New</v>
      </c>
      <c r="H2516" s="8">
        <f>VLOOKUP(A2516,[1]!Table1[#All],32,FALSE)</f>
        <v>44104</v>
      </c>
      <c r="I2516" s="8">
        <f>VLOOKUP(A2516,[1]!Table1[#All],33,FALSE)</f>
        <v>45929</v>
      </c>
      <c r="J2516" t="str">
        <f t="shared" ca="1" si="42"/>
        <v>Non UDO</v>
      </c>
    </row>
    <row r="2517" spans="1:10" x14ac:dyDescent="0.35">
      <c r="A2517" s="9" t="s">
        <v>81</v>
      </c>
      <c r="B2517" s="10">
        <v>44866</v>
      </c>
      <c r="C2517" s="11">
        <v>1208350</v>
      </c>
      <c r="D2517" s="11">
        <v>1208350</v>
      </c>
      <c r="E2517" s="11">
        <v>0</v>
      </c>
      <c r="F2517" t="str">
        <f>VLOOKUP(A2517,[1]!Table1[#All],17,FALSE)</f>
        <v>UNITED STATES</v>
      </c>
      <c r="G2517" t="str">
        <f>VLOOKUP(A2517,[1]!Table1[#All],22,FALSE)</f>
        <v>Trustees Of Columbia University In The City Of New</v>
      </c>
      <c r="H2517" s="8">
        <f>VLOOKUP(A2517,[1]!Table1[#All],32,FALSE)</f>
        <v>44104</v>
      </c>
      <c r="I2517" s="8">
        <f>VLOOKUP(A2517,[1]!Table1[#All],33,FALSE)</f>
        <v>45929</v>
      </c>
      <c r="J2517" t="str">
        <f t="shared" ca="1" si="42"/>
        <v>Non UDO</v>
      </c>
    </row>
    <row r="2518" spans="1:10" x14ac:dyDescent="0.35">
      <c r="A2518" s="5" t="s">
        <v>81</v>
      </c>
      <c r="B2518" s="6">
        <v>44896</v>
      </c>
      <c r="C2518" s="7">
        <v>1208350</v>
      </c>
      <c r="D2518" s="7">
        <v>1208350</v>
      </c>
      <c r="E2518" s="7">
        <v>0</v>
      </c>
      <c r="F2518" t="str">
        <f>VLOOKUP(A2518,[1]!Table1[#All],17,FALSE)</f>
        <v>UNITED STATES</v>
      </c>
      <c r="G2518" t="str">
        <f>VLOOKUP(A2518,[1]!Table1[#All],22,FALSE)</f>
        <v>Trustees Of Columbia University In The City Of New</v>
      </c>
      <c r="H2518" s="8">
        <f>VLOOKUP(A2518,[1]!Table1[#All],32,FALSE)</f>
        <v>44104</v>
      </c>
      <c r="I2518" s="8">
        <f>VLOOKUP(A2518,[1]!Table1[#All],33,FALSE)</f>
        <v>45929</v>
      </c>
      <c r="J2518" t="str">
        <f t="shared" ca="1" si="42"/>
        <v>Non UDO</v>
      </c>
    </row>
    <row r="2519" spans="1:10" x14ac:dyDescent="0.35">
      <c r="A2519" s="9" t="s">
        <v>81</v>
      </c>
      <c r="B2519" s="10">
        <v>44927</v>
      </c>
      <c r="C2519" s="11">
        <v>1208350</v>
      </c>
      <c r="D2519" s="11">
        <v>1208350</v>
      </c>
      <c r="E2519" s="11">
        <v>0</v>
      </c>
      <c r="F2519" t="str">
        <f>VLOOKUP(A2519,[1]!Table1[#All],17,FALSE)</f>
        <v>UNITED STATES</v>
      </c>
      <c r="G2519" t="str">
        <f>VLOOKUP(A2519,[1]!Table1[#All],22,FALSE)</f>
        <v>Trustees Of Columbia University In The City Of New</v>
      </c>
      <c r="H2519" s="8">
        <f>VLOOKUP(A2519,[1]!Table1[#All],32,FALSE)</f>
        <v>44104</v>
      </c>
      <c r="I2519" s="8">
        <f>VLOOKUP(A2519,[1]!Table1[#All],33,FALSE)</f>
        <v>45929</v>
      </c>
      <c r="J2519" t="str">
        <f t="shared" ca="1" si="42"/>
        <v>Non UDO</v>
      </c>
    </row>
    <row r="2520" spans="1:10" x14ac:dyDescent="0.35">
      <c r="A2520" s="5" t="s">
        <v>81</v>
      </c>
      <c r="B2520" s="6">
        <v>44958</v>
      </c>
      <c r="C2520" s="7">
        <v>1208350</v>
      </c>
      <c r="D2520" s="7">
        <v>1208350</v>
      </c>
      <c r="E2520" s="7">
        <v>0</v>
      </c>
      <c r="F2520" t="str">
        <f>VLOOKUP(A2520,[1]!Table1[#All],17,FALSE)</f>
        <v>UNITED STATES</v>
      </c>
      <c r="G2520" t="str">
        <f>VLOOKUP(A2520,[1]!Table1[#All],22,FALSE)</f>
        <v>Trustees Of Columbia University In The City Of New</v>
      </c>
      <c r="H2520" s="8">
        <f>VLOOKUP(A2520,[1]!Table1[#All],32,FALSE)</f>
        <v>44104</v>
      </c>
      <c r="I2520" s="8">
        <f>VLOOKUP(A2520,[1]!Table1[#All],33,FALSE)</f>
        <v>45929</v>
      </c>
      <c r="J2520" t="str">
        <f t="shared" ca="1" si="42"/>
        <v>Non UDO</v>
      </c>
    </row>
    <row r="2521" spans="1:10" x14ac:dyDescent="0.35">
      <c r="A2521" s="9" t="s">
        <v>81</v>
      </c>
      <c r="B2521" s="10">
        <v>44986</v>
      </c>
      <c r="C2521" s="11">
        <v>1208350</v>
      </c>
      <c r="D2521" s="11">
        <v>1208350</v>
      </c>
      <c r="E2521" s="11">
        <v>0</v>
      </c>
      <c r="F2521" t="str">
        <f>VLOOKUP(A2521,[1]!Table1[#All],17,FALSE)</f>
        <v>UNITED STATES</v>
      </c>
      <c r="G2521" t="str">
        <f>VLOOKUP(A2521,[1]!Table1[#All],22,FALSE)</f>
        <v>Trustees Of Columbia University In The City Of New</v>
      </c>
      <c r="H2521" s="8">
        <f>VLOOKUP(A2521,[1]!Table1[#All],32,FALSE)</f>
        <v>44104</v>
      </c>
      <c r="I2521" s="8">
        <f>VLOOKUP(A2521,[1]!Table1[#All],33,FALSE)</f>
        <v>45929</v>
      </c>
      <c r="J2521" t="str">
        <f t="shared" ca="1" si="42"/>
        <v>Non UDO</v>
      </c>
    </row>
    <row r="2522" spans="1:10" x14ac:dyDescent="0.35">
      <c r="A2522" s="5" t="s">
        <v>81</v>
      </c>
      <c r="B2522" s="6">
        <v>45017</v>
      </c>
      <c r="C2522" s="7">
        <v>1208350</v>
      </c>
      <c r="D2522" s="7">
        <v>1208350</v>
      </c>
      <c r="E2522" s="7">
        <v>0</v>
      </c>
      <c r="F2522" t="str">
        <f>VLOOKUP(A2522,[1]!Table1[#All],17,FALSE)</f>
        <v>UNITED STATES</v>
      </c>
      <c r="G2522" t="str">
        <f>VLOOKUP(A2522,[1]!Table1[#All],22,FALSE)</f>
        <v>Trustees Of Columbia University In The City Of New</v>
      </c>
      <c r="H2522" s="8">
        <f>VLOOKUP(A2522,[1]!Table1[#All],32,FALSE)</f>
        <v>44104</v>
      </c>
      <c r="I2522" s="8">
        <f>VLOOKUP(A2522,[1]!Table1[#All],33,FALSE)</f>
        <v>45929</v>
      </c>
      <c r="J2522" t="str">
        <f t="shared" ca="1" si="42"/>
        <v>Non UDO</v>
      </c>
    </row>
    <row r="2523" spans="1:10" x14ac:dyDescent="0.35">
      <c r="A2523" s="9" t="s">
        <v>81</v>
      </c>
      <c r="B2523" s="10">
        <v>45047</v>
      </c>
      <c r="C2523" s="11">
        <v>1208350</v>
      </c>
      <c r="D2523" s="11">
        <v>1208350</v>
      </c>
      <c r="E2523" s="11">
        <v>0</v>
      </c>
      <c r="F2523" t="str">
        <f>VLOOKUP(A2523,[1]!Table1[#All],17,FALSE)</f>
        <v>UNITED STATES</v>
      </c>
      <c r="G2523" t="str">
        <f>VLOOKUP(A2523,[1]!Table1[#All],22,FALSE)</f>
        <v>Trustees Of Columbia University In The City Of New</v>
      </c>
      <c r="H2523" s="8">
        <f>VLOOKUP(A2523,[1]!Table1[#All],32,FALSE)</f>
        <v>44104</v>
      </c>
      <c r="I2523" s="8">
        <f>VLOOKUP(A2523,[1]!Table1[#All],33,FALSE)</f>
        <v>45929</v>
      </c>
      <c r="J2523" t="str">
        <f t="shared" ca="1" si="42"/>
        <v>Non UDO</v>
      </c>
    </row>
    <row r="2524" spans="1:10" x14ac:dyDescent="0.35">
      <c r="A2524" s="5" t="s">
        <v>81</v>
      </c>
      <c r="B2524" s="6">
        <v>45078</v>
      </c>
      <c r="C2524" s="7">
        <v>1208350</v>
      </c>
      <c r="D2524" s="7">
        <v>1208350</v>
      </c>
      <c r="E2524" s="7">
        <v>0</v>
      </c>
      <c r="F2524" t="str">
        <f>VLOOKUP(A2524,[1]!Table1[#All],17,FALSE)</f>
        <v>UNITED STATES</v>
      </c>
      <c r="G2524" t="str">
        <f>VLOOKUP(A2524,[1]!Table1[#All],22,FALSE)</f>
        <v>Trustees Of Columbia University In The City Of New</v>
      </c>
      <c r="H2524" s="8">
        <f>VLOOKUP(A2524,[1]!Table1[#All],32,FALSE)</f>
        <v>44104</v>
      </c>
      <c r="I2524" s="8">
        <f>VLOOKUP(A2524,[1]!Table1[#All],33,FALSE)</f>
        <v>45929</v>
      </c>
      <c r="J2524" t="str">
        <f t="shared" ca="1" si="42"/>
        <v>Non UDO</v>
      </c>
    </row>
    <row r="2525" spans="1:10" x14ac:dyDescent="0.35">
      <c r="A2525" s="9" t="s">
        <v>81</v>
      </c>
      <c r="B2525" s="10">
        <v>45108</v>
      </c>
      <c r="C2525" s="11">
        <v>1208350</v>
      </c>
      <c r="D2525" s="11">
        <v>1208350</v>
      </c>
      <c r="E2525" s="11">
        <v>0</v>
      </c>
      <c r="F2525" t="str">
        <f>VLOOKUP(A2525,[1]!Table1[#All],17,FALSE)</f>
        <v>UNITED STATES</v>
      </c>
      <c r="G2525" t="str">
        <f>VLOOKUP(A2525,[1]!Table1[#All],22,FALSE)</f>
        <v>Trustees Of Columbia University In The City Of New</v>
      </c>
      <c r="H2525" s="8">
        <f>VLOOKUP(A2525,[1]!Table1[#All],32,FALSE)</f>
        <v>44104</v>
      </c>
      <c r="I2525" s="8">
        <f>VLOOKUP(A2525,[1]!Table1[#All],33,FALSE)</f>
        <v>45929</v>
      </c>
      <c r="J2525" t="str">
        <f t="shared" ca="1" si="42"/>
        <v>Non UDO</v>
      </c>
    </row>
    <row r="2526" spans="1:10" x14ac:dyDescent="0.35">
      <c r="A2526" s="5" t="s">
        <v>81</v>
      </c>
      <c r="B2526" s="6">
        <v>45139</v>
      </c>
      <c r="C2526" s="7">
        <v>1208350</v>
      </c>
      <c r="D2526" s="7">
        <v>1208350</v>
      </c>
      <c r="E2526" s="7">
        <v>0</v>
      </c>
      <c r="F2526" t="str">
        <f>VLOOKUP(A2526,[1]!Table1[#All],17,FALSE)</f>
        <v>UNITED STATES</v>
      </c>
      <c r="G2526" t="str">
        <f>VLOOKUP(A2526,[1]!Table1[#All],22,FALSE)</f>
        <v>Trustees Of Columbia University In The City Of New</v>
      </c>
      <c r="H2526" s="8">
        <f>VLOOKUP(A2526,[1]!Table1[#All],32,FALSE)</f>
        <v>44104</v>
      </c>
      <c r="I2526" s="8">
        <f>VLOOKUP(A2526,[1]!Table1[#All],33,FALSE)</f>
        <v>45929</v>
      </c>
      <c r="J2526" t="str">
        <f t="shared" ca="1" si="42"/>
        <v>Non UDO</v>
      </c>
    </row>
    <row r="2527" spans="1:10" x14ac:dyDescent="0.35">
      <c r="A2527" s="9" t="s">
        <v>81</v>
      </c>
      <c r="B2527" s="10">
        <v>45170</v>
      </c>
      <c r="C2527" s="11">
        <v>1208350</v>
      </c>
      <c r="D2527" s="11">
        <v>1208350</v>
      </c>
      <c r="E2527" s="11">
        <v>0</v>
      </c>
      <c r="F2527" t="str">
        <f>VLOOKUP(A2527,[1]!Table1[#All],17,FALSE)</f>
        <v>UNITED STATES</v>
      </c>
      <c r="G2527" t="str">
        <f>VLOOKUP(A2527,[1]!Table1[#All],22,FALSE)</f>
        <v>Trustees Of Columbia University In The City Of New</v>
      </c>
      <c r="H2527" s="8">
        <f>VLOOKUP(A2527,[1]!Table1[#All],32,FALSE)</f>
        <v>44104</v>
      </c>
      <c r="I2527" s="8">
        <f>VLOOKUP(A2527,[1]!Table1[#All],33,FALSE)</f>
        <v>45929</v>
      </c>
      <c r="J2527" t="str">
        <f t="shared" ca="1" si="42"/>
        <v>Non UDO</v>
      </c>
    </row>
    <row r="2528" spans="1:10" x14ac:dyDescent="0.35">
      <c r="A2528" s="5" t="s">
        <v>82</v>
      </c>
      <c r="B2528" s="6">
        <v>44105</v>
      </c>
      <c r="C2528" s="7">
        <v>4825000</v>
      </c>
      <c r="D2528" s="7">
        <v>0</v>
      </c>
      <c r="E2528" s="7">
        <v>4825000</v>
      </c>
      <c r="F2528" t="str">
        <f>VLOOKUP(A2528,[1]!Table1[#All],17,FALSE)</f>
        <v>JORDAN</v>
      </c>
      <c r="G2528" t="str">
        <f>VLOOKUP(A2528,[1]!Table1[#All],22,FALSE)</f>
        <v>Global Health Development</v>
      </c>
      <c r="H2528" s="8">
        <f>VLOOKUP(A2528,[1]!Table1[#All],32,FALSE)</f>
        <v>44104</v>
      </c>
      <c r="I2528" s="8">
        <f>VLOOKUP(A2528,[1]!Table1[#All],33,FALSE)</f>
        <v>45929</v>
      </c>
      <c r="J2528" t="str">
        <f t="shared" ca="1" si="42"/>
        <v>Non UDO</v>
      </c>
    </row>
    <row r="2529" spans="1:10" x14ac:dyDescent="0.35">
      <c r="A2529" s="9" t="s">
        <v>82</v>
      </c>
      <c r="B2529" s="10">
        <v>44136</v>
      </c>
      <c r="C2529" s="11">
        <v>4825000</v>
      </c>
      <c r="D2529" s="11">
        <v>0</v>
      </c>
      <c r="E2529" s="11">
        <v>4825000</v>
      </c>
      <c r="F2529" t="str">
        <f>VLOOKUP(A2529,[1]!Table1[#All],17,FALSE)</f>
        <v>JORDAN</v>
      </c>
      <c r="G2529" t="str">
        <f>VLOOKUP(A2529,[1]!Table1[#All],22,FALSE)</f>
        <v>Global Health Development</v>
      </c>
      <c r="H2529" s="8">
        <f>VLOOKUP(A2529,[1]!Table1[#All],32,FALSE)</f>
        <v>44104</v>
      </c>
      <c r="I2529" s="8">
        <f>VLOOKUP(A2529,[1]!Table1[#All],33,FALSE)</f>
        <v>45929</v>
      </c>
      <c r="J2529" t="str">
        <f t="shared" ca="1" si="42"/>
        <v>Non UDO</v>
      </c>
    </row>
    <row r="2530" spans="1:10" x14ac:dyDescent="0.35">
      <c r="A2530" s="5" t="s">
        <v>82</v>
      </c>
      <c r="B2530" s="6">
        <v>44166</v>
      </c>
      <c r="C2530" s="7">
        <v>4825000</v>
      </c>
      <c r="D2530" s="7">
        <v>0</v>
      </c>
      <c r="E2530" s="7">
        <v>4825000</v>
      </c>
      <c r="F2530" t="str">
        <f>VLOOKUP(A2530,[1]!Table1[#All],17,FALSE)</f>
        <v>JORDAN</v>
      </c>
      <c r="G2530" t="str">
        <f>VLOOKUP(A2530,[1]!Table1[#All],22,FALSE)</f>
        <v>Global Health Development</v>
      </c>
      <c r="H2530" s="8">
        <f>VLOOKUP(A2530,[1]!Table1[#All],32,FALSE)</f>
        <v>44104</v>
      </c>
      <c r="I2530" s="8">
        <f>VLOOKUP(A2530,[1]!Table1[#All],33,FALSE)</f>
        <v>45929</v>
      </c>
      <c r="J2530" t="str">
        <f t="shared" ca="1" si="42"/>
        <v>Non UDO</v>
      </c>
    </row>
    <row r="2531" spans="1:10" x14ac:dyDescent="0.35">
      <c r="A2531" s="9" t="s">
        <v>82</v>
      </c>
      <c r="B2531" s="10">
        <v>44197</v>
      </c>
      <c r="C2531" s="11">
        <v>4825000</v>
      </c>
      <c r="D2531" s="11">
        <v>683227</v>
      </c>
      <c r="E2531" s="11">
        <v>4141773</v>
      </c>
      <c r="F2531" t="str">
        <f>VLOOKUP(A2531,[1]!Table1[#All],17,FALSE)</f>
        <v>JORDAN</v>
      </c>
      <c r="G2531" t="str">
        <f>VLOOKUP(A2531,[1]!Table1[#All],22,FALSE)</f>
        <v>Global Health Development</v>
      </c>
      <c r="H2531" s="8">
        <f>VLOOKUP(A2531,[1]!Table1[#All],32,FALSE)</f>
        <v>44104</v>
      </c>
      <c r="I2531" s="8">
        <f>VLOOKUP(A2531,[1]!Table1[#All],33,FALSE)</f>
        <v>45929</v>
      </c>
      <c r="J2531" t="str">
        <f t="shared" ca="1" si="42"/>
        <v>Non UDO</v>
      </c>
    </row>
    <row r="2532" spans="1:10" x14ac:dyDescent="0.35">
      <c r="A2532" s="5" t="s">
        <v>82</v>
      </c>
      <c r="B2532" s="6">
        <v>44228</v>
      </c>
      <c r="C2532" s="7">
        <v>4825000</v>
      </c>
      <c r="D2532" s="7">
        <v>1212504</v>
      </c>
      <c r="E2532" s="7">
        <v>3612496</v>
      </c>
      <c r="F2532" t="str">
        <f>VLOOKUP(A2532,[1]!Table1[#All],17,FALSE)</f>
        <v>JORDAN</v>
      </c>
      <c r="G2532" t="str">
        <f>VLOOKUP(A2532,[1]!Table1[#All],22,FALSE)</f>
        <v>Global Health Development</v>
      </c>
      <c r="H2532" s="8">
        <f>VLOOKUP(A2532,[1]!Table1[#All],32,FALSE)</f>
        <v>44104</v>
      </c>
      <c r="I2532" s="8">
        <f>VLOOKUP(A2532,[1]!Table1[#All],33,FALSE)</f>
        <v>45929</v>
      </c>
      <c r="J2532" t="str">
        <f t="shared" ca="1" si="42"/>
        <v>Non UDO</v>
      </c>
    </row>
    <row r="2533" spans="1:10" x14ac:dyDescent="0.35">
      <c r="A2533" s="9" t="s">
        <v>82</v>
      </c>
      <c r="B2533" s="10">
        <v>44256</v>
      </c>
      <c r="C2533" s="11">
        <v>4825000</v>
      </c>
      <c r="D2533" s="11">
        <v>1414511</v>
      </c>
      <c r="E2533" s="11">
        <v>3410489</v>
      </c>
      <c r="F2533" t="str">
        <f>VLOOKUP(A2533,[1]!Table1[#All],17,FALSE)</f>
        <v>JORDAN</v>
      </c>
      <c r="G2533" t="str">
        <f>VLOOKUP(A2533,[1]!Table1[#All],22,FALSE)</f>
        <v>Global Health Development</v>
      </c>
      <c r="H2533" s="8">
        <f>VLOOKUP(A2533,[1]!Table1[#All],32,FALSE)</f>
        <v>44104</v>
      </c>
      <c r="I2533" s="8">
        <f>VLOOKUP(A2533,[1]!Table1[#All],33,FALSE)</f>
        <v>45929</v>
      </c>
      <c r="J2533" t="str">
        <f t="shared" ca="1" si="42"/>
        <v>Non UDO</v>
      </c>
    </row>
    <row r="2534" spans="1:10" x14ac:dyDescent="0.35">
      <c r="A2534" s="5" t="s">
        <v>82</v>
      </c>
      <c r="B2534" s="6">
        <v>44287</v>
      </c>
      <c r="C2534" s="7">
        <v>3790000</v>
      </c>
      <c r="D2534" s="7">
        <v>1354778</v>
      </c>
      <c r="E2534" s="7">
        <v>2435222</v>
      </c>
      <c r="F2534" t="str">
        <f>VLOOKUP(A2534,[1]!Table1[#All],17,FALSE)</f>
        <v>JORDAN</v>
      </c>
      <c r="G2534" t="str">
        <f>VLOOKUP(A2534,[1]!Table1[#All],22,FALSE)</f>
        <v>Global Health Development</v>
      </c>
      <c r="H2534" s="8">
        <f>VLOOKUP(A2534,[1]!Table1[#All],32,FALSE)</f>
        <v>44104</v>
      </c>
      <c r="I2534" s="8">
        <f>VLOOKUP(A2534,[1]!Table1[#All],33,FALSE)</f>
        <v>45929</v>
      </c>
      <c r="J2534" t="str">
        <f t="shared" ca="1" si="42"/>
        <v>Non UDO</v>
      </c>
    </row>
    <row r="2535" spans="1:10" x14ac:dyDescent="0.35">
      <c r="A2535" s="9" t="s">
        <v>82</v>
      </c>
      <c r="B2535" s="10">
        <v>44317</v>
      </c>
      <c r="C2535" s="11">
        <v>4825000</v>
      </c>
      <c r="D2535" s="11">
        <v>2400691</v>
      </c>
      <c r="E2535" s="11">
        <v>2424309</v>
      </c>
      <c r="F2535" t="str">
        <f>VLOOKUP(A2535,[1]!Table1[#All],17,FALSE)</f>
        <v>JORDAN</v>
      </c>
      <c r="G2535" t="str">
        <f>VLOOKUP(A2535,[1]!Table1[#All],22,FALSE)</f>
        <v>Global Health Development</v>
      </c>
      <c r="H2535" s="8">
        <f>VLOOKUP(A2535,[1]!Table1[#All],32,FALSE)</f>
        <v>44104</v>
      </c>
      <c r="I2535" s="8">
        <f>VLOOKUP(A2535,[1]!Table1[#All],33,FALSE)</f>
        <v>45929</v>
      </c>
      <c r="J2535" t="str">
        <f t="shared" ca="1" si="42"/>
        <v>Non UDO</v>
      </c>
    </row>
    <row r="2536" spans="1:10" x14ac:dyDescent="0.35">
      <c r="A2536" s="5" t="s">
        <v>82</v>
      </c>
      <c r="B2536" s="6">
        <v>44348</v>
      </c>
      <c r="C2536" s="7">
        <v>4825000</v>
      </c>
      <c r="D2536" s="7">
        <v>2669786</v>
      </c>
      <c r="E2536" s="7">
        <v>2155214</v>
      </c>
      <c r="F2536" t="str">
        <f>VLOOKUP(A2536,[1]!Table1[#All],17,FALSE)</f>
        <v>JORDAN</v>
      </c>
      <c r="G2536" t="str">
        <f>VLOOKUP(A2536,[1]!Table1[#All],22,FALSE)</f>
        <v>Global Health Development</v>
      </c>
      <c r="H2536" s="8">
        <f>VLOOKUP(A2536,[1]!Table1[#All],32,FALSE)</f>
        <v>44104</v>
      </c>
      <c r="I2536" s="8">
        <f>VLOOKUP(A2536,[1]!Table1[#All],33,FALSE)</f>
        <v>45929</v>
      </c>
      <c r="J2536" t="str">
        <f t="shared" ca="1" si="42"/>
        <v>Non UDO</v>
      </c>
    </row>
    <row r="2537" spans="1:10" x14ac:dyDescent="0.35">
      <c r="A2537" s="9" t="s">
        <v>82</v>
      </c>
      <c r="B2537" s="10">
        <v>44378</v>
      </c>
      <c r="C2537" s="11">
        <v>4825000</v>
      </c>
      <c r="D2537" s="11">
        <v>2919252</v>
      </c>
      <c r="E2537" s="11">
        <v>1905748</v>
      </c>
      <c r="F2537" t="str">
        <f>VLOOKUP(A2537,[1]!Table1[#All],17,FALSE)</f>
        <v>JORDAN</v>
      </c>
      <c r="G2537" t="str">
        <f>VLOOKUP(A2537,[1]!Table1[#All],22,FALSE)</f>
        <v>Global Health Development</v>
      </c>
      <c r="H2537" s="8">
        <f>VLOOKUP(A2537,[1]!Table1[#All],32,FALSE)</f>
        <v>44104</v>
      </c>
      <c r="I2537" s="8">
        <f>VLOOKUP(A2537,[1]!Table1[#All],33,FALSE)</f>
        <v>45929</v>
      </c>
      <c r="J2537" t="str">
        <f t="shared" ca="1" si="42"/>
        <v>Non UDO</v>
      </c>
    </row>
    <row r="2538" spans="1:10" x14ac:dyDescent="0.35">
      <c r="A2538" s="5" t="s">
        <v>82</v>
      </c>
      <c r="B2538" s="6">
        <v>44409</v>
      </c>
      <c r="C2538" s="7">
        <v>4825000</v>
      </c>
      <c r="D2538" s="7">
        <v>3136238</v>
      </c>
      <c r="E2538" s="7">
        <v>1688762</v>
      </c>
      <c r="F2538" t="str">
        <f>VLOOKUP(A2538,[1]!Table1[#All],17,FALSE)</f>
        <v>JORDAN</v>
      </c>
      <c r="G2538" t="str">
        <f>VLOOKUP(A2538,[1]!Table1[#All],22,FALSE)</f>
        <v>Global Health Development</v>
      </c>
      <c r="H2538" s="8">
        <f>VLOOKUP(A2538,[1]!Table1[#All],32,FALSE)</f>
        <v>44104</v>
      </c>
      <c r="I2538" s="8">
        <f>VLOOKUP(A2538,[1]!Table1[#All],33,FALSE)</f>
        <v>45929</v>
      </c>
      <c r="J2538" t="str">
        <f t="shared" ca="1" si="42"/>
        <v>Non UDO</v>
      </c>
    </row>
    <row r="2539" spans="1:10" x14ac:dyDescent="0.35">
      <c r="A2539" s="9" t="s">
        <v>82</v>
      </c>
      <c r="B2539" s="10">
        <v>44440</v>
      </c>
      <c r="C2539" s="11">
        <v>4825000</v>
      </c>
      <c r="D2539" s="11">
        <v>4126167</v>
      </c>
      <c r="E2539" s="11">
        <v>698833</v>
      </c>
      <c r="F2539" t="str">
        <f>VLOOKUP(A2539,[1]!Table1[#All],17,FALSE)</f>
        <v>JORDAN</v>
      </c>
      <c r="G2539" t="str">
        <f>VLOOKUP(A2539,[1]!Table1[#All],22,FALSE)</f>
        <v>Global Health Development</v>
      </c>
      <c r="H2539" s="8">
        <f>VLOOKUP(A2539,[1]!Table1[#All],32,FALSE)</f>
        <v>44104</v>
      </c>
      <c r="I2539" s="8">
        <f>VLOOKUP(A2539,[1]!Table1[#All],33,FALSE)</f>
        <v>45929</v>
      </c>
      <c r="J2539" t="str">
        <f t="shared" ca="1" si="42"/>
        <v>Non UDO</v>
      </c>
    </row>
    <row r="2540" spans="1:10" x14ac:dyDescent="0.35">
      <c r="A2540" s="5" t="s">
        <v>82</v>
      </c>
      <c r="B2540" s="6">
        <v>44470</v>
      </c>
      <c r="C2540" s="7">
        <v>4825000</v>
      </c>
      <c r="D2540" s="7">
        <v>4126167</v>
      </c>
      <c r="E2540" s="7">
        <v>698833</v>
      </c>
      <c r="F2540" t="str">
        <f>VLOOKUP(A2540,[1]!Table1[#All],17,FALSE)</f>
        <v>JORDAN</v>
      </c>
      <c r="G2540" t="str">
        <f>VLOOKUP(A2540,[1]!Table1[#All],22,FALSE)</f>
        <v>Global Health Development</v>
      </c>
      <c r="H2540" s="8">
        <f>VLOOKUP(A2540,[1]!Table1[#All],32,FALSE)</f>
        <v>44104</v>
      </c>
      <c r="I2540" s="8">
        <f>VLOOKUP(A2540,[1]!Table1[#All],33,FALSE)</f>
        <v>45929</v>
      </c>
      <c r="J2540" t="str">
        <f t="shared" ca="1" si="42"/>
        <v>Non UDO</v>
      </c>
    </row>
    <row r="2541" spans="1:10" x14ac:dyDescent="0.35">
      <c r="A2541" s="9" t="s">
        <v>82</v>
      </c>
      <c r="B2541" s="10">
        <v>44501</v>
      </c>
      <c r="C2541" s="11">
        <v>4825000</v>
      </c>
      <c r="D2541" s="11">
        <v>4126167</v>
      </c>
      <c r="E2541" s="11">
        <v>698833</v>
      </c>
      <c r="F2541" t="str">
        <f>VLOOKUP(A2541,[1]!Table1[#All],17,FALSE)</f>
        <v>JORDAN</v>
      </c>
      <c r="G2541" t="str">
        <f>VLOOKUP(A2541,[1]!Table1[#All],22,FALSE)</f>
        <v>Global Health Development</v>
      </c>
      <c r="H2541" s="8">
        <f>VLOOKUP(A2541,[1]!Table1[#All],32,FALSE)</f>
        <v>44104</v>
      </c>
      <c r="I2541" s="8">
        <f>VLOOKUP(A2541,[1]!Table1[#All],33,FALSE)</f>
        <v>45929</v>
      </c>
      <c r="J2541" t="str">
        <f t="shared" ca="1" si="42"/>
        <v>Non UDO</v>
      </c>
    </row>
    <row r="2542" spans="1:10" x14ac:dyDescent="0.35">
      <c r="A2542" s="5" t="s">
        <v>82</v>
      </c>
      <c r="B2542" s="6">
        <v>44531</v>
      </c>
      <c r="C2542" s="7">
        <v>4825000</v>
      </c>
      <c r="D2542" s="7">
        <v>4284848</v>
      </c>
      <c r="E2542" s="7">
        <v>540152</v>
      </c>
      <c r="F2542" t="str">
        <f>VLOOKUP(A2542,[1]!Table1[#All],17,FALSE)</f>
        <v>JORDAN</v>
      </c>
      <c r="G2542" t="str">
        <f>VLOOKUP(A2542,[1]!Table1[#All],22,FALSE)</f>
        <v>Global Health Development</v>
      </c>
      <c r="H2542" s="8">
        <f>VLOOKUP(A2542,[1]!Table1[#All],32,FALSE)</f>
        <v>44104</v>
      </c>
      <c r="I2542" s="8">
        <f>VLOOKUP(A2542,[1]!Table1[#All],33,FALSE)</f>
        <v>45929</v>
      </c>
      <c r="J2542" t="str">
        <f t="shared" ca="1" si="42"/>
        <v>Non UDO</v>
      </c>
    </row>
    <row r="2543" spans="1:10" x14ac:dyDescent="0.35">
      <c r="A2543" s="9" t="s">
        <v>82</v>
      </c>
      <c r="B2543" s="10">
        <v>44562</v>
      </c>
      <c r="C2543" s="11">
        <v>4825000</v>
      </c>
      <c r="D2543" s="11">
        <v>4346369</v>
      </c>
      <c r="E2543" s="11">
        <v>478631</v>
      </c>
      <c r="F2543" t="str">
        <f>VLOOKUP(A2543,[1]!Table1[#All],17,FALSE)</f>
        <v>JORDAN</v>
      </c>
      <c r="G2543" t="str">
        <f>VLOOKUP(A2543,[1]!Table1[#All],22,FALSE)</f>
        <v>Global Health Development</v>
      </c>
      <c r="H2543" s="8">
        <f>VLOOKUP(A2543,[1]!Table1[#All],32,FALSE)</f>
        <v>44104</v>
      </c>
      <c r="I2543" s="8">
        <f>VLOOKUP(A2543,[1]!Table1[#All],33,FALSE)</f>
        <v>45929</v>
      </c>
      <c r="J2543" t="str">
        <f t="shared" ca="1" si="42"/>
        <v>Non UDO</v>
      </c>
    </row>
    <row r="2544" spans="1:10" x14ac:dyDescent="0.35">
      <c r="A2544" s="5" t="s">
        <v>82</v>
      </c>
      <c r="B2544" s="6">
        <v>44593</v>
      </c>
      <c r="C2544" s="7">
        <v>4825000</v>
      </c>
      <c r="D2544" s="7">
        <v>4499307</v>
      </c>
      <c r="E2544" s="7">
        <v>325693</v>
      </c>
      <c r="F2544" t="str">
        <f>VLOOKUP(A2544,[1]!Table1[#All],17,FALSE)</f>
        <v>JORDAN</v>
      </c>
      <c r="G2544" t="str">
        <f>VLOOKUP(A2544,[1]!Table1[#All],22,FALSE)</f>
        <v>Global Health Development</v>
      </c>
      <c r="H2544" s="8">
        <f>VLOOKUP(A2544,[1]!Table1[#All],32,FALSE)</f>
        <v>44104</v>
      </c>
      <c r="I2544" s="8">
        <f>VLOOKUP(A2544,[1]!Table1[#All],33,FALSE)</f>
        <v>45929</v>
      </c>
      <c r="J2544" t="str">
        <f t="shared" ca="1" si="42"/>
        <v>Non UDO</v>
      </c>
    </row>
    <row r="2545" spans="1:10" x14ac:dyDescent="0.35">
      <c r="A2545" s="9" t="s">
        <v>82</v>
      </c>
      <c r="B2545" s="10">
        <v>44621</v>
      </c>
      <c r="C2545" s="11">
        <v>4825000</v>
      </c>
      <c r="D2545" s="11">
        <v>4648606</v>
      </c>
      <c r="E2545" s="11">
        <v>176394</v>
      </c>
      <c r="F2545" t="str">
        <f>VLOOKUP(A2545,[1]!Table1[#All],17,FALSE)</f>
        <v>JORDAN</v>
      </c>
      <c r="G2545" t="str">
        <f>VLOOKUP(A2545,[1]!Table1[#All],22,FALSE)</f>
        <v>Global Health Development</v>
      </c>
      <c r="H2545" s="8">
        <f>VLOOKUP(A2545,[1]!Table1[#All],32,FALSE)</f>
        <v>44104</v>
      </c>
      <c r="I2545" s="8">
        <f>VLOOKUP(A2545,[1]!Table1[#All],33,FALSE)</f>
        <v>45929</v>
      </c>
      <c r="J2545" t="str">
        <f t="shared" ca="1" si="42"/>
        <v>Non UDO</v>
      </c>
    </row>
    <row r="2546" spans="1:10" x14ac:dyDescent="0.35">
      <c r="A2546" s="5" t="s">
        <v>82</v>
      </c>
      <c r="B2546" s="6">
        <v>44652</v>
      </c>
      <c r="C2546" s="7">
        <v>4825000</v>
      </c>
      <c r="D2546" s="7">
        <v>4656939</v>
      </c>
      <c r="E2546" s="7">
        <v>168061</v>
      </c>
      <c r="F2546" t="str">
        <f>VLOOKUP(A2546,[1]!Table1[#All],17,FALSE)</f>
        <v>JORDAN</v>
      </c>
      <c r="G2546" t="str">
        <f>VLOOKUP(A2546,[1]!Table1[#All],22,FALSE)</f>
        <v>Global Health Development</v>
      </c>
      <c r="H2546" s="8">
        <f>VLOOKUP(A2546,[1]!Table1[#All],32,FALSE)</f>
        <v>44104</v>
      </c>
      <c r="I2546" s="8">
        <f>VLOOKUP(A2546,[1]!Table1[#All],33,FALSE)</f>
        <v>45929</v>
      </c>
      <c r="J2546" t="str">
        <f t="shared" ca="1" si="42"/>
        <v>Non UDO</v>
      </c>
    </row>
    <row r="2547" spans="1:10" x14ac:dyDescent="0.35">
      <c r="A2547" s="9" t="s">
        <v>82</v>
      </c>
      <c r="B2547" s="10">
        <v>44682</v>
      </c>
      <c r="C2547" s="11">
        <v>4825000</v>
      </c>
      <c r="D2547" s="11">
        <v>4663539</v>
      </c>
      <c r="E2547" s="11">
        <v>161461</v>
      </c>
      <c r="F2547" t="str">
        <f>VLOOKUP(A2547,[1]!Table1[#All],17,FALSE)</f>
        <v>JORDAN</v>
      </c>
      <c r="G2547" t="str">
        <f>VLOOKUP(A2547,[1]!Table1[#All],22,FALSE)</f>
        <v>Global Health Development</v>
      </c>
      <c r="H2547" s="8">
        <f>VLOOKUP(A2547,[1]!Table1[#All],32,FALSE)</f>
        <v>44104</v>
      </c>
      <c r="I2547" s="8">
        <f>VLOOKUP(A2547,[1]!Table1[#All],33,FALSE)</f>
        <v>45929</v>
      </c>
      <c r="J2547" t="str">
        <f t="shared" ca="1" si="42"/>
        <v>Non UDO</v>
      </c>
    </row>
    <row r="2548" spans="1:10" x14ac:dyDescent="0.35">
      <c r="A2548" s="5" t="s">
        <v>82</v>
      </c>
      <c r="B2548" s="6">
        <v>44713</v>
      </c>
      <c r="C2548" s="7">
        <v>4825000</v>
      </c>
      <c r="D2548" s="7">
        <v>4671006</v>
      </c>
      <c r="E2548" s="7">
        <v>153994</v>
      </c>
      <c r="F2548" t="str">
        <f>VLOOKUP(A2548,[1]!Table1[#All],17,FALSE)</f>
        <v>JORDAN</v>
      </c>
      <c r="G2548" t="str">
        <f>VLOOKUP(A2548,[1]!Table1[#All],22,FALSE)</f>
        <v>Global Health Development</v>
      </c>
      <c r="H2548" s="8">
        <f>VLOOKUP(A2548,[1]!Table1[#All],32,FALSE)</f>
        <v>44104</v>
      </c>
      <c r="I2548" s="8">
        <f>VLOOKUP(A2548,[1]!Table1[#All],33,FALSE)</f>
        <v>45929</v>
      </c>
      <c r="J2548" t="str">
        <f t="shared" ca="1" si="42"/>
        <v>Non UDO</v>
      </c>
    </row>
    <row r="2549" spans="1:10" x14ac:dyDescent="0.35">
      <c r="A2549" s="9" t="s">
        <v>82</v>
      </c>
      <c r="B2549" s="10">
        <v>44743</v>
      </c>
      <c r="C2549" s="11">
        <v>4825000</v>
      </c>
      <c r="D2549" s="11">
        <v>4677950</v>
      </c>
      <c r="E2549" s="11">
        <v>147050</v>
      </c>
      <c r="F2549" t="str">
        <f>VLOOKUP(A2549,[1]!Table1[#All],17,FALSE)</f>
        <v>JORDAN</v>
      </c>
      <c r="G2549" t="str">
        <f>VLOOKUP(A2549,[1]!Table1[#All],22,FALSE)</f>
        <v>Global Health Development</v>
      </c>
      <c r="H2549" s="8">
        <f>VLOOKUP(A2549,[1]!Table1[#All],32,FALSE)</f>
        <v>44104</v>
      </c>
      <c r="I2549" s="8">
        <f>VLOOKUP(A2549,[1]!Table1[#All],33,FALSE)</f>
        <v>45929</v>
      </c>
      <c r="J2549" t="str">
        <f t="shared" ca="1" si="42"/>
        <v>Non UDO</v>
      </c>
    </row>
    <row r="2550" spans="1:10" x14ac:dyDescent="0.35">
      <c r="A2550" s="5" t="s">
        <v>82</v>
      </c>
      <c r="B2550" s="6">
        <v>44774</v>
      </c>
      <c r="C2550" s="7">
        <v>4825000</v>
      </c>
      <c r="D2550" s="7">
        <v>4685581</v>
      </c>
      <c r="E2550" s="7">
        <v>139419</v>
      </c>
      <c r="F2550" t="str">
        <f>VLOOKUP(A2550,[1]!Table1[#All],17,FALSE)</f>
        <v>JORDAN</v>
      </c>
      <c r="G2550" t="str">
        <f>VLOOKUP(A2550,[1]!Table1[#All],22,FALSE)</f>
        <v>Global Health Development</v>
      </c>
      <c r="H2550" s="8">
        <f>VLOOKUP(A2550,[1]!Table1[#All],32,FALSE)</f>
        <v>44104</v>
      </c>
      <c r="I2550" s="8">
        <f>VLOOKUP(A2550,[1]!Table1[#All],33,FALSE)</f>
        <v>45929</v>
      </c>
      <c r="J2550" t="str">
        <f t="shared" ca="1" si="42"/>
        <v>Non UDO</v>
      </c>
    </row>
    <row r="2551" spans="1:10" x14ac:dyDescent="0.35">
      <c r="A2551" s="9" t="s">
        <v>82</v>
      </c>
      <c r="B2551" s="10">
        <v>44805</v>
      </c>
      <c r="C2551" s="11">
        <v>4825000</v>
      </c>
      <c r="D2551" s="11">
        <v>4825000</v>
      </c>
      <c r="E2551" s="11">
        <v>0</v>
      </c>
      <c r="F2551" t="str">
        <f>VLOOKUP(A2551,[1]!Table1[#All],17,FALSE)</f>
        <v>JORDAN</v>
      </c>
      <c r="G2551" t="str">
        <f>VLOOKUP(A2551,[1]!Table1[#All],22,FALSE)</f>
        <v>Global Health Development</v>
      </c>
      <c r="H2551" s="8">
        <f>VLOOKUP(A2551,[1]!Table1[#All],32,FALSE)</f>
        <v>44104</v>
      </c>
      <c r="I2551" s="8">
        <f>VLOOKUP(A2551,[1]!Table1[#All],33,FALSE)</f>
        <v>45929</v>
      </c>
      <c r="J2551" t="str">
        <f t="shared" ca="1" si="42"/>
        <v>Non UDO</v>
      </c>
    </row>
    <row r="2552" spans="1:10" x14ac:dyDescent="0.35">
      <c r="A2552" s="5" t="s">
        <v>82</v>
      </c>
      <c r="B2552" s="6">
        <v>44835</v>
      </c>
      <c r="C2552" s="7">
        <v>4825000</v>
      </c>
      <c r="D2552" s="7">
        <v>4825000</v>
      </c>
      <c r="E2552" s="7">
        <v>0</v>
      </c>
      <c r="F2552" t="str">
        <f>VLOOKUP(A2552,[1]!Table1[#All],17,FALSE)</f>
        <v>JORDAN</v>
      </c>
      <c r="G2552" t="str">
        <f>VLOOKUP(A2552,[1]!Table1[#All],22,FALSE)</f>
        <v>Global Health Development</v>
      </c>
      <c r="H2552" s="8">
        <f>VLOOKUP(A2552,[1]!Table1[#All],32,FALSE)</f>
        <v>44104</v>
      </c>
      <c r="I2552" s="8">
        <f>VLOOKUP(A2552,[1]!Table1[#All],33,FALSE)</f>
        <v>45929</v>
      </c>
      <c r="J2552" t="str">
        <f t="shared" ca="1" si="42"/>
        <v>Non UDO</v>
      </c>
    </row>
    <row r="2553" spans="1:10" x14ac:dyDescent="0.35">
      <c r="A2553" s="9" t="s">
        <v>82</v>
      </c>
      <c r="B2553" s="10">
        <v>44866</v>
      </c>
      <c r="C2553" s="11">
        <v>4825000</v>
      </c>
      <c r="D2553" s="11">
        <v>4825000</v>
      </c>
      <c r="E2553" s="11">
        <v>0</v>
      </c>
      <c r="F2553" t="str">
        <f>VLOOKUP(A2553,[1]!Table1[#All],17,FALSE)</f>
        <v>JORDAN</v>
      </c>
      <c r="G2553" t="str">
        <f>VLOOKUP(A2553,[1]!Table1[#All],22,FALSE)</f>
        <v>Global Health Development</v>
      </c>
      <c r="H2553" s="8">
        <f>VLOOKUP(A2553,[1]!Table1[#All],32,FALSE)</f>
        <v>44104</v>
      </c>
      <c r="I2553" s="8">
        <f>VLOOKUP(A2553,[1]!Table1[#All],33,FALSE)</f>
        <v>45929</v>
      </c>
      <c r="J2553" t="str">
        <f t="shared" ca="1" si="42"/>
        <v>Non UDO</v>
      </c>
    </row>
    <row r="2554" spans="1:10" x14ac:dyDescent="0.35">
      <c r="A2554" s="5" t="s">
        <v>82</v>
      </c>
      <c r="B2554" s="6">
        <v>44896</v>
      </c>
      <c r="C2554" s="7">
        <v>4825000</v>
      </c>
      <c r="D2554" s="7">
        <v>4825000</v>
      </c>
      <c r="E2554" s="7">
        <v>0</v>
      </c>
      <c r="F2554" t="str">
        <f>VLOOKUP(A2554,[1]!Table1[#All],17,FALSE)</f>
        <v>JORDAN</v>
      </c>
      <c r="G2554" t="str">
        <f>VLOOKUP(A2554,[1]!Table1[#All],22,FALSE)</f>
        <v>Global Health Development</v>
      </c>
      <c r="H2554" s="8">
        <f>VLOOKUP(A2554,[1]!Table1[#All],32,FALSE)</f>
        <v>44104</v>
      </c>
      <c r="I2554" s="8">
        <f>VLOOKUP(A2554,[1]!Table1[#All],33,FALSE)</f>
        <v>45929</v>
      </c>
      <c r="J2554" t="str">
        <f t="shared" ca="1" si="42"/>
        <v>Non UDO</v>
      </c>
    </row>
    <row r="2555" spans="1:10" x14ac:dyDescent="0.35">
      <c r="A2555" s="9" t="s">
        <v>82</v>
      </c>
      <c r="B2555" s="10">
        <v>44927</v>
      </c>
      <c r="C2555" s="11">
        <v>4825000</v>
      </c>
      <c r="D2555" s="11">
        <v>4825000</v>
      </c>
      <c r="E2555" s="11">
        <v>0</v>
      </c>
      <c r="F2555" t="str">
        <f>VLOOKUP(A2555,[1]!Table1[#All],17,FALSE)</f>
        <v>JORDAN</v>
      </c>
      <c r="G2555" t="str">
        <f>VLOOKUP(A2555,[1]!Table1[#All],22,FALSE)</f>
        <v>Global Health Development</v>
      </c>
      <c r="H2555" s="8">
        <f>VLOOKUP(A2555,[1]!Table1[#All],32,FALSE)</f>
        <v>44104</v>
      </c>
      <c r="I2555" s="8">
        <f>VLOOKUP(A2555,[1]!Table1[#All],33,FALSE)</f>
        <v>45929</v>
      </c>
      <c r="J2555" t="str">
        <f t="shared" ca="1" si="42"/>
        <v>Non UDO</v>
      </c>
    </row>
    <row r="2556" spans="1:10" x14ac:dyDescent="0.35">
      <c r="A2556" s="5" t="s">
        <v>82</v>
      </c>
      <c r="B2556" s="6">
        <v>44958</v>
      </c>
      <c r="C2556" s="7">
        <v>4825000</v>
      </c>
      <c r="D2556" s="7">
        <v>4825000</v>
      </c>
      <c r="E2556" s="7">
        <v>0</v>
      </c>
      <c r="F2556" t="str">
        <f>VLOOKUP(A2556,[1]!Table1[#All],17,FALSE)</f>
        <v>JORDAN</v>
      </c>
      <c r="G2556" t="str">
        <f>VLOOKUP(A2556,[1]!Table1[#All],22,FALSE)</f>
        <v>Global Health Development</v>
      </c>
      <c r="H2556" s="8">
        <f>VLOOKUP(A2556,[1]!Table1[#All],32,FALSE)</f>
        <v>44104</v>
      </c>
      <c r="I2556" s="8">
        <f>VLOOKUP(A2556,[1]!Table1[#All],33,FALSE)</f>
        <v>45929</v>
      </c>
      <c r="J2556" t="str">
        <f t="shared" ca="1" si="42"/>
        <v>Non UDO</v>
      </c>
    </row>
    <row r="2557" spans="1:10" x14ac:dyDescent="0.35">
      <c r="A2557" s="9" t="s">
        <v>82</v>
      </c>
      <c r="B2557" s="10">
        <v>44986</v>
      </c>
      <c r="C2557" s="11">
        <v>4825000</v>
      </c>
      <c r="D2557" s="11">
        <v>4825000</v>
      </c>
      <c r="E2557" s="11">
        <v>0</v>
      </c>
      <c r="F2557" t="str">
        <f>VLOOKUP(A2557,[1]!Table1[#All],17,FALSE)</f>
        <v>JORDAN</v>
      </c>
      <c r="G2557" t="str">
        <f>VLOOKUP(A2557,[1]!Table1[#All],22,FALSE)</f>
        <v>Global Health Development</v>
      </c>
      <c r="H2557" s="8">
        <f>VLOOKUP(A2557,[1]!Table1[#All],32,FALSE)</f>
        <v>44104</v>
      </c>
      <c r="I2557" s="8">
        <f>VLOOKUP(A2557,[1]!Table1[#All],33,FALSE)</f>
        <v>45929</v>
      </c>
      <c r="J2557" t="str">
        <f t="shared" ca="1" si="42"/>
        <v>Non UDO</v>
      </c>
    </row>
    <row r="2558" spans="1:10" x14ac:dyDescent="0.35">
      <c r="A2558" s="5" t="s">
        <v>82</v>
      </c>
      <c r="B2558" s="6">
        <v>45017</v>
      </c>
      <c r="C2558" s="7">
        <v>4825000</v>
      </c>
      <c r="D2558" s="7">
        <v>4825000</v>
      </c>
      <c r="E2558" s="7">
        <v>0</v>
      </c>
      <c r="F2558" t="str">
        <f>VLOOKUP(A2558,[1]!Table1[#All],17,FALSE)</f>
        <v>JORDAN</v>
      </c>
      <c r="G2558" t="str">
        <f>VLOOKUP(A2558,[1]!Table1[#All],22,FALSE)</f>
        <v>Global Health Development</v>
      </c>
      <c r="H2558" s="8">
        <f>VLOOKUP(A2558,[1]!Table1[#All],32,FALSE)</f>
        <v>44104</v>
      </c>
      <c r="I2558" s="8">
        <f>VLOOKUP(A2558,[1]!Table1[#All],33,FALSE)</f>
        <v>45929</v>
      </c>
      <c r="J2558" t="str">
        <f t="shared" ca="1" si="42"/>
        <v>Non UDO</v>
      </c>
    </row>
    <row r="2559" spans="1:10" x14ac:dyDescent="0.35">
      <c r="A2559" s="9" t="s">
        <v>82</v>
      </c>
      <c r="B2559" s="10">
        <v>45047</v>
      </c>
      <c r="C2559" s="11">
        <v>4825000</v>
      </c>
      <c r="D2559" s="11">
        <v>4825000</v>
      </c>
      <c r="E2559" s="11">
        <v>0</v>
      </c>
      <c r="F2559" t="str">
        <f>VLOOKUP(A2559,[1]!Table1[#All],17,FALSE)</f>
        <v>JORDAN</v>
      </c>
      <c r="G2559" t="str">
        <f>VLOOKUP(A2559,[1]!Table1[#All],22,FALSE)</f>
        <v>Global Health Development</v>
      </c>
      <c r="H2559" s="8">
        <f>VLOOKUP(A2559,[1]!Table1[#All],32,FALSE)</f>
        <v>44104</v>
      </c>
      <c r="I2559" s="8">
        <f>VLOOKUP(A2559,[1]!Table1[#All],33,FALSE)</f>
        <v>45929</v>
      </c>
      <c r="J2559" t="str">
        <f t="shared" ca="1" si="42"/>
        <v>Non UDO</v>
      </c>
    </row>
    <row r="2560" spans="1:10" x14ac:dyDescent="0.35">
      <c r="A2560" s="5" t="s">
        <v>82</v>
      </c>
      <c r="B2560" s="6">
        <v>45078</v>
      </c>
      <c r="C2560" s="7">
        <v>4825000</v>
      </c>
      <c r="D2560" s="7">
        <v>4825000</v>
      </c>
      <c r="E2560" s="7">
        <v>0</v>
      </c>
      <c r="F2560" t="str">
        <f>VLOOKUP(A2560,[1]!Table1[#All],17,FALSE)</f>
        <v>JORDAN</v>
      </c>
      <c r="G2560" t="str">
        <f>VLOOKUP(A2560,[1]!Table1[#All],22,FALSE)</f>
        <v>Global Health Development</v>
      </c>
      <c r="H2560" s="8">
        <f>VLOOKUP(A2560,[1]!Table1[#All],32,FALSE)</f>
        <v>44104</v>
      </c>
      <c r="I2560" s="8">
        <f>VLOOKUP(A2560,[1]!Table1[#All],33,FALSE)</f>
        <v>45929</v>
      </c>
      <c r="J2560" t="str">
        <f t="shared" ca="1" si="42"/>
        <v>Non UDO</v>
      </c>
    </row>
    <row r="2561" spans="1:10" x14ac:dyDescent="0.35">
      <c r="A2561" s="9" t="s">
        <v>82</v>
      </c>
      <c r="B2561" s="10">
        <v>45108</v>
      </c>
      <c r="C2561" s="11">
        <v>4825000</v>
      </c>
      <c r="D2561" s="11">
        <v>4825000</v>
      </c>
      <c r="E2561" s="11">
        <v>0</v>
      </c>
      <c r="F2561" t="str">
        <f>VLOOKUP(A2561,[1]!Table1[#All],17,FALSE)</f>
        <v>JORDAN</v>
      </c>
      <c r="G2561" t="str">
        <f>VLOOKUP(A2561,[1]!Table1[#All],22,FALSE)</f>
        <v>Global Health Development</v>
      </c>
      <c r="H2561" s="8">
        <f>VLOOKUP(A2561,[1]!Table1[#All],32,FALSE)</f>
        <v>44104</v>
      </c>
      <c r="I2561" s="8">
        <f>VLOOKUP(A2561,[1]!Table1[#All],33,FALSE)</f>
        <v>45929</v>
      </c>
      <c r="J2561" t="str">
        <f t="shared" ca="1" si="42"/>
        <v>Non UDO</v>
      </c>
    </row>
    <row r="2562" spans="1:10" x14ac:dyDescent="0.35">
      <c r="A2562" s="5" t="s">
        <v>82</v>
      </c>
      <c r="B2562" s="6">
        <v>45139</v>
      </c>
      <c r="C2562" s="7">
        <v>4825000</v>
      </c>
      <c r="D2562" s="7">
        <v>4825000</v>
      </c>
      <c r="E2562" s="7">
        <v>0</v>
      </c>
      <c r="F2562" t="str">
        <f>VLOOKUP(A2562,[1]!Table1[#All],17,FALSE)</f>
        <v>JORDAN</v>
      </c>
      <c r="G2562" t="str">
        <f>VLOOKUP(A2562,[1]!Table1[#All],22,FALSE)</f>
        <v>Global Health Development</v>
      </c>
      <c r="H2562" s="8">
        <f>VLOOKUP(A2562,[1]!Table1[#All],32,FALSE)</f>
        <v>44104</v>
      </c>
      <c r="I2562" s="8">
        <f>VLOOKUP(A2562,[1]!Table1[#All],33,FALSE)</f>
        <v>45929</v>
      </c>
      <c r="J2562" t="str">
        <f t="shared" ca="1" si="42"/>
        <v>Non UDO</v>
      </c>
    </row>
    <row r="2563" spans="1:10" x14ac:dyDescent="0.35">
      <c r="A2563" s="9" t="s">
        <v>82</v>
      </c>
      <c r="B2563" s="10">
        <v>45170</v>
      </c>
      <c r="C2563" s="11">
        <v>4825000</v>
      </c>
      <c r="D2563" s="11">
        <v>4825000</v>
      </c>
      <c r="E2563" s="11">
        <v>0</v>
      </c>
      <c r="F2563" t="str">
        <f>VLOOKUP(A2563,[1]!Table1[#All],17,FALSE)</f>
        <v>JORDAN</v>
      </c>
      <c r="G2563" t="str">
        <f>VLOOKUP(A2563,[1]!Table1[#All],22,FALSE)</f>
        <v>Global Health Development</v>
      </c>
      <c r="H2563" s="8">
        <f>VLOOKUP(A2563,[1]!Table1[#All],32,FALSE)</f>
        <v>44104</v>
      </c>
      <c r="I2563" s="8">
        <f>VLOOKUP(A2563,[1]!Table1[#All],33,FALSE)</f>
        <v>45929</v>
      </c>
      <c r="J2563" t="str">
        <f t="shared" ref="J2563:J2626" ca="1" si="43">IF(AND( E2563&gt;0,TODAY()&gt;I2563),"UDO","Non UDO")</f>
        <v>Non UDO</v>
      </c>
    </row>
    <row r="2564" spans="1:10" x14ac:dyDescent="0.35">
      <c r="A2564" s="5" t="s">
        <v>83</v>
      </c>
      <c r="B2564" s="6">
        <v>44105</v>
      </c>
      <c r="C2564" s="7">
        <v>3548000</v>
      </c>
      <c r="D2564" s="7">
        <v>0</v>
      </c>
      <c r="E2564" s="7">
        <v>3548000</v>
      </c>
      <c r="F2564" t="str">
        <f>VLOOKUP(A2564,[1]!Table1[#All],17,FALSE)</f>
        <v>THAILAND</v>
      </c>
      <c r="G2564" t="str">
        <f>VLOOKUP(A2564,[1]!Table1[#All],22,FALSE)</f>
        <v>SOUTH ASIA FIELD EPIDEMIOLOGY &amp; TECH</v>
      </c>
      <c r="H2564" s="8">
        <f>VLOOKUP(A2564,[1]!Table1[#All],32,FALSE)</f>
        <v>44104</v>
      </c>
      <c r="I2564" s="8">
        <f>VLOOKUP(A2564,[1]!Table1[#All],33,FALSE)</f>
        <v>45929</v>
      </c>
      <c r="J2564" t="str">
        <f t="shared" ca="1" si="43"/>
        <v>Non UDO</v>
      </c>
    </row>
    <row r="2565" spans="1:10" x14ac:dyDescent="0.35">
      <c r="A2565" s="9" t="s">
        <v>83</v>
      </c>
      <c r="B2565" s="10">
        <v>44136</v>
      </c>
      <c r="C2565" s="11">
        <v>3548000</v>
      </c>
      <c r="D2565" s="11">
        <v>94150</v>
      </c>
      <c r="E2565" s="11">
        <v>3453850</v>
      </c>
      <c r="F2565" t="str">
        <f>VLOOKUP(A2565,[1]!Table1[#All],17,FALSE)</f>
        <v>THAILAND</v>
      </c>
      <c r="G2565" t="str">
        <f>VLOOKUP(A2565,[1]!Table1[#All],22,FALSE)</f>
        <v>SOUTH ASIA FIELD EPIDEMIOLOGY &amp; TECH</v>
      </c>
      <c r="H2565" s="8">
        <f>VLOOKUP(A2565,[1]!Table1[#All],32,FALSE)</f>
        <v>44104</v>
      </c>
      <c r="I2565" s="8">
        <f>VLOOKUP(A2565,[1]!Table1[#All],33,FALSE)</f>
        <v>45929</v>
      </c>
      <c r="J2565" t="str">
        <f t="shared" ca="1" si="43"/>
        <v>Non UDO</v>
      </c>
    </row>
    <row r="2566" spans="1:10" x14ac:dyDescent="0.35">
      <c r="A2566" s="5" t="s">
        <v>83</v>
      </c>
      <c r="B2566" s="6">
        <v>44166</v>
      </c>
      <c r="C2566" s="7">
        <v>3548000</v>
      </c>
      <c r="D2566" s="7">
        <v>152650</v>
      </c>
      <c r="E2566" s="7">
        <v>3395350</v>
      </c>
      <c r="F2566" t="str">
        <f>VLOOKUP(A2566,[1]!Table1[#All],17,FALSE)</f>
        <v>THAILAND</v>
      </c>
      <c r="G2566" t="str">
        <f>VLOOKUP(A2566,[1]!Table1[#All],22,FALSE)</f>
        <v>SOUTH ASIA FIELD EPIDEMIOLOGY &amp; TECH</v>
      </c>
      <c r="H2566" s="8">
        <f>VLOOKUP(A2566,[1]!Table1[#All],32,FALSE)</f>
        <v>44104</v>
      </c>
      <c r="I2566" s="8">
        <f>VLOOKUP(A2566,[1]!Table1[#All],33,FALSE)</f>
        <v>45929</v>
      </c>
      <c r="J2566" t="str">
        <f t="shared" ca="1" si="43"/>
        <v>Non UDO</v>
      </c>
    </row>
    <row r="2567" spans="1:10" x14ac:dyDescent="0.35">
      <c r="A2567" s="9" t="s">
        <v>83</v>
      </c>
      <c r="B2567" s="10">
        <v>44197</v>
      </c>
      <c r="C2567" s="11">
        <v>3548000</v>
      </c>
      <c r="D2567" s="11">
        <v>652634.87</v>
      </c>
      <c r="E2567" s="11">
        <v>2895365.13</v>
      </c>
      <c r="F2567" t="str">
        <f>VLOOKUP(A2567,[1]!Table1[#All],17,FALSE)</f>
        <v>THAILAND</v>
      </c>
      <c r="G2567" t="str">
        <f>VLOOKUP(A2567,[1]!Table1[#All],22,FALSE)</f>
        <v>SOUTH ASIA FIELD EPIDEMIOLOGY &amp; TECH</v>
      </c>
      <c r="H2567" s="8">
        <f>VLOOKUP(A2567,[1]!Table1[#All],32,FALSE)</f>
        <v>44104</v>
      </c>
      <c r="I2567" s="8">
        <f>VLOOKUP(A2567,[1]!Table1[#All],33,FALSE)</f>
        <v>45929</v>
      </c>
      <c r="J2567" t="str">
        <f t="shared" ca="1" si="43"/>
        <v>Non UDO</v>
      </c>
    </row>
    <row r="2568" spans="1:10" x14ac:dyDescent="0.35">
      <c r="A2568" s="5" t="s">
        <v>83</v>
      </c>
      <c r="B2568" s="6">
        <v>44228</v>
      </c>
      <c r="C2568" s="7">
        <v>3548000</v>
      </c>
      <c r="D2568" s="7">
        <v>652634.87</v>
      </c>
      <c r="E2568" s="7">
        <v>2895365.13</v>
      </c>
      <c r="F2568" t="str">
        <f>VLOOKUP(A2568,[1]!Table1[#All],17,FALSE)</f>
        <v>THAILAND</v>
      </c>
      <c r="G2568" t="str">
        <f>VLOOKUP(A2568,[1]!Table1[#All],22,FALSE)</f>
        <v>SOUTH ASIA FIELD EPIDEMIOLOGY &amp; TECH</v>
      </c>
      <c r="H2568" s="8">
        <f>VLOOKUP(A2568,[1]!Table1[#All],32,FALSE)</f>
        <v>44104</v>
      </c>
      <c r="I2568" s="8">
        <f>VLOOKUP(A2568,[1]!Table1[#All],33,FALSE)</f>
        <v>45929</v>
      </c>
      <c r="J2568" t="str">
        <f t="shared" ca="1" si="43"/>
        <v>Non UDO</v>
      </c>
    </row>
    <row r="2569" spans="1:10" x14ac:dyDescent="0.35">
      <c r="A2569" s="9" t="s">
        <v>83</v>
      </c>
      <c r="B2569" s="10">
        <v>44256</v>
      </c>
      <c r="C2569" s="11">
        <v>3548000</v>
      </c>
      <c r="D2569" s="11">
        <v>652634.87</v>
      </c>
      <c r="E2569" s="11">
        <v>2895365.13</v>
      </c>
      <c r="F2569" t="str">
        <f>VLOOKUP(A2569,[1]!Table1[#All],17,FALSE)</f>
        <v>THAILAND</v>
      </c>
      <c r="G2569" t="str">
        <f>VLOOKUP(A2569,[1]!Table1[#All],22,FALSE)</f>
        <v>SOUTH ASIA FIELD EPIDEMIOLOGY &amp; TECH</v>
      </c>
      <c r="H2569" s="8">
        <f>VLOOKUP(A2569,[1]!Table1[#All],32,FALSE)</f>
        <v>44104</v>
      </c>
      <c r="I2569" s="8">
        <f>VLOOKUP(A2569,[1]!Table1[#All],33,FALSE)</f>
        <v>45929</v>
      </c>
      <c r="J2569" t="str">
        <f t="shared" ca="1" si="43"/>
        <v>Non UDO</v>
      </c>
    </row>
    <row r="2570" spans="1:10" x14ac:dyDescent="0.35">
      <c r="A2570" s="5" t="s">
        <v>83</v>
      </c>
      <c r="B2570" s="6">
        <v>44287</v>
      </c>
      <c r="C2570" s="7">
        <v>2538000</v>
      </c>
      <c r="D2570" s="7">
        <v>411628.87</v>
      </c>
      <c r="E2570" s="7">
        <v>2126371.13</v>
      </c>
      <c r="F2570" t="str">
        <f>VLOOKUP(A2570,[1]!Table1[#All],17,FALSE)</f>
        <v>THAILAND</v>
      </c>
      <c r="G2570" t="str">
        <f>VLOOKUP(A2570,[1]!Table1[#All],22,FALSE)</f>
        <v>SOUTH ASIA FIELD EPIDEMIOLOGY &amp; TECH</v>
      </c>
      <c r="H2570" s="8">
        <f>VLOOKUP(A2570,[1]!Table1[#All],32,FALSE)</f>
        <v>44104</v>
      </c>
      <c r="I2570" s="8">
        <f>VLOOKUP(A2570,[1]!Table1[#All],33,FALSE)</f>
        <v>45929</v>
      </c>
      <c r="J2570" t="str">
        <f t="shared" ca="1" si="43"/>
        <v>Non UDO</v>
      </c>
    </row>
    <row r="2571" spans="1:10" x14ac:dyDescent="0.35">
      <c r="A2571" s="9" t="s">
        <v>83</v>
      </c>
      <c r="B2571" s="10">
        <v>44317</v>
      </c>
      <c r="C2571" s="11">
        <v>3548000</v>
      </c>
      <c r="D2571" s="11">
        <v>1072457.3900000001</v>
      </c>
      <c r="E2571" s="11">
        <v>2475542.61</v>
      </c>
      <c r="F2571" t="str">
        <f>VLOOKUP(A2571,[1]!Table1[#All],17,FALSE)</f>
        <v>THAILAND</v>
      </c>
      <c r="G2571" t="str">
        <f>VLOOKUP(A2571,[1]!Table1[#All],22,FALSE)</f>
        <v>SOUTH ASIA FIELD EPIDEMIOLOGY &amp; TECH</v>
      </c>
      <c r="H2571" s="8">
        <f>VLOOKUP(A2571,[1]!Table1[#All],32,FALSE)</f>
        <v>44104</v>
      </c>
      <c r="I2571" s="8">
        <f>VLOOKUP(A2571,[1]!Table1[#All],33,FALSE)</f>
        <v>45929</v>
      </c>
      <c r="J2571" t="str">
        <f t="shared" ca="1" si="43"/>
        <v>Non UDO</v>
      </c>
    </row>
    <row r="2572" spans="1:10" x14ac:dyDescent="0.35">
      <c r="A2572" s="5" t="s">
        <v>83</v>
      </c>
      <c r="B2572" s="6">
        <v>44348</v>
      </c>
      <c r="C2572" s="7">
        <v>3548000</v>
      </c>
      <c r="D2572" s="7">
        <v>1072457.3900000001</v>
      </c>
      <c r="E2572" s="7">
        <v>2475542.61</v>
      </c>
      <c r="F2572" t="str">
        <f>VLOOKUP(A2572,[1]!Table1[#All],17,FALSE)</f>
        <v>THAILAND</v>
      </c>
      <c r="G2572" t="str">
        <f>VLOOKUP(A2572,[1]!Table1[#All],22,FALSE)</f>
        <v>SOUTH ASIA FIELD EPIDEMIOLOGY &amp; TECH</v>
      </c>
      <c r="H2572" s="8">
        <f>VLOOKUP(A2572,[1]!Table1[#All],32,FALSE)</f>
        <v>44104</v>
      </c>
      <c r="I2572" s="8">
        <f>VLOOKUP(A2572,[1]!Table1[#All],33,FALSE)</f>
        <v>45929</v>
      </c>
      <c r="J2572" t="str">
        <f t="shared" ca="1" si="43"/>
        <v>Non UDO</v>
      </c>
    </row>
    <row r="2573" spans="1:10" x14ac:dyDescent="0.35">
      <c r="A2573" s="9" t="s">
        <v>83</v>
      </c>
      <c r="B2573" s="10">
        <v>44378</v>
      </c>
      <c r="C2573" s="11">
        <v>3548000</v>
      </c>
      <c r="D2573" s="11">
        <v>1072457.3900000001</v>
      </c>
      <c r="E2573" s="11">
        <v>2475542.61</v>
      </c>
      <c r="F2573" t="str">
        <f>VLOOKUP(A2573,[1]!Table1[#All],17,FALSE)</f>
        <v>THAILAND</v>
      </c>
      <c r="G2573" t="str">
        <f>VLOOKUP(A2573,[1]!Table1[#All],22,FALSE)</f>
        <v>SOUTH ASIA FIELD EPIDEMIOLOGY &amp; TECH</v>
      </c>
      <c r="H2573" s="8">
        <f>VLOOKUP(A2573,[1]!Table1[#All],32,FALSE)</f>
        <v>44104</v>
      </c>
      <c r="I2573" s="8">
        <f>VLOOKUP(A2573,[1]!Table1[#All],33,FALSE)</f>
        <v>45929</v>
      </c>
      <c r="J2573" t="str">
        <f t="shared" ca="1" si="43"/>
        <v>Non UDO</v>
      </c>
    </row>
    <row r="2574" spans="1:10" x14ac:dyDescent="0.35">
      <c r="A2574" s="5" t="s">
        <v>83</v>
      </c>
      <c r="B2574" s="6">
        <v>44409</v>
      </c>
      <c r="C2574" s="7">
        <v>3548000</v>
      </c>
      <c r="D2574" s="7">
        <v>1688547.51</v>
      </c>
      <c r="E2574" s="7">
        <v>1859452.49</v>
      </c>
      <c r="F2574" t="str">
        <f>VLOOKUP(A2574,[1]!Table1[#All],17,FALSE)</f>
        <v>THAILAND</v>
      </c>
      <c r="G2574" t="str">
        <f>VLOOKUP(A2574,[1]!Table1[#All],22,FALSE)</f>
        <v>SOUTH ASIA FIELD EPIDEMIOLOGY &amp; TECH</v>
      </c>
      <c r="H2574" s="8">
        <f>VLOOKUP(A2574,[1]!Table1[#All],32,FALSE)</f>
        <v>44104</v>
      </c>
      <c r="I2574" s="8">
        <f>VLOOKUP(A2574,[1]!Table1[#All],33,FALSE)</f>
        <v>45929</v>
      </c>
      <c r="J2574" t="str">
        <f t="shared" ca="1" si="43"/>
        <v>Non UDO</v>
      </c>
    </row>
    <row r="2575" spans="1:10" x14ac:dyDescent="0.35">
      <c r="A2575" s="9" t="s">
        <v>83</v>
      </c>
      <c r="B2575" s="10">
        <v>44440</v>
      </c>
      <c r="C2575" s="11">
        <v>3548000</v>
      </c>
      <c r="D2575" s="11">
        <v>1688547.51</v>
      </c>
      <c r="E2575" s="11">
        <v>1859452.49</v>
      </c>
      <c r="F2575" t="str">
        <f>VLOOKUP(A2575,[1]!Table1[#All],17,FALSE)</f>
        <v>THAILAND</v>
      </c>
      <c r="G2575" t="str">
        <f>VLOOKUP(A2575,[1]!Table1[#All],22,FALSE)</f>
        <v>SOUTH ASIA FIELD EPIDEMIOLOGY &amp; TECH</v>
      </c>
      <c r="H2575" s="8">
        <f>VLOOKUP(A2575,[1]!Table1[#All],32,FALSE)</f>
        <v>44104</v>
      </c>
      <c r="I2575" s="8">
        <f>VLOOKUP(A2575,[1]!Table1[#All],33,FALSE)</f>
        <v>45929</v>
      </c>
      <c r="J2575" t="str">
        <f t="shared" ca="1" si="43"/>
        <v>Non UDO</v>
      </c>
    </row>
    <row r="2576" spans="1:10" x14ac:dyDescent="0.35">
      <c r="A2576" s="5" t="s">
        <v>83</v>
      </c>
      <c r="B2576" s="6">
        <v>44470</v>
      </c>
      <c r="C2576" s="7">
        <v>3548000</v>
      </c>
      <c r="D2576" s="7">
        <v>1884362.31</v>
      </c>
      <c r="E2576" s="7">
        <v>1663637.69</v>
      </c>
      <c r="F2576" t="str">
        <f>VLOOKUP(A2576,[1]!Table1[#All],17,FALSE)</f>
        <v>THAILAND</v>
      </c>
      <c r="G2576" t="str">
        <f>VLOOKUP(A2576,[1]!Table1[#All],22,FALSE)</f>
        <v>SOUTH ASIA FIELD EPIDEMIOLOGY &amp; TECH</v>
      </c>
      <c r="H2576" s="8">
        <f>VLOOKUP(A2576,[1]!Table1[#All],32,FALSE)</f>
        <v>44104</v>
      </c>
      <c r="I2576" s="8">
        <f>VLOOKUP(A2576,[1]!Table1[#All],33,FALSE)</f>
        <v>45929</v>
      </c>
      <c r="J2576" t="str">
        <f t="shared" ca="1" si="43"/>
        <v>Non UDO</v>
      </c>
    </row>
    <row r="2577" spans="1:10" x14ac:dyDescent="0.35">
      <c r="A2577" s="9" t="s">
        <v>83</v>
      </c>
      <c r="B2577" s="10">
        <v>44501</v>
      </c>
      <c r="C2577" s="11">
        <v>3548000</v>
      </c>
      <c r="D2577" s="11">
        <v>2270495.63</v>
      </c>
      <c r="E2577" s="11">
        <v>1277504.3700000001</v>
      </c>
      <c r="F2577" t="str">
        <f>VLOOKUP(A2577,[1]!Table1[#All],17,FALSE)</f>
        <v>THAILAND</v>
      </c>
      <c r="G2577" t="str">
        <f>VLOOKUP(A2577,[1]!Table1[#All],22,FALSE)</f>
        <v>SOUTH ASIA FIELD EPIDEMIOLOGY &amp; TECH</v>
      </c>
      <c r="H2577" s="8">
        <f>VLOOKUP(A2577,[1]!Table1[#All],32,FALSE)</f>
        <v>44104</v>
      </c>
      <c r="I2577" s="8">
        <f>VLOOKUP(A2577,[1]!Table1[#All],33,FALSE)</f>
        <v>45929</v>
      </c>
      <c r="J2577" t="str">
        <f t="shared" ca="1" si="43"/>
        <v>Non UDO</v>
      </c>
    </row>
    <row r="2578" spans="1:10" x14ac:dyDescent="0.35">
      <c r="A2578" s="5" t="s">
        <v>83</v>
      </c>
      <c r="B2578" s="6">
        <v>44531</v>
      </c>
      <c r="C2578" s="7">
        <v>3548000</v>
      </c>
      <c r="D2578" s="7">
        <v>2270495.63</v>
      </c>
      <c r="E2578" s="7">
        <v>1277504.3700000001</v>
      </c>
      <c r="F2578" t="str">
        <f>VLOOKUP(A2578,[1]!Table1[#All],17,FALSE)</f>
        <v>THAILAND</v>
      </c>
      <c r="G2578" t="str">
        <f>VLOOKUP(A2578,[1]!Table1[#All],22,FALSE)</f>
        <v>SOUTH ASIA FIELD EPIDEMIOLOGY &amp; TECH</v>
      </c>
      <c r="H2578" s="8">
        <f>VLOOKUP(A2578,[1]!Table1[#All],32,FALSE)</f>
        <v>44104</v>
      </c>
      <c r="I2578" s="8">
        <f>VLOOKUP(A2578,[1]!Table1[#All],33,FALSE)</f>
        <v>45929</v>
      </c>
      <c r="J2578" t="str">
        <f t="shared" ca="1" si="43"/>
        <v>Non UDO</v>
      </c>
    </row>
    <row r="2579" spans="1:10" x14ac:dyDescent="0.35">
      <c r="A2579" s="9" t="s">
        <v>83</v>
      </c>
      <c r="B2579" s="10">
        <v>44562</v>
      </c>
      <c r="C2579" s="11">
        <v>3548000</v>
      </c>
      <c r="D2579" s="11">
        <v>2270495.63</v>
      </c>
      <c r="E2579" s="11">
        <v>1277504.3700000001</v>
      </c>
      <c r="F2579" t="str">
        <f>VLOOKUP(A2579,[1]!Table1[#All],17,FALSE)</f>
        <v>THAILAND</v>
      </c>
      <c r="G2579" t="str">
        <f>VLOOKUP(A2579,[1]!Table1[#All],22,FALSE)</f>
        <v>SOUTH ASIA FIELD EPIDEMIOLOGY &amp; TECH</v>
      </c>
      <c r="H2579" s="8">
        <f>VLOOKUP(A2579,[1]!Table1[#All],32,FALSE)</f>
        <v>44104</v>
      </c>
      <c r="I2579" s="8">
        <f>VLOOKUP(A2579,[1]!Table1[#All],33,FALSE)</f>
        <v>45929</v>
      </c>
      <c r="J2579" t="str">
        <f t="shared" ca="1" si="43"/>
        <v>Non UDO</v>
      </c>
    </row>
    <row r="2580" spans="1:10" x14ac:dyDescent="0.35">
      <c r="A2580" s="5" t="s">
        <v>83</v>
      </c>
      <c r="B2580" s="6">
        <v>44593</v>
      </c>
      <c r="C2580" s="7">
        <v>3548000</v>
      </c>
      <c r="D2580" s="7">
        <v>2315369.59</v>
      </c>
      <c r="E2580" s="7">
        <v>1232630.4099999999</v>
      </c>
      <c r="F2580" t="str">
        <f>VLOOKUP(A2580,[1]!Table1[#All],17,FALSE)</f>
        <v>THAILAND</v>
      </c>
      <c r="G2580" t="str">
        <f>VLOOKUP(A2580,[1]!Table1[#All],22,FALSE)</f>
        <v>SOUTH ASIA FIELD EPIDEMIOLOGY &amp; TECH</v>
      </c>
      <c r="H2580" s="8">
        <f>VLOOKUP(A2580,[1]!Table1[#All],32,FALSE)</f>
        <v>44104</v>
      </c>
      <c r="I2580" s="8">
        <f>VLOOKUP(A2580,[1]!Table1[#All],33,FALSE)</f>
        <v>45929</v>
      </c>
      <c r="J2580" t="str">
        <f t="shared" ca="1" si="43"/>
        <v>Non UDO</v>
      </c>
    </row>
    <row r="2581" spans="1:10" x14ac:dyDescent="0.35">
      <c r="A2581" s="9" t="s">
        <v>83</v>
      </c>
      <c r="B2581" s="10">
        <v>44621</v>
      </c>
      <c r="C2581" s="11">
        <v>3548000</v>
      </c>
      <c r="D2581" s="11">
        <v>2315369.59</v>
      </c>
      <c r="E2581" s="11">
        <v>1232630.4099999999</v>
      </c>
      <c r="F2581" t="str">
        <f>VLOOKUP(A2581,[1]!Table1[#All],17,FALSE)</f>
        <v>THAILAND</v>
      </c>
      <c r="G2581" t="str">
        <f>VLOOKUP(A2581,[1]!Table1[#All],22,FALSE)</f>
        <v>SOUTH ASIA FIELD EPIDEMIOLOGY &amp; TECH</v>
      </c>
      <c r="H2581" s="8">
        <f>VLOOKUP(A2581,[1]!Table1[#All],32,FALSE)</f>
        <v>44104</v>
      </c>
      <c r="I2581" s="8">
        <f>VLOOKUP(A2581,[1]!Table1[#All],33,FALSE)</f>
        <v>45929</v>
      </c>
      <c r="J2581" t="str">
        <f t="shared" ca="1" si="43"/>
        <v>Non UDO</v>
      </c>
    </row>
    <row r="2582" spans="1:10" x14ac:dyDescent="0.35">
      <c r="A2582" s="5" t="s">
        <v>83</v>
      </c>
      <c r="B2582" s="6">
        <v>44652</v>
      </c>
      <c r="C2582" s="7">
        <v>3548000</v>
      </c>
      <c r="D2582" s="7">
        <v>2467962.9</v>
      </c>
      <c r="E2582" s="7">
        <v>1080037.1000000001</v>
      </c>
      <c r="F2582" t="str">
        <f>VLOOKUP(A2582,[1]!Table1[#All],17,FALSE)</f>
        <v>THAILAND</v>
      </c>
      <c r="G2582" t="str">
        <f>VLOOKUP(A2582,[1]!Table1[#All],22,FALSE)</f>
        <v>SOUTH ASIA FIELD EPIDEMIOLOGY &amp; TECH</v>
      </c>
      <c r="H2582" s="8">
        <f>VLOOKUP(A2582,[1]!Table1[#All],32,FALSE)</f>
        <v>44104</v>
      </c>
      <c r="I2582" s="8">
        <f>VLOOKUP(A2582,[1]!Table1[#All],33,FALSE)</f>
        <v>45929</v>
      </c>
      <c r="J2582" t="str">
        <f t="shared" ca="1" si="43"/>
        <v>Non UDO</v>
      </c>
    </row>
    <row r="2583" spans="1:10" x14ac:dyDescent="0.35">
      <c r="A2583" s="9" t="s">
        <v>83</v>
      </c>
      <c r="B2583" s="10">
        <v>44682</v>
      </c>
      <c r="C2583" s="11">
        <v>3548000</v>
      </c>
      <c r="D2583" s="11">
        <v>2467962.9</v>
      </c>
      <c r="E2583" s="11">
        <v>1080037.1000000001</v>
      </c>
      <c r="F2583" t="str">
        <f>VLOOKUP(A2583,[1]!Table1[#All],17,FALSE)</f>
        <v>THAILAND</v>
      </c>
      <c r="G2583" t="str">
        <f>VLOOKUP(A2583,[1]!Table1[#All],22,FALSE)</f>
        <v>SOUTH ASIA FIELD EPIDEMIOLOGY &amp; TECH</v>
      </c>
      <c r="H2583" s="8">
        <f>VLOOKUP(A2583,[1]!Table1[#All],32,FALSE)</f>
        <v>44104</v>
      </c>
      <c r="I2583" s="8">
        <f>VLOOKUP(A2583,[1]!Table1[#All],33,FALSE)</f>
        <v>45929</v>
      </c>
      <c r="J2583" t="str">
        <f t="shared" ca="1" si="43"/>
        <v>Non UDO</v>
      </c>
    </row>
    <row r="2584" spans="1:10" x14ac:dyDescent="0.35">
      <c r="A2584" s="5" t="s">
        <v>83</v>
      </c>
      <c r="B2584" s="6">
        <v>44713</v>
      </c>
      <c r="C2584" s="7">
        <v>3548000</v>
      </c>
      <c r="D2584" s="7">
        <v>2467962.9</v>
      </c>
      <c r="E2584" s="7">
        <v>1080037.1000000001</v>
      </c>
      <c r="F2584" t="str">
        <f>VLOOKUP(A2584,[1]!Table1[#All],17,FALSE)</f>
        <v>THAILAND</v>
      </c>
      <c r="G2584" t="str">
        <f>VLOOKUP(A2584,[1]!Table1[#All],22,FALSE)</f>
        <v>SOUTH ASIA FIELD EPIDEMIOLOGY &amp; TECH</v>
      </c>
      <c r="H2584" s="8">
        <f>VLOOKUP(A2584,[1]!Table1[#All],32,FALSE)</f>
        <v>44104</v>
      </c>
      <c r="I2584" s="8">
        <f>VLOOKUP(A2584,[1]!Table1[#All],33,FALSE)</f>
        <v>45929</v>
      </c>
      <c r="J2584" t="str">
        <f t="shared" ca="1" si="43"/>
        <v>Non UDO</v>
      </c>
    </row>
    <row r="2585" spans="1:10" x14ac:dyDescent="0.35">
      <c r="A2585" s="9" t="s">
        <v>83</v>
      </c>
      <c r="B2585" s="10">
        <v>44743</v>
      </c>
      <c r="C2585" s="11">
        <v>3548000</v>
      </c>
      <c r="D2585" s="11">
        <v>2610801.7999999998</v>
      </c>
      <c r="E2585" s="11">
        <v>937198.2</v>
      </c>
      <c r="F2585" t="str">
        <f>VLOOKUP(A2585,[1]!Table1[#All],17,FALSE)</f>
        <v>THAILAND</v>
      </c>
      <c r="G2585" t="str">
        <f>VLOOKUP(A2585,[1]!Table1[#All],22,FALSE)</f>
        <v>SOUTH ASIA FIELD EPIDEMIOLOGY &amp; TECH</v>
      </c>
      <c r="H2585" s="8">
        <f>VLOOKUP(A2585,[1]!Table1[#All],32,FALSE)</f>
        <v>44104</v>
      </c>
      <c r="I2585" s="8">
        <f>VLOOKUP(A2585,[1]!Table1[#All],33,FALSE)</f>
        <v>45929</v>
      </c>
      <c r="J2585" t="str">
        <f t="shared" ca="1" si="43"/>
        <v>Non UDO</v>
      </c>
    </row>
    <row r="2586" spans="1:10" x14ac:dyDescent="0.35">
      <c r="A2586" s="5" t="s">
        <v>83</v>
      </c>
      <c r="B2586" s="6">
        <v>44774</v>
      </c>
      <c r="C2586" s="7">
        <v>3548000</v>
      </c>
      <c r="D2586" s="7">
        <v>2610801.7999999998</v>
      </c>
      <c r="E2586" s="7">
        <v>937198.2</v>
      </c>
      <c r="F2586" t="str">
        <f>VLOOKUP(A2586,[1]!Table1[#All],17,FALSE)</f>
        <v>THAILAND</v>
      </c>
      <c r="G2586" t="str">
        <f>VLOOKUP(A2586,[1]!Table1[#All],22,FALSE)</f>
        <v>SOUTH ASIA FIELD EPIDEMIOLOGY &amp; TECH</v>
      </c>
      <c r="H2586" s="8">
        <f>VLOOKUP(A2586,[1]!Table1[#All],32,FALSE)</f>
        <v>44104</v>
      </c>
      <c r="I2586" s="8">
        <f>VLOOKUP(A2586,[1]!Table1[#All],33,FALSE)</f>
        <v>45929</v>
      </c>
      <c r="J2586" t="str">
        <f t="shared" ca="1" si="43"/>
        <v>Non UDO</v>
      </c>
    </row>
    <row r="2587" spans="1:10" x14ac:dyDescent="0.35">
      <c r="A2587" s="9" t="s">
        <v>83</v>
      </c>
      <c r="B2587" s="10">
        <v>44805</v>
      </c>
      <c r="C2587" s="11">
        <v>3548000</v>
      </c>
      <c r="D2587" s="11">
        <v>2653189.88</v>
      </c>
      <c r="E2587" s="11">
        <v>894810.12</v>
      </c>
      <c r="F2587" t="str">
        <f>VLOOKUP(A2587,[1]!Table1[#All],17,FALSE)</f>
        <v>THAILAND</v>
      </c>
      <c r="G2587" t="str">
        <f>VLOOKUP(A2587,[1]!Table1[#All],22,FALSE)</f>
        <v>SOUTH ASIA FIELD EPIDEMIOLOGY &amp; TECH</v>
      </c>
      <c r="H2587" s="8">
        <f>VLOOKUP(A2587,[1]!Table1[#All],32,FALSE)</f>
        <v>44104</v>
      </c>
      <c r="I2587" s="8">
        <f>VLOOKUP(A2587,[1]!Table1[#All],33,FALSE)</f>
        <v>45929</v>
      </c>
      <c r="J2587" t="str">
        <f t="shared" ca="1" si="43"/>
        <v>Non UDO</v>
      </c>
    </row>
    <row r="2588" spans="1:10" x14ac:dyDescent="0.35">
      <c r="A2588" s="5" t="s">
        <v>83</v>
      </c>
      <c r="B2588" s="6">
        <v>44835</v>
      </c>
      <c r="C2588" s="7">
        <v>3548000</v>
      </c>
      <c r="D2588" s="7">
        <v>2736389.3</v>
      </c>
      <c r="E2588" s="7">
        <v>811610.7</v>
      </c>
      <c r="F2588" t="str">
        <f>VLOOKUP(A2588,[1]!Table1[#All],17,FALSE)</f>
        <v>THAILAND</v>
      </c>
      <c r="G2588" t="str">
        <f>VLOOKUP(A2588,[1]!Table1[#All],22,FALSE)</f>
        <v>SOUTH ASIA FIELD EPIDEMIOLOGY &amp; TECH</v>
      </c>
      <c r="H2588" s="8">
        <f>VLOOKUP(A2588,[1]!Table1[#All],32,FALSE)</f>
        <v>44104</v>
      </c>
      <c r="I2588" s="8">
        <f>VLOOKUP(A2588,[1]!Table1[#All],33,FALSE)</f>
        <v>45929</v>
      </c>
      <c r="J2588" t="str">
        <f t="shared" ca="1" si="43"/>
        <v>Non UDO</v>
      </c>
    </row>
    <row r="2589" spans="1:10" x14ac:dyDescent="0.35">
      <c r="A2589" s="9" t="s">
        <v>83</v>
      </c>
      <c r="B2589" s="10">
        <v>44866</v>
      </c>
      <c r="C2589" s="11">
        <v>3548000</v>
      </c>
      <c r="D2589" s="11">
        <v>2736389.3</v>
      </c>
      <c r="E2589" s="11">
        <v>811610.7</v>
      </c>
      <c r="F2589" t="str">
        <f>VLOOKUP(A2589,[1]!Table1[#All],17,FALSE)</f>
        <v>THAILAND</v>
      </c>
      <c r="G2589" t="str">
        <f>VLOOKUP(A2589,[1]!Table1[#All],22,FALSE)</f>
        <v>SOUTH ASIA FIELD EPIDEMIOLOGY &amp; TECH</v>
      </c>
      <c r="H2589" s="8">
        <f>VLOOKUP(A2589,[1]!Table1[#All],32,FALSE)</f>
        <v>44104</v>
      </c>
      <c r="I2589" s="8">
        <f>VLOOKUP(A2589,[1]!Table1[#All],33,FALSE)</f>
        <v>45929</v>
      </c>
      <c r="J2589" t="str">
        <f t="shared" ca="1" si="43"/>
        <v>Non UDO</v>
      </c>
    </row>
    <row r="2590" spans="1:10" x14ac:dyDescent="0.35">
      <c r="A2590" s="5" t="s">
        <v>83</v>
      </c>
      <c r="B2590" s="6">
        <v>44896</v>
      </c>
      <c r="C2590" s="7">
        <v>3548000</v>
      </c>
      <c r="D2590" s="7">
        <v>2766017.3</v>
      </c>
      <c r="E2590" s="7">
        <v>781982.7</v>
      </c>
      <c r="F2590" t="str">
        <f>VLOOKUP(A2590,[1]!Table1[#All],17,FALSE)</f>
        <v>THAILAND</v>
      </c>
      <c r="G2590" t="str">
        <f>VLOOKUP(A2590,[1]!Table1[#All],22,FALSE)</f>
        <v>SOUTH ASIA FIELD EPIDEMIOLOGY &amp; TECH</v>
      </c>
      <c r="H2590" s="8">
        <f>VLOOKUP(A2590,[1]!Table1[#All],32,FALSE)</f>
        <v>44104</v>
      </c>
      <c r="I2590" s="8">
        <f>VLOOKUP(A2590,[1]!Table1[#All],33,FALSE)</f>
        <v>45929</v>
      </c>
      <c r="J2590" t="str">
        <f t="shared" ca="1" si="43"/>
        <v>Non UDO</v>
      </c>
    </row>
    <row r="2591" spans="1:10" x14ac:dyDescent="0.35">
      <c r="A2591" s="9" t="s">
        <v>83</v>
      </c>
      <c r="B2591" s="10">
        <v>44927</v>
      </c>
      <c r="C2591" s="11">
        <v>3548000</v>
      </c>
      <c r="D2591" s="11">
        <v>2766017.3</v>
      </c>
      <c r="E2591" s="11">
        <v>781982.7</v>
      </c>
      <c r="F2591" t="str">
        <f>VLOOKUP(A2591,[1]!Table1[#All],17,FALSE)</f>
        <v>THAILAND</v>
      </c>
      <c r="G2591" t="str">
        <f>VLOOKUP(A2591,[1]!Table1[#All],22,FALSE)</f>
        <v>SOUTH ASIA FIELD EPIDEMIOLOGY &amp; TECH</v>
      </c>
      <c r="H2591" s="8">
        <f>VLOOKUP(A2591,[1]!Table1[#All],32,FALSE)</f>
        <v>44104</v>
      </c>
      <c r="I2591" s="8">
        <f>VLOOKUP(A2591,[1]!Table1[#All],33,FALSE)</f>
        <v>45929</v>
      </c>
      <c r="J2591" t="str">
        <f t="shared" ca="1" si="43"/>
        <v>Non UDO</v>
      </c>
    </row>
    <row r="2592" spans="1:10" x14ac:dyDescent="0.35">
      <c r="A2592" s="5" t="s">
        <v>83</v>
      </c>
      <c r="B2592" s="6">
        <v>44958</v>
      </c>
      <c r="C2592" s="7">
        <v>3548000</v>
      </c>
      <c r="D2592" s="7">
        <v>2814725.3</v>
      </c>
      <c r="E2592" s="7">
        <v>733274.7</v>
      </c>
      <c r="F2592" t="str">
        <f>VLOOKUP(A2592,[1]!Table1[#All],17,FALSE)</f>
        <v>THAILAND</v>
      </c>
      <c r="G2592" t="str">
        <f>VLOOKUP(A2592,[1]!Table1[#All],22,FALSE)</f>
        <v>SOUTH ASIA FIELD EPIDEMIOLOGY &amp; TECH</v>
      </c>
      <c r="H2592" s="8">
        <f>VLOOKUP(A2592,[1]!Table1[#All],32,FALSE)</f>
        <v>44104</v>
      </c>
      <c r="I2592" s="8">
        <f>VLOOKUP(A2592,[1]!Table1[#All],33,FALSE)</f>
        <v>45929</v>
      </c>
      <c r="J2592" t="str">
        <f t="shared" ca="1" si="43"/>
        <v>Non UDO</v>
      </c>
    </row>
    <row r="2593" spans="1:10" x14ac:dyDescent="0.35">
      <c r="A2593" s="9" t="s">
        <v>83</v>
      </c>
      <c r="B2593" s="10">
        <v>44986</v>
      </c>
      <c r="C2593" s="11">
        <v>3548000</v>
      </c>
      <c r="D2593" s="11">
        <v>2814725.3</v>
      </c>
      <c r="E2593" s="11">
        <v>733274.7</v>
      </c>
      <c r="F2593" t="str">
        <f>VLOOKUP(A2593,[1]!Table1[#All],17,FALSE)</f>
        <v>THAILAND</v>
      </c>
      <c r="G2593" t="str">
        <f>VLOOKUP(A2593,[1]!Table1[#All],22,FALSE)</f>
        <v>SOUTH ASIA FIELD EPIDEMIOLOGY &amp; TECH</v>
      </c>
      <c r="H2593" s="8">
        <f>VLOOKUP(A2593,[1]!Table1[#All],32,FALSE)</f>
        <v>44104</v>
      </c>
      <c r="I2593" s="8">
        <f>VLOOKUP(A2593,[1]!Table1[#All],33,FALSE)</f>
        <v>45929</v>
      </c>
      <c r="J2593" t="str">
        <f t="shared" ca="1" si="43"/>
        <v>Non UDO</v>
      </c>
    </row>
    <row r="2594" spans="1:10" x14ac:dyDescent="0.35">
      <c r="A2594" s="5" t="s">
        <v>83</v>
      </c>
      <c r="B2594" s="6">
        <v>45017</v>
      </c>
      <c r="C2594" s="7">
        <v>3548000</v>
      </c>
      <c r="D2594" s="7">
        <v>2863433.3</v>
      </c>
      <c r="E2594" s="7">
        <v>684566.7</v>
      </c>
      <c r="F2594" t="str">
        <f>VLOOKUP(A2594,[1]!Table1[#All],17,FALSE)</f>
        <v>THAILAND</v>
      </c>
      <c r="G2594" t="str">
        <f>VLOOKUP(A2594,[1]!Table1[#All],22,FALSE)</f>
        <v>SOUTH ASIA FIELD EPIDEMIOLOGY &amp; TECH</v>
      </c>
      <c r="H2594" s="8">
        <f>VLOOKUP(A2594,[1]!Table1[#All],32,FALSE)</f>
        <v>44104</v>
      </c>
      <c r="I2594" s="8">
        <f>VLOOKUP(A2594,[1]!Table1[#All],33,FALSE)</f>
        <v>45929</v>
      </c>
      <c r="J2594" t="str">
        <f t="shared" ca="1" si="43"/>
        <v>Non UDO</v>
      </c>
    </row>
    <row r="2595" spans="1:10" x14ac:dyDescent="0.35">
      <c r="A2595" s="9" t="s">
        <v>83</v>
      </c>
      <c r="B2595" s="10">
        <v>45047</v>
      </c>
      <c r="C2595" s="11">
        <v>3548000</v>
      </c>
      <c r="D2595" s="11">
        <v>2863433.3</v>
      </c>
      <c r="E2595" s="11">
        <v>684566.7</v>
      </c>
      <c r="F2595" t="str">
        <f>VLOOKUP(A2595,[1]!Table1[#All],17,FALSE)</f>
        <v>THAILAND</v>
      </c>
      <c r="G2595" t="str">
        <f>VLOOKUP(A2595,[1]!Table1[#All],22,FALSE)</f>
        <v>SOUTH ASIA FIELD EPIDEMIOLOGY &amp; TECH</v>
      </c>
      <c r="H2595" s="8">
        <f>VLOOKUP(A2595,[1]!Table1[#All],32,FALSE)</f>
        <v>44104</v>
      </c>
      <c r="I2595" s="8">
        <f>VLOOKUP(A2595,[1]!Table1[#All],33,FALSE)</f>
        <v>45929</v>
      </c>
      <c r="J2595" t="str">
        <f t="shared" ca="1" si="43"/>
        <v>Non UDO</v>
      </c>
    </row>
    <row r="2596" spans="1:10" x14ac:dyDescent="0.35">
      <c r="A2596" s="5" t="s">
        <v>83</v>
      </c>
      <c r="B2596" s="6">
        <v>45078</v>
      </c>
      <c r="C2596" s="7">
        <v>3548000</v>
      </c>
      <c r="D2596" s="7">
        <v>2999701.2199999997</v>
      </c>
      <c r="E2596" s="7">
        <v>548298.78</v>
      </c>
      <c r="F2596" t="str">
        <f>VLOOKUP(A2596,[1]!Table1[#All],17,FALSE)</f>
        <v>THAILAND</v>
      </c>
      <c r="G2596" t="str">
        <f>VLOOKUP(A2596,[1]!Table1[#All],22,FALSE)</f>
        <v>SOUTH ASIA FIELD EPIDEMIOLOGY &amp; TECH</v>
      </c>
      <c r="H2596" s="8">
        <f>VLOOKUP(A2596,[1]!Table1[#All],32,FALSE)</f>
        <v>44104</v>
      </c>
      <c r="I2596" s="8">
        <f>VLOOKUP(A2596,[1]!Table1[#All],33,FALSE)</f>
        <v>45929</v>
      </c>
      <c r="J2596" t="str">
        <f t="shared" ca="1" si="43"/>
        <v>Non UDO</v>
      </c>
    </row>
    <row r="2597" spans="1:10" x14ac:dyDescent="0.35">
      <c r="A2597" s="9" t="s">
        <v>83</v>
      </c>
      <c r="B2597" s="10">
        <v>45108</v>
      </c>
      <c r="C2597" s="11">
        <v>3548000</v>
      </c>
      <c r="D2597" s="11">
        <v>2999701.2199999997</v>
      </c>
      <c r="E2597" s="11">
        <v>548298.78</v>
      </c>
      <c r="F2597" t="str">
        <f>VLOOKUP(A2597,[1]!Table1[#All],17,FALSE)</f>
        <v>THAILAND</v>
      </c>
      <c r="G2597" t="str">
        <f>VLOOKUP(A2597,[1]!Table1[#All],22,FALSE)</f>
        <v>SOUTH ASIA FIELD EPIDEMIOLOGY &amp; TECH</v>
      </c>
      <c r="H2597" s="8">
        <f>VLOOKUP(A2597,[1]!Table1[#All],32,FALSE)</f>
        <v>44104</v>
      </c>
      <c r="I2597" s="8">
        <f>VLOOKUP(A2597,[1]!Table1[#All],33,FALSE)</f>
        <v>45929</v>
      </c>
      <c r="J2597" t="str">
        <f t="shared" ca="1" si="43"/>
        <v>Non UDO</v>
      </c>
    </row>
    <row r="2598" spans="1:10" x14ac:dyDescent="0.35">
      <c r="A2598" s="5" t="s">
        <v>83</v>
      </c>
      <c r="B2598" s="6">
        <v>45139</v>
      </c>
      <c r="C2598" s="7">
        <v>3548000</v>
      </c>
      <c r="D2598" s="7">
        <v>2999701.2199999997</v>
      </c>
      <c r="E2598" s="7">
        <v>548298.78</v>
      </c>
      <c r="F2598" t="str">
        <f>VLOOKUP(A2598,[1]!Table1[#All],17,FALSE)</f>
        <v>THAILAND</v>
      </c>
      <c r="G2598" t="str">
        <f>VLOOKUP(A2598,[1]!Table1[#All],22,FALSE)</f>
        <v>SOUTH ASIA FIELD EPIDEMIOLOGY &amp; TECH</v>
      </c>
      <c r="H2598" s="8">
        <f>VLOOKUP(A2598,[1]!Table1[#All],32,FALSE)</f>
        <v>44104</v>
      </c>
      <c r="I2598" s="8">
        <f>VLOOKUP(A2598,[1]!Table1[#All],33,FALSE)</f>
        <v>45929</v>
      </c>
      <c r="J2598" t="str">
        <f t="shared" ca="1" si="43"/>
        <v>Non UDO</v>
      </c>
    </row>
    <row r="2599" spans="1:10" x14ac:dyDescent="0.35">
      <c r="A2599" s="9" t="s">
        <v>83</v>
      </c>
      <c r="B2599" s="10">
        <v>45170</v>
      </c>
      <c r="C2599" s="11">
        <v>3548000</v>
      </c>
      <c r="D2599" s="11">
        <v>3023503.42</v>
      </c>
      <c r="E2599" s="11">
        <v>524496.57999999996</v>
      </c>
      <c r="F2599" t="str">
        <f>VLOOKUP(A2599,[1]!Table1[#All],17,FALSE)</f>
        <v>THAILAND</v>
      </c>
      <c r="G2599" t="str">
        <f>VLOOKUP(A2599,[1]!Table1[#All],22,FALSE)</f>
        <v>SOUTH ASIA FIELD EPIDEMIOLOGY &amp; TECH</v>
      </c>
      <c r="H2599" s="8">
        <f>VLOOKUP(A2599,[1]!Table1[#All],32,FALSE)</f>
        <v>44104</v>
      </c>
      <c r="I2599" s="8">
        <f>VLOOKUP(A2599,[1]!Table1[#All],33,FALSE)</f>
        <v>45929</v>
      </c>
      <c r="J2599" t="str">
        <f t="shared" ca="1" si="43"/>
        <v>Non UDO</v>
      </c>
    </row>
    <row r="2600" spans="1:10" x14ac:dyDescent="0.35">
      <c r="A2600" s="5" t="s">
        <v>84</v>
      </c>
      <c r="B2600" s="6">
        <v>44105</v>
      </c>
      <c r="C2600" s="7">
        <v>2480000</v>
      </c>
      <c r="D2600" s="7">
        <v>0</v>
      </c>
      <c r="E2600" s="7">
        <v>2480000</v>
      </c>
      <c r="F2600" t="str">
        <f>VLOOKUP(A2600,[1]!Table1[#All],17,FALSE)</f>
        <v>UGANDA</v>
      </c>
      <c r="G2600" t="str">
        <f>VLOOKUP(A2600,[1]!Table1[#All],22,FALSE)</f>
        <v>INFECTIOUS DISEASES INSTITUTE AT MAKERERE UNIVERSI</v>
      </c>
      <c r="H2600" s="8">
        <f>VLOOKUP(A2600,[1]!Table1[#All],32,FALSE)</f>
        <v>44104</v>
      </c>
      <c r="I2600" s="8">
        <f>VLOOKUP(A2600,[1]!Table1[#All],33,FALSE)</f>
        <v>45929</v>
      </c>
      <c r="J2600" t="str">
        <f t="shared" ca="1" si="43"/>
        <v>Non UDO</v>
      </c>
    </row>
    <row r="2601" spans="1:10" x14ac:dyDescent="0.35">
      <c r="A2601" s="9" t="s">
        <v>84</v>
      </c>
      <c r="B2601" s="10">
        <v>44136</v>
      </c>
      <c r="C2601" s="11">
        <v>2480000</v>
      </c>
      <c r="D2601" s="11">
        <v>0</v>
      </c>
      <c r="E2601" s="11">
        <v>2480000</v>
      </c>
      <c r="F2601" t="str">
        <f>VLOOKUP(A2601,[1]!Table1[#All],17,FALSE)</f>
        <v>UGANDA</v>
      </c>
      <c r="G2601" t="str">
        <f>VLOOKUP(A2601,[1]!Table1[#All],22,FALSE)</f>
        <v>INFECTIOUS DISEASES INSTITUTE AT MAKERERE UNIVERSI</v>
      </c>
      <c r="H2601" s="8">
        <f>VLOOKUP(A2601,[1]!Table1[#All],32,FALSE)</f>
        <v>44104</v>
      </c>
      <c r="I2601" s="8">
        <f>VLOOKUP(A2601,[1]!Table1[#All],33,FALSE)</f>
        <v>45929</v>
      </c>
      <c r="J2601" t="str">
        <f t="shared" ca="1" si="43"/>
        <v>Non UDO</v>
      </c>
    </row>
    <row r="2602" spans="1:10" x14ac:dyDescent="0.35">
      <c r="A2602" s="5" t="s">
        <v>84</v>
      </c>
      <c r="B2602" s="6">
        <v>44166</v>
      </c>
      <c r="C2602" s="7">
        <v>2480000</v>
      </c>
      <c r="D2602" s="7">
        <v>155836.01999999999</v>
      </c>
      <c r="E2602" s="7">
        <v>2324163.98</v>
      </c>
      <c r="F2602" t="str">
        <f>VLOOKUP(A2602,[1]!Table1[#All],17,FALSE)</f>
        <v>UGANDA</v>
      </c>
      <c r="G2602" t="str">
        <f>VLOOKUP(A2602,[1]!Table1[#All],22,FALSE)</f>
        <v>INFECTIOUS DISEASES INSTITUTE AT MAKERERE UNIVERSI</v>
      </c>
      <c r="H2602" s="8">
        <f>VLOOKUP(A2602,[1]!Table1[#All],32,FALSE)</f>
        <v>44104</v>
      </c>
      <c r="I2602" s="8">
        <f>VLOOKUP(A2602,[1]!Table1[#All],33,FALSE)</f>
        <v>45929</v>
      </c>
      <c r="J2602" t="str">
        <f t="shared" ca="1" si="43"/>
        <v>Non UDO</v>
      </c>
    </row>
    <row r="2603" spans="1:10" x14ac:dyDescent="0.35">
      <c r="A2603" s="9" t="s">
        <v>84</v>
      </c>
      <c r="B2603" s="10">
        <v>44197</v>
      </c>
      <c r="C2603" s="11">
        <v>2480000</v>
      </c>
      <c r="D2603" s="11">
        <v>612843.36</v>
      </c>
      <c r="E2603" s="11">
        <v>1867156.6400000001</v>
      </c>
      <c r="F2603" t="str">
        <f>VLOOKUP(A2603,[1]!Table1[#All],17,FALSE)</f>
        <v>UGANDA</v>
      </c>
      <c r="G2603" t="str">
        <f>VLOOKUP(A2603,[1]!Table1[#All],22,FALSE)</f>
        <v>INFECTIOUS DISEASES INSTITUTE AT MAKERERE UNIVERSI</v>
      </c>
      <c r="H2603" s="8">
        <f>VLOOKUP(A2603,[1]!Table1[#All],32,FALSE)</f>
        <v>44104</v>
      </c>
      <c r="I2603" s="8">
        <f>VLOOKUP(A2603,[1]!Table1[#All],33,FALSE)</f>
        <v>45929</v>
      </c>
      <c r="J2603" t="str">
        <f t="shared" ca="1" si="43"/>
        <v>Non UDO</v>
      </c>
    </row>
    <row r="2604" spans="1:10" x14ac:dyDescent="0.35">
      <c r="A2604" s="5" t="s">
        <v>84</v>
      </c>
      <c r="B2604" s="6">
        <v>44228</v>
      </c>
      <c r="C2604" s="7">
        <v>2480000</v>
      </c>
      <c r="D2604" s="7">
        <v>763035.55</v>
      </c>
      <c r="E2604" s="7">
        <v>1716964.4500000002</v>
      </c>
      <c r="F2604" t="str">
        <f>VLOOKUP(A2604,[1]!Table1[#All],17,FALSE)</f>
        <v>UGANDA</v>
      </c>
      <c r="G2604" t="str">
        <f>VLOOKUP(A2604,[1]!Table1[#All],22,FALSE)</f>
        <v>INFECTIOUS DISEASES INSTITUTE AT MAKERERE UNIVERSI</v>
      </c>
      <c r="H2604" s="8">
        <f>VLOOKUP(A2604,[1]!Table1[#All],32,FALSE)</f>
        <v>44104</v>
      </c>
      <c r="I2604" s="8">
        <f>VLOOKUP(A2604,[1]!Table1[#All],33,FALSE)</f>
        <v>45929</v>
      </c>
      <c r="J2604" t="str">
        <f t="shared" ca="1" si="43"/>
        <v>Non UDO</v>
      </c>
    </row>
    <row r="2605" spans="1:10" x14ac:dyDescent="0.35">
      <c r="A2605" s="9" t="s">
        <v>84</v>
      </c>
      <c r="B2605" s="10">
        <v>44256</v>
      </c>
      <c r="C2605" s="11">
        <v>2480000</v>
      </c>
      <c r="D2605" s="11">
        <v>1023647.71</v>
      </c>
      <c r="E2605" s="11">
        <v>1456352.29</v>
      </c>
      <c r="F2605" t="str">
        <f>VLOOKUP(A2605,[1]!Table1[#All],17,FALSE)</f>
        <v>UGANDA</v>
      </c>
      <c r="G2605" t="str">
        <f>VLOOKUP(A2605,[1]!Table1[#All],22,FALSE)</f>
        <v>INFECTIOUS DISEASES INSTITUTE AT MAKERERE UNIVERSI</v>
      </c>
      <c r="H2605" s="8">
        <f>VLOOKUP(A2605,[1]!Table1[#All],32,FALSE)</f>
        <v>44104</v>
      </c>
      <c r="I2605" s="8">
        <f>VLOOKUP(A2605,[1]!Table1[#All],33,FALSE)</f>
        <v>45929</v>
      </c>
      <c r="J2605" t="str">
        <f t="shared" ca="1" si="43"/>
        <v>Non UDO</v>
      </c>
    </row>
    <row r="2606" spans="1:10" x14ac:dyDescent="0.35">
      <c r="A2606" s="5" t="s">
        <v>84</v>
      </c>
      <c r="B2606" s="6">
        <v>44287</v>
      </c>
      <c r="C2606" s="7">
        <v>2480000</v>
      </c>
      <c r="D2606" s="7">
        <v>1029963.8</v>
      </c>
      <c r="E2606" s="7">
        <v>1450036.2000000002</v>
      </c>
      <c r="F2606" t="str">
        <f>VLOOKUP(A2606,[1]!Table1[#All],17,FALSE)</f>
        <v>UGANDA</v>
      </c>
      <c r="G2606" t="str">
        <f>VLOOKUP(A2606,[1]!Table1[#All],22,FALSE)</f>
        <v>INFECTIOUS DISEASES INSTITUTE AT MAKERERE UNIVERSI</v>
      </c>
      <c r="H2606" s="8">
        <f>VLOOKUP(A2606,[1]!Table1[#All],32,FALSE)</f>
        <v>44104</v>
      </c>
      <c r="I2606" s="8">
        <f>VLOOKUP(A2606,[1]!Table1[#All],33,FALSE)</f>
        <v>45929</v>
      </c>
      <c r="J2606" t="str">
        <f t="shared" ca="1" si="43"/>
        <v>Non UDO</v>
      </c>
    </row>
    <row r="2607" spans="1:10" x14ac:dyDescent="0.35">
      <c r="A2607" s="9" t="s">
        <v>84</v>
      </c>
      <c r="B2607" s="10">
        <v>44317</v>
      </c>
      <c r="C2607" s="11">
        <v>2480000</v>
      </c>
      <c r="D2607" s="11">
        <v>1166686.53</v>
      </c>
      <c r="E2607" s="11">
        <v>1313313.47</v>
      </c>
      <c r="F2607" t="str">
        <f>VLOOKUP(A2607,[1]!Table1[#All],17,FALSE)</f>
        <v>UGANDA</v>
      </c>
      <c r="G2607" t="str">
        <f>VLOOKUP(A2607,[1]!Table1[#All],22,FALSE)</f>
        <v>INFECTIOUS DISEASES INSTITUTE AT MAKERERE UNIVERSI</v>
      </c>
      <c r="H2607" s="8">
        <f>VLOOKUP(A2607,[1]!Table1[#All],32,FALSE)</f>
        <v>44104</v>
      </c>
      <c r="I2607" s="8">
        <f>VLOOKUP(A2607,[1]!Table1[#All],33,FALSE)</f>
        <v>45929</v>
      </c>
      <c r="J2607" t="str">
        <f t="shared" ca="1" si="43"/>
        <v>Non UDO</v>
      </c>
    </row>
    <row r="2608" spans="1:10" x14ac:dyDescent="0.35">
      <c r="A2608" s="5" t="s">
        <v>84</v>
      </c>
      <c r="B2608" s="6">
        <v>44348</v>
      </c>
      <c r="C2608" s="7">
        <v>2480000</v>
      </c>
      <c r="D2608" s="7">
        <v>1671964.76</v>
      </c>
      <c r="E2608" s="7">
        <v>808035.24</v>
      </c>
      <c r="F2608" t="str">
        <f>VLOOKUP(A2608,[1]!Table1[#All],17,FALSE)</f>
        <v>UGANDA</v>
      </c>
      <c r="G2608" t="str">
        <f>VLOOKUP(A2608,[1]!Table1[#All],22,FALSE)</f>
        <v>INFECTIOUS DISEASES INSTITUTE AT MAKERERE UNIVERSI</v>
      </c>
      <c r="H2608" s="8">
        <f>VLOOKUP(A2608,[1]!Table1[#All],32,FALSE)</f>
        <v>44104</v>
      </c>
      <c r="I2608" s="8">
        <f>VLOOKUP(A2608,[1]!Table1[#All],33,FALSE)</f>
        <v>45929</v>
      </c>
      <c r="J2608" t="str">
        <f t="shared" ca="1" si="43"/>
        <v>Non UDO</v>
      </c>
    </row>
    <row r="2609" spans="1:10" x14ac:dyDescent="0.35">
      <c r="A2609" s="9" t="s">
        <v>84</v>
      </c>
      <c r="B2609" s="10">
        <v>44378</v>
      </c>
      <c r="C2609" s="11">
        <v>2480000</v>
      </c>
      <c r="D2609" s="11">
        <v>1678289.01</v>
      </c>
      <c r="E2609" s="11">
        <v>801710.99</v>
      </c>
      <c r="F2609" t="str">
        <f>VLOOKUP(A2609,[1]!Table1[#All],17,FALSE)</f>
        <v>UGANDA</v>
      </c>
      <c r="G2609" t="str">
        <f>VLOOKUP(A2609,[1]!Table1[#All],22,FALSE)</f>
        <v>INFECTIOUS DISEASES INSTITUTE AT MAKERERE UNIVERSI</v>
      </c>
      <c r="H2609" s="8">
        <f>VLOOKUP(A2609,[1]!Table1[#All],32,FALSE)</f>
        <v>44104</v>
      </c>
      <c r="I2609" s="8">
        <f>VLOOKUP(A2609,[1]!Table1[#All],33,FALSE)</f>
        <v>45929</v>
      </c>
      <c r="J2609" t="str">
        <f t="shared" ca="1" si="43"/>
        <v>Non UDO</v>
      </c>
    </row>
    <row r="2610" spans="1:10" x14ac:dyDescent="0.35">
      <c r="A2610" s="5" t="s">
        <v>84</v>
      </c>
      <c r="B2610" s="6">
        <v>44409</v>
      </c>
      <c r="C2610" s="7">
        <v>2480000</v>
      </c>
      <c r="D2610" s="7">
        <v>1706546.99</v>
      </c>
      <c r="E2610" s="7">
        <v>773453.01</v>
      </c>
      <c r="F2610" t="str">
        <f>VLOOKUP(A2610,[1]!Table1[#All],17,FALSE)</f>
        <v>UGANDA</v>
      </c>
      <c r="G2610" t="str">
        <f>VLOOKUP(A2610,[1]!Table1[#All],22,FALSE)</f>
        <v>INFECTIOUS DISEASES INSTITUTE AT MAKERERE UNIVERSI</v>
      </c>
      <c r="H2610" s="8">
        <f>VLOOKUP(A2610,[1]!Table1[#All],32,FALSE)</f>
        <v>44104</v>
      </c>
      <c r="I2610" s="8">
        <f>VLOOKUP(A2610,[1]!Table1[#All],33,FALSE)</f>
        <v>45929</v>
      </c>
      <c r="J2610" t="str">
        <f t="shared" ca="1" si="43"/>
        <v>Non UDO</v>
      </c>
    </row>
    <row r="2611" spans="1:10" x14ac:dyDescent="0.35">
      <c r="A2611" s="9" t="s">
        <v>84</v>
      </c>
      <c r="B2611" s="10">
        <v>44440</v>
      </c>
      <c r="C2611" s="11">
        <v>2480000</v>
      </c>
      <c r="D2611" s="11">
        <v>2275319.92</v>
      </c>
      <c r="E2611" s="11">
        <v>204680.08000000002</v>
      </c>
      <c r="F2611" t="str">
        <f>VLOOKUP(A2611,[1]!Table1[#All],17,FALSE)</f>
        <v>UGANDA</v>
      </c>
      <c r="G2611" t="str">
        <f>VLOOKUP(A2611,[1]!Table1[#All],22,FALSE)</f>
        <v>INFECTIOUS DISEASES INSTITUTE AT MAKERERE UNIVERSI</v>
      </c>
      <c r="H2611" s="8">
        <f>VLOOKUP(A2611,[1]!Table1[#All],32,FALSE)</f>
        <v>44104</v>
      </c>
      <c r="I2611" s="8">
        <f>VLOOKUP(A2611,[1]!Table1[#All],33,FALSE)</f>
        <v>45929</v>
      </c>
      <c r="J2611" t="str">
        <f t="shared" ca="1" si="43"/>
        <v>Non UDO</v>
      </c>
    </row>
    <row r="2612" spans="1:10" x14ac:dyDescent="0.35">
      <c r="A2612" s="5" t="s">
        <v>84</v>
      </c>
      <c r="B2612" s="6">
        <v>44470</v>
      </c>
      <c r="C2612" s="7">
        <v>2480000</v>
      </c>
      <c r="D2612" s="7">
        <v>2291827.42</v>
      </c>
      <c r="E2612" s="7">
        <v>188172.58000000002</v>
      </c>
      <c r="F2612" t="str">
        <f>VLOOKUP(A2612,[1]!Table1[#All],17,FALSE)</f>
        <v>UGANDA</v>
      </c>
      <c r="G2612" t="str">
        <f>VLOOKUP(A2612,[1]!Table1[#All],22,FALSE)</f>
        <v>INFECTIOUS DISEASES INSTITUTE AT MAKERERE UNIVERSI</v>
      </c>
      <c r="H2612" s="8">
        <f>VLOOKUP(A2612,[1]!Table1[#All],32,FALSE)</f>
        <v>44104</v>
      </c>
      <c r="I2612" s="8">
        <f>VLOOKUP(A2612,[1]!Table1[#All],33,FALSE)</f>
        <v>45929</v>
      </c>
      <c r="J2612" t="str">
        <f t="shared" ca="1" si="43"/>
        <v>Non UDO</v>
      </c>
    </row>
    <row r="2613" spans="1:10" x14ac:dyDescent="0.35">
      <c r="A2613" s="9" t="s">
        <v>84</v>
      </c>
      <c r="B2613" s="10">
        <v>44501</v>
      </c>
      <c r="C2613" s="11">
        <v>2480000</v>
      </c>
      <c r="D2613" s="11">
        <v>2405853.42</v>
      </c>
      <c r="E2613" s="11">
        <v>74146.58</v>
      </c>
      <c r="F2613" t="str">
        <f>VLOOKUP(A2613,[1]!Table1[#All],17,FALSE)</f>
        <v>UGANDA</v>
      </c>
      <c r="G2613" t="str">
        <f>VLOOKUP(A2613,[1]!Table1[#All],22,FALSE)</f>
        <v>INFECTIOUS DISEASES INSTITUTE AT MAKERERE UNIVERSI</v>
      </c>
      <c r="H2613" s="8">
        <f>VLOOKUP(A2613,[1]!Table1[#All],32,FALSE)</f>
        <v>44104</v>
      </c>
      <c r="I2613" s="8">
        <f>VLOOKUP(A2613,[1]!Table1[#All],33,FALSE)</f>
        <v>45929</v>
      </c>
      <c r="J2613" t="str">
        <f t="shared" ca="1" si="43"/>
        <v>Non UDO</v>
      </c>
    </row>
    <row r="2614" spans="1:10" x14ac:dyDescent="0.35">
      <c r="A2614" s="5" t="s">
        <v>84</v>
      </c>
      <c r="B2614" s="6">
        <v>44531</v>
      </c>
      <c r="C2614" s="7">
        <v>2480000</v>
      </c>
      <c r="D2614" s="7">
        <v>2479938.63</v>
      </c>
      <c r="E2614" s="7">
        <v>61.37</v>
      </c>
      <c r="F2614" t="str">
        <f>VLOOKUP(A2614,[1]!Table1[#All],17,FALSE)</f>
        <v>UGANDA</v>
      </c>
      <c r="G2614" t="str">
        <f>VLOOKUP(A2614,[1]!Table1[#All],22,FALSE)</f>
        <v>INFECTIOUS DISEASES INSTITUTE AT MAKERERE UNIVERSI</v>
      </c>
      <c r="H2614" s="8">
        <f>VLOOKUP(A2614,[1]!Table1[#All],32,FALSE)</f>
        <v>44104</v>
      </c>
      <c r="I2614" s="8">
        <f>VLOOKUP(A2614,[1]!Table1[#All],33,FALSE)</f>
        <v>45929</v>
      </c>
      <c r="J2614" t="str">
        <f t="shared" ca="1" si="43"/>
        <v>Non UDO</v>
      </c>
    </row>
    <row r="2615" spans="1:10" x14ac:dyDescent="0.35">
      <c r="A2615" s="9" t="s">
        <v>84</v>
      </c>
      <c r="B2615" s="10">
        <v>44562</v>
      </c>
      <c r="C2615" s="11">
        <v>2480000</v>
      </c>
      <c r="D2615" s="11">
        <v>2479938.63</v>
      </c>
      <c r="E2615" s="11">
        <v>61.37</v>
      </c>
      <c r="F2615" t="str">
        <f>VLOOKUP(A2615,[1]!Table1[#All],17,FALSE)</f>
        <v>UGANDA</v>
      </c>
      <c r="G2615" t="str">
        <f>VLOOKUP(A2615,[1]!Table1[#All],22,FALSE)</f>
        <v>INFECTIOUS DISEASES INSTITUTE AT MAKERERE UNIVERSI</v>
      </c>
      <c r="H2615" s="8">
        <f>VLOOKUP(A2615,[1]!Table1[#All],32,FALSE)</f>
        <v>44104</v>
      </c>
      <c r="I2615" s="8">
        <f>VLOOKUP(A2615,[1]!Table1[#All],33,FALSE)</f>
        <v>45929</v>
      </c>
      <c r="J2615" t="str">
        <f t="shared" ca="1" si="43"/>
        <v>Non UDO</v>
      </c>
    </row>
    <row r="2616" spans="1:10" x14ac:dyDescent="0.35">
      <c r="A2616" s="5" t="s">
        <v>84</v>
      </c>
      <c r="B2616" s="6">
        <v>44593</v>
      </c>
      <c r="C2616" s="7">
        <v>2480000</v>
      </c>
      <c r="D2616" s="7">
        <v>2479938.63</v>
      </c>
      <c r="E2616" s="7">
        <v>61.37</v>
      </c>
      <c r="F2616" t="str">
        <f>VLOOKUP(A2616,[1]!Table1[#All],17,FALSE)</f>
        <v>UGANDA</v>
      </c>
      <c r="G2616" t="str">
        <f>VLOOKUP(A2616,[1]!Table1[#All],22,FALSE)</f>
        <v>INFECTIOUS DISEASES INSTITUTE AT MAKERERE UNIVERSI</v>
      </c>
      <c r="H2616" s="8">
        <f>VLOOKUP(A2616,[1]!Table1[#All],32,FALSE)</f>
        <v>44104</v>
      </c>
      <c r="I2616" s="8">
        <f>VLOOKUP(A2616,[1]!Table1[#All],33,FALSE)</f>
        <v>45929</v>
      </c>
      <c r="J2616" t="str">
        <f t="shared" ca="1" si="43"/>
        <v>Non UDO</v>
      </c>
    </row>
    <row r="2617" spans="1:10" x14ac:dyDescent="0.35">
      <c r="A2617" s="9" t="s">
        <v>84</v>
      </c>
      <c r="B2617" s="10">
        <v>44621</v>
      </c>
      <c r="C2617" s="11">
        <v>2480000</v>
      </c>
      <c r="D2617" s="11">
        <v>2479938.63</v>
      </c>
      <c r="E2617" s="11">
        <v>61.37</v>
      </c>
      <c r="F2617" t="str">
        <f>VLOOKUP(A2617,[1]!Table1[#All],17,FALSE)</f>
        <v>UGANDA</v>
      </c>
      <c r="G2617" t="str">
        <f>VLOOKUP(A2617,[1]!Table1[#All],22,FALSE)</f>
        <v>INFECTIOUS DISEASES INSTITUTE AT MAKERERE UNIVERSI</v>
      </c>
      <c r="H2617" s="8">
        <f>VLOOKUP(A2617,[1]!Table1[#All],32,FALSE)</f>
        <v>44104</v>
      </c>
      <c r="I2617" s="8">
        <f>VLOOKUP(A2617,[1]!Table1[#All],33,FALSE)</f>
        <v>45929</v>
      </c>
      <c r="J2617" t="str">
        <f t="shared" ca="1" si="43"/>
        <v>Non UDO</v>
      </c>
    </row>
    <row r="2618" spans="1:10" x14ac:dyDescent="0.35">
      <c r="A2618" s="5" t="s">
        <v>84</v>
      </c>
      <c r="B2618" s="6">
        <v>44652</v>
      </c>
      <c r="C2618" s="7">
        <v>2480000</v>
      </c>
      <c r="D2618" s="7">
        <v>2479938.63</v>
      </c>
      <c r="E2618" s="7">
        <v>61.37</v>
      </c>
      <c r="F2618" t="str">
        <f>VLOOKUP(A2618,[1]!Table1[#All],17,FALSE)</f>
        <v>UGANDA</v>
      </c>
      <c r="G2618" t="str">
        <f>VLOOKUP(A2618,[1]!Table1[#All],22,FALSE)</f>
        <v>INFECTIOUS DISEASES INSTITUTE AT MAKERERE UNIVERSI</v>
      </c>
      <c r="H2618" s="8">
        <f>VLOOKUP(A2618,[1]!Table1[#All],32,FALSE)</f>
        <v>44104</v>
      </c>
      <c r="I2618" s="8">
        <f>VLOOKUP(A2618,[1]!Table1[#All],33,FALSE)</f>
        <v>45929</v>
      </c>
      <c r="J2618" t="str">
        <f t="shared" ca="1" si="43"/>
        <v>Non UDO</v>
      </c>
    </row>
    <row r="2619" spans="1:10" x14ac:dyDescent="0.35">
      <c r="A2619" s="9" t="s">
        <v>84</v>
      </c>
      <c r="B2619" s="10">
        <v>44682</v>
      </c>
      <c r="C2619" s="11">
        <v>2480000</v>
      </c>
      <c r="D2619" s="11">
        <v>2479938.63</v>
      </c>
      <c r="E2619" s="11">
        <v>61.37</v>
      </c>
      <c r="F2619" t="str">
        <f>VLOOKUP(A2619,[1]!Table1[#All],17,FALSE)</f>
        <v>UGANDA</v>
      </c>
      <c r="G2619" t="str">
        <f>VLOOKUP(A2619,[1]!Table1[#All],22,FALSE)</f>
        <v>INFECTIOUS DISEASES INSTITUTE AT MAKERERE UNIVERSI</v>
      </c>
      <c r="H2619" s="8">
        <f>VLOOKUP(A2619,[1]!Table1[#All],32,FALSE)</f>
        <v>44104</v>
      </c>
      <c r="I2619" s="8">
        <f>VLOOKUP(A2619,[1]!Table1[#All],33,FALSE)</f>
        <v>45929</v>
      </c>
      <c r="J2619" t="str">
        <f t="shared" ca="1" si="43"/>
        <v>Non UDO</v>
      </c>
    </row>
    <row r="2620" spans="1:10" x14ac:dyDescent="0.35">
      <c r="A2620" s="5" t="s">
        <v>84</v>
      </c>
      <c r="B2620" s="6">
        <v>44713</v>
      </c>
      <c r="C2620" s="7">
        <v>2480000</v>
      </c>
      <c r="D2620" s="7">
        <v>2479938.63</v>
      </c>
      <c r="E2620" s="7">
        <v>61.37</v>
      </c>
      <c r="F2620" t="str">
        <f>VLOOKUP(A2620,[1]!Table1[#All],17,FALSE)</f>
        <v>UGANDA</v>
      </c>
      <c r="G2620" t="str">
        <f>VLOOKUP(A2620,[1]!Table1[#All],22,FALSE)</f>
        <v>INFECTIOUS DISEASES INSTITUTE AT MAKERERE UNIVERSI</v>
      </c>
      <c r="H2620" s="8">
        <f>VLOOKUP(A2620,[1]!Table1[#All],32,FALSE)</f>
        <v>44104</v>
      </c>
      <c r="I2620" s="8">
        <f>VLOOKUP(A2620,[1]!Table1[#All],33,FALSE)</f>
        <v>45929</v>
      </c>
      <c r="J2620" t="str">
        <f t="shared" ca="1" si="43"/>
        <v>Non UDO</v>
      </c>
    </row>
    <row r="2621" spans="1:10" x14ac:dyDescent="0.35">
      <c r="A2621" s="9" t="s">
        <v>84</v>
      </c>
      <c r="B2621" s="10">
        <v>44743</v>
      </c>
      <c r="C2621" s="11">
        <v>2480000</v>
      </c>
      <c r="D2621" s="11">
        <v>2479938.63</v>
      </c>
      <c r="E2621" s="11">
        <v>61.37</v>
      </c>
      <c r="F2621" t="str">
        <f>VLOOKUP(A2621,[1]!Table1[#All],17,FALSE)</f>
        <v>UGANDA</v>
      </c>
      <c r="G2621" t="str">
        <f>VLOOKUP(A2621,[1]!Table1[#All],22,FALSE)</f>
        <v>INFECTIOUS DISEASES INSTITUTE AT MAKERERE UNIVERSI</v>
      </c>
      <c r="H2621" s="8">
        <f>VLOOKUP(A2621,[1]!Table1[#All],32,FALSE)</f>
        <v>44104</v>
      </c>
      <c r="I2621" s="8">
        <f>VLOOKUP(A2621,[1]!Table1[#All],33,FALSE)</f>
        <v>45929</v>
      </c>
      <c r="J2621" t="str">
        <f t="shared" ca="1" si="43"/>
        <v>Non UDO</v>
      </c>
    </row>
    <row r="2622" spans="1:10" x14ac:dyDescent="0.35">
      <c r="A2622" s="5" t="s">
        <v>84</v>
      </c>
      <c r="B2622" s="6">
        <v>44774</v>
      </c>
      <c r="C2622" s="7">
        <v>2480000</v>
      </c>
      <c r="D2622" s="7">
        <v>2479938.63</v>
      </c>
      <c r="E2622" s="7">
        <v>61.37</v>
      </c>
      <c r="F2622" t="str">
        <f>VLOOKUP(A2622,[1]!Table1[#All],17,FALSE)</f>
        <v>UGANDA</v>
      </c>
      <c r="G2622" t="str">
        <f>VLOOKUP(A2622,[1]!Table1[#All],22,FALSE)</f>
        <v>INFECTIOUS DISEASES INSTITUTE AT MAKERERE UNIVERSI</v>
      </c>
      <c r="H2622" s="8">
        <f>VLOOKUP(A2622,[1]!Table1[#All],32,FALSE)</f>
        <v>44104</v>
      </c>
      <c r="I2622" s="8">
        <f>VLOOKUP(A2622,[1]!Table1[#All],33,FALSE)</f>
        <v>45929</v>
      </c>
      <c r="J2622" t="str">
        <f t="shared" ca="1" si="43"/>
        <v>Non UDO</v>
      </c>
    </row>
    <row r="2623" spans="1:10" x14ac:dyDescent="0.35">
      <c r="A2623" s="9" t="s">
        <v>84</v>
      </c>
      <c r="B2623" s="10">
        <v>44805</v>
      </c>
      <c r="C2623" s="11">
        <v>2480000</v>
      </c>
      <c r="D2623" s="11">
        <v>2479938.63</v>
      </c>
      <c r="E2623" s="11">
        <v>61.37</v>
      </c>
      <c r="F2623" t="str">
        <f>VLOOKUP(A2623,[1]!Table1[#All],17,FALSE)</f>
        <v>UGANDA</v>
      </c>
      <c r="G2623" t="str">
        <f>VLOOKUP(A2623,[1]!Table1[#All],22,FALSE)</f>
        <v>INFECTIOUS DISEASES INSTITUTE AT MAKERERE UNIVERSI</v>
      </c>
      <c r="H2623" s="8">
        <f>VLOOKUP(A2623,[1]!Table1[#All],32,FALSE)</f>
        <v>44104</v>
      </c>
      <c r="I2623" s="8">
        <f>VLOOKUP(A2623,[1]!Table1[#All],33,FALSE)</f>
        <v>45929</v>
      </c>
      <c r="J2623" t="str">
        <f t="shared" ca="1" si="43"/>
        <v>Non UDO</v>
      </c>
    </row>
    <row r="2624" spans="1:10" x14ac:dyDescent="0.35">
      <c r="A2624" s="5" t="s">
        <v>84</v>
      </c>
      <c r="B2624" s="6">
        <v>44835</v>
      </c>
      <c r="C2624" s="7">
        <v>2480000</v>
      </c>
      <c r="D2624" s="7">
        <v>2479938.63</v>
      </c>
      <c r="E2624" s="7">
        <v>61.37</v>
      </c>
      <c r="F2624" t="str">
        <f>VLOOKUP(A2624,[1]!Table1[#All],17,FALSE)</f>
        <v>UGANDA</v>
      </c>
      <c r="G2624" t="str">
        <f>VLOOKUP(A2624,[1]!Table1[#All],22,FALSE)</f>
        <v>INFECTIOUS DISEASES INSTITUTE AT MAKERERE UNIVERSI</v>
      </c>
      <c r="H2624" s="8">
        <f>VLOOKUP(A2624,[1]!Table1[#All],32,FALSE)</f>
        <v>44104</v>
      </c>
      <c r="I2624" s="8">
        <f>VLOOKUP(A2624,[1]!Table1[#All],33,FALSE)</f>
        <v>45929</v>
      </c>
      <c r="J2624" t="str">
        <f t="shared" ca="1" si="43"/>
        <v>Non UDO</v>
      </c>
    </row>
    <row r="2625" spans="1:10" x14ac:dyDescent="0.35">
      <c r="A2625" s="9" t="s">
        <v>84</v>
      </c>
      <c r="B2625" s="10">
        <v>44866</v>
      </c>
      <c r="C2625" s="11">
        <v>2480000</v>
      </c>
      <c r="D2625" s="11">
        <v>2479938.63</v>
      </c>
      <c r="E2625" s="11">
        <v>61.37</v>
      </c>
      <c r="F2625" t="str">
        <f>VLOOKUP(A2625,[1]!Table1[#All],17,FALSE)</f>
        <v>UGANDA</v>
      </c>
      <c r="G2625" t="str">
        <f>VLOOKUP(A2625,[1]!Table1[#All],22,FALSE)</f>
        <v>INFECTIOUS DISEASES INSTITUTE AT MAKERERE UNIVERSI</v>
      </c>
      <c r="H2625" s="8">
        <f>VLOOKUP(A2625,[1]!Table1[#All],32,FALSE)</f>
        <v>44104</v>
      </c>
      <c r="I2625" s="8">
        <f>VLOOKUP(A2625,[1]!Table1[#All],33,FALSE)</f>
        <v>45929</v>
      </c>
      <c r="J2625" t="str">
        <f t="shared" ca="1" si="43"/>
        <v>Non UDO</v>
      </c>
    </row>
    <row r="2626" spans="1:10" x14ac:dyDescent="0.35">
      <c r="A2626" s="5" t="s">
        <v>84</v>
      </c>
      <c r="B2626" s="6">
        <v>44896</v>
      </c>
      <c r="C2626" s="7">
        <v>2480000</v>
      </c>
      <c r="D2626" s="7">
        <v>2479938.63</v>
      </c>
      <c r="E2626" s="7">
        <v>61.37</v>
      </c>
      <c r="F2626" t="str">
        <f>VLOOKUP(A2626,[1]!Table1[#All],17,FALSE)</f>
        <v>UGANDA</v>
      </c>
      <c r="G2626" t="str">
        <f>VLOOKUP(A2626,[1]!Table1[#All],22,FALSE)</f>
        <v>INFECTIOUS DISEASES INSTITUTE AT MAKERERE UNIVERSI</v>
      </c>
      <c r="H2626" s="8">
        <f>VLOOKUP(A2626,[1]!Table1[#All],32,FALSE)</f>
        <v>44104</v>
      </c>
      <c r="I2626" s="8">
        <f>VLOOKUP(A2626,[1]!Table1[#All],33,FALSE)</f>
        <v>45929</v>
      </c>
      <c r="J2626" t="str">
        <f t="shared" ca="1" si="43"/>
        <v>Non UDO</v>
      </c>
    </row>
    <row r="2627" spans="1:10" x14ac:dyDescent="0.35">
      <c r="A2627" s="9" t="s">
        <v>84</v>
      </c>
      <c r="B2627" s="10">
        <v>44927</v>
      </c>
      <c r="C2627" s="11">
        <v>2480000</v>
      </c>
      <c r="D2627" s="11">
        <v>2479938.63</v>
      </c>
      <c r="E2627" s="11">
        <v>61.37</v>
      </c>
      <c r="F2627" t="str">
        <f>VLOOKUP(A2627,[1]!Table1[#All],17,FALSE)</f>
        <v>UGANDA</v>
      </c>
      <c r="G2627" t="str">
        <f>VLOOKUP(A2627,[1]!Table1[#All],22,FALSE)</f>
        <v>INFECTIOUS DISEASES INSTITUTE AT MAKERERE UNIVERSI</v>
      </c>
      <c r="H2627" s="8">
        <f>VLOOKUP(A2627,[1]!Table1[#All],32,FALSE)</f>
        <v>44104</v>
      </c>
      <c r="I2627" s="8">
        <f>VLOOKUP(A2627,[1]!Table1[#All],33,FALSE)</f>
        <v>45929</v>
      </c>
      <c r="J2627" t="str">
        <f t="shared" ref="J2627:J2690" ca="1" si="44">IF(AND( E2627&gt;0,TODAY()&gt;I2627),"UDO","Non UDO")</f>
        <v>Non UDO</v>
      </c>
    </row>
    <row r="2628" spans="1:10" x14ac:dyDescent="0.35">
      <c r="A2628" s="5" t="s">
        <v>84</v>
      </c>
      <c r="B2628" s="6">
        <v>44958</v>
      </c>
      <c r="C2628" s="7">
        <v>2480000</v>
      </c>
      <c r="D2628" s="7">
        <v>2479938.63</v>
      </c>
      <c r="E2628" s="7">
        <v>61.37</v>
      </c>
      <c r="F2628" t="str">
        <f>VLOOKUP(A2628,[1]!Table1[#All],17,FALSE)</f>
        <v>UGANDA</v>
      </c>
      <c r="G2628" t="str">
        <f>VLOOKUP(A2628,[1]!Table1[#All],22,FALSE)</f>
        <v>INFECTIOUS DISEASES INSTITUTE AT MAKERERE UNIVERSI</v>
      </c>
      <c r="H2628" s="8">
        <f>VLOOKUP(A2628,[1]!Table1[#All],32,FALSE)</f>
        <v>44104</v>
      </c>
      <c r="I2628" s="8">
        <f>VLOOKUP(A2628,[1]!Table1[#All],33,FALSE)</f>
        <v>45929</v>
      </c>
      <c r="J2628" t="str">
        <f t="shared" ca="1" si="44"/>
        <v>Non UDO</v>
      </c>
    </row>
    <row r="2629" spans="1:10" x14ac:dyDescent="0.35">
      <c r="A2629" s="9" t="s">
        <v>84</v>
      </c>
      <c r="B2629" s="10">
        <v>44986</v>
      </c>
      <c r="C2629" s="11">
        <v>2480000</v>
      </c>
      <c r="D2629" s="11">
        <v>2479938.63</v>
      </c>
      <c r="E2629" s="11">
        <v>61.37</v>
      </c>
      <c r="F2629" t="str">
        <f>VLOOKUP(A2629,[1]!Table1[#All],17,FALSE)</f>
        <v>UGANDA</v>
      </c>
      <c r="G2629" t="str">
        <f>VLOOKUP(A2629,[1]!Table1[#All],22,FALSE)</f>
        <v>INFECTIOUS DISEASES INSTITUTE AT MAKERERE UNIVERSI</v>
      </c>
      <c r="H2629" s="8">
        <f>VLOOKUP(A2629,[1]!Table1[#All],32,FALSE)</f>
        <v>44104</v>
      </c>
      <c r="I2629" s="8">
        <f>VLOOKUP(A2629,[1]!Table1[#All],33,FALSE)</f>
        <v>45929</v>
      </c>
      <c r="J2629" t="str">
        <f t="shared" ca="1" si="44"/>
        <v>Non UDO</v>
      </c>
    </row>
    <row r="2630" spans="1:10" x14ac:dyDescent="0.35">
      <c r="A2630" s="5" t="s">
        <v>84</v>
      </c>
      <c r="B2630" s="6">
        <v>45017</v>
      </c>
      <c r="C2630" s="7">
        <v>2480000</v>
      </c>
      <c r="D2630" s="7">
        <v>2479938.63</v>
      </c>
      <c r="E2630" s="7">
        <v>61.37</v>
      </c>
      <c r="F2630" t="str">
        <f>VLOOKUP(A2630,[1]!Table1[#All],17,FALSE)</f>
        <v>UGANDA</v>
      </c>
      <c r="G2630" t="str">
        <f>VLOOKUP(A2630,[1]!Table1[#All],22,FALSE)</f>
        <v>INFECTIOUS DISEASES INSTITUTE AT MAKERERE UNIVERSI</v>
      </c>
      <c r="H2630" s="8">
        <f>VLOOKUP(A2630,[1]!Table1[#All],32,FALSE)</f>
        <v>44104</v>
      </c>
      <c r="I2630" s="8">
        <f>VLOOKUP(A2630,[1]!Table1[#All],33,FALSE)</f>
        <v>45929</v>
      </c>
      <c r="J2630" t="str">
        <f t="shared" ca="1" si="44"/>
        <v>Non UDO</v>
      </c>
    </row>
    <row r="2631" spans="1:10" x14ac:dyDescent="0.35">
      <c r="A2631" s="9" t="s">
        <v>84</v>
      </c>
      <c r="B2631" s="10">
        <v>45047</v>
      </c>
      <c r="C2631" s="11">
        <v>2480000</v>
      </c>
      <c r="D2631" s="11">
        <v>2479938.63</v>
      </c>
      <c r="E2631" s="11">
        <v>61.37</v>
      </c>
      <c r="F2631" t="str">
        <f>VLOOKUP(A2631,[1]!Table1[#All],17,FALSE)</f>
        <v>UGANDA</v>
      </c>
      <c r="G2631" t="str">
        <f>VLOOKUP(A2631,[1]!Table1[#All],22,FALSE)</f>
        <v>INFECTIOUS DISEASES INSTITUTE AT MAKERERE UNIVERSI</v>
      </c>
      <c r="H2631" s="8">
        <f>VLOOKUP(A2631,[1]!Table1[#All],32,FALSE)</f>
        <v>44104</v>
      </c>
      <c r="I2631" s="8">
        <f>VLOOKUP(A2631,[1]!Table1[#All],33,FALSE)</f>
        <v>45929</v>
      </c>
      <c r="J2631" t="str">
        <f t="shared" ca="1" si="44"/>
        <v>Non UDO</v>
      </c>
    </row>
    <row r="2632" spans="1:10" x14ac:dyDescent="0.35">
      <c r="A2632" s="5" t="s">
        <v>84</v>
      </c>
      <c r="B2632" s="6">
        <v>45078</v>
      </c>
      <c r="C2632" s="7">
        <v>2480000</v>
      </c>
      <c r="D2632" s="7">
        <v>2479938.63</v>
      </c>
      <c r="E2632" s="7">
        <v>61.37</v>
      </c>
      <c r="F2632" t="str">
        <f>VLOOKUP(A2632,[1]!Table1[#All],17,FALSE)</f>
        <v>UGANDA</v>
      </c>
      <c r="G2632" t="str">
        <f>VLOOKUP(A2632,[1]!Table1[#All],22,FALSE)</f>
        <v>INFECTIOUS DISEASES INSTITUTE AT MAKERERE UNIVERSI</v>
      </c>
      <c r="H2632" s="8">
        <f>VLOOKUP(A2632,[1]!Table1[#All],32,FALSE)</f>
        <v>44104</v>
      </c>
      <c r="I2632" s="8">
        <f>VLOOKUP(A2632,[1]!Table1[#All],33,FALSE)</f>
        <v>45929</v>
      </c>
      <c r="J2632" t="str">
        <f t="shared" ca="1" si="44"/>
        <v>Non UDO</v>
      </c>
    </row>
    <row r="2633" spans="1:10" x14ac:dyDescent="0.35">
      <c r="A2633" s="9" t="s">
        <v>84</v>
      </c>
      <c r="B2633" s="10">
        <v>45108</v>
      </c>
      <c r="C2633" s="11">
        <v>2480000</v>
      </c>
      <c r="D2633" s="11">
        <v>2479938.63</v>
      </c>
      <c r="E2633" s="11">
        <v>61.37</v>
      </c>
      <c r="F2633" t="str">
        <f>VLOOKUP(A2633,[1]!Table1[#All],17,FALSE)</f>
        <v>UGANDA</v>
      </c>
      <c r="G2633" t="str">
        <f>VLOOKUP(A2633,[1]!Table1[#All],22,FALSE)</f>
        <v>INFECTIOUS DISEASES INSTITUTE AT MAKERERE UNIVERSI</v>
      </c>
      <c r="H2633" s="8">
        <f>VLOOKUP(A2633,[1]!Table1[#All],32,FALSE)</f>
        <v>44104</v>
      </c>
      <c r="I2633" s="8">
        <f>VLOOKUP(A2633,[1]!Table1[#All],33,FALSE)</f>
        <v>45929</v>
      </c>
      <c r="J2633" t="str">
        <f t="shared" ca="1" si="44"/>
        <v>Non UDO</v>
      </c>
    </row>
    <row r="2634" spans="1:10" x14ac:dyDescent="0.35">
      <c r="A2634" s="5" t="s">
        <v>84</v>
      </c>
      <c r="B2634" s="6">
        <v>45139</v>
      </c>
      <c r="C2634" s="7">
        <v>2480000</v>
      </c>
      <c r="D2634" s="7">
        <v>2479938.63</v>
      </c>
      <c r="E2634" s="7">
        <v>61.37</v>
      </c>
      <c r="F2634" t="str">
        <f>VLOOKUP(A2634,[1]!Table1[#All],17,FALSE)</f>
        <v>UGANDA</v>
      </c>
      <c r="G2634" t="str">
        <f>VLOOKUP(A2634,[1]!Table1[#All],22,FALSE)</f>
        <v>INFECTIOUS DISEASES INSTITUTE AT MAKERERE UNIVERSI</v>
      </c>
      <c r="H2634" s="8">
        <f>VLOOKUP(A2634,[1]!Table1[#All],32,FALSE)</f>
        <v>44104</v>
      </c>
      <c r="I2634" s="8">
        <f>VLOOKUP(A2634,[1]!Table1[#All],33,FALSE)</f>
        <v>45929</v>
      </c>
      <c r="J2634" t="str">
        <f t="shared" ca="1" si="44"/>
        <v>Non UDO</v>
      </c>
    </row>
    <row r="2635" spans="1:10" x14ac:dyDescent="0.35">
      <c r="A2635" s="9" t="s">
        <v>84</v>
      </c>
      <c r="B2635" s="10">
        <v>45170</v>
      </c>
      <c r="C2635" s="11">
        <v>2480000</v>
      </c>
      <c r="D2635" s="11">
        <v>2479938.63</v>
      </c>
      <c r="E2635" s="11">
        <v>61.37</v>
      </c>
      <c r="F2635" t="str">
        <f>VLOOKUP(A2635,[1]!Table1[#All],17,FALSE)</f>
        <v>UGANDA</v>
      </c>
      <c r="G2635" t="str">
        <f>VLOOKUP(A2635,[1]!Table1[#All],22,FALSE)</f>
        <v>INFECTIOUS DISEASES INSTITUTE AT MAKERERE UNIVERSI</v>
      </c>
      <c r="H2635" s="8">
        <f>VLOOKUP(A2635,[1]!Table1[#All],32,FALSE)</f>
        <v>44104</v>
      </c>
      <c r="I2635" s="8">
        <f>VLOOKUP(A2635,[1]!Table1[#All],33,FALSE)</f>
        <v>45929</v>
      </c>
      <c r="J2635" t="str">
        <f t="shared" ca="1" si="44"/>
        <v>Non UDO</v>
      </c>
    </row>
    <row r="2636" spans="1:10" x14ac:dyDescent="0.35">
      <c r="A2636" s="5" t="s">
        <v>85</v>
      </c>
      <c r="B2636" s="6">
        <v>44105</v>
      </c>
      <c r="C2636" s="7">
        <v>1420000</v>
      </c>
      <c r="D2636" s="7">
        <v>0</v>
      </c>
      <c r="E2636" s="11">
        <f t="shared" ref="E2636:E2670" si="45">C2636-D2636</f>
        <v>1420000</v>
      </c>
      <c r="F2636" t="e">
        <f>VLOOKUP(A2636,[1]!Table1[#All],17,FALSE)</f>
        <v>#REF!</v>
      </c>
      <c r="G2636" t="e">
        <f>VLOOKUP(A2636,[1]!Table1[#All],22,FALSE)</f>
        <v>#REF!</v>
      </c>
      <c r="H2636" s="8" t="e">
        <f>VLOOKUP(A2636,[1]!Table1[#All],32,FALSE)</f>
        <v>#REF!</v>
      </c>
      <c r="I2636" s="8" t="e">
        <f>VLOOKUP(A2636,[1]!Table1[#All],33,FALSE)</f>
        <v>#REF!</v>
      </c>
      <c r="J2636" t="e">
        <f t="shared" ca="1" si="44"/>
        <v>#REF!</v>
      </c>
    </row>
    <row r="2637" spans="1:10" x14ac:dyDescent="0.35">
      <c r="A2637" s="9" t="s">
        <v>85</v>
      </c>
      <c r="B2637" s="10">
        <v>44136</v>
      </c>
      <c r="C2637" s="11">
        <v>1420000</v>
      </c>
      <c r="D2637" s="7">
        <v>0</v>
      </c>
      <c r="E2637" s="11">
        <f t="shared" si="45"/>
        <v>1420000</v>
      </c>
      <c r="F2637" t="str">
        <f>VLOOKUP(A2637,[1]!Table1[#All],17,FALSE)</f>
        <v>UGANDA</v>
      </c>
      <c r="G2637" t="str">
        <f>VLOOKUP(A2637,[1]!Table1[#All],22,FALSE)</f>
        <v>BAYLOR COLLEGE OF MEDICINE CHILDRENS FDN - UGANDA</v>
      </c>
      <c r="H2637" s="8">
        <f>VLOOKUP(A2637,[1]!Table1[#All],32,FALSE)</f>
        <v>44104</v>
      </c>
      <c r="I2637" s="8">
        <f>VLOOKUP(A2637,[1]!Table1[#All],33,FALSE)</f>
        <v>45929</v>
      </c>
      <c r="J2637" t="str">
        <f t="shared" ca="1" si="44"/>
        <v>Non UDO</v>
      </c>
    </row>
    <row r="2638" spans="1:10" x14ac:dyDescent="0.35">
      <c r="A2638" s="5" t="s">
        <v>85</v>
      </c>
      <c r="B2638" s="6">
        <v>44166</v>
      </c>
      <c r="C2638" s="7">
        <v>1420000</v>
      </c>
      <c r="D2638" s="7">
        <v>0</v>
      </c>
      <c r="E2638" s="11">
        <f t="shared" si="45"/>
        <v>1420000</v>
      </c>
      <c r="F2638" t="str">
        <f>VLOOKUP(A2638,[1]!Table1[#All],17,FALSE)</f>
        <v>UGANDA</v>
      </c>
      <c r="G2638" t="str">
        <f>VLOOKUP(A2638,[1]!Table1[#All],22,FALSE)</f>
        <v>BAYLOR COLLEGE OF MEDICINE CHILDRENS FDN - UGANDA</v>
      </c>
      <c r="H2638" s="8">
        <f>VLOOKUP(A2638,[1]!Table1[#All],32,FALSE)</f>
        <v>44104</v>
      </c>
      <c r="I2638" s="8">
        <f>VLOOKUP(A2638,[1]!Table1[#All],33,FALSE)</f>
        <v>45929</v>
      </c>
      <c r="J2638" t="str">
        <f t="shared" ca="1" si="44"/>
        <v>Non UDO</v>
      </c>
    </row>
    <row r="2639" spans="1:10" x14ac:dyDescent="0.35">
      <c r="A2639" s="9" t="s">
        <v>85</v>
      </c>
      <c r="B2639" s="10">
        <v>44197</v>
      </c>
      <c r="C2639" s="11">
        <v>1420000</v>
      </c>
      <c r="D2639" s="7">
        <v>0</v>
      </c>
      <c r="E2639" s="11">
        <f t="shared" si="45"/>
        <v>1420000</v>
      </c>
      <c r="F2639" t="str">
        <f>VLOOKUP(A2639,[1]!Table1[#All],17,FALSE)</f>
        <v>UGANDA</v>
      </c>
      <c r="G2639" t="str">
        <f>VLOOKUP(A2639,[1]!Table1[#All],22,FALSE)</f>
        <v>BAYLOR COLLEGE OF MEDICINE CHILDRENS FDN - UGANDA</v>
      </c>
      <c r="H2639" s="8">
        <f>VLOOKUP(A2639,[1]!Table1[#All],32,FALSE)</f>
        <v>44104</v>
      </c>
      <c r="I2639" s="8">
        <f>VLOOKUP(A2639,[1]!Table1[#All],33,FALSE)</f>
        <v>45929</v>
      </c>
      <c r="J2639" t="str">
        <f t="shared" ca="1" si="44"/>
        <v>Non UDO</v>
      </c>
    </row>
    <row r="2640" spans="1:10" x14ac:dyDescent="0.35">
      <c r="A2640" s="5" t="s">
        <v>85</v>
      </c>
      <c r="B2640" s="6">
        <v>44228</v>
      </c>
      <c r="C2640" s="7">
        <v>1420000</v>
      </c>
      <c r="D2640" s="7">
        <v>0</v>
      </c>
      <c r="E2640" s="11">
        <f t="shared" si="45"/>
        <v>1420000</v>
      </c>
      <c r="F2640" t="str">
        <f>VLOOKUP(A2640,[1]!Table1[#All],17,FALSE)</f>
        <v>UGANDA</v>
      </c>
      <c r="G2640" t="str">
        <f>VLOOKUP(A2640,[1]!Table1[#All],22,FALSE)</f>
        <v>BAYLOR COLLEGE OF MEDICINE CHILDRENS FDN - UGANDA</v>
      </c>
      <c r="H2640" s="8">
        <f>VLOOKUP(A2640,[1]!Table1[#All],32,FALSE)</f>
        <v>44104</v>
      </c>
      <c r="I2640" s="8">
        <f>VLOOKUP(A2640,[1]!Table1[#All],33,FALSE)</f>
        <v>45929</v>
      </c>
      <c r="J2640" t="str">
        <f t="shared" ca="1" si="44"/>
        <v>Non UDO</v>
      </c>
    </row>
    <row r="2641" spans="1:10" x14ac:dyDescent="0.35">
      <c r="A2641" s="9" t="s">
        <v>85</v>
      </c>
      <c r="B2641" s="10">
        <v>44256</v>
      </c>
      <c r="C2641" s="11">
        <v>1420000</v>
      </c>
      <c r="D2641" s="7">
        <v>0</v>
      </c>
      <c r="E2641" s="11">
        <f t="shared" si="45"/>
        <v>1420000</v>
      </c>
      <c r="F2641" t="str">
        <f>VLOOKUP(A2641,[1]!Table1[#All],17,FALSE)</f>
        <v>UGANDA</v>
      </c>
      <c r="G2641" t="str">
        <f>VLOOKUP(A2641,[1]!Table1[#All],22,FALSE)</f>
        <v>BAYLOR COLLEGE OF MEDICINE CHILDRENS FDN - UGANDA</v>
      </c>
      <c r="H2641" s="8">
        <f>VLOOKUP(A2641,[1]!Table1[#All],32,FALSE)</f>
        <v>44104</v>
      </c>
      <c r="I2641" s="8">
        <f>VLOOKUP(A2641,[1]!Table1[#All],33,FALSE)</f>
        <v>45929</v>
      </c>
      <c r="J2641" t="str">
        <f t="shared" ca="1" si="44"/>
        <v>Non UDO</v>
      </c>
    </row>
    <row r="2642" spans="1:10" x14ac:dyDescent="0.35">
      <c r="A2642" s="5" t="s">
        <v>85</v>
      </c>
      <c r="B2642" s="6">
        <v>44287</v>
      </c>
      <c r="C2642" s="7">
        <v>1420000</v>
      </c>
      <c r="D2642" s="7">
        <v>0</v>
      </c>
      <c r="E2642" s="11">
        <f t="shared" si="45"/>
        <v>1420000</v>
      </c>
      <c r="F2642" t="str">
        <f>VLOOKUP(A2642,[1]!Table1[#All],17,FALSE)</f>
        <v>UGANDA</v>
      </c>
      <c r="G2642" t="str">
        <f>VLOOKUP(A2642,[1]!Table1[#All],22,FALSE)</f>
        <v>BAYLOR COLLEGE OF MEDICINE CHILDRENS FDN - UGANDA</v>
      </c>
      <c r="H2642" s="8">
        <f>VLOOKUP(A2642,[1]!Table1[#All],32,FALSE)</f>
        <v>44104</v>
      </c>
      <c r="I2642" s="8">
        <f>VLOOKUP(A2642,[1]!Table1[#All],33,FALSE)</f>
        <v>45929</v>
      </c>
      <c r="J2642" t="str">
        <f t="shared" ca="1" si="44"/>
        <v>Non UDO</v>
      </c>
    </row>
    <row r="2643" spans="1:10" x14ac:dyDescent="0.35">
      <c r="A2643" s="9" t="s">
        <v>85</v>
      </c>
      <c r="B2643" s="10">
        <v>44317</v>
      </c>
      <c r="C2643" s="11">
        <v>1420000</v>
      </c>
      <c r="D2643" s="7">
        <v>0</v>
      </c>
      <c r="E2643" s="11">
        <f t="shared" si="45"/>
        <v>1420000</v>
      </c>
      <c r="F2643" t="str">
        <f>VLOOKUP(A2643,[1]!Table1[#All],17,FALSE)</f>
        <v>UGANDA</v>
      </c>
      <c r="G2643" t="str">
        <f>VLOOKUP(A2643,[1]!Table1[#All],22,FALSE)</f>
        <v>BAYLOR COLLEGE OF MEDICINE CHILDRENS FDN - UGANDA</v>
      </c>
      <c r="H2643" s="8">
        <f>VLOOKUP(A2643,[1]!Table1[#All],32,FALSE)</f>
        <v>44104</v>
      </c>
      <c r="I2643" s="8">
        <f>VLOOKUP(A2643,[1]!Table1[#All],33,FALSE)</f>
        <v>45929</v>
      </c>
      <c r="J2643" t="str">
        <f t="shared" ca="1" si="44"/>
        <v>Non UDO</v>
      </c>
    </row>
    <row r="2644" spans="1:10" x14ac:dyDescent="0.35">
      <c r="A2644" s="5" t="s">
        <v>85</v>
      </c>
      <c r="B2644" s="6">
        <v>44348</v>
      </c>
      <c r="C2644" s="7">
        <v>1420000</v>
      </c>
      <c r="D2644" s="7">
        <v>0</v>
      </c>
      <c r="E2644" s="11">
        <f t="shared" si="45"/>
        <v>1420000</v>
      </c>
      <c r="F2644" t="str">
        <f>VLOOKUP(A2644,[1]!Table1[#All],17,FALSE)</f>
        <v>UGANDA</v>
      </c>
      <c r="G2644" t="str">
        <f>VLOOKUP(A2644,[1]!Table1[#All],22,FALSE)</f>
        <v>BAYLOR COLLEGE OF MEDICINE CHILDRENS FDN - UGANDA</v>
      </c>
      <c r="H2644" s="8">
        <f>VLOOKUP(A2644,[1]!Table1[#All],32,FALSE)</f>
        <v>44104</v>
      </c>
      <c r="I2644" s="8">
        <f>VLOOKUP(A2644,[1]!Table1[#All],33,FALSE)</f>
        <v>45929</v>
      </c>
      <c r="J2644" t="str">
        <f t="shared" ca="1" si="44"/>
        <v>Non UDO</v>
      </c>
    </row>
    <row r="2645" spans="1:10" x14ac:dyDescent="0.35">
      <c r="A2645" s="9" t="s">
        <v>85</v>
      </c>
      <c r="B2645" s="10">
        <v>44378</v>
      </c>
      <c r="C2645" s="11">
        <v>1420000</v>
      </c>
      <c r="D2645" s="7">
        <v>0</v>
      </c>
      <c r="E2645" s="11">
        <f t="shared" si="45"/>
        <v>1420000</v>
      </c>
      <c r="F2645" t="str">
        <f>VLOOKUP(A2645,[1]!Table1[#All],17,FALSE)</f>
        <v>UGANDA</v>
      </c>
      <c r="G2645" t="str">
        <f>VLOOKUP(A2645,[1]!Table1[#All],22,FALSE)</f>
        <v>BAYLOR COLLEGE OF MEDICINE CHILDRENS FDN - UGANDA</v>
      </c>
      <c r="H2645" s="8">
        <f>VLOOKUP(A2645,[1]!Table1[#All],32,FALSE)</f>
        <v>44104</v>
      </c>
      <c r="I2645" s="8">
        <f>VLOOKUP(A2645,[1]!Table1[#All],33,FALSE)</f>
        <v>45929</v>
      </c>
      <c r="J2645" t="str">
        <f t="shared" ca="1" si="44"/>
        <v>Non UDO</v>
      </c>
    </row>
    <row r="2646" spans="1:10" x14ac:dyDescent="0.35">
      <c r="A2646" s="5" t="s">
        <v>85</v>
      </c>
      <c r="B2646" s="6">
        <v>44409</v>
      </c>
      <c r="C2646" s="7">
        <v>1420000</v>
      </c>
      <c r="D2646" s="7">
        <v>0</v>
      </c>
      <c r="E2646" s="11">
        <f t="shared" si="45"/>
        <v>1420000</v>
      </c>
      <c r="F2646" t="str">
        <f>VLOOKUP(A2646,[1]!Table1[#All],17,FALSE)</f>
        <v>UGANDA</v>
      </c>
      <c r="G2646" t="str">
        <f>VLOOKUP(A2646,[1]!Table1[#All],22,FALSE)</f>
        <v>BAYLOR COLLEGE OF MEDICINE CHILDRENS FDN - UGANDA</v>
      </c>
      <c r="H2646" s="8">
        <f>VLOOKUP(A2646,[1]!Table1[#All],32,FALSE)</f>
        <v>44104</v>
      </c>
      <c r="I2646" s="8">
        <f>VLOOKUP(A2646,[1]!Table1[#All],33,FALSE)</f>
        <v>45929</v>
      </c>
      <c r="J2646" t="str">
        <f t="shared" ca="1" si="44"/>
        <v>Non UDO</v>
      </c>
    </row>
    <row r="2647" spans="1:10" x14ac:dyDescent="0.35">
      <c r="A2647" s="9" t="s">
        <v>85</v>
      </c>
      <c r="B2647" s="10">
        <v>44440</v>
      </c>
      <c r="C2647" s="11">
        <v>1420000</v>
      </c>
      <c r="D2647" s="7">
        <v>0</v>
      </c>
      <c r="E2647" s="11">
        <f t="shared" si="45"/>
        <v>1420000</v>
      </c>
      <c r="F2647" t="str">
        <f>VLOOKUP(A2647,[1]!Table1[#All],17,FALSE)</f>
        <v>UGANDA</v>
      </c>
      <c r="G2647" t="str">
        <f>VLOOKUP(A2647,[1]!Table1[#All],22,FALSE)</f>
        <v>BAYLOR COLLEGE OF MEDICINE CHILDRENS FDN - UGANDA</v>
      </c>
      <c r="H2647" s="8">
        <f>VLOOKUP(A2647,[1]!Table1[#All],32,FALSE)</f>
        <v>44104</v>
      </c>
      <c r="I2647" s="8">
        <f>VLOOKUP(A2647,[1]!Table1[#All],33,FALSE)</f>
        <v>45929</v>
      </c>
      <c r="J2647" t="str">
        <f t="shared" ca="1" si="44"/>
        <v>Non UDO</v>
      </c>
    </row>
    <row r="2648" spans="1:10" x14ac:dyDescent="0.35">
      <c r="A2648" s="5" t="s">
        <v>85</v>
      </c>
      <c r="B2648" s="6">
        <v>44470</v>
      </c>
      <c r="C2648" s="7">
        <v>1420000</v>
      </c>
      <c r="D2648" s="7">
        <v>0</v>
      </c>
      <c r="E2648" s="11">
        <f t="shared" si="45"/>
        <v>1420000</v>
      </c>
      <c r="F2648" t="str">
        <f>VLOOKUP(A2648,[1]!Table1[#All],17,FALSE)</f>
        <v>UGANDA</v>
      </c>
      <c r="G2648" t="str">
        <f>VLOOKUP(A2648,[1]!Table1[#All],22,FALSE)</f>
        <v>BAYLOR COLLEGE OF MEDICINE CHILDRENS FDN - UGANDA</v>
      </c>
      <c r="H2648" s="8">
        <f>VLOOKUP(A2648,[1]!Table1[#All],32,FALSE)</f>
        <v>44104</v>
      </c>
      <c r="I2648" s="8">
        <f>VLOOKUP(A2648,[1]!Table1[#All],33,FALSE)</f>
        <v>45929</v>
      </c>
      <c r="J2648" t="str">
        <f t="shared" ca="1" si="44"/>
        <v>Non UDO</v>
      </c>
    </row>
    <row r="2649" spans="1:10" x14ac:dyDescent="0.35">
      <c r="A2649" s="9" t="s">
        <v>85</v>
      </c>
      <c r="B2649" s="10">
        <v>44501</v>
      </c>
      <c r="C2649" s="11">
        <v>1420000</v>
      </c>
      <c r="D2649" s="7">
        <v>0</v>
      </c>
      <c r="E2649" s="11">
        <f t="shared" si="45"/>
        <v>1420000</v>
      </c>
      <c r="F2649" t="str">
        <f>VLOOKUP(A2649,[1]!Table1[#All],17,FALSE)</f>
        <v>UGANDA</v>
      </c>
      <c r="G2649" t="str">
        <f>VLOOKUP(A2649,[1]!Table1[#All],22,FALSE)</f>
        <v>BAYLOR COLLEGE OF MEDICINE CHILDRENS FDN - UGANDA</v>
      </c>
      <c r="H2649" s="8">
        <f>VLOOKUP(A2649,[1]!Table1[#All],32,FALSE)</f>
        <v>44104</v>
      </c>
      <c r="I2649" s="8">
        <f>VLOOKUP(A2649,[1]!Table1[#All],33,FALSE)</f>
        <v>45929</v>
      </c>
      <c r="J2649" t="str">
        <f t="shared" ca="1" si="44"/>
        <v>Non UDO</v>
      </c>
    </row>
    <row r="2650" spans="1:10" x14ac:dyDescent="0.35">
      <c r="A2650" s="5" t="s">
        <v>85</v>
      </c>
      <c r="B2650" s="6">
        <v>44531</v>
      </c>
      <c r="C2650" s="7">
        <v>1420000</v>
      </c>
      <c r="D2650" s="7">
        <v>0</v>
      </c>
      <c r="E2650" s="11">
        <f t="shared" si="45"/>
        <v>1420000</v>
      </c>
      <c r="F2650" t="str">
        <f>VLOOKUP(A2650,[1]!Table1[#All],17,FALSE)</f>
        <v>UGANDA</v>
      </c>
      <c r="G2650" t="str">
        <f>VLOOKUP(A2650,[1]!Table1[#All],22,FALSE)</f>
        <v>BAYLOR COLLEGE OF MEDICINE CHILDRENS FDN - UGANDA</v>
      </c>
      <c r="H2650" s="8">
        <f>VLOOKUP(A2650,[1]!Table1[#All],32,FALSE)</f>
        <v>44104</v>
      </c>
      <c r="I2650" s="8">
        <f>VLOOKUP(A2650,[1]!Table1[#All],33,FALSE)</f>
        <v>45929</v>
      </c>
      <c r="J2650" t="str">
        <f t="shared" ca="1" si="44"/>
        <v>Non UDO</v>
      </c>
    </row>
    <row r="2651" spans="1:10" x14ac:dyDescent="0.35">
      <c r="A2651" s="9" t="s">
        <v>85</v>
      </c>
      <c r="B2651" s="10">
        <v>44562</v>
      </c>
      <c r="C2651" s="11">
        <v>1420000</v>
      </c>
      <c r="D2651" s="7">
        <v>0</v>
      </c>
      <c r="E2651" s="11">
        <f t="shared" si="45"/>
        <v>1420000</v>
      </c>
      <c r="F2651" t="str">
        <f>VLOOKUP(A2651,[1]!Table1[#All],17,FALSE)</f>
        <v>UGANDA</v>
      </c>
      <c r="G2651" t="str">
        <f>VLOOKUP(A2651,[1]!Table1[#All],22,FALSE)</f>
        <v>BAYLOR COLLEGE OF MEDICINE CHILDRENS FDN - UGANDA</v>
      </c>
      <c r="H2651" s="8">
        <f>VLOOKUP(A2651,[1]!Table1[#All],32,FALSE)</f>
        <v>44104</v>
      </c>
      <c r="I2651" s="8">
        <f>VLOOKUP(A2651,[1]!Table1[#All],33,FALSE)</f>
        <v>45929</v>
      </c>
      <c r="J2651" t="str">
        <f t="shared" ca="1" si="44"/>
        <v>Non UDO</v>
      </c>
    </row>
    <row r="2652" spans="1:10" x14ac:dyDescent="0.35">
      <c r="A2652" s="5" t="s">
        <v>85</v>
      </c>
      <c r="B2652" s="6">
        <v>44593</v>
      </c>
      <c r="C2652" s="7">
        <v>1420000</v>
      </c>
      <c r="D2652" s="7">
        <v>0</v>
      </c>
      <c r="E2652" s="11">
        <f t="shared" si="45"/>
        <v>1420000</v>
      </c>
      <c r="F2652" t="str">
        <f>VLOOKUP(A2652,[1]!Table1[#All],17,FALSE)</f>
        <v>UGANDA</v>
      </c>
      <c r="G2652" t="str">
        <f>VLOOKUP(A2652,[1]!Table1[#All],22,FALSE)</f>
        <v>BAYLOR COLLEGE OF MEDICINE CHILDRENS FDN - UGANDA</v>
      </c>
      <c r="H2652" s="8">
        <f>VLOOKUP(A2652,[1]!Table1[#All],32,FALSE)</f>
        <v>44104</v>
      </c>
      <c r="I2652" s="8">
        <f>VLOOKUP(A2652,[1]!Table1[#All],33,FALSE)</f>
        <v>45929</v>
      </c>
      <c r="J2652" t="str">
        <f t="shared" ca="1" si="44"/>
        <v>Non UDO</v>
      </c>
    </row>
    <row r="2653" spans="1:10" x14ac:dyDescent="0.35">
      <c r="A2653" s="9" t="s">
        <v>85</v>
      </c>
      <c r="B2653" s="10">
        <v>44621</v>
      </c>
      <c r="C2653" s="11">
        <v>1420000</v>
      </c>
      <c r="D2653" s="7">
        <v>0</v>
      </c>
      <c r="E2653" s="11">
        <f t="shared" si="45"/>
        <v>1420000</v>
      </c>
      <c r="F2653" t="str">
        <f>VLOOKUP(A2653,[1]!Table1[#All],17,FALSE)</f>
        <v>UGANDA</v>
      </c>
      <c r="G2653" t="str">
        <f>VLOOKUP(A2653,[1]!Table1[#All],22,FALSE)</f>
        <v>BAYLOR COLLEGE OF MEDICINE CHILDRENS FDN - UGANDA</v>
      </c>
      <c r="H2653" s="8">
        <f>VLOOKUP(A2653,[1]!Table1[#All],32,FALSE)</f>
        <v>44104</v>
      </c>
      <c r="I2653" s="8">
        <f>VLOOKUP(A2653,[1]!Table1[#All],33,FALSE)</f>
        <v>45929</v>
      </c>
      <c r="J2653" t="str">
        <f t="shared" ca="1" si="44"/>
        <v>Non UDO</v>
      </c>
    </row>
    <row r="2654" spans="1:10" x14ac:dyDescent="0.35">
      <c r="A2654" s="5" t="s">
        <v>85</v>
      </c>
      <c r="B2654" s="6">
        <v>44652</v>
      </c>
      <c r="C2654" s="7">
        <v>1420000</v>
      </c>
      <c r="D2654" s="7">
        <v>0</v>
      </c>
      <c r="E2654" s="11">
        <f t="shared" si="45"/>
        <v>1420000</v>
      </c>
      <c r="F2654" t="str">
        <f>VLOOKUP(A2654,[1]!Table1[#All],17,FALSE)</f>
        <v>UGANDA</v>
      </c>
      <c r="G2654" t="str">
        <f>VLOOKUP(A2654,[1]!Table1[#All],22,FALSE)</f>
        <v>BAYLOR COLLEGE OF MEDICINE CHILDRENS FDN - UGANDA</v>
      </c>
      <c r="H2654" s="8">
        <f>VLOOKUP(A2654,[1]!Table1[#All],32,FALSE)</f>
        <v>44104</v>
      </c>
      <c r="I2654" s="8">
        <f>VLOOKUP(A2654,[1]!Table1[#All],33,FALSE)</f>
        <v>45929</v>
      </c>
      <c r="J2654" t="str">
        <f t="shared" ca="1" si="44"/>
        <v>Non UDO</v>
      </c>
    </row>
    <row r="2655" spans="1:10" x14ac:dyDescent="0.35">
      <c r="A2655" s="9" t="s">
        <v>85</v>
      </c>
      <c r="B2655" s="10">
        <v>44682</v>
      </c>
      <c r="C2655" s="11">
        <v>1420000</v>
      </c>
      <c r="D2655" s="7">
        <v>0</v>
      </c>
      <c r="E2655" s="11">
        <f t="shared" si="45"/>
        <v>1420000</v>
      </c>
      <c r="F2655" t="str">
        <f>VLOOKUP(A2655,[1]!Table1[#All],17,FALSE)</f>
        <v>UGANDA</v>
      </c>
      <c r="G2655" t="str">
        <f>VLOOKUP(A2655,[1]!Table1[#All],22,FALSE)</f>
        <v>BAYLOR COLLEGE OF MEDICINE CHILDRENS FDN - UGANDA</v>
      </c>
      <c r="H2655" s="8">
        <f>VLOOKUP(A2655,[1]!Table1[#All],32,FALSE)</f>
        <v>44104</v>
      </c>
      <c r="I2655" s="8">
        <f>VLOOKUP(A2655,[1]!Table1[#All],33,FALSE)</f>
        <v>45929</v>
      </c>
      <c r="J2655" t="str">
        <f t="shared" ca="1" si="44"/>
        <v>Non UDO</v>
      </c>
    </row>
    <row r="2656" spans="1:10" x14ac:dyDescent="0.35">
      <c r="A2656" s="5" t="s">
        <v>85</v>
      </c>
      <c r="B2656" s="6">
        <v>44713</v>
      </c>
      <c r="C2656" s="7">
        <v>1420000</v>
      </c>
      <c r="D2656" s="7">
        <v>0</v>
      </c>
      <c r="E2656" s="11">
        <f t="shared" si="45"/>
        <v>1420000</v>
      </c>
      <c r="F2656" t="str">
        <f>VLOOKUP(A2656,[1]!Table1[#All],17,FALSE)</f>
        <v>UGANDA</v>
      </c>
      <c r="G2656" t="str">
        <f>VLOOKUP(A2656,[1]!Table1[#All],22,FALSE)</f>
        <v>BAYLOR COLLEGE OF MEDICINE CHILDRENS FDN - UGANDA</v>
      </c>
      <c r="H2656" s="8">
        <f>VLOOKUP(A2656,[1]!Table1[#All],32,FALSE)</f>
        <v>44104</v>
      </c>
      <c r="I2656" s="8">
        <f>VLOOKUP(A2656,[1]!Table1[#All],33,FALSE)</f>
        <v>45929</v>
      </c>
      <c r="J2656" t="str">
        <f t="shared" ca="1" si="44"/>
        <v>Non UDO</v>
      </c>
    </row>
    <row r="2657" spans="1:10" x14ac:dyDescent="0.35">
      <c r="A2657" s="9" t="s">
        <v>85</v>
      </c>
      <c r="B2657" s="10">
        <v>44743</v>
      </c>
      <c r="C2657" s="11">
        <v>1420000</v>
      </c>
      <c r="D2657" s="7">
        <v>0</v>
      </c>
      <c r="E2657" s="11">
        <f t="shared" si="45"/>
        <v>1420000</v>
      </c>
      <c r="F2657" t="str">
        <f>VLOOKUP(A2657,[1]!Table1[#All],17,FALSE)</f>
        <v>UGANDA</v>
      </c>
      <c r="G2657" t="str">
        <f>VLOOKUP(A2657,[1]!Table1[#All],22,FALSE)</f>
        <v>BAYLOR COLLEGE OF MEDICINE CHILDRENS FDN - UGANDA</v>
      </c>
      <c r="H2657" s="8">
        <f>VLOOKUP(A2657,[1]!Table1[#All],32,FALSE)</f>
        <v>44104</v>
      </c>
      <c r="I2657" s="8">
        <f>VLOOKUP(A2657,[1]!Table1[#All],33,FALSE)</f>
        <v>45929</v>
      </c>
      <c r="J2657" t="str">
        <f t="shared" ca="1" si="44"/>
        <v>Non UDO</v>
      </c>
    </row>
    <row r="2658" spans="1:10" x14ac:dyDescent="0.35">
      <c r="A2658" s="5" t="s">
        <v>85</v>
      </c>
      <c r="B2658" s="6">
        <v>44774</v>
      </c>
      <c r="C2658" s="7">
        <v>1420000</v>
      </c>
      <c r="D2658" s="7">
        <v>0</v>
      </c>
      <c r="E2658" s="11">
        <f t="shared" si="45"/>
        <v>1420000</v>
      </c>
      <c r="F2658" t="str">
        <f>VLOOKUP(A2658,[1]!Table1[#All],17,FALSE)</f>
        <v>UGANDA</v>
      </c>
      <c r="G2658" t="str">
        <f>VLOOKUP(A2658,[1]!Table1[#All],22,FALSE)</f>
        <v>BAYLOR COLLEGE OF MEDICINE CHILDRENS FDN - UGANDA</v>
      </c>
      <c r="H2658" s="8">
        <f>VLOOKUP(A2658,[1]!Table1[#All],32,FALSE)</f>
        <v>44104</v>
      </c>
      <c r="I2658" s="8">
        <f>VLOOKUP(A2658,[1]!Table1[#All],33,FALSE)</f>
        <v>45929</v>
      </c>
      <c r="J2658" t="str">
        <f t="shared" ca="1" si="44"/>
        <v>Non UDO</v>
      </c>
    </row>
    <row r="2659" spans="1:10" x14ac:dyDescent="0.35">
      <c r="A2659" s="9" t="s">
        <v>85</v>
      </c>
      <c r="B2659" s="10">
        <v>44805</v>
      </c>
      <c r="C2659" s="11">
        <v>1420000</v>
      </c>
      <c r="D2659" s="7">
        <v>0</v>
      </c>
      <c r="E2659" s="11">
        <f t="shared" si="45"/>
        <v>1420000</v>
      </c>
      <c r="F2659" t="str">
        <f>VLOOKUP(A2659,[1]!Table1[#All],17,FALSE)</f>
        <v>UGANDA</v>
      </c>
      <c r="G2659" t="str">
        <f>VLOOKUP(A2659,[1]!Table1[#All],22,FALSE)</f>
        <v>BAYLOR COLLEGE OF MEDICINE CHILDRENS FDN - UGANDA</v>
      </c>
      <c r="H2659" s="8">
        <f>VLOOKUP(A2659,[1]!Table1[#All],32,FALSE)</f>
        <v>44104</v>
      </c>
      <c r="I2659" s="8">
        <f>VLOOKUP(A2659,[1]!Table1[#All],33,FALSE)</f>
        <v>45929</v>
      </c>
      <c r="J2659" t="str">
        <f t="shared" ca="1" si="44"/>
        <v>Non UDO</v>
      </c>
    </row>
    <row r="2660" spans="1:10" x14ac:dyDescent="0.35">
      <c r="A2660" s="5" t="s">
        <v>85</v>
      </c>
      <c r="B2660" s="6">
        <v>44835</v>
      </c>
      <c r="C2660" s="7">
        <v>1420000</v>
      </c>
      <c r="D2660" s="7">
        <v>0</v>
      </c>
      <c r="E2660" s="11">
        <f t="shared" si="45"/>
        <v>1420000</v>
      </c>
      <c r="F2660" t="str">
        <f>VLOOKUP(A2660,[1]!Table1[#All],17,FALSE)</f>
        <v>UGANDA</v>
      </c>
      <c r="G2660" t="str">
        <f>VLOOKUP(A2660,[1]!Table1[#All],22,FALSE)</f>
        <v>BAYLOR COLLEGE OF MEDICINE CHILDRENS FDN - UGANDA</v>
      </c>
      <c r="H2660" s="8">
        <f>VLOOKUP(A2660,[1]!Table1[#All],32,FALSE)</f>
        <v>44104</v>
      </c>
      <c r="I2660" s="8">
        <f>VLOOKUP(A2660,[1]!Table1[#All],33,FALSE)</f>
        <v>45929</v>
      </c>
      <c r="J2660" t="str">
        <f t="shared" ca="1" si="44"/>
        <v>Non UDO</v>
      </c>
    </row>
    <row r="2661" spans="1:10" x14ac:dyDescent="0.35">
      <c r="A2661" s="9" t="s">
        <v>85</v>
      </c>
      <c r="B2661" s="10">
        <v>44866</v>
      </c>
      <c r="C2661" s="11">
        <v>1420000</v>
      </c>
      <c r="D2661" s="7">
        <v>0</v>
      </c>
      <c r="E2661" s="11">
        <f t="shared" si="45"/>
        <v>1420000</v>
      </c>
      <c r="F2661" t="str">
        <f>VLOOKUP(A2661,[1]!Table1[#All],17,FALSE)</f>
        <v>UGANDA</v>
      </c>
      <c r="G2661" t="str">
        <f>VLOOKUP(A2661,[1]!Table1[#All],22,FALSE)</f>
        <v>BAYLOR COLLEGE OF MEDICINE CHILDRENS FDN - UGANDA</v>
      </c>
      <c r="H2661" s="8">
        <f>VLOOKUP(A2661,[1]!Table1[#All],32,FALSE)</f>
        <v>44104</v>
      </c>
      <c r="I2661" s="8">
        <f>VLOOKUP(A2661,[1]!Table1[#All],33,FALSE)</f>
        <v>45929</v>
      </c>
      <c r="J2661" t="str">
        <f t="shared" ca="1" si="44"/>
        <v>Non UDO</v>
      </c>
    </row>
    <row r="2662" spans="1:10" x14ac:dyDescent="0.35">
      <c r="A2662" s="5" t="s">
        <v>85</v>
      </c>
      <c r="B2662" s="6">
        <v>44896</v>
      </c>
      <c r="C2662" s="7">
        <v>1420000</v>
      </c>
      <c r="D2662" s="7">
        <v>0</v>
      </c>
      <c r="E2662" s="11">
        <f t="shared" si="45"/>
        <v>1420000</v>
      </c>
      <c r="F2662" t="str">
        <f>VLOOKUP(A2662,[1]!Table1[#All],17,FALSE)</f>
        <v>UGANDA</v>
      </c>
      <c r="G2662" t="str">
        <f>VLOOKUP(A2662,[1]!Table1[#All],22,FALSE)</f>
        <v>BAYLOR COLLEGE OF MEDICINE CHILDRENS FDN - UGANDA</v>
      </c>
      <c r="H2662" s="8">
        <f>VLOOKUP(A2662,[1]!Table1[#All],32,FALSE)</f>
        <v>44104</v>
      </c>
      <c r="I2662" s="8">
        <f>VLOOKUP(A2662,[1]!Table1[#All],33,FALSE)</f>
        <v>45929</v>
      </c>
      <c r="J2662" t="str">
        <f t="shared" ca="1" si="44"/>
        <v>Non UDO</v>
      </c>
    </row>
    <row r="2663" spans="1:10" x14ac:dyDescent="0.35">
      <c r="A2663" s="9" t="s">
        <v>85</v>
      </c>
      <c r="B2663" s="10">
        <v>44927</v>
      </c>
      <c r="C2663" s="11">
        <v>1420000</v>
      </c>
      <c r="D2663" s="7">
        <v>0</v>
      </c>
      <c r="E2663" s="11">
        <f t="shared" si="45"/>
        <v>1420000</v>
      </c>
      <c r="F2663" t="str">
        <f>VLOOKUP(A2663,[1]!Table1[#All],17,FALSE)</f>
        <v>UGANDA</v>
      </c>
      <c r="G2663" t="str">
        <f>VLOOKUP(A2663,[1]!Table1[#All],22,FALSE)</f>
        <v>BAYLOR COLLEGE OF MEDICINE CHILDRENS FDN - UGANDA</v>
      </c>
      <c r="H2663" s="8">
        <f>VLOOKUP(A2663,[1]!Table1[#All],32,FALSE)</f>
        <v>44104</v>
      </c>
      <c r="I2663" s="8">
        <f>VLOOKUP(A2663,[1]!Table1[#All],33,FALSE)</f>
        <v>45929</v>
      </c>
      <c r="J2663" t="str">
        <f t="shared" ca="1" si="44"/>
        <v>Non UDO</v>
      </c>
    </row>
    <row r="2664" spans="1:10" x14ac:dyDescent="0.35">
      <c r="A2664" s="5" t="s">
        <v>85</v>
      </c>
      <c r="B2664" s="6">
        <v>44958</v>
      </c>
      <c r="C2664" s="7">
        <v>1420000</v>
      </c>
      <c r="D2664" s="7">
        <v>0</v>
      </c>
      <c r="E2664" s="11">
        <f t="shared" si="45"/>
        <v>1420000</v>
      </c>
      <c r="F2664" t="str">
        <f>VLOOKUP(A2664,[1]!Table1[#All],17,FALSE)</f>
        <v>UGANDA</v>
      </c>
      <c r="G2664" t="str">
        <f>VLOOKUP(A2664,[1]!Table1[#All],22,FALSE)</f>
        <v>BAYLOR COLLEGE OF MEDICINE CHILDRENS FDN - UGANDA</v>
      </c>
      <c r="H2664" s="8">
        <f>VLOOKUP(A2664,[1]!Table1[#All],32,FALSE)</f>
        <v>44104</v>
      </c>
      <c r="I2664" s="8">
        <f>VLOOKUP(A2664,[1]!Table1[#All],33,FALSE)</f>
        <v>45929</v>
      </c>
      <c r="J2664" t="str">
        <f t="shared" ca="1" si="44"/>
        <v>Non UDO</v>
      </c>
    </row>
    <row r="2665" spans="1:10" x14ac:dyDescent="0.35">
      <c r="A2665" s="9" t="s">
        <v>85</v>
      </c>
      <c r="B2665" s="10">
        <v>44986</v>
      </c>
      <c r="C2665" s="11">
        <v>1420000</v>
      </c>
      <c r="D2665" s="7">
        <v>0</v>
      </c>
      <c r="E2665" s="11">
        <f t="shared" si="45"/>
        <v>1420000</v>
      </c>
      <c r="F2665" t="str">
        <f>VLOOKUP(A2665,[1]!Table1[#All],17,FALSE)</f>
        <v>UGANDA</v>
      </c>
      <c r="G2665" t="str">
        <f>VLOOKUP(A2665,[1]!Table1[#All],22,FALSE)</f>
        <v>BAYLOR COLLEGE OF MEDICINE CHILDRENS FDN - UGANDA</v>
      </c>
      <c r="H2665" s="8">
        <f>VLOOKUP(A2665,[1]!Table1[#All],32,FALSE)</f>
        <v>44104</v>
      </c>
      <c r="I2665" s="8">
        <f>VLOOKUP(A2665,[1]!Table1[#All],33,FALSE)</f>
        <v>45929</v>
      </c>
      <c r="J2665" t="str">
        <f t="shared" ca="1" si="44"/>
        <v>Non UDO</v>
      </c>
    </row>
    <row r="2666" spans="1:10" x14ac:dyDescent="0.35">
      <c r="A2666" s="5" t="s">
        <v>85</v>
      </c>
      <c r="B2666" s="6">
        <v>45017</v>
      </c>
      <c r="C2666" s="7">
        <v>1420000</v>
      </c>
      <c r="D2666" s="7">
        <v>0</v>
      </c>
      <c r="E2666" s="11">
        <f t="shared" si="45"/>
        <v>1420000</v>
      </c>
      <c r="F2666" t="str">
        <f>VLOOKUP(A2666,[1]!Table1[#All],17,FALSE)</f>
        <v>UGANDA</v>
      </c>
      <c r="G2666" t="str">
        <f>VLOOKUP(A2666,[1]!Table1[#All],22,FALSE)</f>
        <v>BAYLOR COLLEGE OF MEDICINE CHILDRENS FDN - UGANDA</v>
      </c>
      <c r="H2666" s="8">
        <f>VLOOKUP(A2666,[1]!Table1[#All],32,FALSE)</f>
        <v>44104</v>
      </c>
      <c r="I2666" s="8">
        <f>VLOOKUP(A2666,[1]!Table1[#All],33,FALSE)</f>
        <v>45929</v>
      </c>
      <c r="J2666" t="str">
        <f t="shared" ca="1" si="44"/>
        <v>Non UDO</v>
      </c>
    </row>
    <row r="2667" spans="1:10" x14ac:dyDescent="0.35">
      <c r="A2667" s="9" t="s">
        <v>85</v>
      </c>
      <c r="B2667" s="10">
        <v>45047</v>
      </c>
      <c r="C2667" s="11">
        <v>1420000</v>
      </c>
      <c r="D2667" s="7">
        <v>0</v>
      </c>
      <c r="E2667" s="11">
        <f t="shared" si="45"/>
        <v>1420000</v>
      </c>
      <c r="F2667" t="str">
        <f>VLOOKUP(A2667,[1]!Table1[#All],17,FALSE)</f>
        <v>UGANDA</v>
      </c>
      <c r="G2667" t="str">
        <f>VLOOKUP(A2667,[1]!Table1[#All],22,FALSE)</f>
        <v>BAYLOR COLLEGE OF MEDICINE CHILDRENS FDN - UGANDA</v>
      </c>
      <c r="H2667" s="8">
        <f>VLOOKUP(A2667,[1]!Table1[#All],32,FALSE)</f>
        <v>44104</v>
      </c>
      <c r="I2667" s="8">
        <f>VLOOKUP(A2667,[1]!Table1[#All],33,FALSE)</f>
        <v>45929</v>
      </c>
      <c r="J2667" t="str">
        <f t="shared" ca="1" si="44"/>
        <v>Non UDO</v>
      </c>
    </row>
    <row r="2668" spans="1:10" x14ac:dyDescent="0.35">
      <c r="A2668" s="5" t="s">
        <v>85</v>
      </c>
      <c r="B2668" s="6">
        <v>45078</v>
      </c>
      <c r="C2668" s="7">
        <v>1420000</v>
      </c>
      <c r="D2668" s="7">
        <v>0</v>
      </c>
      <c r="E2668" s="11">
        <f t="shared" si="45"/>
        <v>1420000</v>
      </c>
      <c r="F2668" t="str">
        <f>VLOOKUP(A2668,[1]!Table1[#All],17,FALSE)</f>
        <v>UGANDA</v>
      </c>
      <c r="G2668" t="str">
        <f>VLOOKUP(A2668,[1]!Table1[#All],22,FALSE)</f>
        <v>BAYLOR COLLEGE OF MEDICINE CHILDRENS FDN - UGANDA</v>
      </c>
      <c r="H2668" s="8">
        <f>VLOOKUP(A2668,[1]!Table1[#All],32,FALSE)</f>
        <v>44104</v>
      </c>
      <c r="I2668" s="8">
        <f>VLOOKUP(A2668,[1]!Table1[#All],33,FALSE)</f>
        <v>45929</v>
      </c>
      <c r="J2668" t="str">
        <f t="shared" ca="1" si="44"/>
        <v>Non UDO</v>
      </c>
    </row>
    <row r="2669" spans="1:10" x14ac:dyDescent="0.35">
      <c r="A2669" s="9" t="s">
        <v>85</v>
      </c>
      <c r="B2669" s="10">
        <v>45108</v>
      </c>
      <c r="C2669" s="11">
        <v>1420000</v>
      </c>
      <c r="D2669" s="7">
        <v>0</v>
      </c>
      <c r="E2669" s="11">
        <f t="shared" si="45"/>
        <v>1420000</v>
      </c>
      <c r="F2669" t="str">
        <f>VLOOKUP(A2669,[1]!Table1[#All],17,FALSE)</f>
        <v>UGANDA</v>
      </c>
      <c r="G2669" t="str">
        <f>VLOOKUP(A2669,[1]!Table1[#All],22,FALSE)</f>
        <v>BAYLOR COLLEGE OF MEDICINE CHILDRENS FDN - UGANDA</v>
      </c>
      <c r="H2669" s="8">
        <f>VLOOKUP(A2669,[1]!Table1[#All],32,FALSE)</f>
        <v>44104</v>
      </c>
      <c r="I2669" s="8">
        <f>VLOOKUP(A2669,[1]!Table1[#All],33,FALSE)</f>
        <v>45929</v>
      </c>
      <c r="J2669" t="str">
        <f t="shared" ca="1" si="44"/>
        <v>Non UDO</v>
      </c>
    </row>
    <row r="2670" spans="1:10" x14ac:dyDescent="0.35">
      <c r="A2670" s="5" t="s">
        <v>85</v>
      </c>
      <c r="B2670" s="6">
        <v>45139</v>
      </c>
      <c r="C2670" s="7">
        <v>1420000</v>
      </c>
      <c r="D2670" s="7">
        <v>0</v>
      </c>
      <c r="E2670" s="11">
        <f t="shared" si="45"/>
        <v>1420000</v>
      </c>
      <c r="F2670" t="str">
        <f>VLOOKUP(A2670,[1]!Table1[#All],17,FALSE)</f>
        <v>UGANDA</v>
      </c>
      <c r="G2670" t="str">
        <f>VLOOKUP(A2670,[1]!Table1[#All],22,FALSE)</f>
        <v>BAYLOR COLLEGE OF MEDICINE CHILDRENS FDN - UGANDA</v>
      </c>
      <c r="H2670" s="8">
        <f>VLOOKUP(A2670,[1]!Table1[#All],32,FALSE)</f>
        <v>44104</v>
      </c>
      <c r="I2670" s="8">
        <f>VLOOKUP(A2670,[1]!Table1[#All],33,FALSE)</f>
        <v>45929</v>
      </c>
      <c r="J2670" t="str">
        <f t="shared" ca="1" si="44"/>
        <v>Non UDO</v>
      </c>
    </row>
    <row r="2671" spans="1:10" x14ac:dyDescent="0.35">
      <c r="A2671" s="9" t="s">
        <v>85</v>
      </c>
      <c r="B2671" s="10">
        <v>45170</v>
      </c>
      <c r="C2671" s="11">
        <v>1420000</v>
      </c>
      <c r="D2671" s="11">
        <f>C2671*0.3</f>
        <v>426000</v>
      </c>
      <c r="E2671" s="11">
        <f>C2671-D2671</f>
        <v>994000</v>
      </c>
      <c r="F2671" t="str">
        <f>VLOOKUP(A2671,[1]!Table1[#All],17,FALSE)</f>
        <v>UGANDA</v>
      </c>
      <c r="G2671" t="str">
        <f>VLOOKUP(A2671,[1]!Table1[#All],22,FALSE)</f>
        <v>BAYLOR COLLEGE OF MEDICINE CHILDRENS FDN - UGANDA</v>
      </c>
      <c r="H2671" s="8">
        <f>VLOOKUP(A2671,[1]!Table1[#All],32,FALSE)</f>
        <v>44104</v>
      </c>
      <c r="I2671" s="8">
        <f>VLOOKUP(A2671,[1]!Table1[#All],33,FALSE)</f>
        <v>45929</v>
      </c>
      <c r="J2671" t="str">
        <f t="shared" ca="1" si="44"/>
        <v>Non UDO</v>
      </c>
    </row>
    <row r="2672" spans="1:10" x14ac:dyDescent="0.35">
      <c r="A2672" s="5" t="s">
        <v>86</v>
      </c>
      <c r="B2672" s="6">
        <v>44105</v>
      </c>
      <c r="C2672" s="7">
        <v>586000</v>
      </c>
      <c r="D2672" s="7">
        <v>0</v>
      </c>
      <c r="E2672" s="7">
        <v>586000</v>
      </c>
      <c r="F2672" t="str">
        <f>VLOOKUP(A2672,[1]!Table1[#All],17,FALSE)</f>
        <v>VIETNAM</v>
      </c>
      <c r="G2672" t="str">
        <f>VLOOKUP(A2672,[1]!Table1[#All],22,FALSE)</f>
        <v>General Dept of Preventive Medicine, Ministry of H</v>
      </c>
      <c r="H2672" s="8">
        <f>VLOOKUP(A2672,[1]!Table1[#All],32,FALSE)</f>
        <v>44104</v>
      </c>
      <c r="I2672" s="8">
        <f>VLOOKUP(A2672,[1]!Table1[#All],33,FALSE)</f>
        <v>45929</v>
      </c>
      <c r="J2672" t="str">
        <f t="shared" ca="1" si="44"/>
        <v>Non UDO</v>
      </c>
    </row>
    <row r="2673" spans="1:10" x14ac:dyDescent="0.35">
      <c r="A2673" s="9" t="s">
        <v>86</v>
      </c>
      <c r="B2673" s="10">
        <v>44136</v>
      </c>
      <c r="C2673" s="11">
        <v>586000</v>
      </c>
      <c r="D2673" s="11">
        <v>0</v>
      </c>
      <c r="E2673" s="11">
        <v>586000</v>
      </c>
      <c r="F2673" t="str">
        <f>VLOOKUP(A2673,[1]!Table1[#All],17,FALSE)</f>
        <v>VIETNAM</v>
      </c>
      <c r="G2673" t="str">
        <f>VLOOKUP(A2673,[1]!Table1[#All],22,FALSE)</f>
        <v>General Dept of Preventive Medicine, Ministry of H</v>
      </c>
      <c r="H2673" s="8">
        <f>VLOOKUP(A2673,[1]!Table1[#All],32,FALSE)</f>
        <v>44104</v>
      </c>
      <c r="I2673" s="8">
        <f>VLOOKUP(A2673,[1]!Table1[#All],33,FALSE)</f>
        <v>45929</v>
      </c>
      <c r="J2673" t="str">
        <f t="shared" ca="1" si="44"/>
        <v>Non UDO</v>
      </c>
    </row>
    <row r="2674" spans="1:10" x14ac:dyDescent="0.35">
      <c r="A2674" s="5" t="s">
        <v>86</v>
      </c>
      <c r="B2674" s="6">
        <v>44166</v>
      </c>
      <c r="C2674" s="7">
        <v>586000</v>
      </c>
      <c r="D2674" s="7">
        <v>0</v>
      </c>
      <c r="E2674" s="7">
        <v>586000</v>
      </c>
      <c r="F2674" t="str">
        <f>VLOOKUP(A2674,[1]!Table1[#All],17,FALSE)</f>
        <v>VIETNAM</v>
      </c>
      <c r="G2674" t="str">
        <f>VLOOKUP(A2674,[1]!Table1[#All],22,FALSE)</f>
        <v>General Dept of Preventive Medicine, Ministry of H</v>
      </c>
      <c r="H2674" s="8">
        <f>VLOOKUP(A2674,[1]!Table1[#All],32,FALSE)</f>
        <v>44104</v>
      </c>
      <c r="I2674" s="8">
        <f>VLOOKUP(A2674,[1]!Table1[#All],33,FALSE)</f>
        <v>45929</v>
      </c>
      <c r="J2674" t="str">
        <f t="shared" ca="1" si="44"/>
        <v>Non UDO</v>
      </c>
    </row>
    <row r="2675" spans="1:10" x14ac:dyDescent="0.35">
      <c r="A2675" s="9" t="s">
        <v>86</v>
      </c>
      <c r="B2675" s="10">
        <v>44197</v>
      </c>
      <c r="C2675" s="11">
        <v>586000</v>
      </c>
      <c r="D2675" s="11">
        <v>0</v>
      </c>
      <c r="E2675" s="11">
        <v>586000</v>
      </c>
      <c r="F2675" t="str">
        <f>VLOOKUP(A2675,[1]!Table1[#All],17,FALSE)</f>
        <v>VIETNAM</v>
      </c>
      <c r="G2675" t="str">
        <f>VLOOKUP(A2675,[1]!Table1[#All],22,FALSE)</f>
        <v>General Dept of Preventive Medicine, Ministry of H</v>
      </c>
      <c r="H2675" s="8">
        <f>VLOOKUP(A2675,[1]!Table1[#All],32,FALSE)</f>
        <v>44104</v>
      </c>
      <c r="I2675" s="8">
        <f>VLOOKUP(A2675,[1]!Table1[#All],33,FALSE)</f>
        <v>45929</v>
      </c>
      <c r="J2675" t="str">
        <f t="shared" ca="1" si="44"/>
        <v>Non UDO</v>
      </c>
    </row>
    <row r="2676" spans="1:10" x14ac:dyDescent="0.35">
      <c r="A2676" s="5" t="s">
        <v>86</v>
      </c>
      <c r="B2676" s="6">
        <v>44228</v>
      </c>
      <c r="C2676" s="7">
        <v>586000</v>
      </c>
      <c r="D2676" s="7">
        <v>0</v>
      </c>
      <c r="E2676" s="7">
        <v>586000</v>
      </c>
      <c r="F2676" t="str">
        <f>VLOOKUP(A2676,[1]!Table1[#All],17,FALSE)</f>
        <v>VIETNAM</v>
      </c>
      <c r="G2676" t="str">
        <f>VLOOKUP(A2676,[1]!Table1[#All],22,FALSE)</f>
        <v>General Dept of Preventive Medicine, Ministry of H</v>
      </c>
      <c r="H2676" s="8">
        <f>VLOOKUP(A2676,[1]!Table1[#All],32,FALSE)</f>
        <v>44104</v>
      </c>
      <c r="I2676" s="8">
        <f>VLOOKUP(A2676,[1]!Table1[#All],33,FALSE)</f>
        <v>45929</v>
      </c>
      <c r="J2676" t="str">
        <f t="shared" ca="1" si="44"/>
        <v>Non UDO</v>
      </c>
    </row>
    <row r="2677" spans="1:10" x14ac:dyDescent="0.35">
      <c r="A2677" s="9" t="s">
        <v>86</v>
      </c>
      <c r="B2677" s="10">
        <v>44256</v>
      </c>
      <c r="C2677" s="11">
        <v>1052000</v>
      </c>
      <c r="D2677" s="11">
        <v>0</v>
      </c>
      <c r="E2677" s="11">
        <v>1052000</v>
      </c>
      <c r="F2677" t="str">
        <f>VLOOKUP(A2677,[1]!Table1[#All],17,FALSE)</f>
        <v>VIETNAM</v>
      </c>
      <c r="G2677" t="str">
        <f>VLOOKUP(A2677,[1]!Table1[#All],22,FALSE)</f>
        <v>General Dept of Preventive Medicine, Ministry of H</v>
      </c>
      <c r="H2677" s="8">
        <f>VLOOKUP(A2677,[1]!Table1[#All],32,FALSE)</f>
        <v>44104</v>
      </c>
      <c r="I2677" s="8">
        <f>VLOOKUP(A2677,[1]!Table1[#All],33,FALSE)</f>
        <v>45929</v>
      </c>
      <c r="J2677" t="str">
        <f t="shared" ca="1" si="44"/>
        <v>Non UDO</v>
      </c>
    </row>
    <row r="2678" spans="1:10" x14ac:dyDescent="0.35">
      <c r="A2678" s="5" t="s">
        <v>86</v>
      </c>
      <c r="B2678" s="6">
        <v>44287</v>
      </c>
      <c r="C2678" s="7">
        <v>120000</v>
      </c>
      <c r="D2678" s="7">
        <v>0</v>
      </c>
      <c r="E2678" s="7">
        <v>120000</v>
      </c>
      <c r="F2678" t="str">
        <f>VLOOKUP(A2678,[1]!Table1[#All],17,FALSE)</f>
        <v>VIETNAM</v>
      </c>
      <c r="G2678" t="str">
        <f>VLOOKUP(A2678,[1]!Table1[#All],22,FALSE)</f>
        <v>General Dept of Preventive Medicine, Ministry of H</v>
      </c>
      <c r="H2678" s="8">
        <f>VLOOKUP(A2678,[1]!Table1[#All],32,FALSE)</f>
        <v>44104</v>
      </c>
      <c r="I2678" s="8">
        <f>VLOOKUP(A2678,[1]!Table1[#All],33,FALSE)</f>
        <v>45929</v>
      </c>
      <c r="J2678" t="str">
        <f t="shared" ca="1" si="44"/>
        <v>Non UDO</v>
      </c>
    </row>
    <row r="2679" spans="1:10" x14ac:dyDescent="0.35">
      <c r="A2679" s="9" t="s">
        <v>86</v>
      </c>
      <c r="B2679" s="10">
        <v>44317</v>
      </c>
      <c r="C2679" s="11">
        <v>586000</v>
      </c>
      <c r="D2679" s="11">
        <v>0</v>
      </c>
      <c r="E2679" s="11">
        <v>586000</v>
      </c>
      <c r="F2679" t="str">
        <f>VLOOKUP(A2679,[1]!Table1[#All],17,FALSE)</f>
        <v>VIETNAM</v>
      </c>
      <c r="G2679" t="str">
        <f>VLOOKUP(A2679,[1]!Table1[#All],22,FALSE)</f>
        <v>General Dept of Preventive Medicine, Ministry of H</v>
      </c>
      <c r="H2679" s="8">
        <f>VLOOKUP(A2679,[1]!Table1[#All],32,FALSE)</f>
        <v>44104</v>
      </c>
      <c r="I2679" s="8">
        <f>VLOOKUP(A2679,[1]!Table1[#All],33,FALSE)</f>
        <v>45929</v>
      </c>
      <c r="J2679" t="str">
        <f t="shared" ca="1" si="44"/>
        <v>Non UDO</v>
      </c>
    </row>
    <row r="2680" spans="1:10" x14ac:dyDescent="0.35">
      <c r="A2680" s="5" t="s">
        <v>86</v>
      </c>
      <c r="B2680" s="6">
        <v>44348</v>
      </c>
      <c r="C2680" s="7">
        <v>586000</v>
      </c>
      <c r="D2680" s="7">
        <v>0</v>
      </c>
      <c r="E2680" s="7">
        <v>586000</v>
      </c>
      <c r="F2680" t="str">
        <f>VLOOKUP(A2680,[1]!Table1[#All],17,FALSE)</f>
        <v>VIETNAM</v>
      </c>
      <c r="G2680" t="str">
        <f>VLOOKUP(A2680,[1]!Table1[#All],22,FALSE)</f>
        <v>General Dept of Preventive Medicine, Ministry of H</v>
      </c>
      <c r="H2680" s="8">
        <f>VLOOKUP(A2680,[1]!Table1[#All],32,FALSE)</f>
        <v>44104</v>
      </c>
      <c r="I2680" s="8">
        <f>VLOOKUP(A2680,[1]!Table1[#All],33,FALSE)</f>
        <v>45929</v>
      </c>
      <c r="J2680" t="str">
        <f t="shared" ca="1" si="44"/>
        <v>Non UDO</v>
      </c>
    </row>
    <row r="2681" spans="1:10" x14ac:dyDescent="0.35">
      <c r="A2681" s="9" t="s">
        <v>86</v>
      </c>
      <c r="B2681" s="10">
        <v>44378</v>
      </c>
      <c r="C2681" s="11">
        <v>586000</v>
      </c>
      <c r="D2681" s="11">
        <v>0</v>
      </c>
      <c r="E2681" s="11">
        <v>586000</v>
      </c>
      <c r="F2681" t="str">
        <f>VLOOKUP(A2681,[1]!Table1[#All],17,FALSE)</f>
        <v>VIETNAM</v>
      </c>
      <c r="G2681" t="str">
        <f>VLOOKUP(A2681,[1]!Table1[#All],22,FALSE)</f>
        <v>General Dept of Preventive Medicine, Ministry of H</v>
      </c>
      <c r="H2681" s="8">
        <f>VLOOKUP(A2681,[1]!Table1[#All],32,FALSE)</f>
        <v>44104</v>
      </c>
      <c r="I2681" s="8">
        <f>VLOOKUP(A2681,[1]!Table1[#All],33,FALSE)</f>
        <v>45929</v>
      </c>
      <c r="J2681" t="str">
        <f t="shared" ca="1" si="44"/>
        <v>Non UDO</v>
      </c>
    </row>
    <row r="2682" spans="1:10" x14ac:dyDescent="0.35">
      <c r="A2682" s="5" t="s">
        <v>86</v>
      </c>
      <c r="B2682" s="6">
        <v>44409</v>
      </c>
      <c r="C2682" s="7">
        <v>586000</v>
      </c>
      <c r="D2682" s="7">
        <v>25000</v>
      </c>
      <c r="E2682" s="7">
        <v>561000</v>
      </c>
      <c r="F2682" t="str">
        <f>VLOOKUP(A2682,[1]!Table1[#All],17,FALSE)</f>
        <v>VIETNAM</v>
      </c>
      <c r="G2682" t="str">
        <f>VLOOKUP(A2682,[1]!Table1[#All],22,FALSE)</f>
        <v>General Dept of Preventive Medicine, Ministry of H</v>
      </c>
      <c r="H2682" s="8">
        <f>VLOOKUP(A2682,[1]!Table1[#All],32,FALSE)</f>
        <v>44104</v>
      </c>
      <c r="I2682" s="8">
        <f>VLOOKUP(A2682,[1]!Table1[#All],33,FALSE)</f>
        <v>45929</v>
      </c>
      <c r="J2682" t="str">
        <f t="shared" ca="1" si="44"/>
        <v>Non UDO</v>
      </c>
    </row>
    <row r="2683" spans="1:10" x14ac:dyDescent="0.35">
      <c r="A2683" s="9" t="s">
        <v>86</v>
      </c>
      <c r="B2683" s="10">
        <v>44440</v>
      </c>
      <c r="C2683" s="11">
        <v>586000</v>
      </c>
      <c r="D2683" s="11">
        <v>35000</v>
      </c>
      <c r="E2683" s="11">
        <v>551000</v>
      </c>
      <c r="F2683" t="str">
        <f>VLOOKUP(A2683,[1]!Table1[#All],17,FALSE)</f>
        <v>VIETNAM</v>
      </c>
      <c r="G2683" t="str">
        <f>VLOOKUP(A2683,[1]!Table1[#All],22,FALSE)</f>
        <v>General Dept of Preventive Medicine, Ministry of H</v>
      </c>
      <c r="H2683" s="8">
        <f>VLOOKUP(A2683,[1]!Table1[#All],32,FALSE)</f>
        <v>44104</v>
      </c>
      <c r="I2683" s="8">
        <f>VLOOKUP(A2683,[1]!Table1[#All],33,FALSE)</f>
        <v>45929</v>
      </c>
      <c r="J2683" t="str">
        <f t="shared" ca="1" si="44"/>
        <v>Non UDO</v>
      </c>
    </row>
    <row r="2684" spans="1:10" x14ac:dyDescent="0.35">
      <c r="A2684" s="5" t="s">
        <v>86</v>
      </c>
      <c r="B2684" s="6">
        <v>44470</v>
      </c>
      <c r="C2684" s="7">
        <v>586000</v>
      </c>
      <c r="D2684" s="7">
        <v>60000</v>
      </c>
      <c r="E2684" s="7">
        <v>526000</v>
      </c>
      <c r="F2684" t="str">
        <f>VLOOKUP(A2684,[1]!Table1[#All],17,FALSE)</f>
        <v>VIETNAM</v>
      </c>
      <c r="G2684" t="str">
        <f>VLOOKUP(A2684,[1]!Table1[#All],22,FALSE)</f>
        <v>General Dept of Preventive Medicine, Ministry of H</v>
      </c>
      <c r="H2684" s="8">
        <f>VLOOKUP(A2684,[1]!Table1[#All],32,FALSE)</f>
        <v>44104</v>
      </c>
      <c r="I2684" s="8">
        <f>VLOOKUP(A2684,[1]!Table1[#All],33,FALSE)</f>
        <v>45929</v>
      </c>
      <c r="J2684" t="str">
        <f t="shared" ca="1" si="44"/>
        <v>Non UDO</v>
      </c>
    </row>
    <row r="2685" spans="1:10" x14ac:dyDescent="0.35">
      <c r="A2685" s="9" t="s">
        <v>86</v>
      </c>
      <c r="B2685" s="10">
        <v>44501</v>
      </c>
      <c r="C2685" s="11">
        <v>586000</v>
      </c>
      <c r="D2685" s="11">
        <v>75000</v>
      </c>
      <c r="E2685" s="11">
        <v>511000</v>
      </c>
      <c r="F2685" t="str">
        <f>VLOOKUP(A2685,[1]!Table1[#All],17,FALSE)</f>
        <v>VIETNAM</v>
      </c>
      <c r="G2685" t="str">
        <f>VLOOKUP(A2685,[1]!Table1[#All],22,FALSE)</f>
        <v>General Dept of Preventive Medicine, Ministry of H</v>
      </c>
      <c r="H2685" s="8">
        <f>VLOOKUP(A2685,[1]!Table1[#All],32,FALSE)</f>
        <v>44104</v>
      </c>
      <c r="I2685" s="8">
        <f>VLOOKUP(A2685,[1]!Table1[#All],33,FALSE)</f>
        <v>45929</v>
      </c>
      <c r="J2685" t="str">
        <f t="shared" ca="1" si="44"/>
        <v>Non UDO</v>
      </c>
    </row>
    <row r="2686" spans="1:10" x14ac:dyDescent="0.35">
      <c r="A2686" s="5" t="s">
        <v>86</v>
      </c>
      <c r="B2686" s="6">
        <v>44531</v>
      </c>
      <c r="C2686" s="7">
        <v>586000</v>
      </c>
      <c r="D2686" s="7">
        <v>75000</v>
      </c>
      <c r="E2686" s="7">
        <v>511000</v>
      </c>
      <c r="F2686" t="str">
        <f>VLOOKUP(A2686,[1]!Table1[#All],17,FALSE)</f>
        <v>VIETNAM</v>
      </c>
      <c r="G2686" t="str">
        <f>VLOOKUP(A2686,[1]!Table1[#All],22,FALSE)</f>
        <v>General Dept of Preventive Medicine, Ministry of H</v>
      </c>
      <c r="H2686" s="8">
        <f>VLOOKUP(A2686,[1]!Table1[#All],32,FALSE)</f>
        <v>44104</v>
      </c>
      <c r="I2686" s="8">
        <f>VLOOKUP(A2686,[1]!Table1[#All],33,FALSE)</f>
        <v>45929</v>
      </c>
      <c r="J2686" t="str">
        <f t="shared" ca="1" si="44"/>
        <v>Non UDO</v>
      </c>
    </row>
    <row r="2687" spans="1:10" x14ac:dyDescent="0.35">
      <c r="A2687" s="9" t="s">
        <v>86</v>
      </c>
      <c r="B2687" s="10">
        <v>44562</v>
      </c>
      <c r="C2687" s="11">
        <v>586000</v>
      </c>
      <c r="D2687" s="11">
        <v>95000</v>
      </c>
      <c r="E2687" s="11">
        <v>491000</v>
      </c>
      <c r="F2687" t="str">
        <f>VLOOKUP(A2687,[1]!Table1[#All],17,FALSE)</f>
        <v>VIETNAM</v>
      </c>
      <c r="G2687" t="str">
        <f>VLOOKUP(A2687,[1]!Table1[#All],22,FALSE)</f>
        <v>General Dept of Preventive Medicine, Ministry of H</v>
      </c>
      <c r="H2687" s="8">
        <f>VLOOKUP(A2687,[1]!Table1[#All],32,FALSE)</f>
        <v>44104</v>
      </c>
      <c r="I2687" s="8">
        <f>VLOOKUP(A2687,[1]!Table1[#All],33,FALSE)</f>
        <v>45929</v>
      </c>
      <c r="J2687" t="str">
        <f t="shared" ca="1" si="44"/>
        <v>Non UDO</v>
      </c>
    </row>
    <row r="2688" spans="1:10" x14ac:dyDescent="0.35">
      <c r="A2688" s="5" t="s">
        <v>86</v>
      </c>
      <c r="B2688" s="6">
        <v>44593</v>
      </c>
      <c r="C2688" s="7">
        <v>586000</v>
      </c>
      <c r="D2688" s="7">
        <v>115000</v>
      </c>
      <c r="E2688" s="7">
        <v>471000</v>
      </c>
      <c r="F2688" t="str">
        <f>VLOOKUP(A2688,[1]!Table1[#All],17,FALSE)</f>
        <v>VIETNAM</v>
      </c>
      <c r="G2688" t="str">
        <f>VLOOKUP(A2688,[1]!Table1[#All],22,FALSE)</f>
        <v>General Dept of Preventive Medicine, Ministry of H</v>
      </c>
      <c r="H2688" s="8">
        <f>VLOOKUP(A2688,[1]!Table1[#All],32,FALSE)</f>
        <v>44104</v>
      </c>
      <c r="I2688" s="8">
        <f>VLOOKUP(A2688,[1]!Table1[#All],33,FALSE)</f>
        <v>45929</v>
      </c>
      <c r="J2688" t="str">
        <f t="shared" ca="1" si="44"/>
        <v>Non UDO</v>
      </c>
    </row>
    <row r="2689" spans="1:10" x14ac:dyDescent="0.35">
      <c r="A2689" s="9" t="s">
        <v>86</v>
      </c>
      <c r="B2689" s="10">
        <v>44621</v>
      </c>
      <c r="C2689" s="11">
        <v>586000</v>
      </c>
      <c r="D2689" s="11">
        <v>115000</v>
      </c>
      <c r="E2689" s="11">
        <v>471000</v>
      </c>
      <c r="F2689" t="str">
        <f>VLOOKUP(A2689,[1]!Table1[#All],17,FALSE)</f>
        <v>VIETNAM</v>
      </c>
      <c r="G2689" t="str">
        <f>VLOOKUP(A2689,[1]!Table1[#All],22,FALSE)</f>
        <v>General Dept of Preventive Medicine, Ministry of H</v>
      </c>
      <c r="H2689" s="8">
        <f>VLOOKUP(A2689,[1]!Table1[#All],32,FALSE)</f>
        <v>44104</v>
      </c>
      <c r="I2689" s="8">
        <f>VLOOKUP(A2689,[1]!Table1[#All],33,FALSE)</f>
        <v>45929</v>
      </c>
      <c r="J2689" t="str">
        <f t="shared" ca="1" si="44"/>
        <v>Non UDO</v>
      </c>
    </row>
    <row r="2690" spans="1:10" x14ac:dyDescent="0.35">
      <c r="A2690" s="5" t="s">
        <v>86</v>
      </c>
      <c r="B2690" s="6">
        <v>44652</v>
      </c>
      <c r="C2690" s="7">
        <v>586000</v>
      </c>
      <c r="D2690" s="7">
        <v>151000</v>
      </c>
      <c r="E2690" s="7">
        <v>435000</v>
      </c>
      <c r="F2690" t="str">
        <f>VLOOKUP(A2690,[1]!Table1[#All],17,FALSE)</f>
        <v>VIETNAM</v>
      </c>
      <c r="G2690" t="str">
        <f>VLOOKUP(A2690,[1]!Table1[#All],22,FALSE)</f>
        <v>General Dept of Preventive Medicine, Ministry of H</v>
      </c>
      <c r="H2690" s="8">
        <f>VLOOKUP(A2690,[1]!Table1[#All],32,FALSE)</f>
        <v>44104</v>
      </c>
      <c r="I2690" s="8">
        <f>VLOOKUP(A2690,[1]!Table1[#All],33,FALSE)</f>
        <v>45929</v>
      </c>
      <c r="J2690" t="str">
        <f t="shared" ca="1" si="44"/>
        <v>Non UDO</v>
      </c>
    </row>
    <row r="2691" spans="1:10" x14ac:dyDescent="0.35">
      <c r="A2691" s="9" t="s">
        <v>86</v>
      </c>
      <c r="B2691" s="10">
        <v>44682</v>
      </c>
      <c r="C2691" s="11">
        <v>586000</v>
      </c>
      <c r="D2691" s="11">
        <v>151000</v>
      </c>
      <c r="E2691" s="11">
        <v>435000</v>
      </c>
      <c r="F2691" t="str">
        <f>VLOOKUP(A2691,[1]!Table1[#All],17,FALSE)</f>
        <v>VIETNAM</v>
      </c>
      <c r="G2691" t="str">
        <f>VLOOKUP(A2691,[1]!Table1[#All],22,FALSE)</f>
        <v>General Dept of Preventive Medicine, Ministry of H</v>
      </c>
      <c r="H2691" s="8">
        <f>VLOOKUP(A2691,[1]!Table1[#All],32,FALSE)</f>
        <v>44104</v>
      </c>
      <c r="I2691" s="8">
        <f>VLOOKUP(A2691,[1]!Table1[#All],33,FALSE)</f>
        <v>45929</v>
      </c>
      <c r="J2691" t="str">
        <f t="shared" ref="J2691:J2754" ca="1" si="46">IF(AND( E2691&gt;0,TODAY()&gt;I2691),"UDO","Non UDO")</f>
        <v>Non UDO</v>
      </c>
    </row>
    <row r="2692" spans="1:10" x14ac:dyDescent="0.35">
      <c r="A2692" s="5" t="s">
        <v>86</v>
      </c>
      <c r="B2692" s="6">
        <v>44713</v>
      </c>
      <c r="C2692" s="7">
        <v>586000</v>
      </c>
      <c r="D2692" s="7">
        <v>196000</v>
      </c>
      <c r="E2692" s="7">
        <v>390000</v>
      </c>
      <c r="F2692" t="str">
        <f>VLOOKUP(A2692,[1]!Table1[#All],17,FALSE)</f>
        <v>VIETNAM</v>
      </c>
      <c r="G2692" t="str">
        <f>VLOOKUP(A2692,[1]!Table1[#All],22,FALSE)</f>
        <v>General Dept of Preventive Medicine, Ministry of H</v>
      </c>
      <c r="H2692" s="8">
        <f>VLOOKUP(A2692,[1]!Table1[#All],32,FALSE)</f>
        <v>44104</v>
      </c>
      <c r="I2692" s="8">
        <f>VLOOKUP(A2692,[1]!Table1[#All],33,FALSE)</f>
        <v>45929</v>
      </c>
      <c r="J2692" t="str">
        <f t="shared" ca="1" si="46"/>
        <v>Non UDO</v>
      </c>
    </row>
    <row r="2693" spans="1:10" x14ac:dyDescent="0.35">
      <c r="A2693" s="9" t="s">
        <v>86</v>
      </c>
      <c r="B2693" s="10">
        <v>44743</v>
      </c>
      <c r="C2693" s="11">
        <v>586000</v>
      </c>
      <c r="D2693" s="11">
        <v>216000</v>
      </c>
      <c r="E2693" s="11">
        <v>370000</v>
      </c>
      <c r="F2693" t="str">
        <f>VLOOKUP(A2693,[1]!Table1[#All],17,FALSE)</f>
        <v>VIETNAM</v>
      </c>
      <c r="G2693" t="str">
        <f>VLOOKUP(A2693,[1]!Table1[#All],22,FALSE)</f>
        <v>General Dept of Preventive Medicine, Ministry of H</v>
      </c>
      <c r="H2693" s="8">
        <f>VLOOKUP(A2693,[1]!Table1[#All],32,FALSE)</f>
        <v>44104</v>
      </c>
      <c r="I2693" s="8">
        <f>VLOOKUP(A2693,[1]!Table1[#All],33,FALSE)</f>
        <v>45929</v>
      </c>
      <c r="J2693" t="str">
        <f t="shared" ca="1" si="46"/>
        <v>Non UDO</v>
      </c>
    </row>
    <row r="2694" spans="1:10" x14ac:dyDescent="0.35">
      <c r="A2694" s="5" t="s">
        <v>86</v>
      </c>
      <c r="B2694" s="6">
        <v>44774</v>
      </c>
      <c r="C2694" s="7">
        <v>586000</v>
      </c>
      <c r="D2694" s="7">
        <v>251000</v>
      </c>
      <c r="E2694" s="7">
        <v>335000</v>
      </c>
      <c r="F2694" t="str">
        <f>VLOOKUP(A2694,[1]!Table1[#All],17,FALSE)</f>
        <v>VIETNAM</v>
      </c>
      <c r="G2694" t="str">
        <f>VLOOKUP(A2694,[1]!Table1[#All],22,FALSE)</f>
        <v>General Dept of Preventive Medicine, Ministry of H</v>
      </c>
      <c r="H2694" s="8">
        <f>VLOOKUP(A2694,[1]!Table1[#All],32,FALSE)</f>
        <v>44104</v>
      </c>
      <c r="I2694" s="8">
        <f>VLOOKUP(A2694,[1]!Table1[#All],33,FALSE)</f>
        <v>45929</v>
      </c>
      <c r="J2694" t="str">
        <f t="shared" ca="1" si="46"/>
        <v>Non UDO</v>
      </c>
    </row>
    <row r="2695" spans="1:10" x14ac:dyDescent="0.35">
      <c r="A2695" s="9" t="s">
        <v>86</v>
      </c>
      <c r="B2695" s="10">
        <v>44805</v>
      </c>
      <c r="C2695" s="11">
        <v>586000</v>
      </c>
      <c r="D2695" s="11">
        <v>270000</v>
      </c>
      <c r="E2695" s="11">
        <v>316000</v>
      </c>
      <c r="F2695" t="str">
        <f>VLOOKUP(A2695,[1]!Table1[#All],17,FALSE)</f>
        <v>VIETNAM</v>
      </c>
      <c r="G2695" t="str">
        <f>VLOOKUP(A2695,[1]!Table1[#All],22,FALSE)</f>
        <v>General Dept of Preventive Medicine, Ministry of H</v>
      </c>
      <c r="H2695" s="8">
        <f>VLOOKUP(A2695,[1]!Table1[#All],32,FALSE)</f>
        <v>44104</v>
      </c>
      <c r="I2695" s="8">
        <f>VLOOKUP(A2695,[1]!Table1[#All],33,FALSE)</f>
        <v>45929</v>
      </c>
      <c r="J2695" t="str">
        <f t="shared" ca="1" si="46"/>
        <v>Non UDO</v>
      </c>
    </row>
    <row r="2696" spans="1:10" x14ac:dyDescent="0.35">
      <c r="A2696" s="5" t="s">
        <v>86</v>
      </c>
      <c r="B2696" s="6">
        <v>44835</v>
      </c>
      <c r="C2696" s="7">
        <v>586000</v>
      </c>
      <c r="D2696" s="7">
        <v>270000</v>
      </c>
      <c r="E2696" s="7">
        <v>316000</v>
      </c>
      <c r="F2696" t="str">
        <f>VLOOKUP(A2696,[1]!Table1[#All],17,FALSE)</f>
        <v>VIETNAM</v>
      </c>
      <c r="G2696" t="str">
        <f>VLOOKUP(A2696,[1]!Table1[#All],22,FALSE)</f>
        <v>General Dept of Preventive Medicine, Ministry of H</v>
      </c>
      <c r="H2696" s="8">
        <f>VLOOKUP(A2696,[1]!Table1[#All],32,FALSE)</f>
        <v>44104</v>
      </c>
      <c r="I2696" s="8">
        <f>VLOOKUP(A2696,[1]!Table1[#All],33,FALSE)</f>
        <v>45929</v>
      </c>
      <c r="J2696" t="str">
        <f t="shared" ca="1" si="46"/>
        <v>Non UDO</v>
      </c>
    </row>
    <row r="2697" spans="1:10" x14ac:dyDescent="0.35">
      <c r="A2697" s="9" t="s">
        <v>86</v>
      </c>
      <c r="B2697" s="10">
        <v>44866</v>
      </c>
      <c r="C2697" s="11">
        <v>586000</v>
      </c>
      <c r="D2697" s="11">
        <v>295000</v>
      </c>
      <c r="E2697" s="11">
        <v>291000</v>
      </c>
      <c r="F2697" t="str">
        <f>VLOOKUP(A2697,[1]!Table1[#All],17,FALSE)</f>
        <v>VIETNAM</v>
      </c>
      <c r="G2697" t="str">
        <f>VLOOKUP(A2697,[1]!Table1[#All],22,FALSE)</f>
        <v>General Dept of Preventive Medicine, Ministry of H</v>
      </c>
      <c r="H2697" s="8">
        <f>VLOOKUP(A2697,[1]!Table1[#All],32,FALSE)</f>
        <v>44104</v>
      </c>
      <c r="I2697" s="8">
        <f>VLOOKUP(A2697,[1]!Table1[#All],33,FALSE)</f>
        <v>45929</v>
      </c>
      <c r="J2697" t="str">
        <f t="shared" ca="1" si="46"/>
        <v>Non UDO</v>
      </c>
    </row>
    <row r="2698" spans="1:10" x14ac:dyDescent="0.35">
      <c r="A2698" s="5" t="s">
        <v>86</v>
      </c>
      <c r="B2698" s="6">
        <v>44896</v>
      </c>
      <c r="C2698" s="7">
        <v>586000</v>
      </c>
      <c r="D2698" s="7">
        <v>317000</v>
      </c>
      <c r="E2698" s="7">
        <v>269000</v>
      </c>
      <c r="F2698" t="str">
        <f>VLOOKUP(A2698,[1]!Table1[#All],17,FALSE)</f>
        <v>VIETNAM</v>
      </c>
      <c r="G2698" t="str">
        <f>VLOOKUP(A2698,[1]!Table1[#All],22,FALSE)</f>
        <v>General Dept of Preventive Medicine, Ministry of H</v>
      </c>
      <c r="H2698" s="8">
        <f>VLOOKUP(A2698,[1]!Table1[#All],32,FALSE)</f>
        <v>44104</v>
      </c>
      <c r="I2698" s="8">
        <f>VLOOKUP(A2698,[1]!Table1[#All],33,FALSE)</f>
        <v>45929</v>
      </c>
      <c r="J2698" t="str">
        <f t="shared" ca="1" si="46"/>
        <v>Non UDO</v>
      </c>
    </row>
    <row r="2699" spans="1:10" x14ac:dyDescent="0.35">
      <c r="A2699" s="9" t="s">
        <v>86</v>
      </c>
      <c r="B2699" s="10">
        <v>44927</v>
      </c>
      <c r="C2699" s="11">
        <v>586000</v>
      </c>
      <c r="D2699" s="11">
        <v>377000</v>
      </c>
      <c r="E2699" s="11">
        <v>209000</v>
      </c>
      <c r="F2699" t="str">
        <f>VLOOKUP(A2699,[1]!Table1[#All],17,FALSE)</f>
        <v>VIETNAM</v>
      </c>
      <c r="G2699" t="str">
        <f>VLOOKUP(A2699,[1]!Table1[#All],22,FALSE)</f>
        <v>General Dept of Preventive Medicine, Ministry of H</v>
      </c>
      <c r="H2699" s="8">
        <f>VLOOKUP(A2699,[1]!Table1[#All],32,FALSE)</f>
        <v>44104</v>
      </c>
      <c r="I2699" s="8">
        <f>VLOOKUP(A2699,[1]!Table1[#All],33,FALSE)</f>
        <v>45929</v>
      </c>
      <c r="J2699" t="str">
        <f t="shared" ca="1" si="46"/>
        <v>Non UDO</v>
      </c>
    </row>
    <row r="2700" spans="1:10" x14ac:dyDescent="0.35">
      <c r="A2700" s="5" t="s">
        <v>86</v>
      </c>
      <c r="B2700" s="6">
        <v>44958</v>
      </c>
      <c r="C2700" s="7">
        <v>586000</v>
      </c>
      <c r="D2700" s="7">
        <v>377000</v>
      </c>
      <c r="E2700" s="7">
        <v>209000</v>
      </c>
      <c r="F2700" t="str">
        <f>VLOOKUP(A2700,[1]!Table1[#All],17,FALSE)</f>
        <v>VIETNAM</v>
      </c>
      <c r="G2700" t="str">
        <f>VLOOKUP(A2700,[1]!Table1[#All],22,FALSE)</f>
        <v>General Dept of Preventive Medicine, Ministry of H</v>
      </c>
      <c r="H2700" s="8">
        <f>VLOOKUP(A2700,[1]!Table1[#All],32,FALSE)</f>
        <v>44104</v>
      </c>
      <c r="I2700" s="8">
        <f>VLOOKUP(A2700,[1]!Table1[#All],33,FALSE)</f>
        <v>45929</v>
      </c>
      <c r="J2700" t="str">
        <f t="shared" ca="1" si="46"/>
        <v>Non UDO</v>
      </c>
    </row>
    <row r="2701" spans="1:10" x14ac:dyDescent="0.35">
      <c r="A2701" s="9" t="s">
        <v>86</v>
      </c>
      <c r="B2701" s="10">
        <v>44986</v>
      </c>
      <c r="C2701" s="11">
        <v>586000</v>
      </c>
      <c r="D2701" s="11">
        <v>377000</v>
      </c>
      <c r="E2701" s="11">
        <v>209000</v>
      </c>
      <c r="F2701" t="str">
        <f>VLOOKUP(A2701,[1]!Table1[#All],17,FALSE)</f>
        <v>VIETNAM</v>
      </c>
      <c r="G2701" t="str">
        <f>VLOOKUP(A2701,[1]!Table1[#All],22,FALSE)</f>
        <v>General Dept of Preventive Medicine, Ministry of H</v>
      </c>
      <c r="H2701" s="8">
        <f>VLOOKUP(A2701,[1]!Table1[#All],32,FALSE)</f>
        <v>44104</v>
      </c>
      <c r="I2701" s="8">
        <f>VLOOKUP(A2701,[1]!Table1[#All],33,FALSE)</f>
        <v>45929</v>
      </c>
      <c r="J2701" t="str">
        <f t="shared" ca="1" si="46"/>
        <v>Non UDO</v>
      </c>
    </row>
    <row r="2702" spans="1:10" x14ac:dyDescent="0.35">
      <c r="A2702" s="5" t="s">
        <v>86</v>
      </c>
      <c r="B2702" s="6">
        <v>45017</v>
      </c>
      <c r="C2702" s="7">
        <v>586000</v>
      </c>
      <c r="D2702" s="7">
        <v>377000</v>
      </c>
      <c r="E2702" s="7">
        <v>209000</v>
      </c>
      <c r="F2702" t="str">
        <f>VLOOKUP(A2702,[1]!Table1[#All],17,FALSE)</f>
        <v>VIETNAM</v>
      </c>
      <c r="G2702" t="str">
        <f>VLOOKUP(A2702,[1]!Table1[#All],22,FALSE)</f>
        <v>General Dept of Preventive Medicine, Ministry of H</v>
      </c>
      <c r="H2702" s="8">
        <f>VLOOKUP(A2702,[1]!Table1[#All],32,FALSE)</f>
        <v>44104</v>
      </c>
      <c r="I2702" s="8">
        <f>VLOOKUP(A2702,[1]!Table1[#All],33,FALSE)</f>
        <v>45929</v>
      </c>
      <c r="J2702" t="str">
        <f t="shared" ca="1" si="46"/>
        <v>Non UDO</v>
      </c>
    </row>
    <row r="2703" spans="1:10" x14ac:dyDescent="0.35">
      <c r="A2703" s="9" t="s">
        <v>86</v>
      </c>
      <c r="B2703" s="10">
        <v>45047</v>
      </c>
      <c r="C2703" s="11">
        <v>586000</v>
      </c>
      <c r="D2703" s="11">
        <v>392000</v>
      </c>
      <c r="E2703" s="11">
        <v>194000</v>
      </c>
      <c r="F2703" t="str">
        <f>VLOOKUP(A2703,[1]!Table1[#All],17,FALSE)</f>
        <v>VIETNAM</v>
      </c>
      <c r="G2703" t="str">
        <f>VLOOKUP(A2703,[1]!Table1[#All],22,FALSE)</f>
        <v>General Dept of Preventive Medicine, Ministry of H</v>
      </c>
      <c r="H2703" s="8">
        <f>VLOOKUP(A2703,[1]!Table1[#All],32,FALSE)</f>
        <v>44104</v>
      </c>
      <c r="I2703" s="8">
        <f>VLOOKUP(A2703,[1]!Table1[#All],33,FALSE)</f>
        <v>45929</v>
      </c>
      <c r="J2703" t="str">
        <f t="shared" ca="1" si="46"/>
        <v>Non UDO</v>
      </c>
    </row>
    <row r="2704" spans="1:10" x14ac:dyDescent="0.35">
      <c r="A2704" s="5" t="s">
        <v>86</v>
      </c>
      <c r="B2704" s="6">
        <v>45078</v>
      </c>
      <c r="C2704" s="7">
        <v>586000</v>
      </c>
      <c r="D2704" s="7">
        <v>392000</v>
      </c>
      <c r="E2704" s="7">
        <v>194000</v>
      </c>
      <c r="F2704" t="str">
        <f>VLOOKUP(A2704,[1]!Table1[#All],17,FALSE)</f>
        <v>VIETNAM</v>
      </c>
      <c r="G2704" t="str">
        <f>VLOOKUP(A2704,[1]!Table1[#All],22,FALSE)</f>
        <v>General Dept of Preventive Medicine, Ministry of H</v>
      </c>
      <c r="H2704" s="8">
        <f>VLOOKUP(A2704,[1]!Table1[#All],32,FALSE)</f>
        <v>44104</v>
      </c>
      <c r="I2704" s="8">
        <f>VLOOKUP(A2704,[1]!Table1[#All],33,FALSE)</f>
        <v>45929</v>
      </c>
      <c r="J2704" t="str">
        <f t="shared" ca="1" si="46"/>
        <v>Non UDO</v>
      </c>
    </row>
    <row r="2705" spans="1:10" x14ac:dyDescent="0.35">
      <c r="A2705" s="9" t="s">
        <v>86</v>
      </c>
      <c r="B2705" s="10">
        <v>45108</v>
      </c>
      <c r="C2705" s="11">
        <v>586000</v>
      </c>
      <c r="D2705" s="11">
        <v>402000</v>
      </c>
      <c r="E2705" s="11">
        <v>184000</v>
      </c>
      <c r="F2705" t="str">
        <f>VLOOKUP(A2705,[1]!Table1[#All],17,FALSE)</f>
        <v>VIETNAM</v>
      </c>
      <c r="G2705" t="str">
        <f>VLOOKUP(A2705,[1]!Table1[#All],22,FALSE)</f>
        <v>General Dept of Preventive Medicine, Ministry of H</v>
      </c>
      <c r="H2705" s="8">
        <f>VLOOKUP(A2705,[1]!Table1[#All],32,FALSE)</f>
        <v>44104</v>
      </c>
      <c r="I2705" s="8">
        <f>VLOOKUP(A2705,[1]!Table1[#All],33,FALSE)</f>
        <v>45929</v>
      </c>
      <c r="J2705" t="str">
        <f t="shared" ca="1" si="46"/>
        <v>Non UDO</v>
      </c>
    </row>
    <row r="2706" spans="1:10" x14ac:dyDescent="0.35">
      <c r="A2706" s="5" t="s">
        <v>86</v>
      </c>
      <c r="B2706" s="6">
        <v>45139</v>
      </c>
      <c r="C2706" s="7">
        <v>586000</v>
      </c>
      <c r="D2706" s="7">
        <v>437000</v>
      </c>
      <c r="E2706" s="7">
        <v>149000</v>
      </c>
      <c r="F2706" t="str">
        <f>VLOOKUP(A2706,[1]!Table1[#All],17,FALSE)</f>
        <v>VIETNAM</v>
      </c>
      <c r="G2706" t="str">
        <f>VLOOKUP(A2706,[1]!Table1[#All],22,FALSE)</f>
        <v>General Dept of Preventive Medicine, Ministry of H</v>
      </c>
      <c r="H2706" s="8">
        <f>VLOOKUP(A2706,[1]!Table1[#All],32,FALSE)</f>
        <v>44104</v>
      </c>
      <c r="I2706" s="8">
        <f>VLOOKUP(A2706,[1]!Table1[#All],33,FALSE)</f>
        <v>45929</v>
      </c>
      <c r="J2706" t="str">
        <f t="shared" ca="1" si="46"/>
        <v>Non UDO</v>
      </c>
    </row>
    <row r="2707" spans="1:10" x14ac:dyDescent="0.35">
      <c r="A2707" s="9" t="s">
        <v>86</v>
      </c>
      <c r="B2707" s="10">
        <v>45170</v>
      </c>
      <c r="C2707" s="11">
        <v>586000</v>
      </c>
      <c r="D2707" s="11">
        <v>437000</v>
      </c>
      <c r="E2707" s="11">
        <v>149000</v>
      </c>
      <c r="F2707" t="str">
        <f>VLOOKUP(A2707,[1]!Table1[#All],17,FALSE)</f>
        <v>VIETNAM</v>
      </c>
      <c r="G2707" t="str">
        <f>VLOOKUP(A2707,[1]!Table1[#All],22,FALSE)</f>
        <v>General Dept of Preventive Medicine, Ministry of H</v>
      </c>
      <c r="H2707" s="8">
        <f>VLOOKUP(A2707,[1]!Table1[#All],32,FALSE)</f>
        <v>44104</v>
      </c>
      <c r="I2707" s="8">
        <f>VLOOKUP(A2707,[1]!Table1[#All],33,FALSE)</f>
        <v>45929</v>
      </c>
      <c r="J2707" t="str">
        <f t="shared" ca="1" si="46"/>
        <v>Non UDO</v>
      </c>
    </row>
    <row r="2708" spans="1:10" x14ac:dyDescent="0.35">
      <c r="A2708" s="5" t="s">
        <v>87</v>
      </c>
      <c r="B2708" s="6">
        <v>44105</v>
      </c>
      <c r="C2708" s="7">
        <v>2079500</v>
      </c>
      <c r="D2708" s="7">
        <v>0</v>
      </c>
      <c r="E2708" s="7">
        <v>2079500</v>
      </c>
      <c r="F2708" t="str">
        <f>VLOOKUP(A2708,[1]!Table1[#All],17,FALSE)</f>
        <v>UKRAINE</v>
      </c>
      <c r="G2708" t="str">
        <f>VLOOKUP(A2708,[1]!Table1[#All],22,FALSE)</f>
        <v>Public Health Center of the Ministry of Health of</v>
      </c>
      <c r="H2708" s="8">
        <f>VLOOKUP(A2708,[1]!Table1[#All],32,FALSE)</f>
        <v>44104</v>
      </c>
      <c r="I2708" s="8">
        <f>VLOOKUP(A2708,[1]!Table1[#All],33,FALSE)</f>
        <v>45929</v>
      </c>
      <c r="J2708" t="str">
        <f t="shared" ca="1" si="46"/>
        <v>Non UDO</v>
      </c>
    </row>
    <row r="2709" spans="1:10" x14ac:dyDescent="0.35">
      <c r="A2709" s="9" t="s">
        <v>87</v>
      </c>
      <c r="B2709" s="10">
        <v>44136</v>
      </c>
      <c r="C2709" s="11">
        <v>2079500</v>
      </c>
      <c r="D2709" s="11">
        <v>0</v>
      </c>
      <c r="E2709" s="11">
        <v>2079500</v>
      </c>
      <c r="F2709" t="str">
        <f>VLOOKUP(A2709,[1]!Table1[#All],17,FALSE)</f>
        <v>UKRAINE</v>
      </c>
      <c r="G2709" t="str">
        <f>VLOOKUP(A2709,[1]!Table1[#All],22,FALSE)</f>
        <v>Public Health Center of the Ministry of Health of</v>
      </c>
      <c r="H2709" s="8">
        <f>VLOOKUP(A2709,[1]!Table1[#All],32,FALSE)</f>
        <v>44104</v>
      </c>
      <c r="I2709" s="8">
        <f>VLOOKUP(A2709,[1]!Table1[#All],33,FALSE)</f>
        <v>45929</v>
      </c>
      <c r="J2709" t="str">
        <f t="shared" ca="1" si="46"/>
        <v>Non UDO</v>
      </c>
    </row>
    <row r="2710" spans="1:10" x14ac:dyDescent="0.35">
      <c r="A2710" s="5" t="s">
        <v>87</v>
      </c>
      <c r="B2710" s="6">
        <v>44166</v>
      </c>
      <c r="C2710" s="7">
        <v>2079500</v>
      </c>
      <c r="D2710" s="7">
        <v>60000</v>
      </c>
      <c r="E2710" s="7">
        <v>2019500</v>
      </c>
      <c r="F2710" t="str">
        <f>VLOOKUP(A2710,[1]!Table1[#All],17,FALSE)</f>
        <v>UKRAINE</v>
      </c>
      <c r="G2710" t="str">
        <f>VLOOKUP(A2710,[1]!Table1[#All],22,FALSE)</f>
        <v>Public Health Center of the Ministry of Health of</v>
      </c>
      <c r="H2710" s="8">
        <f>VLOOKUP(A2710,[1]!Table1[#All],32,FALSE)</f>
        <v>44104</v>
      </c>
      <c r="I2710" s="8">
        <f>VLOOKUP(A2710,[1]!Table1[#All],33,FALSE)</f>
        <v>45929</v>
      </c>
      <c r="J2710" t="str">
        <f t="shared" ca="1" si="46"/>
        <v>Non UDO</v>
      </c>
    </row>
    <row r="2711" spans="1:10" x14ac:dyDescent="0.35">
      <c r="A2711" s="9" t="s">
        <v>87</v>
      </c>
      <c r="B2711" s="10">
        <v>44197</v>
      </c>
      <c r="C2711" s="11">
        <v>2079500</v>
      </c>
      <c r="D2711" s="11">
        <v>165000</v>
      </c>
      <c r="E2711" s="11">
        <v>1914500</v>
      </c>
      <c r="F2711" t="str">
        <f>VLOOKUP(A2711,[1]!Table1[#All],17,FALSE)</f>
        <v>UKRAINE</v>
      </c>
      <c r="G2711" t="str">
        <f>VLOOKUP(A2711,[1]!Table1[#All],22,FALSE)</f>
        <v>Public Health Center of the Ministry of Health of</v>
      </c>
      <c r="H2711" s="8">
        <f>VLOOKUP(A2711,[1]!Table1[#All],32,FALSE)</f>
        <v>44104</v>
      </c>
      <c r="I2711" s="8">
        <f>VLOOKUP(A2711,[1]!Table1[#All],33,FALSE)</f>
        <v>45929</v>
      </c>
      <c r="J2711" t="str">
        <f t="shared" ca="1" si="46"/>
        <v>Non UDO</v>
      </c>
    </row>
    <row r="2712" spans="1:10" x14ac:dyDescent="0.35">
      <c r="A2712" s="5" t="s">
        <v>87</v>
      </c>
      <c r="B2712" s="6">
        <v>44228</v>
      </c>
      <c r="C2712" s="7">
        <v>2079500</v>
      </c>
      <c r="D2712" s="7">
        <v>708000</v>
      </c>
      <c r="E2712" s="7">
        <v>1371500</v>
      </c>
      <c r="F2712" t="str">
        <f>VLOOKUP(A2712,[1]!Table1[#All],17,FALSE)</f>
        <v>UKRAINE</v>
      </c>
      <c r="G2712" t="str">
        <f>VLOOKUP(A2712,[1]!Table1[#All],22,FALSE)</f>
        <v>Public Health Center of the Ministry of Health of</v>
      </c>
      <c r="H2712" s="8">
        <f>VLOOKUP(A2712,[1]!Table1[#All],32,FALSE)</f>
        <v>44104</v>
      </c>
      <c r="I2712" s="8">
        <f>VLOOKUP(A2712,[1]!Table1[#All],33,FALSE)</f>
        <v>45929</v>
      </c>
      <c r="J2712" t="str">
        <f t="shared" ca="1" si="46"/>
        <v>Non UDO</v>
      </c>
    </row>
    <row r="2713" spans="1:10" x14ac:dyDescent="0.35">
      <c r="A2713" s="9" t="s">
        <v>87</v>
      </c>
      <c r="B2713" s="10">
        <v>44256</v>
      </c>
      <c r="C2713" s="11">
        <v>2079500</v>
      </c>
      <c r="D2713" s="11">
        <v>708000</v>
      </c>
      <c r="E2713" s="11">
        <v>1371500</v>
      </c>
      <c r="F2713" t="str">
        <f>VLOOKUP(A2713,[1]!Table1[#All],17,FALSE)</f>
        <v>UKRAINE</v>
      </c>
      <c r="G2713" t="str">
        <f>VLOOKUP(A2713,[1]!Table1[#All],22,FALSE)</f>
        <v>Public Health Center of the Ministry of Health of</v>
      </c>
      <c r="H2713" s="8">
        <f>VLOOKUP(A2713,[1]!Table1[#All],32,FALSE)</f>
        <v>44104</v>
      </c>
      <c r="I2713" s="8">
        <f>VLOOKUP(A2713,[1]!Table1[#All],33,FALSE)</f>
        <v>45929</v>
      </c>
      <c r="J2713" t="str">
        <f t="shared" ca="1" si="46"/>
        <v>Non UDO</v>
      </c>
    </row>
    <row r="2714" spans="1:10" x14ac:dyDescent="0.35">
      <c r="A2714" s="5" t="s">
        <v>87</v>
      </c>
      <c r="B2714" s="6">
        <v>44287</v>
      </c>
      <c r="C2714" s="7">
        <v>2079500</v>
      </c>
      <c r="D2714" s="7">
        <v>1158000</v>
      </c>
      <c r="E2714" s="7">
        <v>921500</v>
      </c>
      <c r="F2714" t="str">
        <f>VLOOKUP(A2714,[1]!Table1[#All],17,FALSE)</f>
        <v>UKRAINE</v>
      </c>
      <c r="G2714" t="str">
        <f>VLOOKUP(A2714,[1]!Table1[#All],22,FALSE)</f>
        <v>Public Health Center of the Ministry of Health of</v>
      </c>
      <c r="H2714" s="8">
        <f>VLOOKUP(A2714,[1]!Table1[#All],32,FALSE)</f>
        <v>44104</v>
      </c>
      <c r="I2714" s="8">
        <f>VLOOKUP(A2714,[1]!Table1[#All],33,FALSE)</f>
        <v>45929</v>
      </c>
      <c r="J2714" t="str">
        <f t="shared" ca="1" si="46"/>
        <v>Non UDO</v>
      </c>
    </row>
    <row r="2715" spans="1:10" x14ac:dyDescent="0.35">
      <c r="A2715" s="9" t="s">
        <v>87</v>
      </c>
      <c r="B2715" s="10">
        <v>44317</v>
      </c>
      <c r="C2715" s="11">
        <v>2079500</v>
      </c>
      <c r="D2715" s="11">
        <v>1178000</v>
      </c>
      <c r="E2715" s="11">
        <v>901500</v>
      </c>
      <c r="F2715" t="str">
        <f>VLOOKUP(A2715,[1]!Table1[#All],17,FALSE)</f>
        <v>UKRAINE</v>
      </c>
      <c r="G2715" t="str">
        <f>VLOOKUP(A2715,[1]!Table1[#All],22,FALSE)</f>
        <v>Public Health Center of the Ministry of Health of</v>
      </c>
      <c r="H2715" s="8">
        <f>VLOOKUP(A2715,[1]!Table1[#All],32,FALSE)</f>
        <v>44104</v>
      </c>
      <c r="I2715" s="8">
        <f>VLOOKUP(A2715,[1]!Table1[#All],33,FALSE)</f>
        <v>45929</v>
      </c>
      <c r="J2715" t="str">
        <f t="shared" ca="1" si="46"/>
        <v>Non UDO</v>
      </c>
    </row>
    <row r="2716" spans="1:10" x14ac:dyDescent="0.35">
      <c r="A2716" s="5" t="s">
        <v>87</v>
      </c>
      <c r="B2716" s="6">
        <v>44348</v>
      </c>
      <c r="C2716" s="7">
        <v>2079500</v>
      </c>
      <c r="D2716" s="7">
        <v>1203000</v>
      </c>
      <c r="E2716" s="7">
        <v>876500</v>
      </c>
      <c r="F2716" t="str">
        <f>VLOOKUP(A2716,[1]!Table1[#All],17,FALSE)</f>
        <v>UKRAINE</v>
      </c>
      <c r="G2716" t="str">
        <f>VLOOKUP(A2716,[1]!Table1[#All],22,FALSE)</f>
        <v>Public Health Center of the Ministry of Health of</v>
      </c>
      <c r="H2716" s="8">
        <f>VLOOKUP(A2716,[1]!Table1[#All],32,FALSE)</f>
        <v>44104</v>
      </c>
      <c r="I2716" s="8">
        <f>VLOOKUP(A2716,[1]!Table1[#All],33,FALSE)</f>
        <v>45929</v>
      </c>
      <c r="J2716" t="str">
        <f t="shared" ca="1" si="46"/>
        <v>Non UDO</v>
      </c>
    </row>
    <row r="2717" spans="1:10" x14ac:dyDescent="0.35">
      <c r="A2717" s="9" t="s">
        <v>87</v>
      </c>
      <c r="B2717" s="10">
        <v>44378</v>
      </c>
      <c r="C2717" s="11">
        <v>2079500</v>
      </c>
      <c r="D2717" s="11">
        <v>1503000</v>
      </c>
      <c r="E2717" s="11">
        <v>576500</v>
      </c>
      <c r="F2717" t="str">
        <f>VLOOKUP(A2717,[1]!Table1[#All],17,FALSE)</f>
        <v>UKRAINE</v>
      </c>
      <c r="G2717" t="str">
        <f>VLOOKUP(A2717,[1]!Table1[#All],22,FALSE)</f>
        <v>Public Health Center of the Ministry of Health of</v>
      </c>
      <c r="H2717" s="8">
        <f>VLOOKUP(A2717,[1]!Table1[#All],32,FALSE)</f>
        <v>44104</v>
      </c>
      <c r="I2717" s="8">
        <f>VLOOKUP(A2717,[1]!Table1[#All],33,FALSE)</f>
        <v>45929</v>
      </c>
      <c r="J2717" t="str">
        <f t="shared" ca="1" si="46"/>
        <v>Non UDO</v>
      </c>
    </row>
    <row r="2718" spans="1:10" x14ac:dyDescent="0.35">
      <c r="A2718" s="5" t="s">
        <v>87</v>
      </c>
      <c r="B2718" s="6">
        <v>44409</v>
      </c>
      <c r="C2718" s="7">
        <v>2079500</v>
      </c>
      <c r="D2718" s="7">
        <v>1688000</v>
      </c>
      <c r="E2718" s="7">
        <v>391500</v>
      </c>
      <c r="F2718" t="str">
        <f>VLOOKUP(A2718,[1]!Table1[#All],17,FALSE)</f>
        <v>UKRAINE</v>
      </c>
      <c r="G2718" t="str">
        <f>VLOOKUP(A2718,[1]!Table1[#All],22,FALSE)</f>
        <v>Public Health Center of the Ministry of Health of</v>
      </c>
      <c r="H2718" s="8">
        <f>VLOOKUP(A2718,[1]!Table1[#All],32,FALSE)</f>
        <v>44104</v>
      </c>
      <c r="I2718" s="8">
        <f>VLOOKUP(A2718,[1]!Table1[#All],33,FALSE)</f>
        <v>45929</v>
      </c>
      <c r="J2718" t="str">
        <f t="shared" ca="1" si="46"/>
        <v>Non UDO</v>
      </c>
    </row>
    <row r="2719" spans="1:10" x14ac:dyDescent="0.35">
      <c r="A2719" s="9" t="s">
        <v>87</v>
      </c>
      <c r="B2719" s="10">
        <v>44440</v>
      </c>
      <c r="C2719" s="11">
        <v>2079500</v>
      </c>
      <c r="D2719" s="11">
        <v>1853000</v>
      </c>
      <c r="E2719" s="11">
        <v>226500</v>
      </c>
      <c r="F2719" t="str">
        <f>VLOOKUP(A2719,[1]!Table1[#All],17,FALSE)</f>
        <v>UKRAINE</v>
      </c>
      <c r="G2719" t="str">
        <f>VLOOKUP(A2719,[1]!Table1[#All],22,FALSE)</f>
        <v>Public Health Center of the Ministry of Health of</v>
      </c>
      <c r="H2719" s="8">
        <f>VLOOKUP(A2719,[1]!Table1[#All],32,FALSE)</f>
        <v>44104</v>
      </c>
      <c r="I2719" s="8">
        <f>VLOOKUP(A2719,[1]!Table1[#All],33,FALSE)</f>
        <v>45929</v>
      </c>
      <c r="J2719" t="str">
        <f t="shared" ca="1" si="46"/>
        <v>Non UDO</v>
      </c>
    </row>
    <row r="2720" spans="1:10" x14ac:dyDescent="0.35">
      <c r="A2720" s="5" t="s">
        <v>87</v>
      </c>
      <c r="B2720" s="6">
        <v>44470</v>
      </c>
      <c r="C2720" s="7">
        <v>2079500</v>
      </c>
      <c r="D2720" s="7">
        <v>1853000</v>
      </c>
      <c r="E2720" s="7">
        <v>226500</v>
      </c>
      <c r="F2720" t="str">
        <f>VLOOKUP(A2720,[1]!Table1[#All],17,FALSE)</f>
        <v>UKRAINE</v>
      </c>
      <c r="G2720" t="str">
        <f>VLOOKUP(A2720,[1]!Table1[#All],22,FALSE)</f>
        <v>Public Health Center of the Ministry of Health of</v>
      </c>
      <c r="H2720" s="8">
        <f>VLOOKUP(A2720,[1]!Table1[#All],32,FALSE)</f>
        <v>44104</v>
      </c>
      <c r="I2720" s="8">
        <f>VLOOKUP(A2720,[1]!Table1[#All],33,FALSE)</f>
        <v>45929</v>
      </c>
      <c r="J2720" t="str">
        <f t="shared" ca="1" si="46"/>
        <v>Non UDO</v>
      </c>
    </row>
    <row r="2721" spans="1:10" x14ac:dyDescent="0.35">
      <c r="A2721" s="9" t="s">
        <v>87</v>
      </c>
      <c r="B2721" s="10">
        <v>44501</v>
      </c>
      <c r="C2721" s="11">
        <v>2079500</v>
      </c>
      <c r="D2721" s="11">
        <v>1853000</v>
      </c>
      <c r="E2721" s="11">
        <v>226500</v>
      </c>
      <c r="F2721" t="str">
        <f>VLOOKUP(A2721,[1]!Table1[#All],17,FALSE)</f>
        <v>UKRAINE</v>
      </c>
      <c r="G2721" t="str">
        <f>VLOOKUP(A2721,[1]!Table1[#All],22,FALSE)</f>
        <v>Public Health Center of the Ministry of Health of</v>
      </c>
      <c r="H2721" s="8">
        <f>VLOOKUP(A2721,[1]!Table1[#All],32,FALSE)</f>
        <v>44104</v>
      </c>
      <c r="I2721" s="8">
        <f>VLOOKUP(A2721,[1]!Table1[#All],33,FALSE)</f>
        <v>45929</v>
      </c>
      <c r="J2721" t="str">
        <f t="shared" ca="1" si="46"/>
        <v>Non UDO</v>
      </c>
    </row>
    <row r="2722" spans="1:10" x14ac:dyDescent="0.35">
      <c r="A2722" s="5" t="s">
        <v>87</v>
      </c>
      <c r="B2722" s="6">
        <v>44531</v>
      </c>
      <c r="C2722" s="7">
        <v>2079500</v>
      </c>
      <c r="D2722" s="7">
        <v>1853000</v>
      </c>
      <c r="E2722" s="7">
        <v>226500</v>
      </c>
      <c r="F2722" t="str">
        <f>VLOOKUP(A2722,[1]!Table1[#All],17,FALSE)</f>
        <v>UKRAINE</v>
      </c>
      <c r="G2722" t="str">
        <f>VLOOKUP(A2722,[1]!Table1[#All],22,FALSE)</f>
        <v>Public Health Center of the Ministry of Health of</v>
      </c>
      <c r="H2722" s="8">
        <f>VLOOKUP(A2722,[1]!Table1[#All],32,FALSE)</f>
        <v>44104</v>
      </c>
      <c r="I2722" s="8">
        <f>VLOOKUP(A2722,[1]!Table1[#All],33,FALSE)</f>
        <v>45929</v>
      </c>
      <c r="J2722" t="str">
        <f t="shared" ca="1" si="46"/>
        <v>Non UDO</v>
      </c>
    </row>
    <row r="2723" spans="1:10" x14ac:dyDescent="0.35">
      <c r="A2723" s="9" t="s">
        <v>87</v>
      </c>
      <c r="B2723" s="10">
        <v>44562</v>
      </c>
      <c r="C2723" s="11">
        <v>2079500</v>
      </c>
      <c r="D2723" s="11">
        <v>1865000</v>
      </c>
      <c r="E2723" s="11">
        <v>214500</v>
      </c>
      <c r="F2723" t="str">
        <f>VLOOKUP(A2723,[1]!Table1[#All],17,FALSE)</f>
        <v>UKRAINE</v>
      </c>
      <c r="G2723" t="str">
        <f>VLOOKUP(A2723,[1]!Table1[#All],22,FALSE)</f>
        <v>Public Health Center of the Ministry of Health of</v>
      </c>
      <c r="H2723" s="8">
        <f>VLOOKUP(A2723,[1]!Table1[#All],32,FALSE)</f>
        <v>44104</v>
      </c>
      <c r="I2723" s="8">
        <f>VLOOKUP(A2723,[1]!Table1[#All],33,FALSE)</f>
        <v>45929</v>
      </c>
      <c r="J2723" t="str">
        <f t="shared" ca="1" si="46"/>
        <v>Non UDO</v>
      </c>
    </row>
    <row r="2724" spans="1:10" x14ac:dyDescent="0.35">
      <c r="A2724" s="5" t="s">
        <v>87</v>
      </c>
      <c r="B2724" s="6">
        <v>44593</v>
      </c>
      <c r="C2724" s="7">
        <v>2079500</v>
      </c>
      <c r="D2724" s="7">
        <v>1865000</v>
      </c>
      <c r="E2724" s="7">
        <v>214500</v>
      </c>
      <c r="F2724" t="str">
        <f>VLOOKUP(A2724,[1]!Table1[#All],17,FALSE)</f>
        <v>UKRAINE</v>
      </c>
      <c r="G2724" t="str">
        <f>VLOOKUP(A2724,[1]!Table1[#All],22,FALSE)</f>
        <v>Public Health Center of the Ministry of Health of</v>
      </c>
      <c r="H2724" s="8">
        <f>VLOOKUP(A2724,[1]!Table1[#All],32,FALSE)</f>
        <v>44104</v>
      </c>
      <c r="I2724" s="8">
        <f>VLOOKUP(A2724,[1]!Table1[#All],33,FALSE)</f>
        <v>45929</v>
      </c>
      <c r="J2724" t="str">
        <f t="shared" ca="1" si="46"/>
        <v>Non UDO</v>
      </c>
    </row>
    <row r="2725" spans="1:10" x14ac:dyDescent="0.35">
      <c r="A2725" s="9" t="s">
        <v>87</v>
      </c>
      <c r="B2725" s="10">
        <v>44621</v>
      </c>
      <c r="C2725" s="11">
        <v>2079500</v>
      </c>
      <c r="D2725" s="11">
        <v>1865000</v>
      </c>
      <c r="E2725" s="11">
        <v>214500</v>
      </c>
      <c r="F2725" t="str">
        <f>VLOOKUP(A2725,[1]!Table1[#All],17,FALSE)</f>
        <v>UKRAINE</v>
      </c>
      <c r="G2725" t="str">
        <f>VLOOKUP(A2725,[1]!Table1[#All],22,FALSE)</f>
        <v>Public Health Center of the Ministry of Health of</v>
      </c>
      <c r="H2725" s="8">
        <f>VLOOKUP(A2725,[1]!Table1[#All],32,FALSE)</f>
        <v>44104</v>
      </c>
      <c r="I2725" s="8">
        <f>VLOOKUP(A2725,[1]!Table1[#All],33,FALSE)</f>
        <v>45929</v>
      </c>
      <c r="J2725" t="str">
        <f t="shared" ca="1" si="46"/>
        <v>Non UDO</v>
      </c>
    </row>
    <row r="2726" spans="1:10" x14ac:dyDescent="0.35">
      <c r="A2726" s="5" t="s">
        <v>87</v>
      </c>
      <c r="B2726" s="6">
        <v>44652</v>
      </c>
      <c r="C2726" s="7">
        <v>2079500</v>
      </c>
      <c r="D2726" s="7">
        <v>1865000</v>
      </c>
      <c r="E2726" s="7">
        <v>214500</v>
      </c>
      <c r="F2726" t="str">
        <f>VLOOKUP(A2726,[1]!Table1[#All],17,FALSE)</f>
        <v>UKRAINE</v>
      </c>
      <c r="G2726" t="str">
        <f>VLOOKUP(A2726,[1]!Table1[#All],22,FALSE)</f>
        <v>Public Health Center of the Ministry of Health of</v>
      </c>
      <c r="H2726" s="8">
        <f>VLOOKUP(A2726,[1]!Table1[#All],32,FALSE)</f>
        <v>44104</v>
      </c>
      <c r="I2726" s="8">
        <f>VLOOKUP(A2726,[1]!Table1[#All],33,FALSE)</f>
        <v>45929</v>
      </c>
      <c r="J2726" t="str">
        <f t="shared" ca="1" si="46"/>
        <v>Non UDO</v>
      </c>
    </row>
    <row r="2727" spans="1:10" x14ac:dyDescent="0.35">
      <c r="A2727" s="9" t="s">
        <v>87</v>
      </c>
      <c r="B2727" s="10">
        <v>44682</v>
      </c>
      <c r="C2727" s="11">
        <v>2079500</v>
      </c>
      <c r="D2727" s="11">
        <v>1865000</v>
      </c>
      <c r="E2727" s="11">
        <v>214500</v>
      </c>
      <c r="F2727" t="str">
        <f>VLOOKUP(A2727,[1]!Table1[#All],17,FALSE)</f>
        <v>UKRAINE</v>
      </c>
      <c r="G2727" t="str">
        <f>VLOOKUP(A2727,[1]!Table1[#All],22,FALSE)</f>
        <v>Public Health Center of the Ministry of Health of</v>
      </c>
      <c r="H2727" s="8">
        <f>VLOOKUP(A2727,[1]!Table1[#All],32,FALSE)</f>
        <v>44104</v>
      </c>
      <c r="I2727" s="8">
        <f>VLOOKUP(A2727,[1]!Table1[#All],33,FALSE)</f>
        <v>45929</v>
      </c>
      <c r="J2727" t="str">
        <f t="shared" ca="1" si="46"/>
        <v>Non UDO</v>
      </c>
    </row>
    <row r="2728" spans="1:10" x14ac:dyDescent="0.35">
      <c r="A2728" s="5" t="s">
        <v>87</v>
      </c>
      <c r="B2728" s="6">
        <v>44713</v>
      </c>
      <c r="C2728" s="7">
        <v>2079500</v>
      </c>
      <c r="D2728" s="7">
        <v>1865000</v>
      </c>
      <c r="E2728" s="7">
        <v>214500</v>
      </c>
      <c r="F2728" t="str">
        <f>VLOOKUP(A2728,[1]!Table1[#All],17,FALSE)</f>
        <v>UKRAINE</v>
      </c>
      <c r="G2728" t="str">
        <f>VLOOKUP(A2728,[1]!Table1[#All],22,FALSE)</f>
        <v>Public Health Center of the Ministry of Health of</v>
      </c>
      <c r="H2728" s="8">
        <f>VLOOKUP(A2728,[1]!Table1[#All],32,FALSE)</f>
        <v>44104</v>
      </c>
      <c r="I2728" s="8">
        <f>VLOOKUP(A2728,[1]!Table1[#All],33,FALSE)</f>
        <v>45929</v>
      </c>
      <c r="J2728" t="str">
        <f t="shared" ca="1" si="46"/>
        <v>Non UDO</v>
      </c>
    </row>
    <row r="2729" spans="1:10" x14ac:dyDescent="0.35">
      <c r="A2729" s="9" t="s">
        <v>87</v>
      </c>
      <c r="B2729" s="10">
        <v>44743</v>
      </c>
      <c r="C2729" s="11">
        <v>2079500</v>
      </c>
      <c r="D2729" s="11">
        <v>1865000</v>
      </c>
      <c r="E2729" s="11">
        <v>214500</v>
      </c>
      <c r="F2729" t="str">
        <f>VLOOKUP(A2729,[1]!Table1[#All],17,FALSE)</f>
        <v>UKRAINE</v>
      </c>
      <c r="G2729" t="str">
        <f>VLOOKUP(A2729,[1]!Table1[#All],22,FALSE)</f>
        <v>Public Health Center of the Ministry of Health of</v>
      </c>
      <c r="H2729" s="8">
        <f>VLOOKUP(A2729,[1]!Table1[#All],32,FALSE)</f>
        <v>44104</v>
      </c>
      <c r="I2729" s="8">
        <f>VLOOKUP(A2729,[1]!Table1[#All],33,FALSE)</f>
        <v>45929</v>
      </c>
      <c r="J2729" t="str">
        <f t="shared" ca="1" si="46"/>
        <v>Non UDO</v>
      </c>
    </row>
    <row r="2730" spans="1:10" x14ac:dyDescent="0.35">
      <c r="A2730" s="5" t="s">
        <v>87</v>
      </c>
      <c r="B2730" s="6">
        <v>44774</v>
      </c>
      <c r="C2730" s="7">
        <v>2079500</v>
      </c>
      <c r="D2730" s="7">
        <v>1865000</v>
      </c>
      <c r="E2730" s="7">
        <v>214500</v>
      </c>
      <c r="F2730" t="str">
        <f>VLOOKUP(A2730,[1]!Table1[#All],17,FALSE)</f>
        <v>UKRAINE</v>
      </c>
      <c r="G2730" t="str">
        <f>VLOOKUP(A2730,[1]!Table1[#All],22,FALSE)</f>
        <v>Public Health Center of the Ministry of Health of</v>
      </c>
      <c r="H2730" s="8">
        <f>VLOOKUP(A2730,[1]!Table1[#All],32,FALSE)</f>
        <v>44104</v>
      </c>
      <c r="I2730" s="8">
        <f>VLOOKUP(A2730,[1]!Table1[#All],33,FALSE)</f>
        <v>45929</v>
      </c>
      <c r="J2730" t="str">
        <f t="shared" ca="1" si="46"/>
        <v>Non UDO</v>
      </c>
    </row>
    <row r="2731" spans="1:10" x14ac:dyDescent="0.35">
      <c r="A2731" s="9" t="s">
        <v>87</v>
      </c>
      <c r="B2731" s="10">
        <v>44805</v>
      </c>
      <c r="C2731" s="11">
        <v>2079500</v>
      </c>
      <c r="D2731" s="11">
        <v>1865000</v>
      </c>
      <c r="E2731" s="11">
        <v>214500</v>
      </c>
      <c r="F2731" t="str">
        <f>VLOOKUP(A2731,[1]!Table1[#All],17,FALSE)</f>
        <v>UKRAINE</v>
      </c>
      <c r="G2731" t="str">
        <f>VLOOKUP(A2731,[1]!Table1[#All],22,FALSE)</f>
        <v>Public Health Center of the Ministry of Health of</v>
      </c>
      <c r="H2731" s="8">
        <f>VLOOKUP(A2731,[1]!Table1[#All],32,FALSE)</f>
        <v>44104</v>
      </c>
      <c r="I2731" s="8">
        <f>VLOOKUP(A2731,[1]!Table1[#All],33,FALSE)</f>
        <v>45929</v>
      </c>
      <c r="J2731" t="str">
        <f t="shared" ca="1" si="46"/>
        <v>Non UDO</v>
      </c>
    </row>
    <row r="2732" spans="1:10" x14ac:dyDescent="0.35">
      <c r="A2732" s="5" t="s">
        <v>87</v>
      </c>
      <c r="B2732" s="6">
        <v>44835</v>
      </c>
      <c r="C2732" s="7">
        <v>2079500</v>
      </c>
      <c r="D2732" s="7">
        <v>1865000</v>
      </c>
      <c r="E2732" s="7">
        <v>214500</v>
      </c>
      <c r="F2732" t="str">
        <f>VLOOKUP(A2732,[1]!Table1[#All],17,FALSE)</f>
        <v>UKRAINE</v>
      </c>
      <c r="G2732" t="str">
        <f>VLOOKUP(A2732,[1]!Table1[#All],22,FALSE)</f>
        <v>Public Health Center of the Ministry of Health of</v>
      </c>
      <c r="H2732" s="8">
        <f>VLOOKUP(A2732,[1]!Table1[#All],32,FALSE)</f>
        <v>44104</v>
      </c>
      <c r="I2732" s="8">
        <f>VLOOKUP(A2732,[1]!Table1[#All],33,FALSE)</f>
        <v>45929</v>
      </c>
      <c r="J2732" t="str">
        <f t="shared" ca="1" si="46"/>
        <v>Non UDO</v>
      </c>
    </row>
    <row r="2733" spans="1:10" x14ac:dyDescent="0.35">
      <c r="A2733" s="9" t="s">
        <v>87</v>
      </c>
      <c r="B2733" s="10">
        <v>44866</v>
      </c>
      <c r="C2733" s="11">
        <v>2079500</v>
      </c>
      <c r="D2733" s="11">
        <v>1865000</v>
      </c>
      <c r="E2733" s="11">
        <v>214500</v>
      </c>
      <c r="F2733" t="str">
        <f>VLOOKUP(A2733,[1]!Table1[#All],17,FALSE)</f>
        <v>UKRAINE</v>
      </c>
      <c r="G2733" t="str">
        <f>VLOOKUP(A2733,[1]!Table1[#All],22,FALSE)</f>
        <v>Public Health Center of the Ministry of Health of</v>
      </c>
      <c r="H2733" s="8">
        <f>VLOOKUP(A2733,[1]!Table1[#All],32,FALSE)</f>
        <v>44104</v>
      </c>
      <c r="I2733" s="8">
        <f>VLOOKUP(A2733,[1]!Table1[#All],33,FALSE)</f>
        <v>45929</v>
      </c>
      <c r="J2733" t="str">
        <f t="shared" ca="1" si="46"/>
        <v>Non UDO</v>
      </c>
    </row>
    <row r="2734" spans="1:10" x14ac:dyDescent="0.35">
      <c r="A2734" s="5" t="s">
        <v>87</v>
      </c>
      <c r="B2734" s="6">
        <v>44896</v>
      </c>
      <c r="C2734" s="7">
        <v>2079500</v>
      </c>
      <c r="D2734" s="7">
        <v>1865000</v>
      </c>
      <c r="E2734" s="7">
        <v>214500</v>
      </c>
      <c r="F2734" t="str">
        <f>VLOOKUP(A2734,[1]!Table1[#All],17,FALSE)</f>
        <v>UKRAINE</v>
      </c>
      <c r="G2734" t="str">
        <f>VLOOKUP(A2734,[1]!Table1[#All],22,FALSE)</f>
        <v>Public Health Center of the Ministry of Health of</v>
      </c>
      <c r="H2734" s="8">
        <f>VLOOKUP(A2734,[1]!Table1[#All],32,FALSE)</f>
        <v>44104</v>
      </c>
      <c r="I2734" s="8">
        <f>VLOOKUP(A2734,[1]!Table1[#All],33,FALSE)</f>
        <v>45929</v>
      </c>
      <c r="J2734" t="str">
        <f t="shared" ca="1" si="46"/>
        <v>Non UDO</v>
      </c>
    </row>
    <row r="2735" spans="1:10" x14ac:dyDescent="0.35">
      <c r="A2735" s="9" t="s">
        <v>87</v>
      </c>
      <c r="B2735" s="10">
        <v>44927</v>
      </c>
      <c r="C2735" s="11">
        <v>2079500</v>
      </c>
      <c r="D2735" s="11">
        <v>1865000</v>
      </c>
      <c r="E2735" s="11">
        <v>214500</v>
      </c>
      <c r="F2735" t="str">
        <f>VLOOKUP(A2735,[1]!Table1[#All],17,FALSE)</f>
        <v>UKRAINE</v>
      </c>
      <c r="G2735" t="str">
        <f>VLOOKUP(A2735,[1]!Table1[#All],22,FALSE)</f>
        <v>Public Health Center of the Ministry of Health of</v>
      </c>
      <c r="H2735" s="8">
        <f>VLOOKUP(A2735,[1]!Table1[#All],32,FALSE)</f>
        <v>44104</v>
      </c>
      <c r="I2735" s="8">
        <f>VLOOKUP(A2735,[1]!Table1[#All],33,FALSE)</f>
        <v>45929</v>
      </c>
      <c r="J2735" t="str">
        <f t="shared" ca="1" si="46"/>
        <v>Non UDO</v>
      </c>
    </row>
    <row r="2736" spans="1:10" x14ac:dyDescent="0.35">
      <c r="A2736" s="5" t="s">
        <v>87</v>
      </c>
      <c r="B2736" s="6">
        <v>44958</v>
      </c>
      <c r="C2736" s="7">
        <v>2079500</v>
      </c>
      <c r="D2736" s="7">
        <v>1865000</v>
      </c>
      <c r="E2736" s="7">
        <v>214500</v>
      </c>
      <c r="F2736" t="str">
        <f>VLOOKUP(A2736,[1]!Table1[#All],17,FALSE)</f>
        <v>UKRAINE</v>
      </c>
      <c r="G2736" t="str">
        <f>VLOOKUP(A2736,[1]!Table1[#All],22,FALSE)</f>
        <v>Public Health Center of the Ministry of Health of</v>
      </c>
      <c r="H2736" s="8">
        <f>VLOOKUP(A2736,[1]!Table1[#All],32,FALSE)</f>
        <v>44104</v>
      </c>
      <c r="I2736" s="8">
        <f>VLOOKUP(A2736,[1]!Table1[#All],33,FALSE)</f>
        <v>45929</v>
      </c>
      <c r="J2736" t="str">
        <f t="shared" ca="1" si="46"/>
        <v>Non UDO</v>
      </c>
    </row>
    <row r="2737" spans="1:10" x14ac:dyDescent="0.35">
      <c r="A2737" s="9" t="s">
        <v>87</v>
      </c>
      <c r="B2737" s="10">
        <v>44986</v>
      </c>
      <c r="C2737" s="11">
        <v>2079500</v>
      </c>
      <c r="D2737" s="11">
        <v>1865000</v>
      </c>
      <c r="E2737" s="11">
        <v>214500</v>
      </c>
      <c r="F2737" t="str">
        <f>VLOOKUP(A2737,[1]!Table1[#All],17,FALSE)</f>
        <v>UKRAINE</v>
      </c>
      <c r="G2737" t="str">
        <f>VLOOKUP(A2737,[1]!Table1[#All],22,FALSE)</f>
        <v>Public Health Center of the Ministry of Health of</v>
      </c>
      <c r="H2737" s="8">
        <f>VLOOKUP(A2737,[1]!Table1[#All],32,FALSE)</f>
        <v>44104</v>
      </c>
      <c r="I2737" s="8">
        <f>VLOOKUP(A2737,[1]!Table1[#All],33,FALSE)</f>
        <v>45929</v>
      </c>
      <c r="J2737" t="str">
        <f t="shared" ca="1" si="46"/>
        <v>Non UDO</v>
      </c>
    </row>
    <row r="2738" spans="1:10" x14ac:dyDescent="0.35">
      <c r="A2738" s="5" t="s">
        <v>87</v>
      </c>
      <c r="B2738" s="6">
        <v>45017</v>
      </c>
      <c r="C2738" s="7">
        <v>2079500</v>
      </c>
      <c r="D2738" s="7">
        <v>1865000</v>
      </c>
      <c r="E2738" s="7">
        <v>214500</v>
      </c>
      <c r="F2738" t="str">
        <f>VLOOKUP(A2738,[1]!Table1[#All],17,FALSE)</f>
        <v>UKRAINE</v>
      </c>
      <c r="G2738" t="str">
        <f>VLOOKUP(A2738,[1]!Table1[#All],22,FALSE)</f>
        <v>Public Health Center of the Ministry of Health of</v>
      </c>
      <c r="H2738" s="8">
        <f>VLOOKUP(A2738,[1]!Table1[#All],32,FALSE)</f>
        <v>44104</v>
      </c>
      <c r="I2738" s="8">
        <f>VLOOKUP(A2738,[1]!Table1[#All],33,FALSE)</f>
        <v>45929</v>
      </c>
      <c r="J2738" t="str">
        <f t="shared" ca="1" si="46"/>
        <v>Non UDO</v>
      </c>
    </row>
    <row r="2739" spans="1:10" x14ac:dyDescent="0.35">
      <c r="A2739" s="9" t="s">
        <v>87</v>
      </c>
      <c r="B2739" s="10">
        <v>45047</v>
      </c>
      <c r="C2739" s="11">
        <v>2079500</v>
      </c>
      <c r="D2739" s="11">
        <v>1965000</v>
      </c>
      <c r="E2739" s="11">
        <v>114500</v>
      </c>
      <c r="F2739" t="str">
        <f>VLOOKUP(A2739,[1]!Table1[#All],17,FALSE)</f>
        <v>UKRAINE</v>
      </c>
      <c r="G2739" t="str">
        <f>VLOOKUP(A2739,[1]!Table1[#All],22,FALSE)</f>
        <v>Public Health Center of the Ministry of Health of</v>
      </c>
      <c r="H2739" s="8">
        <f>VLOOKUP(A2739,[1]!Table1[#All],32,FALSE)</f>
        <v>44104</v>
      </c>
      <c r="I2739" s="8">
        <f>VLOOKUP(A2739,[1]!Table1[#All],33,FALSE)</f>
        <v>45929</v>
      </c>
      <c r="J2739" t="str">
        <f t="shared" ca="1" si="46"/>
        <v>Non UDO</v>
      </c>
    </row>
    <row r="2740" spans="1:10" x14ac:dyDescent="0.35">
      <c r="A2740" s="5" t="s">
        <v>87</v>
      </c>
      <c r="B2740" s="6">
        <v>45078</v>
      </c>
      <c r="C2740" s="7">
        <v>2079500</v>
      </c>
      <c r="D2740" s="7">
        <v>2015000</v>
      </c>
      <c r="E2740" s="7">
        <v>64500</v>
      </c>
      <c r="F2740" t="str">
        <f>VLOOKUP(A2740,[1]!Table1[#All],17,FALSE)</f>
        <v>UKRAINE</v>
      </c>
      <c r="G2740" t="str">
        <f>VLOOKUP(A2740,[1]!Table1[#All],22,FALSE)</f>
        <v>Public Health Center of the Ministry of Health of</v>
      </c>
      <c r="H2740" s="8">
        <f>VLOOKUP(A2740,[1]!Table1[#All],32,FALSE)</f>
        <v>44104</v>
      </c>
      <c r="I2740" s="8">
        <f>VLOOKUP(A2740,[1]!Table1[#All],33,FALSE)</f>
        <v>45929</v>
      </c>
      <c r="J2740" t="str">
        <f t="shared" ca="1" si="46"/>
        <v>Non UDO</v>
      </c>
    </row>
    <row r="2741" spans="1:10" x14ac:dyDescent="0.35">
      <c r="A2741" s="9" t="s">
        <v>87</v>
      </c>
      <c r="B2741" s="10">
        <v>45108</v>
      </c>
      <c r="C2741" s="11">
        <v>2079500</v>
      </c>
      <c r="D2741" s="11">
        <v>2015000</v>
      </c>
      <c r="E2741" s="11">
        <v>64500</v>
      </c>
      <c r="F2741" t="str">
        <f>VLOOKUP(A2741,[1]!Table1[#All],17,FALSE)</f>
        <v>UKRAINE</v>
      </c>
      <c r="G2741" t="str">
        <f>VLOOKUP(A2741,[1]!Table1[#All],22,FALSE)</f>
        <v>Public Health Center of the Ministry of Health of</v>
      </c>
      <c r="H2741" s="8">
        <f>VLOOKUP(A2741,[1]!Table1[#All],32,FALSE)</f>
        <v>44104</v>
      </c>
      <c r="I2741" s="8">
        <f>VLOOKUP(A2741,[1]!Table1[#All],33,FALSE)</f>
        <v>45929</v>
      </c>
      <c r="J2741" t="str">
        <f t="shared" ca="1" si="46"/>
        <v>Non UDO</v>
      </c>
    </row>
    <row r="2742" spans="1:10" x14ac:dyDescent="0.35">
      <c r="A2742" s="5" t="s">
        <v>87</v>
      </c>
      <c r="B2742" s="6">
        <v>45139</v>
      </c>
      <c r="C2742" s="7">
        <v>2079500</v>
      </c>
      <c r="D2742" s="7">
        <v>2015000</v>
      </c>
      <c r="E2742" s="7">
        <v>64500</v>
      </c>
      <c r="F2742" t="str">
        <f>VLOOKUP(A2742,[1]!Table1[#All],17,FALSE)</f>
        <v>UKRAINE</v>
      </c>
      <c r="G2742" t="str">
        <f>VLOOKUP(A2742,[1]!Table1[#All],22,FALSE)</f>
        <v>Public Health Center of the Ministry of Health of</v>
      </c>
      <c r="H2742" s="8">
        <f>VLOOKUP(A2742,[1]!Table1[#All],32,FALSE)</f>
        <v>44104</v>
      </c>
      <c r="I2742" s="8">
        <f>VLOOKUP(A2742,[1]!Table1[#All],33,FALSE)</f>
        <v>45929</v>
      </c>
      <c r="J2742" t="str">
        <f t="shared" ca="1" si="46"/>
        <v>Non UDO</v>
      </c>
    </row>
    <row r="2743" spans="1:10" x14ac:dyDescent="0.35">
      <c r="A2743" s="9" t="s">
        <v>87</v>
      </c>
      <c r="B2743" s="10">
        <v>45170</v>
      </c>
      <c r="C2743" s="11">
        <v>2079500</v>
      </c>
      <c r="D2743" s="11">
        <v>2015000</v>
      </c>
      <c r="E2743" s="11">
        <v>64500</v>
      </c>
      <c r="F2743" t="str">
        <f>VLOOKUP(A2743,[1]!Table1[#All],17,FALSE)</f>
        <v>UKRAINE</v>
      </c>
      <c r="G2743" t="str">
        <f>VLOOKUP(A2743,[1]!Table1[#All],22,FALSE)</f>
        <v>Public Health Center of the Ministry of Health of</v>
      </c>
      <c r="H2743" s="8">
        <f>VLOOKUP(A2743,[1]!Table1[#All],32,FALSE)</f>
        <v>44104</v>
      </c>
      <c r="I2743" s="8">
        <f>VLOOKUP(A2743,[1]!Table1[#All],33,FALSE)</f>
        <v>45929</v>
      </c>
      <c r="J2743" t="str">
        <f t="shared" ca="1" si="46"/>
        <v>Non UDO</v>
      </c>
    </row>
    <row r="2744" spans="1:10" x14ac:dyDescent="0.35">
      <c r="A2744" s="5" t="s">
        <v>88</v>
      </c>
      <c r="B2744" s="6">
        <v>44105</v>
      </c>
      <c r="C2744" s="7">
        <v>500000</v>
      </c>
      <c r="D2744" s="7">
        <v>0</v>
      </c>
      <c r="E2744" s="7">
        <v>500000</v>
      </c>
      <c r="F2744" t="str">
        <f>VLOOKUP(A2744,[1]!Table1[#All],17,FALSE)</f>
        <v>UNITED STATES</v>
      </c>
      <c r="G2744" t="str">
        <f>VLOOKUP(A2744,[1]!Table1[#All],22,FALSE)</f>
        <v>PROGRAM FOR APPROPRIATE TECHNOLOGY IN HEALTH(PATH)</v>
      </c>
      <c r="H2744" s="8">
        <f>VLOOKUP(A2744,[1]!Table1[#All],32,FALSE)</f>
        <v>44104</v>
      </c>
      <c r="I2744" s="8">
        <f>VLOOKUP(A2744,[1]!Table1[#All],33,FALSE)</f>
        <v>45929</v>
      </c>
      <c r="J2744" t="str">
        <f t="shared" ca="1" si="46"/>
        <v>Non UDO</v>
      </c>
    </row>
    <row r="2745" spans="1:10" x14ac:dyDescent="0.35">
      <c r="A2745" s="9" t="s">
        <v>88</v>
      </c>
      <c r="B2745" s="10">
        <v>44136</v>
      </c>
      <c r="C2745" s="11">
        <v>500000</v>
      </c>
      <c r="D2745" s="11">
        <v>0</v>
      </c>
      <c r="E2745" s="11">
        <v>500000</v>
      </c>
      <c r="F2745" t="str">
        <f>VLOOKUP(A2745,[1]!Table1[#All],17,FALSE)</f>
        <v>UNITED STATES</v>
      </c>
      <c r="G2745" t="str">
        <f>VLOOKUP(A2745,[1]!Table1[#All],22,FALSE)</f>
        <v>PROGRAM FOR APPROPRIATE TECHNOLOGY IN HEALTH(PATH)</v>
      </c>
      <c r="H2745" s="8">
        <f>VLOOKUP(A2745,[1]!Table1[#All],32,FALSE)</f>
        <v>44104</v>
      </c>
      <c r="I2745" s="8">
        <f>VLOOKUP(A2745,[1]!Table1[#All],33,FALSE)</f>
        <v>45929</v>
      </c>
      <c r="J2745" t="str">
        <f t="shared" ca="1" si="46"/>
        <v>Non UDO</v>
      </c>
    </row>
    <row r="2746" spans="1:10" x14ac:dyDescent="0.35">
      <c r="A2746" s="5" t="s">
        <v>88</v>
      </c>
      <c r="B2746" s="6">
        <v>44166</v>
      </c>
      <c r="C2746" s="7">
        <v>500000</v>
      </c>
      <c r="D2746" s="7">
        <v>29065.7</v>
      </c>
      <c r="E2746" s="7">
        <v>470934.3</v>
      </c>
      <c r="F2746" t="str">
        <f>VLOOKUP(A2746,[1]!Table1[#All],17,FALSE)</f>
        <v>UNITED STATES</v>
      </c>
      <c r="G2746" t="str">
        <f>VLOOKUP(A2746,[1]!Table1[#All],22,FALSE)</f>
        <v>PROGRAM FOR APPROPRIATE TECHNOLOGY IN HEALTH(PATH)</v>
      </c>
      <c r="H2746" s="8">
        <f>VLOOKUP(A2746,[1]!Table1[#All],32,FALSE)</f>
        <v>44104</v>
      </c>
      <c r="I2746" s="8">
        <f>VLOOKUP(A2746,[1]!Table1[#All],33,FALSE)</f>
        <v>45929</v>
      </c>
      <c r="J2746" t="str">
        <f t="shared" ca="1" si="46"/>
        <v>Non UDO</v>
      </c>
    </row>
    <row r="2747" spans="1:10" x14ac:dyDescent="0.35">
      <c r="A2747" s="9" t="s">
        <v>88</v>
      </c>
      <c r="B2747" s="10">
        <v>44197</v>
      </c>
      <c r="C2747" s="11">
        <v>500000</v>
      </c>
      <c r="D2747" s="11">
        <v>97985.34</v>
      </c>
      <c r="E2747" s="11">
        <v>402014.66000000003</v>
      </c>
      <c r="F2747" t="str">
        <f>VLOOKUP(A2747,[1]!Table1[#All],17,FALSE)</f>
        <v>UNITED STATES</v>
      </c>
      <c r="G2747" t="str">
        <f>VLOOKUP(A2747,[1]!Table1[#All],22,FALSE)</f>
        <v>PROGRAM FOR APPROPRIATE TECHNOLOGY IN HEALTH(PATH)</v>
      </c>
      <c r="H2747" s="8">
        <f>VLOOKUP(A2747,[1]!Table1[#All],32,FALSE)</f>
        <v>44104</v>
      </c>
      <c r="I2747" s="8">
        <f>VLOOKUP(A2747,[1]!Table1[#All],33,FALSE)</f>
        <v>45929</v>
      </c>
      <c r="J2747" t="str">
        <f t="shared" ca="1" si="46"/>
        <v>Non UDO</v>
      </c>
    </row>
    <row r="2748" spans="1:10" x14ac:dyDescent="0.35">
      <c r="A2748" s="5" t="s">
        <v>88</v>
      </c>
      <c r="B2748" s="6">
        <v>44228</v>
      </c>
      <c r="C2748" s="7">
        <v>500000</v>
      </c>
      <c r="D2748" s="7">
        <v>126872.12</v>
      </c>
      <c r="E2748" s="7">
        <v>373127.88</v>
      </c>
      <c r="F2748" t="str">
        <f>VLOOKUP(A2748,[1]!Table1[#All],17,FALSE)</f>
        <v>UNITED STATES</v>
      </c>
      <c r="G2748" t="str">
        <f>VLOOKUP(A2748,[1]!Table1[#All],22,FALSE)</f>
        <v>PROGRAM FOR APPROPRIATE TECHNOLOGY IN HEALTH(PATH)</v>
      </c>
      <c r="H2748" s="8">
        <f>VLOOKUP(A2748,[1]!Table1[#All],32,FALSE)</f>
        <v>44104</v>
      </c>
      <c r="I2748" s="8">
        <f>VLOOKUP(A2748,[1]!Table1[#All],33,FALSE)</f>
        <v>45929</v>
      </c>
      <c r="J2748" t="str">
        <f t="shared" ca="1" si="46"/>
        <v>Non UDO</v>
      </c>
    </row>
    <row r="2749" spans="1:10" x14ac:dyDescent="0.35">
      <c r="A2749" s="9" t="s">
        <v>88</v>
      </c>
      <c r="B2749" s="10">
        <v>44256</v>
      </c>
      <c r="C2749" s="11">
        <v>500000</v>
      </c>
      <c r="D2749" s="11">
        <v>126872.12</v>
      </c>
      <c r="E2749" s="11">
        <v>373127.88</v>
      </c>
      <c r="F2749" t="str">
        <f>VLOOKUP(A2749,[1]!Table1[#All],17,FALSE)</f>
        <v>UNITED STATES</v>
      </c>
      <c r="G2749" t="str">
        <f>VLOOKUP(A2749,[1]!Table1[#All],22,FALSE)</f>
        <v>PROGRAM FOR APPROPRIATE TECHNOLOGY IN HEALTH(PATH)</v>
      </c>
      <c r="H2749" s="8">
        <f>VLOOKUP(A2749,[1]!Table1[#All],32,FALSE)</f>
        <v>44104</v>
      </c>
      <c r="I2749" s="8">
        <f>VLOOKUP(A2749,[1]!Table1[#All],33,FALSE)</f>
        <v>45929</v>
      </c>
      <c r="J2749" t="str">
        <f t="shared" ca="1" si="46"/>
        <v>Non UDO</v>
      </c>
    </row>
    <row r="2750" spans="1:10" x14ac:dyDescent="0.35">
      <c r="A2750" s="5" t="s">
        <v>88</v>
      </c>
      <c r="B2750" s="6">
        <v>44287</v>
      </c>
      <c r="C2750" s="7">
        <v>200000</v>
      </c>
      <c r="D2750" s="7">
        <v>64965.919999999998</v>
      </c>
      <c r="E2750" s="7">
        <v>135034.07999999999</v>
      </c>
      <c r="F2750" t="str">
        <f>VLOOKUP(A2750,[1]!Table1[#All],17,FALSE)</f>
        <v>UNITED STATES</v>
      </c>
      <c r="G2750" t="str">
        <f>VLOOKUP(A2750,[1]!Table1[#All],22,FALSE)</f>
        <v>PROGRAM FOR APPROPRIATE TECHNOLOGY IN HEALTH(PATH)</v>
      </c>
      <c r="H2750" s="8">
        <f>VLOOKUP(A2750,[1]!Table1[#All],32,FALSE)</f>
        <v>44104</v>
      </c>
      <c r="I2750" s="8">
        <f>VLOOKUP(A2750,[1]!Table1[#All],33,FALSE)</f>
        <v>45929</v>
      </c>
      <c r="J2750" t="str">
        <f t="shared" ca="1" si="46"/>
        <v>Non UDO</v>
      </c>
    </row>
    <row r="2751" spans="1:10" x14ac:dyDescent="0.35">
      <c r="A2751" s="9" t="s">
        <v>88</v>
      </c>
      <c r="B2751" s="10">
        <v>44317</v>
      </c>
      <c r="C2751" s="11">
        <v>500000</v>
      </c>
      <c r="D2751" s="11">
        <v>215656.47999999998</v>
      </c>
      <c r="E2751" s="11">
        <v>284343.52</v>
      </c>
      <c r="F2751" t="str">
        <f>VLOOKUP(A2751,[1]!Table1[#All],17,FALSE)</f>
        <v>UNITED STATES</v>
      </c>
      <c r="G2751" t="str">
        <f>VLOOKUP(A2751,[1]!Table1[#All],22,FALSE)</f>
        <v>PROGRAM FOR APPROPRIATE TECHNOLOGY IN HEALTH(PATH)</v>
      </c>
      <c r="H2751" s="8">
        <f>VLOOKUP(A2751,[1]!Table1[#All],32,FALSE)</f>
        <v>44104</v>
      </c>
      <c r="I2751" s="8">
        <f>VLOOKUP(A2751,[1]!Table1[#All],33,FALSE)</f>
        <v>45929</v>
      </c>
      <c r="J2751" t="str">
        <f t="shared" ca="1" si="46"/>
        <v>Non UDO</v>
      </c>
    </row>
    <row r="2752" spans="1:10" x14ac:dyDescent="0.35">
      <c r="A2752" s="5" t="s">
        <v>88</v>
      </c>
      <c r="B2752" s="6">
        <v>44348</v>
      </c>
      <c r="C2752" s="7">
        <v>500000</v>
      </c>
      <c r="D2752" s="7">
        <v>240136.59000000003</v>
      </c>
      <c r="E2752" s="7">
        <v>259863.40999999997</v>
      </c>
      <c r="F2752" t="str">
        <f>VLOOKUP(A2752,[1]!Table1[#All],17,FALSE)</f>
        <v>UNITED STATES</v>
      </c>
      <c r="G2752" t="str">
        <f>VLOOKUP(A2752,[1]!Table1[#All],22,FALSE)</f>
        <v>PROGRAM FOR APPROPRIATE TECHNOLOGY IN HEALTH(PATH)</v>
      </c>
      <c r="H2752" s="8">
        <f>VLOOKUP(A2752,[1]!Table1[#All],32,FALSE)</f>
        <v>44104</v>
      </c>
      <c r="I2752" s="8">
        <f>VLOOKUP(A2752,[1]!Table1[#All],33,FALSE)</f>
        <v>45929</v>
      </c>
      <c r="J2752" t="str">
        <f t="shared" ca="1" si="46"/>
        <v>Non UDO</v>
      </c>
    </row>
    <row r="2753" spans="1:10" x14ac:dyDescent="0.35">
      <c r="A2753" s="9" t="s">
        <v>88</v>
      </c>
      <c r="B2753" s="10">
        <v>44378</v>
      </c>
      <c r="C2753" s="11">
        <v>500000</v>
      </c>
      <c r="D2753" s="11">
        <v>264897.81</v>
      </c>
      <c r="E2753" s="11">
        <v>235102.19</v>
      </c>
      <c r="F2753" t="str">
        <f>VLOOKUP(A2753,[1]!Table1[#All],17,FALSE)</f>
        <v>UNITED STATES</v>
      </c>
      <c r="G2753" t="str">
        <f>VLOOKUP(A2753,[1]!Table1[#All],22,FALSE)</f>
        <v>PROGRAM FOR APPROPRIATE TECHNOLOGY IN HEALTH(PATH)</v>
      </c>
      <c r="H2753" s="8">
        <f>VLOOKUP(A2753,[1]!Table1[#All],32,FALSE)</f>
        <v>44104</v>
      </c>
      <c r="I2753" s="8">
        <f>VLOOKUP(A2753,[1]!Table1[#All],33,FALSE)</f>
        <v>45929</v>
      </c>
      <c r="J2753" t="str">
        <f t="shared" ca="1" si="46"/>
        <v>Non UDO</v>
      </c>
    </row>
    <row r="2754" spans="1:10" x14ac:dyDescent="0.35">
      <c r="A2754" s="5" t="s">
        <v>88</v>
      </c>
      <c r="B2754" s="6">
        <v>44409</v>
      </c>
      <c r="C2754" s="7">
        <v>500000</v>
      </c>
      <c r="D2754" s="7">
        <v>282624.44</v>
      </c>
      <c r="E2754" s="7">
        <v>217375.56</v>
      </c>
      <c r="F2754" t="str">
        <f>VLOOKUP(A2754,[1]!Table1[#All],17,FALSE)</f>
        <v>UNITED STATES</v>
      </c>
      <c r="G2754" t="str">
        <f>VLOOKUP(A2754,[1]!Table1[#All],22,FALSE)</f>
        <v>PROGRAM FOR APPROPRIATE TECHNOLOGY IN HEALTH(PATH)</v>
      </c>
      <c r="H2754" s="8">
        <f>VLOOKUP(A2754,[1]!Table1[#All],32,FALSE)</f>
        <v>44104</v>
      </c>
      <c r="I2754" s="8">
        <f>VLOOKUP(A2754,[1]!Table1[#All],33,FALSE)</f>
        <v>45929</v>
      </c>
      <c r="J2754" t="str">
        <f t="shared" ca="1" si="46"/>
        <v>Non UDO</v>
      </c>
    </row>
    <row r="2755" spans="1:10" x14ac:dyDescent="0.35">
      <c r="A2755" s="9" t="s">
        <v>88</v>
      </c>
      <c r="B2755" s="10">
        <v>44440</v>
      </c>
      <c r="C2755" s="11">
        <v>500000</v>
      </c>
      <c r="D2755" s="11">
        <v>359083.3</v>
      </c>
      <c r="E2755" s="11">
        <v>140916.70000000001</v>
      </c>
      <c r="F2755" t="str">
        <f>VLOOKUP(A2755,[1]!Table1[#All],17,FALSE)</f>
        <v>UNITED STATES</v>
      </c>
      <c r="G2755" t="str">
        <f>VLOOKUP(A2755,[1]!Table1[#All],22,FALSE)</f>
        <v>PROGRAM FOR APPROPRIATE TECHNOLOGY IN HEALTH(PATH)</v>
      </c>
      <c r="H2755" s="8">
        <f>VLOOKUP(A2755,[1]!Table1[#All],32,FALSE)</f>
        <v>44104</v>
      </c>
      <c r="I2755" s="8">
        <f>VLOOKUP(A2755,[1]!Table1[#All],33,FALSE)</f>
        <v>45929</v>
      </c>
      <c r="J2755" t="str">
        <f t="shared" ref="J2755:J2818" ca="1" si="47">IF(AND( E2755&gt;0,TODAY()&gt;I2755),"UDO","Non UDO")</f>
        <v>Non UDO</v>
      </c>
    </row>
    <row r="2756" spans="1:10" x14ac:dyDescent="0.35">
      <c r="A2756" s="5" t="s">
        <v>88</v>
      </c>
      <c r="B2756" s="6">
        <v>44470</v>
      </c>
      <c r="C2756" s="7">
        <v>500000</v>
      </c>
      <c r="D2756" s="7">
        <v>403627.29000000004</v>
      </c>
      <c r="E2756" s="7">
        <v>96372.709999999992</v>
      </c>
      <c r="F2756" t="str">
        <f>VLOOKUP(A2756,[1]!Table1[#All],17,FALSE)</f>
        <v>UNITED STATES</v>
      </c>
      <c r="G2756" t="str">
        <f>VLOOKUP(A2756,[1]!Table1[#All],22,FALSE)</f>
        <v>PROGRAM FOR APPROPRIATE TECHNOLOGY IN HEALTH(PATH)</v>
      </c>
      <c r="H2756" s="8">
        <f>VLOOKUP(A2756,[1]!Table1[#All],32,FALSE)</f>
        <v>44104</v>
      </c>
      <c r="I2756" s="8">
        <f>VLOOKUP(A2756,[1]!Table1[#All],33,FALSE)</f>
        <v>45929</v>
      </c>
      <c r="J2756" t="str">
        <f t="shared" ca="1" si="47"/>
        <v>Non UDO</v>
      </c>
    </row>
    <row r="2757" spans="1:10" x14ac:dyDescent="0.35">
      <c r="A2757" s="9" t="s">
        <v>88</v>
      </c>
      <c r="B2757" s="10">
        <v>44501</v>
      </c>
      <c r="C2757" s="11">
        <v>500000</v>
      </c>
      <c r="D2757" s="11">
        <v>403627.29000000004</v>
      </c>
      <c r="E2757" s="11">
        <v>96372.709999999992</v>
      </c>
      <c r="F2757" t="str">
        <f>VLOOKUP(A2757,[1]!Table1[#All],17,FALSE)</f>
        <v>UNITED STATES</v>
      </c>
      <c r="G2757" t="str">
        <f>VLOOKUP(A2757,[1]!Table1[#All],22,FALSE)</f>
        <v>PROGRAM FOR APPROPRIATE TECHNOLOGY IN HEALTH(PATH)</v>
      </c>
      <c r="H2757" s="8">
        <f>VLOOKUP(A2757,[1]!Table1[#All],32,FALSE)</f>
        <v>44104</v>
      </c>
      <c r="I2757" s="8">
        <f>VLOOKUP(A2757,[1]!Table1[#All],33,FALSE)</f>
        <v>45929</v>
      </c>
      <c r="J2757" t="str">
        <f t="shared" ca="1" si="47"/>
        <v>Non UDO</v>
      </c>
    </row>
    <row r="2758" spans="1:10" x14ac:dyDescent="0.35">
      <c r="A2758" s="5" t="s">
        <v>88</v>
      </c>
      <c r="B2758" s="6">
        <v>44531</v>
      </c>
      <c r="C2758" s="7">
        <v>500000</v>
      </c>
      <c r="D2758" s="7">
        <v>445970.18</v>
      </c>
      <c r="E2758" s="7">
        <v>54029.82</v>
      </c>
      <c r="F2758" t="str">
        <f>VLOOKUP(A2758,[1]!Table1[#All],17,FALSE)</f>
        <v>UNITED STATES</v>
      </c>
      <c r="G2758" t="str">
        <f>VLOOKUP(A2758,[1]!Table1[#All],22,FALSE)</f>
        <v>PROGRAM FOR APPROPRIATE TECHNOLOGY IN HEALTH(PATH)</v>
      </c>
      <c r="H2758" s="8">
        <f>VLOOKUP(A2758,[1]!Table1[#All],32,FALSE)</f>
        <v>44104</v>
      </c>
      <c r="I2758" s="8">
        <f>VLOOKUP(A2758,[1]!Table1[#All],33,FALSE)</f>
        <v>45929</v>
      </c>
      <c r="J2758" t="str">
        <f t="shared" ca="1" si="47"/>
        <v>Non UDO</v>
      </c>
    </row>
    <row r="2759" spans="1:10" x14ac:dyDescent="0.35">
      <c r="A2759" s="9" t="s">
        <v>88</v>
      </c>
      <c r="B2759" s="10">
        <v>44562</v>
      </c>
      <c r="C2759" s="11">
        <v>500000</v>
      </c>
      <c r="D2759" s="11">
        <v>472437.64</v>
      </c>
      <c r="E2759" s="11">
        <v>27562.36</v>
      </c>
      <c r="F2759" t="str">
        <f>VLOOKUP(A2759,[1]!Table1[#All],17,FALSE)</f>
        <v>UNITED STATES</v>
      </c>
      <c r="G2759" t="str">
        <f>VLOOKUP(A2759,[1]!Table1[#All],22,FALSE)</f>
        <v>PROGRAM FOR APPROPRIATE TECHNOLOGY IN HEALTH(PATH)</v>
      </c>
      <c r="H2759" s="8">
        <f>VLOOKUP(A2759,[1]!Table1[#All],32,FALSE)</f>
        <v>44104</v>
      </c>
      <c r="I2759" s="8">
        <f>VLOOKUP(A2759,[1]!Table1[#All],33,FALSE)</f>
        <v>45929</v>
      </c>
      <c r="J2759" t="str">
        <f t="shared" ca="1" si="47"/>
        <v>Non UDO</v>
      </c>
    </row>
    <row r="2760" spans="1:10" x14ac:dyDescent="0.35">
      <c r="A2760" s="5" t="s">
        <v>88</v>
      </c>
      <c r="B2760" s="6">
        <v>44593</v>
      </c>
      <c r="C2760" s="7">
        <v>500000</v>
      </c>
      <c r="D2760" s="7">
        <v>472437.64</v>
      </c>
      <c r="E2760" s="7">
        <v>27562.36</v>
      </c>
      <c r="F2760" t="str">
        <f>VLOOKUP(A2760,[1]!Table1[#All],17,FALSE)</f>
        <v>UNITED STATES</v>
      </c>
      <c r="G2760" t="str">
        <f>VLOOKUP(A2760,[1]!Table1[#All],22,FALSE)</f>
        <v>PROGRAM FOR APPROPRIATE TECHNOLOGY IN HEALTH(PATH)</v>
      </c>
      <c r="H2760" s="8">
        <f>VLOOKUP(A2760,[1]!Table1[#All],32,FALSE)</f>
        <v>44104</v>
      </c>
      <c r="I2760" s="8">
        <f>VLOOKUP(A2760,[1]!Table1[#All],33,FALSE)</f>
        <v>45929</v>
      </c>
      <c r="J2760" t="str">
        <f t="shared" ca="1" si="47"/>
        <v>Non UDO</v>
      </c>
    </row>
    <row r="2761" spans="1:10" x14ac:dyDescent="0.35">
      <c r="A2761" s="9" t="s">
        <v>88</v>
      </c>
      <c r="B2761" s="10">
        <v>44621</v>
      </c>
      <c r="C2761" s="11">
        <v>500000</v>
      </c>
      <c r="D2761" s="11">
        <v>479690.55</v>
      </c>
      <c r="E2761" s="11">
        <v>20309.45</v>
      </c>
      <c r="F2761" t="str">
        <f>VLOOKUP(A2761,[1]!Table1[#All],17,FALSE)</f>
        <v>UNITED STATES</v>
      </c>
      <c r="G2761" t="str">
        <f>VLOOKUP(A2761,[1]!Table1[#All],22,FALSE)</f>
        <v>PROGRAM FOR APPROPRIATE TECHNOLOGY IN HEALTH(PATH)</v>
      </c>
      <c r="H2761" s="8">
        <f>VLOOKUP(A2761,[1]!Table1[#All],32,FALSE)</f>
        <v>44104</v>
      </c>
      <c r="I2761" s="8">
        <f>VLOOKUP(A2761,[1]!Table1[#All],33,FALSE)</f>
        <v>45929</v>
      </c>
      <c r="J2761" t="str">
        <f t="shared" ca="1" si="47"/>
        <v>Non UDO</v>
      </c>
    </row>
    <row r="2762" spans="1:10" x14ac:dyDescent="0.35">
      <c r="A2762" s="5" t="s">
        <v>88</v>
      </c>
      <c r="B2762" s="6">
        <v>44652</v>
      </c>
      <c r="C2762" s="7">
        <v>500000</v>
      </c>
      <c r="D2762" s="7">
        <v>485335.59</v>
      </c>
      <c r="E2762" s="7">
        <v>14664.41</v>
      </c>
      <c r="F2762" t="str">
        <f>VLOOKUP(A2762,[1]!Table1[#All],17,FALSE)</f>
        <v>UNITED STATES</v>
      </c>
      <c r="G2762" t="str">
        <f>VLOOKUP(A2762,[1]!Table1[#All],22,FALSE)</f>
        <v>PROGRAM FOR APPROPRIATE TECHNOLOGY IN HEALTH(PATH)</v>
      </c>
      <c r="H2762" s="8">
        <f>VLOOKUP(A2762,[1]!Table1[#All],32,FALSE)</f>
        <v>44104</v>
      </c>
      <c r="I2762" s="8">
        <f>VLOOKUP(A2762,[1]!Table1[#All],33,FALSE)</f>
        <v>45929</v>
      </c>
      <c r="J2762" t="str">
        <f t="shared" ca="1" si="47"/>
        <v>Non UDO</v>
      </c>
    </row>
    <row r="2763" spans="1:10" x14ac:dyDescent="0.35">
      <c r="A2763" s="9" t="s">
        <v>88</v>
      </c>
      <c r="B2763" s="10">
        <v>44682</v>
      </c>
      <c r="C2763" s="11">
        <v>500000</v>
      </c>
      <c r="D2763" s="11">
        <v>500000</v>
      </c>
      <c r="E2763" s="11">
        <v>0</v>
      </c>
      <c r="F2763" t="str">
        <f>VLOOKUP(A2763,[1]!Table1[#All],17,FALSE)</f>
        <v>UNITED STATES</v>
      </c>
      <c r="G2763" t="str">
        <f>VLOOKUP(A2763,[1]!Table1[#All],22,FALSE)</f>
        <v>PROGRAM FOR APPROPRIATE TECHNOLOGY IN HEALTH(PATH)</v>
      </c>
      <c r="H2763" s="8">
        <f>VLOOKUP(A2763,[1]!Table1[#All],32,FALSE)</f>
        <v>44104</v>
      </c>
      <c r="I2763" s="8">
        <f>VLOOKUP(A2763,[1]!Table1[#All],33,FALSE)</f>
        <v>45929</v>
      </c>
      <c r="J2763" t="str">
        <f t="shared" ca="1" si="47"/>
        <v>Non UDO</v>
      </c>
    </row>
    <row r="2764" spans="1:10" x14ac:dyDescent="0.35">
      <c r="A2764" s="5" t="s">
        <v>88</v>
      </c>
      <c r="B2764" s="6">
        <v>44713</v>
      </c>
      <c r="C2764" s="7">
        <v>500000</v>
      </c>
      <c r="D2764" s="7">
        <v>500000</v>
      </c>
      <c r="E2764" s="7">
        <v>0</v>
      </c>
      <c r="F2764" t="str">
        <f>VLOOKUP(A2764,[1]!Table1[#All],17,FALSE)</f>
        <v>UNITED STATES</v>
      </c>
      <c r="G2764" t="str">
        <f>VLOOKUP(A2764,[1]!Table1[#All],22,FALSE)</f>
        <v>PROGRAM FOR APPROPRIATE TECHNOLOGY IN HEALTH(PATH)</v>
      </c>
      <c r="H2764" s="8">
        <f>VLOOKUP(A2764,[1]!Table1[#All],32,FALSE)</f>
        <v>44104</v>
      </c>
      <c r="I2764" s="8">
        <f>VLOOKUP(A2764,[1]!Table1[#All],33,FALSE)</f>
        <v>45929</v>
      </c>
      <c r="J2764" t="str">
        <f t="shared" ca="1" si="47"/>
        <v>Non UDO</v>
      </c>
    </row>
    <row r="2765" spans="1:10" x14ac:dyDescent="0.35">
      <c r="A2765" s="9" t="s">
        <v>88</v>
      </c>
      <c r="B2765" s="10">
        <v>44743</v>
      </c>
      <c r="C2765" s="11">
        <v>500000</v>
      </c>
      <c r="D2765" s="11">
        <v>500000</v>
      </c>
      <c r="E2765" s="11">
        <v>0</v>
      </c>
      <c r="F2765" t="str">
        <f>VLOOKUP(A2765,[1]!Table1[#All],17,FALSE)</f>
        <v>UNITED STATES</v>
      </c>
      <c r="G2765" t="str">
        <f>VLOOKUP(A2765,[1]!Table1[#All],22,FALSE)</f>
        <v>PROGRAM FOR APPROPRIATE TECHNOLOGY IN HEALTH(PATH)</v>
      </c>
      <c r="H2765" s="8">
        <f>VLOOKUP(A2765,[1]!Table1[#All],32,FALSE)</f>
        <v>44104</v>
      </c>
      <c r="I2765" s="8">
        <f>VLOOKUP(A2765,[1]!Table1[#All],33,FALSE)</f>
        <v>45929</v>
      </c>
      <c r="J2765" t="str">
        <f t="shared" ca="1" si="47"/>
        <v>Non UDO</v>
      </c>
    </row>
    <row r="2766" spans="1:10" x14ac:dyDescent="0.35">
      <c r="A2766" s="5" t="s">
        <v>88</v>
      </c>
      <c r="B2766" s="6">
        <v>44774</v>
      </c>
      <c r="C2766" s="7">
        <v>500000</v>
      </c>
      <c r="D2766" s="7">
        <v>500000</v>
      </c>
      <c r="E2766" s="7">
        <v>0</v>
      </c>
      <c r="F2766" t="str">
        <f>VLOOKUP(A2766,[1]!Table1[#All],17,FALSE)</f>
        <v>UNITED STATES</v>
      </c>
      <c r="G2766" t="str">
        <f>VLOOKUP(A2766,[1]!Table1[#All],22,FALSE)</f>
        <v>PROGRAM FOR APPROPRIATE TECHNOLOGY IN HEALTH(PATH)</v>
      </c>
      <c r="H2766" s="8">
        <f>VLOOKUP(A2766,[1]!Table1[#All],32,FALSE)</f>
        <v>44104</v>
      </c>
      <c r="I2766" s="8">
        <f>VLOOKUP(A2766,[1]!Table1[#All],33,FALSE)</f>
        <v>45929</v>
      </c>
      <c r="J2766" t="str">
        <f t="shared" ca="1" si="47"/>
        <v>Non UDO</v>
      </c>
    </row>
    <row r="2767" spans="1:10" x14ac:dyDescent="0.35">
      <c r="A2767" s="9" t="s">
        <v>88</v>
      </c>
      <c r="B2767" s="10">
        <v>44805</v>
      </c>
      <c r="C2767" s="11">
        <v>500000</v>
      </c>
      <c r="D2767" s="11">
        <v>500000</v>
      </c>
      <c r="E2767" s="11">
        <v>0</v>
      </c>
      <c r="F2767" t="str">
        <f>VLOOKUP(A2767,[1]!Table1[#All],17,FALSE)</f>
        <v>UNITED STATES</v>
      </c>
      <c r="G2767" t="str">
        <f>VLOOKUP(A2767,[1]!Table1[#All],22,FALSE)</f>
        <v>PROGRAM FOR APPROPRIATE TECHNOLOGY IN HEALTH(PATH)</v>
      </c>
      <c r="H2767" s="8">
        <f>VLOOKUP(A2767,[1]!Table1[#All],32,FALSE)</f>
        <v>44104</v>
      </c>
      <c r="I2767" s="8">
        <f>VLOOKUP(A2767,[1]!Table1[#All],33,FALSE)</f>
        <v>45929</v>
      </c>
      <c r="J2767" t="str">
        <f t="shared" ca="1" si="47"/>
        <v>Non UDO</v>
      </c>
    </row>
    <row r="2768" spans="1:10" x14ac:dyDescent="0.35">
      <c r="A2768" s="5" t="s">
        <v>88</v>
      </c>
      <c r="B2768" s="6">
        <v>44835</v>
      </c>
      <c r="C2768" s="7">
        <v>500000</v>
      </c>
      <c r="D2768" s="7">
        <v>500000</v>
      </c>
      <c r="E2768" s="7">
        <v>0</v>
      </c>
      <c r="F2768" t="str">
        <f>VLOOKUP(A2768,[1]!Table1[#All],17,FALSE)</f>
        <v>UNITED STATES</v>
      </c>
      <c r="G2768" t="str">
        <f>VLOOKUP(A2768,[1]!Table1[#All],22,FALSE)</f>
        <v>PROGRAM FOR APPROPRIATE TECHNOLOGY IN HEALTH(PATH)</v>
      </c>
      <c r="H2768" s="8">
        <f>VLOOKUP(A2768,[1]!Table1[#All],32,FALSE)</f>
        <v>44104</v>
      </c>
      <c r="I2768" s="8">
        <f>VLOOKUP(A2768,[1]!Table1[#All],33,FALSE)</f>
        <v>45929</v>
      </c>
      <c r="J2768" t="str">
        <f t="shared" ca="1" si="47"/>
        <v>Non UDO</v>
      </c>
    </row>
    <row r="2769" spans="1:10" x14ac:dyDescent="0.35">
      <c r="A2769" s="9" t="s">
        <v>88</v>
      </c>
      <c r="B2769" s="10">
        <v>44866</v>
      </c>
      <c r="C2769" s="11">
        <v>500000</v>
      </c>
      <c r="D2769" s="11">
        <v>500000</v>
      </c>
      <c r="E2769" s="11">
        <v>0</v>
      </c>
      <c r="F2769" t="str">
        <f>VLOOKUP(A2769,[1]!Table1[#All],17,FALSE)</f>
        <v>UNITED STATES</v>
      </c>
      <c r="G2769" t="str">
        <f>VLOOKUP(A2769,[1]!Table1[#All],22,FALSE)</f>
        <v>PROGRAM FOR APPROPRIATE TECHNOLOGY IN HEALTH(PATH)</v>
      </c>
      <c r="H2769" s="8">
        <f>VLOOKUP(A2769,[1]!Table1[#All],32,FALSE)</f>
        <v>44104</v>
      </c>
      <c r="I2769" s="8">
        <f>VLOOKUP(A2769,[1]!Table1[#All],33,FALSE)</f>
        <v>45929</v>
      </c>
      <c r="J2769" t="str">
        <f t="shared" ca="1" si="47"/>
        <v>Non UDO</v>
      </c>
    </row>
    <row r="2770" spans="1:10" x14ac:dyDescent="0.35">
      <c r="A2770" s="5" t="s">
        <v>88</v>
      </c>
      <c r="B2770" s="6">
        <v>44896</v>
      </c>
      <c r="C2770" s="7">
        <v>500000</v>
      </c>
      <c r="D2770" s="7">
        <v>500000</v>
      </c>
      <c r="E2770" s="7">
        <v>0</v>
      </c>
      <c r="F2770" t="str">
        <f>VLOOKUP(A2770,[1]!Table1[#All],17,FALSE)</f>
        <v>UNITED STATES</v>
      </c>
      <c r="G2770" t="str">
        <f>VLOOKUP(A2770,[1]!Table1[#All],22,FALSE)</f>
        <v>PROGRAM FOR APPROPRIATE TECHNOLOGY IN HEALTH(PATH)</v>
      </c>
      <c r="H2770" s="8">
        <f>VLOOKUP(A2770,[1]!Table1[#All],32,FALSE)</f>
        <v>44104</v>
      </c>
      <c r="I2770" s="8">
        <f>VLOOKUP(A2770,[1]!Table1[#All],33,FALSE)</f>
        <v>45929</v>
      </c>
      <c r="J2770" t="str">
        <f t="shared" ca="1" si="47"/>
        <v>Non UDO</v>
      </c>
    </row>
    <row r="2771" spans="1:10" x14ac:dyDescent="0.35">
      <c r="A2771" s="9" t="s">
        <v>88</v>
      </c>
      <c r="B2771" s="10">
        <v>44927</v>
      </c>
      <c r="C2771" s="11">
        <v>500000</v>
      </c>
      <c r="D2771" s="11">
        <v>500000</v>
      </c>
      <c r="E2771" s="11">
        <v>0</v>
      </c>
      <c r="F2771" t="str">
        <f>VLOOKUP(A2771,[1]!Table1[#All],17,FALSE)</f>
        <v>UNITED STATES</v>
      </c>
      <c r="G2771" t="str">
        <f>VLOOKUP(A2771,[1]!Table1[#All],22,FALSE)</f>
        <v>PROGRAM FOR APPROPRIATE TECHNOLOGY IN HEALTH(PATH)</v>
      </c>
      <c r="H2771" s="8">
        <f>VLOOKUP(A2771,[1]!Table1[#All],32,FALSE)</f>
        <v>44104</v>
      </c>
      <c r="I2771" s="8">
        <f>VLOOKUP(A2771,[1]!Table1[#All],33,FALSE)</f>
        <v>45929</v>
      </c>
      <c r="J2771" t="str">
        <f t="shared" ca="1" si="47"/>
        <v>Non UDO</v>
      </c>
    </row>
    <row r="2772" spans="1:10" x14ac:dyDescent="0.35">
      <c r="A2772" s="5" t="s">
        <v>88</v>
      </c>
      <c r="B2772" s="6">
        <v>44958</v>
      </c>
      <c r="C2772" s="7">
        <v>500000</v>
      </c>
      <c r="D2772" s="7">
        <v>500000</v>
      </c>
      <c r="E2772" s="7">
        <v>0</v>
      </c>
      <c r="F2772" t="str">
        <f>VLOOKUP(A2772,[1]!Table1[#All],17,FALSE)</f>
        <v>UNITED STATES</v>
      </c>
      <c r="G2772" t="str">
        <f>VLOOKUP(A2772,[1]!Table1[#All],22,FALSE)</f>
        <v>PROGRAM FOR APPROPRIATE TECHNOLOGY IN HEALTH(PATH)</v>
      </c>
      <c r="H2772" s="8">
        <f>VLOOKUP(A2772,[1]!Table1[#All],32,FALSE)</f>
        <v>44104</v>
      </c>
      <c r="I2772" s="8">
        <f>VLOOKUP(A2772,[1]!Table1[#All],33,FALSE)</f>
        <v>45929</v>
      </c>
      <c r="J2772" t="str">
        <f t="shared" ca="1" si="47"/>
        <v>Non UDO</v>
      </c>
    </row>
    <row r="2773" spans="1:10" x14ac:dyDescent="0.35">
      <c r="A2773" s="9" t="s">
        <v>88</v>
      </c>
      <c r="B2773" s="10">
        <v>44986</v>
      </c>
      <c r="C2773" s="11">
        <v>500000</v>
      </c>
      <c r="D2773" s="11">
        <v>500000</v>
      </c>
      <c r="E2773" s="11">
        <v>0</v>
      </c>
      <c r="F2773" t="str">
        <f>VLOOKUP(A2773,[1]!Table1[#All],17,FALSE)</f>
        <v>UNITED STATES</v>
      </c>
      <c r="G2773" t="str">
        <f>VLOOKUP(A2773,[1]!Table1[#All],22,FALSE)</f>
        <v>PROGRAM FOR APPROPRIATE TECHNOLOGY IN HEALTH(PATH)</v>
      </c>
      <c r="H2773" s="8">
        <f>VLOOKUP(A2773,[1]!Table1[#All],32,FALSE)</f>
        <v>44104</v>
      </c>
      <c r="I2773" s="8">
        <f>VLOOKUP(A2773,[1]!Table1[#All],33,FALSE)</f>
        <v>45929</v>
      </c>
      <c r="J2773" t="str">
        <f t="shared" ca="1" si="47"/>
        <v>Non UDO</v>
      </c>
    </row>
    <row r="2774" spans="1:10" x14ac:dyDescent="0.35">
      <c r="A2774" s="5" t="s">
        <v>88</v>
      </c>
      <c r="B2774" s="6">
        <v>45017</v>
      </c>
      <c r="C2774" s="7">
        <v>500000</v>
      </c>
      <c r="D2774" s="7">
        <v>500000</v>
      </c>
      <c r="E2774" s="7">
        <v>0</v>
      </c>
      <c r="F2774" t="str">
        <f>VLOOKUP(A2774,[1]!Table1[#All],17,FALSE)</f>
        <v>UNITED STATES</v>
      </c>
      <c r="G2774" t="str">
        <f>VLOOKUP(A2774,[1]!Table1[#All],22,FALSE)</f>
        <v>PROGRAM FOR APPROPRIATE TECHNOLOGY IN HEALTH(PATH)</v>
      </c>
      <c r="H2774" s="8">
        <f>VLOOKUP(A2774,[1]!Table1[#All],32,FALSE)</f>
        <v>44104</v>
      </c>
      <c r="I2774" s="8">
        <f>VLOOKUP(A2774,[1]!Table1[#All],33,FALSE)</f>
        <v>45929</v>
      </c>
      <c r="J2774" t="str">
        <f t="shared" ca="1" si="47"/>
        <v>Non UDO</v>
      </c>
    </row>
    <row r="2775" spans="1:10" x14ac:dyDescent="0.35">
      <c r="A2775" s="9" t="s">
        <v>88</v>
      </c>
      <c r="B2775" s="10">
        <v>45047</v>
      </c>
      <c r="C2775" s="11">
        <v>500000</v>
      </c>
      <c r="D2775" s="11">
        <v>500000</v>
      </c>
      <c r="E2775" s="11">
        <v>0</v>
      </c>
      <c r="F2775" t="str">
        <f>VLOOKUP(A2775,[1]!Table1[#All],17,FALSE)</f>
        <v>UNITED STATES</v>
      </c>
      <c r="G2775" t="str">
        <f>VLOOKUP(A2775,[1]!Table1[#All],22,FALSE)</f>
        <v>PROGRAM FOR APPROPRIATE TECHNOLOGY IN HEALTH(PATH)</v>
      </c>
      <c r="H2775" s="8">
        <f>VLOOKUP(A2775,[1]!Table1[#All],32,FALSE)</f>
        <v>44104</v>
      </c>
      <c r="I2775" s="8">
        <f>VLOOKUP(A2775,[1]!Table1[#All],33,FALSE)</f>
        <v>45929</v>
      </c>
      <c r="J2775" t="str">
        <f t="shared" ca="1" si="47"/>
        <v>Non UDO</v>
      </c>
    </row>
    <row r="2776" spans="1:10" x14ac:dyDescent="0.35">
      <c r="A2776" s="5" t="s">
        <v>88</v>
      </c>
      <c r="B2776" s="6">
        <v>45078</v>
      </c>
      <c r="C2776" s="7">
        <v>500000</v>
      </c>
      <c r="D2776" s="7">
        <v>500000</v>
      </c>
      <c r="E2776" s="7">
        <v>0</v>
      </c>
      <c r="F2776" t="str">
        <f>VLOOKUP(A2776,[1]!Table1[#All],17,FALSE)</f>
        <v>UNITED STATES</v>
      </c>
      <c r="G2776" t="str">
        <f>VLOOKUP(A2776,[1]!Table1[#All],22,FALSE)</f>
        <v>PROGRAM FOR APPROPRIATE TECHNOLOGY IN HEALTH(PATH)</v>
      </c>
      <c r="H2776" s="8">
        <f>VLOOKUP(A2776,[1]!Table1[#All],32,FALSE)</f>
        <v>44104</v>
      </c>
      <c r="I2776" s="8">
        <f>VLOOKUP(A2776,[1]!Table1[#All],33,FALSE)</f>
        <v>45929</v>
      </c>
      <c r="J2776" t="str">
        <f t="shared" ca="1" si="47"/>
        <v>Non UDO</v>
      </c>
    </row>
    <row r="2777" spans="1:10" x14ac:dyDescent="0.35">
      <c r="A2777" s="9" t="s">
        <v>88</v>
      </c>
      <c r="B2777" s="10">
        <v>45108</v>
      </c>
      <c r="C2777" s="11">
        <v>500000</v>
      </c>
      <c r="D2777" s="11">
        <v>500000</v>
      </c>
      <c r="E2777" s="11">
        <v>0</v>
      </c>
      <c r="F2777" t="str">
        <f>VLOOKUP(A2777,[1]!Table1[#All],17,FALSE)</f>
        <v>UNITED STATES</v>
      </c>
      <c r="G2777" t="str">
        <f>VLOOKUP(A2777,[1]!Table1[#All],22,FALSE)</f>
        <v>PROGRAM FOR APPROPRIATE TECHNOLOGY IN HEALTH(PATH)</v>
      </c>
      <c r="H2777" s="8">
        <f>VLOOKUP(A2777,[1]!Table1[#All],32,FALSE)</f>
        <v>44104</v>
      </c>
      <c r="I2777" s="8">
        <f>VLOOKUP(A2777,[1]!Table1[#All],33,FALSE)</f>
        <v>45929</v>
      </c>
      <c r="J2777" t="str">
        <f t="shared" ca="1" si="47"/>
        <v>Non UDO</v>
      </c>
    </row>
    <row r="2778" spans="1:10" x14ac:dyDescent="0.35">
      <c r="A2778" s="5" t="s">
        <v>88</v>
      </c>
      <c r="B2778" s="6">
        <v>45139</v>
      </c>
      <c r="C2778" s="7">
        <v>500000</v>
      </c>
      <c r="D2778" s="7">
        <v>500000</v>
      </c>
      <c r="E2778" s="7">
        <v>0</v>
      </c>
      <c r="F2778" t="str">
        <f>VLOOKUP(A2778,[1]!Table1[#All],17,FALSE)</f>
        <v>UNITED STATES</v>
      </c>
      <c r="G2778" t="str">
        <f>VLOOKUP(A2778,[1]!Table1[#All],22,FALSE)</f>
        <v>PROGRAM FOR APPROPRIATE TECHNOLOGY IN HEALTH(PATH)</v>
      </c>
      <c r="H2778" s="8">
        <f>VLOOKUP(A2778,[1]!Table1[#All],32,FALSE)</f>
        <v>44104</v>
      </c>
      <c r="I2778" s="8">
        <f>VLOOKUP(A2778,[1]!Table1[#All],33,FALSE)</f>
        <v>45929</v>
      </c>
      <c r="J2778" t="str">
        <f t="shared" ca="1" si="47"/>
        <v>Non UDO</v>
      </c>
    </row>
    <row r="2779" spans="1:10" x14ac:dyDescent="0.35">
      <c r="A2779" s="9" t="s">
        <v>88</v>
      </c>
      <c r="B2779" s="10">
        <v>45170</v>
      </c>
      <c r="C2779" s="11">
        <v>500000</v>
      </c>
      <c r="D2779" s="11">
        <v>500000</v>
      </c>
      <c r="E2779" s="11">
        <v>0</v>
      </c>
      <c r="F2779" t="str">
        <f>VLOOKUP(A2779,[1]!Table1[#All],17,FALSE)</f>
        <v>UNITED STATES</v>
      </c>
      <c r="G2779" t="str">
        <f>VLOOKUP(A2779,[1]!Table1[#All],22,FALSE)</f>
        <v>PROGRAM FOR APPROPRIATE TECHNOLOGY IN HEALTH(PATH)</v>
      </c>
      <c r="H2779" s="8">
        <f>VLOOKUP(A2779,[1]!Table1[#All],32,FALSE)</f>
        <v>44104</v>
      </c>
      <c r="I2779" s="8">
        <f>VLOOKUP(A2779,[1]!Table1[#All],33,FALSE)</f>
        <v>45929</v>
      </c>
      <c r="J2779" t="str">
        <f t="shared" ca="1" si="47"/>
        <v>Non UDO</v>
      </c>
    </row>
    <row r="2780" spans="1:10" x14ac:dyDescent="0.35">
      <c r="A2780" s="5" t="s">
        <v>89</v>
      </c>
      <c r="B2780" s="6">
        <v>44105</v>
      </c>
      <c r="C2780" s="7">
        <v>1800000</v>
      </c>
      <c r="D2780" s="7">
        <v>0</v>
      </c>
      <c r="E2780" s="7">
        <v>1800000</v>
      </c>
      <c r="F2780" t="str">
        <f>VLOOKUP(A2780,[1]!Table1[#All],17,FALSE)</f>
        <v>UNITED STATES</v>
      </c>
      <c r="G2780" t="str">
        <f>VLOOKUP(A2780,[1]!Table1[#All],22,FALSE)</f>
        <v>APPALACHIAN PROGRAM FOR SAVE THE CHILDREN FEDERATI</v>
      </c>
      <c r="H2780" s="8">
        <f>VLOOKUP(A2780,[1]!Table1[#All],32,FALSE)</f>
        <v>44104</v>
      </c>
      <c r="I2780" s="8">
        <f>VLOOKUP(A2780,[1]!Table1[#All],33,FALSE)</f>
        <v>45929</v>
      </c>
      <c r="J2780" t="str">
        <f t="shared" ca="1" si="47"/>
        <v>Non UDO</v>
      </c>
    </row>
    <row r="2781" spans="1:10" x14ac:dyDescent="0.35">
      <c r="A2781" s="9" t="s">
        <v>89</v>
      </c>
      <c r="B2781" s="10">
        <v>44136</v>
      </c>
      <c r="C2781" s="11">
        <v>1800000</v>
      </c>
      <c r="D2781" s="11">
        <v>0</v>
      </c>
      <c r="E2781" s="11">
        <v>1800000</v>
      </c>
      <c r="F2781" t="str">
        <f>VLOOKUP(A2781,[1]!Table1[#All],17,FALSE)</f>
        <v>UNITED STATES</v>
      </c>
      <c r="G2781" t="str">
        <f>VLOOKUP(A2781,[1]!Table1[#All],22,FALSE)</f>
        <v>APPALACHIAN PROGRAM FOR SAVE THE CHILDREN FEDERATI</v>
      </c>
      <c r="H2781" s="8">
        <f>VLOOKUP(A2781,[1]!Table1[#All],32,FALSE)</f>
        <v>44104</v>
      </c>
      <c r="I2781" s="8">
        <f>VLOOKUP(A2781,[1]!Table1[#All],33,FALSE)</f>
        <v>45929</v>
      </c>
      <c r="J2781" t="str">
        <f t="shared" ca="1" si="47"/>
        <v>Non UDO</v>
      </c>
    </row>
    <row r="2782" spans="1:10" x14ac:dyDescent="0.35">
      <c r="A2782" s="5" t="s">
        <v>89</v>
      </c>
      <c r="B2782" s="6">
        <v>44166</v>
      </c>
      <c r="C2782" s="7">
        <v>1800000</v>
      </c>
      <c r="D2782" s="7">
        <v>0</v>
      </c>
      <c r="E2782" s="7">
        <v>1800000</v>
      </c>
      <c r="F2782" t="str">
        <f>VLOOKUP(A2782,[1]!Table1[#All],17,FALSE)</f>
        <v>UNITED STATES</v>
      </c>
      <c r="G2782" t="str">
        <f>VLOOKUP(A2782,[1]!Table1[#All],22,FALSE)</f>
        <v>APPALACHIAN PROGRAM FOR SAVE THE CHILDREN FEDERATI</v>
      </c>
      <c r="H2782" s="8">
        <f>VLOOKUP(A2782,[1]!Table1[#All],32,FALSE)</f>
        <v>44104</v>
      </c>
      <c r="I2782" s="8">
        <f>VLOOKUP(A2782,[1]!Table1[#All],33,FALSE)</f>
        <v>45929</v>
      </c>
      <c r="J2782" t="str">
        <f t="shared" ca="1" si="47"/>
        <v>Non UDO</v>
      </c>
    </row>
    <row r="2783" spans="1:10" x14ac:dyDescent="0.35">
      <c r="A2783" s="9" t="s">
        <v>89</v>
      </c>
      <c r="B2783" s="10">
        <v>44197</v>
      </c>
      <c r="C2783" s="11">
        <v>1800000</v>
      </c>
      <c r="D2783" s="11">
        <v>2502.29</v>
      </c>
      <c r="E2783" s="11">
        <v>1797497.71</v>
      </c>
      <c r="F2783" t="str">
        <f>VLOOKUP(A2783,[1]!Table1[#All],17,FALSE)</f>
        <v>UNITED STATES</v>
      </c>
      <c r="G2783" t="str">
        <f>VLOOKUP(A2783,[1]!Table1[#All],22,FALSE)</f>
        <v>APPALACHIAN PROGRAM FOR SAVE THE CHILDREN FEDERATI</v>
      </c>
      <c r="H2783" s="8">
        <f>VLOOKUP(A2783,[1]!Table1[#All],32,FALSE)</f>
        <v>44104</v>
      </c>
      <c r="I2783" s="8">
        <f>VLOOKUP(A2783,[1]!Table1[#All],33,FALSE)</f>
        <v>45929</v>
      </c>
      <c r="J2783" t="str">
        <f t="shared" ca="1" si="47"/>
        <v>Non UDO</v>
      </c>
    </row>
    <row r="2784" spans="1:10" x14ac:dyDescent="0.35">
      <c r="A2784" s="5" t="s">
        <v>89</v>
      </c>
      <c r="B2784" s="6">
        <v>44228</v>
      </c>
      <c r="C2784" s="7">
        <v>1800000</v>
      </c>
      <c r="D2784" s="7">
        <v>2502.29</v>
      </c>
      <c r="E2784" s="7">
        <v>1797497.71</v>
      </c>
      <c r="F2784" t="str">
        <f>VLOOKUP(A2784,[1]!Table1[#All],17,FALSE)</f>
        <v>UNITED STATES</v>
      </c>
      <c r="G2784" t="str">
        <f>VLOOKUP(A2784,[1]!Table1[#All],22,FALSE)</f>
        <v>APPALACHIAN PROGRAM FOR SAVE THE CHILDREN FEDERATI</v>
      </c>
      <c r="H2784" s="8">
        <f>VLOOKUP(A2784,[1]!Table1[#All],32,FALSE)</f>
        <v>44104</v>
      </c>
      <c r="I2784" s="8">
        <f>VLOOKUP(A2784,[1]!Table1[#All],33,FALSE)</f>
        <v>45929</v>
      </c>
      <c r="J2784" t="str">
        <f t="shared" ca="1" si="47"/>
        <v>Non UDO</v>
      </c>
    </row>
    <row r="2785" spans="1:10" x14ac:dyDescent="0.35">
      <c r="A2785" s="9" t="s">
        <v>89</v>
      </c>
      <c r="B2785" s="10">
        <v>44256</v>
      </c>
      <c r="C2785" s="11">
        <v>1800000</v>
      </c>
      <c r="D2785" s="11">
        <v>17438.04</v>
      </c>
      <c r="E2785" s="11">
        <v>1782561.96</v>
      </c>
      <c r="F2785" t="str">
        <f>VLOOKUP(A2785,[1]!Table1[#All],17,FALSE)</f>
        <v>UNITED STATES</v>
      </c>
      <c r="G2785" t="str">
        <f>VLOOKUP(A2785,[1]!Table1[#All],22,FALSE)</f>
        <v>APPALACHIAN PROGRAM FOR SAVE THE CHILDREN FEDERATI</v>
      </c>
      <c r="H2785" s="8">
        <f>VLOOKUP(A2785,[1]!Table1[#All],32,FALSE)</f>
        <v>44104</v>
      </c>
      <c r="I2785" s="8">
        <f>VLOOKUP(A2785,[1]!Table1[#All],33,FALSE)</f>
        <v>45929</v>
      </c>
      <c r="J2785" t="str">
        <f t="shared" ca="1" si="47"/>
        <v>Non UDO</v>
      </c>
    </row>
    <row r="2786" spans="1:10" x14ac:dyDescent="0.35">
      <c r="A2786" s="5" t="s">
        <v>89</v>
      </c>
      <c r="B2786" s="6">
        <v>44287</v>
      </c>
      <c r="C2786" s="7">
        <v>1800000</v>
      </c>
      <c r="D2786" s="7">
        <v>17438.04</v>
      </c>
      <c r="E2786" s="7">
        <v>1782561.96</v>
      </c>
      <c r="F2786" t="str">
        <f>VLOOKUP(A2786,[1]!Table1[#All],17,FALSE)</f>
        <v>UNITED STATES</v>
      </c>
      <c r="G2786" t="str">
        <f>VLOOKUP(A2786,[1]!Table1[#All],22,FALSE)</f>
        <v>APPALACHIAN PROGRAM FOR SAVE THE CHILDREN FEDERATI</v>
      </c>
      <c r="H2786" s="8">
        <f>VLOOKUP(A2786,[1]!Table1[#All],32,FALSE)</f>
        <v>44104</v>
      </c>
      <c r="I2786" s="8">
        <f>VLOOKUP(A2786,[1]!Table1[#All],33,FALSE)</f>
        <v>45929</v>
      </c>
      <c r="J2786" t="str">
        <f t="shared" ca="1" si="47"/>
        <v>Non UDO</v>
      </c>
    </row>
    <row r="2787" spans="1:10" x14ac:dyDescent="0.35">
      <c r="A2787" s="9" t="s">
        <v>89</v>
      </c>
      <c r="B2787" s="10">
        <v>44317</v>
      </c>
      <c r="C2787" s="11">
        <v>1800000</v>
      </c>
      <c r="D2787" s="11">
        <v>17438.04</v>
      </c>
      <c r="E2787" s="11">
        <v>1782561.96</v>
      </c>
      <c r="F2787" t="str">
        <f>VLOOKUP(A2787,[1]!Table1[#All],17,FALSE)</f>
        <v>UNITED STATES</v>
      </c>
      <c r="G2787" t="str">
        <f>VLOOKUP(A2787,[1]!Table1[#All],22,FALSE)</f>
        <v>APPALACHIAN PROGRAM FOR SAVE THE CHILDREN FEDERATI</v>
      </c>
      <c r="H2787" s="8">
        <f>VLOOKUP(A2787,[1]!Table1[#All],32,FALSE)</f>
        <v>44104</v>
      </c>
      <c r="I2787" s="8">
        <f>VLOOKUP(A2787,[1]!Table1[#All],33,FALSE)</f>
        <v>45929</v>
      </c>
      <c r="J2787" t="str">
        <f t="shared" ca="1" si="47"/>
        <v>Non UDO</v>
      </c>
    </row>
    <row r="2788" spans="1:10" x14ac:dyDescent="0.35">
      <c r="A2788" s="5" t="s">
        <v>89</v>
      </c>
      <c r="B2788" s="6">
        <v>44348</v>
      </c>
      <c r="C2788" s="7">
        <v>1800000</v>
      </c>
      <c r="D2788" s="7">
        <v>17438.04</v>
      </c>
      <c r="E2788" s="7">
        <v>1782561.96</v>
      </c>
      <c r="F2788" t="str">
        <f>VLOOKUP(A2788,[1]!Table1[#All],17,FALSE)</f>
        <v>UNITED STATES</v>
      </c>
      <c r="G2788" t="str">
        <f>VLOOKUP(A2788,[1]!Table1[#All],22,FALSE)</f>
        <v>APPALACHIAN PROGRAM FOR SAVE THE CHILDREN FEDERATI</v>
      </c>
      <c r="H2788" s="8">
        <f>VLOOKUP(A2788,[1]!Table1[#All],32,FALSE)</f>
        <v>44104</v>
      </c>
      <c r="I2788" s="8">
        <f>VLOOKUP(A2788,[1]!Table1[#All],33,FALSE)</f>
        <v>45929</v>
      </c>
      <c r="J2788" t="str">
        <f t="shared" ca="1" si="47"/>
        <v>Non UDO</v>
      </c>
    </row>
    <row r="2789" spans="1:10" x14ac:dyDescent="0.35">
      <c r="A2789" s="9" t="s">
        <v>89</v>
      </c>
      <c r="B2789" s="10">
        <v>44378</v>
      </c>
      <c r="C2789" s="11">
        <v>1800000</v>
      </c>
      <c r="D2789" s="11">
        <v>17438.04</v>
      </c>
      <c r="E2789" s="11">
        <v>1782561.96</v>
      </c>
      <c r="F2789" t="str">
        <f>VLOOKUP(A2789,[1]!Table1[#All],17,FALSE)</f>
        <v>UNITED STATES</v>
      </c>
      <c r="G2789" t="str">
        <f>VLOOKUP(A2789,[1]!Table1[#All],22,FALSE)</f>
        <v>APPALACHIAN PROGRAM FOR SAVE THE CHILDREN FEDERATI</v>
      </c>
      <c r="H2789" s="8">
        <f>VLOOKUP(A2789,[1]!Table1[#All],32,FALSE)</f>
        <v>44104</v>
      </c>
      <c r="I2789" s="8">
        <f>VLOOKUP(A2789,[1]!Table1[#All],33,FALSE)</f>
        <v>45929</v>
      </c>
      <c r="J2789" t="str">
        <f t="shared" ca="1" si="47"/>
        <v>Non UDO</v>
      </c>
    </row>
    <row r="2790" spans="1:10" x14ac:dyDescent="0.35">
      <c r="A2790" s="5" t="s">
        <v>89</v>
      </c>
      <c r="B2790" s="6">
        <v>44409</v>
      </c>
      <c r="C2790" s="7">
        <v>1800000</v>
      </c>
      <c r="D2790" s="7">
        <v>17438.04</v>
      </c>
      <c r="E2790" s="7">
        <v>1782561.96</v>
      </c>
      <c r="F2790" t="str">
        <f>VLOOKUP(A2790,[1]!Table1[#All],17,FALSE)</f>
        <v>UNITED STATES</v>
      </c>
      <c r="G2790" t="str">
        <f>VLOOKUP(A2790,[1]!Table1[#All],22,FALSE)</f>
        <v>APPALACHIAN PROGRAM FOR SAVE THE CHILDREN FEDERATI</v>
      </c>
      <c r="H2790" s="8">
        <f>VLOOKUP(A2790,[1]!Table1[#All],32,FALSE)</f>
        <v>44104</v>
      </c>
      <c r="I2790" s="8">
        <f>VLOOKUP(A2790,[1]!Table1[#All],33,FALSE)</f>
        <v>45929</v>
      </c>
      <c r="J2790" t="str">
        <f t="shared" ca="1" si="47"/>
        <v>Non UDO</v>
      </c>
    </row>
    <row r="2791" spans="1:10" x14ac:dyDescent="0.35">
      <c r="A2791" s="9" t="s">
        <v>89</v>
      </c>
      <c r="B2791" s="10">
        <v>44440</v>
      </c>
      <c r="C2791" s="11">
        <v>1800000</v>
      </c>
      <c r="D2791" s="11">
        <v>17438.04</v>
      </c>
      <c r="E2791" s="11">
        <v>1782561.96</v>
      </c>
      <c r="F2791" t="str">
        <f>VLOOKUP(A2791,[1]!Table1[#All],17,FALSE)</f>
        <v>UNITED STATES</v>
      </c>
      <c r="G2791" t="str">
        <f>VLOOKUP(A2791,[1]!Table1[#All],22,FALSE)</f>
        <v>APPALACHIAN PROGRAM FOR SAVE THE CHILDREN FEDERATI</v>
      </c>
      <c r="H2791" s="8">
        <f>VLOOKUP(A2791,[1]!Table1[#All],32,FALSE)</f>
        <v>44104</v>
      </c>
      <c r="I2791" s="8">
        <f>VLOOKUP(A2791,[1]!Table1[#All],33,FALSE)</f>
        <v>45929</v>
      </c>
      <c r="J2791" t="str">
        <f t="shared" ca="1" si="47"/>
        <v>Non UDO</v>
      </c>
    </row>
    <row r="2792" spans="1:10" x14ac:dyDescent="0.35">
      <c r="A2792" s="5" t="s">
        <v>89</v>
      </c>
      <c r="B2792" s="6">
        <v>44470</v>
      </c>
      <c r="C2792" s="7">
        <v>1800000</v>
      </c>
      <c r="D2792" s="7">
        <v>17438.04</v>
      </c>
      <c r="E2792" s="7">
        <v>1782561.96</v>
      </c>
      <c r="F2792" t="str">
        <f>VLOOKUP(A2792,[1]!Table1[#All],17,FALSE)</f>
        <v>UNITED STATES</v>
      </c>
      <c r="G2792" t="str">
        <f>VLOOKUP(A2792,[1]!Table1[#All],22,FALSE)</f>
        <v>APPALACHIAN PROGRAM FOR SAVE THE CHILDREN FEDERATI</v>
      </c>
      <c r="H2792" s="8">
        <f>VLOOKUP(A2792,[1]!Table1[#All],32,FALSE)</f>
        <v>44104</v>
      </c>
      <c r="I2792" s="8">
        <f>VLOOKUP(A2792,[1]!Table1[#All],33,FALSE)</f>
        <v>45929</v>
      </c>
      <c r="J2792" t="str">
        <f t="shared" ca="1" si="47"/>
        <v>Non UDO</v>
      </c>
    </row>
    <row r="2793" spans="1:10" x14ac:dyDescent="0.35">
      <c r="A2793" s="9" t="s">
        <v>89</v>
      </c>
      <c r="B2793" s="10">
        <v>44501</v>
      </c>
      <c r="C2793" s="11">
        <v>1800000</v>
      </c>
      <c r="D2793" s="11">
        <v>17438.04</v>
      </c>
      <c r="E2793" s="11">
        <v>1782561.96</v>
      </c>
      <c r="F2793" t="str">
        <f>VLOOKUP(A2793,[1]!Table1[#All],17,FALSE)</f>
        <v>UNITED STATES</v>
      </c>
      <c r="G2793" t="str">
        <f>VLOOKUP(A2793,[1]!Table1[#All],22,FALSE)</f>
        <v>APPALACHIAN PROGRAM FOR SAVE THE CHILDREN FEDERATI</v>
      </c>
      <c r="H2793" s="8">
        <f>VLOOKUP(A2793,[1]!Table1[#All],32,FALSE)</f>
        <v>44104</v>
      </c>
      <c r="I2793" s="8">
        <f>VLOOKUP(A2793,[1]!Table1[#All],33,FALSE)</f>
        <v>45929</v>
      </c>
      <c r="J2793" t="str">
        <f t="shared" ca="1" si="47"/>
        <v>Non UDO</v>
      </c>
    </row>
    <row r="2794" spans="1:10" x14ac:dyDescent="0.35">
      <c r="A2794" s="5" t="s">
        <v>89</v>
      </c>
      <c r="B2794" s="6">
        <v>44531</v>
      </c>
      <c r="C2794" s="7">
        <v>1800000</v>
      </c>
      <c r="D2794" s="7">
        <v>604231.84</v>
      </c>
      <c r="E2794" s="7">
        <v>1195768.1599999999</v>
      </c>
      <c r="F2794" t="str">
        <f>VLOOKUP(A2794,[1]!Table1[#All],17,FALSE)</f>
        <v>UNITED STATES</v>
      </c>
      <c r="G2794" t="str">
        <f>VLOOKUP(A2794,[1]!Table1[#All],22,FALSE)</f>
        <v>APPALACHIAN PROGRAM FOR SAVE THE CHILDREN FEDERATI</v>
      </c>
      <c r="H2794" s="8">
        <f>VLOOKUP(A2794,[1]!Table1[#All],32,FALSE)</f>
        <v>44104</v>
      </c>
      <c r="I2794" s="8">
        <f>VLOOKUP(A2794,[1]!Table1[#All],33,FALSE)</f>
        <v>45929</v>
      </c>
      <c r="J2794" t="str">
        <f t="shared" ca="1" si="47"/>
        <v>Non UDO</v>
      </c>
    </row>
    <row r="2795" spans="1:10" x14ac:dyDescent="0.35">
      <c r="A2795" s="9" t="s">
        <v>89</v>
      </c>
      <c r="B2795" s="10">
        <v>44562</v>
      </c>
      <c r="C2795" s="11">
        <v>1800000</v>
      </c>
      <c r="D2795" s="11">
        <v>604231.84</v>
      </c>
      <c r="E2795" s="11">
        <v>1195768.1599999999</v>
      </c>
      <c r="F2795" t="str">
        <f>VLOOKUP(A2795,[1]!Table1[#All],17,FALSE)</f>
        <v>UNITED STATES</v>
      </c>
      <c r="G2795" t="str">
        <f>VLOOKUP(A2795,[1]!Table1[#All],22,FALSE)</f>
        <v>APPALACHIAN PROGRAM FOR SAVE THE CHILDREN FEDERATI</v>
      </c>
      <c r="H2795" s="8">
        <f>VLOOKUP(A2795,[1]!Table1[#All],32,FALSE)</f>
        <v>44104</v>
      </c>
      <c r="I2795" s="8">
        <f>VLOOKUP(A2795,[1]!Table1[#All],33,FALSE)</f>
        <v>45929</v>
      </c>
      <c r="J2795" t="str">
        <f t="shared" ca="1" si="47"/>
        <v>Non UDO</v>
      </c>
    </row>
    <row r="2796" spans="1:10" x14ac:dyDescent="0.35">
      <c r="A2796" s="5" t="s">
        <v>89</v>
      </c>
      <c r="B2796" s="6">
        <v>44593</v>
      </c>
      <c r="C2796" s="7">
        <v>1800000</v>
      </c>
      <c r="D2796" s="7">
        <v>665086.61</v>
      </c>
      <c r="E2796" s="7">
        <v>1134913.3899999999</v>
      </c>
      <c r="F2796" t="str">
        <f>VLOOKUP(A2796,[1]!Table1[#All],17,FALSE)</f>
        <v>UNITED STATES</v>
      </c>
      <c r="G2796" t="str">
        <f>VLOOKUP(A2796,[1]!Table1[#All],22,FALSE)</f>
        <v>APPALACHIAN PROGRAM FOR SAVE THE CHILDREN FEDERATI</v>
      </c>
      <c r="H2796" s="8">
        <f>VLOOKUP(A2796,[1]!Table1[#All],32,FALSE)</f>
        <v>44104</v>
      </c>
      <c r="I2796" s="8">
        <f>VLOOKUP(A2796,[1]!Table1[#All],33,FALSE)</f>
        <v>45929</v>
      </c>
      <c r="J2796" t="str">
        <f t="shared" ca="1" si="47"/>
        <v>Non UDO</v>
      </c>
    </row>
    <row r="2797" spans="1:10" x14ac:dyDescent="0.35">
      <c r="A2797" s="9" t="s">
        <v>89</v>
      </c>
      <c r="B2797" s="10">
        <v>44621</v>
      </c>
      <c r="C2797" s="11">
        <v>1800000</v>
      </c>
      <c r="D2797" s="11">
        <v>768893.4</v>
      </c>
      <c r="E2797" s="11">
        <v>1031106.6</v>
      </c>
      <c r="F2797" t="str">
        <f>VLOOKUP(A2797,[1]!Table1[#All],17,FALSE)</f>
        <v>UNITED STATES</v>
      </c>
      <c r="G2797" t="str">
        <f>VLOOKUP(A2797,[1]!Table1[#All],22,FALSE)</f>
        <v>APPALACHIAN PROGRAM FOR SAVE THE CHILDREN FEDERATI</v>
      </c>
      <c r="H2797" s="8">
        <f>VLOOKUP(A2797,[1]!Table1[#All],32,FALSE)</f>
        <v>44104</v>
      </c>
      <c r="I2797" s="8">
        <f>VLOOKUP(A2797,[1]!Table1[#All],33,FALSE)</f>
        <v>45929</v>
      </c>
      <c r="J2797" t="str">
        <f t="shared" ca="1" si="47"/>
        <v>Non UDO</v>
      </c>
    </row>
    <row r="2798" spans="1:10" x14ac:dyDescent="0.35">
      <c r="A2798" s="5" t="s">
        <v>89</v>
      </c>
      <c r="B2798" s="6">
        <v>44652</v>
      </c>
      <c r="C2798" s="7">
        <v>1800000</v>
      </c>
      <c r="D2798" s="7">
        <v>864758.57</v>
      </c>
      <c r="E2798" s="7">
        <v>935241.43</v>
      </c>
      <c r="F2798" t="str">
        <f>VLOOKUP(A2798,[1]!Table1[#All],17,FALSE)</f>
        <v>UNITED STATES</v>
      </c>
      <c r="G2798" t="str">
        <f>VLOOKUP(A2798,[1]!Table1[#All],22,FALSE)</f>
        <v>APPALACHIAN PROGRAM FOR SAVE THE CHILDREN FEDERATI</v>
      </c>
      <c r="H2798" s="8">
        <f>VLOOKUP(A2798,[1]!Table1[#All],32,FALSE)</f>
        <v>44104</v>
      </c>
      <c r="I2798" s="8">
        <f>VLOOKUP(A2798,[1]!Table1[#All],33,FALSE)</f>
        <v>45929</v>
      </c>
      <c r="J2798" t="str">
        <f t="shared" ca="1" si="47"/>
        <v>Non UDO</v>
      </c>
    </row>
    <row r="2799" spans="1:10" x14ac:dyDescent="0.35">
      <c r="A2799" s="9" t="s">
        <v>89</v>
      </c>
      <c r="B2799" s="10">
        <v>44682</v>
      </c>
      <c r="C2799" s="11">
        <v>1800000</v>
      </c>
      <c r="D2799" s="11">
        <v>864758.57</v>
      </c>
      <c r="E2799" s="11">
        <v>935241.43</v>
      </c>
      <c r="F2799" t="str">
        <f>VLOOKUP(A2799,[1]!Table1[#All],17,FALSE)</f>
        <v>UNITED STATES</v>
      </c>
      <c r="G2799" t="str">
        <f>VLOOKUP(A2799,[1]!Table1[#All],22,FALSE)</f>
        <v>APPALACHIAN PROGRAM FOR SAVE THE CHILDREN FEDERATI</v>
      </c>
      <c r="H2799" s="8">
        <f>VLOOKUP(A2799,[1]!Table1[#All],32,FALSE)</f>
        <v>44104</v>
      </c>
      <c r="I2799" s="8">
        <f>VLOOKUP(A2799,[1]!Table1[#All],33,FALSE)</f>
        <v>45929</v>
      </c>
      <c r="J2799" t="str">
        <f t="shared" ca="1" si="47"/>
        <v>Non UDO</v>
      </c>
    </row>
    <row r="2800" spans="1:10" x14ac:dyDescent="0.35">
      <c r="A2800" s="5" t="s">
        <v>89</v>
      </c>
      <c r="B2800" s="6">
        <v>44713</v>
      </c>
      <c r="C2800" s="7">
        <v>1800000</v>
      </c>
      <c r="D2800" s="7">
        <v>1009115.84</v>
      </c>
      <c r="E2800" s="7">
        <v>790884.16</v>
      </c>
      <c r="F2800" t="str">
        <f>VLOOKUP(A2800,[1]!Table1[#All],17,FALSE)</f>
        <v>UNITED STATES</v>
      </c>
      <c r="G2800" t="str">
        <f>VLOOKUP(A2800,[1]!Table1[#All],22,FALSE)</f>
        <v>APPALACHIAN PROGRAM FOR SAVE THE CHILDREN FEDERATI</v>
      </c>
      <c r="H2800" s="8">
        <f>VLOOKUP(A2800,[1]!Table1[#All],32,FALSE)</f>
        <v>44104</v>
      </c>
      <c r="I2800" s="8">
        <f>VLOOKUP(A2800,[1]!Table1[#All],33,FALSE)</f>
        <v>45929</v>
      </c>
      <c r="J2800" t="str">
        <f t="shared" ca="1" si="47"/>
        <v>Non UDO</v>
      </c>
    </row>
    <row r="2801" spans="1:10" x14ac:dyDescent="0.35">
      <c r="A2801" s="9" t="s">
        <v>89</v>
      </c>
      <c r="B2801" s="10">
        <v>44743</v>
      </c>
      <c r="C2801" s="11">
        <v>1800000</v>
      </c>
      <c r="D2801" s="11">
        <v>1081156.44</v>
      </c>
      <c r="E2801" s="11">
        <v>718843.56</v>
      </c>
      <c r="F2801" t="str">
        <f>VLOOKUP(A2801,[1]!Table1[#All],17,FALSE)</f>
        <v>UNITED STATES</v>
      </c>
      <c r="G2801" t="str">
        <f>VLOOKUP(A2801,[1]!Table1[#All],22,FALSE)</f>
        <v>APPALACHIAN PROGRAM FOR SAVE THE CHILDREN FEDERATI</v>
      </c>
      <c r="H2801" s="8">
        <f>VLOOKUP(A2801,[1]!Table1[#All],32,FALSE)</f>
        <v>44104</v>
      </c>
      <c r="I2801" s="8">
        <f>VLOOKUP(A2801,[1]!Table1[#All],33,FALSE)</f>
        <v>45929</v>
      </c>
      <c r="J2801" t="str">
        <f t="shared" ca="1" si="47"/>
        <v>Non UDO</v>
      </c>
    </row>
    <row r="2802" spans="1:10" x14ac:dyDescent="0.35">
      <c r="A2802" s="5" t="s">
        <v>89</v>
      </c>
      <c r="B2802" s="6">
        <v>44774</v>
      </c>
      <c r="C2802" s="7">
        <v>1800000</v>
      </c>
      <c r="D2802" s="7">
        <v>1173725.72</v>
      </c>
      <c r="E2802" s="7">
        <v>626274.28</v>
      </c>
      <c r="F2802" t="str">
        <f>VLOOKUP(A2802,[1]!Table1[#All],17,FALSE)</f>
        <v>UNITED STATES</v>
      </c>
      <c r="G2802" t="str">
        <f>VLOOKUP(A2802,[1]!Table1[#All],22,FALSE)</f>
        <v>APPALACHIAN PROGRAM FOR SAVE THE CHILDREN FEDERATI</v>
      </c>
      <c r="H2802" s="8">
        <f>VLOOKUP(A2802,[1]!Table1[#All],32,FALSE)</f>
        <v>44104</v>
      </c>
      <c r="I2802" s="8">
        <f>VLOOKUP(A2802,[1]!Table1[#All],33,FALSE)</f>
        <v>45929</v>
      </c>
      <c r="J2802" t="str">
        <f t="shared" ca="1" si="47"/>
        <v>Non UDO</v>
      </c>
    </row>
    <row r="2803" spans="1:10" x14ac:dyDescent="0.35">
      <c r="A2803" s="9" t="s">
        <v>89</v>
      </c>
      <c r="B2803" s="10">
        <v>44805</v>
      </c>
      <c r="C2803" s="11">
        <v>1800000</v>
      </c>
      <c r="D2803" s="11">
        <v>1261198.1000000001</v>
      </c>
      <c r="E2803" s="11">
        <v>538801.9</v>
      </c>
      <c r="F2803" t="str">
        <f>VLOOKUP(A2803,[1]!Table1[#All],17,FALSE)</f>
        <v>UNITED STATES</v>
      </c>
      <c r="G2803" t="str">
        <f>VLOOKUP(A2803,[1]!Table1[#All],22,FALSE)</f>
        <v>APPALACHIAN PROGRAM FOR SAVE THE CHILDREN FEDERATI</v>
      </c>
      <c r="H2803" s="8">
        <f>VLOOKUP(A2803,[1]!Table1[#All],32,FALSE)</f>
        <v>44104</v>
      </c>
      <c r="I2803" s="8">
        <f>VLOOKUP(A2803,[1]!Table1[#All],33,FALSE)</f>
        <v>45929</v>
      </c>
      <c r="J2803" t="str">
        <f t="shared" ca="1" si="47"/>
        <v>Non UDO</v>
      </c>
    </row>
    <row r="2804" spans="1:10" x14ac:dyDescent="0.35">
      <c r="A2804" s="5" t="s">
        <v>89</v>
      </c>
      <c r="B2804" s="6">
        <v>44835</v>
      </c>
      <c r="C2804" s="7">
        <v>1800000</v>
      </c>
      <c r="D2804" s="7">
        <v>1353592.77</v>
      </c>
      <c r="E2804" s="7">
        <v>446407.23</v>
      </c>
      <c r="F2804" t="str">
        <f>VLOOKUP(A2804,[1]!Table1[#All],17,FALSE)</f>
        <v>UNITED STATES</v>
      </c>
      <c r="G2804" t="str">
        <f>VLOOKUP(A2804,[1]!Table1[#All],22,FALSE)</f>
        <v>APPALACHIAN PROGRAM FOR SAVE THE CHILDREN FEDERATI</v>
      </c>
      <c r="H2804" s="8">
        <f>VLOOKUP(A2804,[1]!Table1[#All],32,FALSE)</f>
        <v>44104</v>
      </c>
      <c r="I2804" s="8">
        <f>VLOOKUP(A2804,[1]!Table1[#All],33,FALSE)</f>
        <v>45929</v>
      </c>
      <c r="J2804" t="str">
        <f t="shared" ca="1" si="47"/>
        <v>Non UDO</v>
      </c>
    </row>
    <row r="2805" spans="1:10" x14ac:dyDescent="0.35">
      <c r="A2805" s="9" t="s">
        <v>89</v>
      </c>
      <c r="B2805" s="10">
        <v>44866</v>
      </c>
      <c r="C2805" s="11">
        <v>1800000</v>
      </c>
      <c r="D2805" s="11">
        <v>1419770.32</v>
      </c>
      <c r="E2805" s="11">
        <v>380229.68</v>
      </c>
      <c r="F2805" t="str">
        <f>VLOOKUP(A2805,[1]!Table1[#All],17,FALSE)</f>
        <v>UNITED STATES</v>
      </c>
      <c r="G2805" t="str">
        <f>VLOOKUP(A2805,[1]!Table1[#All],22,FALSE)</f>
        <v>APPALACHIAN PROGRAM FOR SAVE THE CHILDREN FEDERATI</v>
      </c>
      <c r="H2805" s="8">
        <f>VLOOKUP(A2805,[1]!Table1[#All],32,FALSE)</f>
        <v>44104</v>
      </c>
      <c r="I2805" s="8">
        <f>VLOOKUP(A2805,[1]!Table1[#All],33,FALSE)</f>
        <v>45929</v>
      </c>
      <c r="J2805" t="str">
        <f t="shared" ca="1" si="47"/>
        <v>Non UDO</v>
      </c>
    </row>
    <row r="2806" spans="1:10" x14ac:dyDescent="0.35">
      <c r="A2806" s="5" t="s">
        <v>89</v>
      </c>
      <c r="B2806" s="6">
        <v>44896</v>
      </c>
      <c r="C2806" s="7">
        <v>1800000</v>
      </c>
      <c r="D2806" s="7">
        <v>1424228.52</v>
      </c>
      <c r="E2806" s="7">
        <v>375771.48</v>
      </c>
      <c r="F2806" t="str">
        <f>VLOOKUP(A2806,[1]!Table1[#All],17,FALSE)</f>
        <v>UNITED STATES</v>
      </c>
      <c r="G2806" t="str">
        <f>VLOOKUP(A2806,[1]!Table1[#All],22,FALSE)</f>
        <v>APPALACHIAN PROGRAM FOR SAVE THE CHILDREN FEDERATI</v>
      </c>
      <c r="H2806" s="8">
        <f>VLOOKUP(A2806,[1]!Table1[#All],32,FALSE)</f>
        <v>44104</v>
      </c>
      <c r="I2806" s="8">
        <f>VLOOKUP(A2806,[1]!Table1[#All],33,FALSE)</f>
        <v>45929</v>
      </c>
      <c r="J2806" t="str">
        <f t="shared" ca="1" si="47"/>
        <v>Non UDO</v>
      </c>
    </row>
    <row r="2807" spans="1:10" x14ac:dyDescent="0.35">
      <c r="A2807" s="9" t="s">
        <v>89</v>
      </c>
      <c r="B2807" s="10">
        <v>44927</v>
      </c>
      <c r="C2807" s="11">
        <v>1800000</v>
      </c>
      <c r="D2807" s="11">
        <v>1424228.52</v>
      </c>
      <c r="E2807" s="11">
        <v>375771.48</v>
      </c>
      <c r="F2807" t="str">
        <f>VLOOKUP(A2807,[1]!Table1[#All],17,FALSE)</f>
        <v>UNITED STATES</v>
      </c>
      <c r="G2807" t="str">
        <f>VLOOKUP(A2807,[1]!Table1[#All],22,FALSE)</f>
        <v>APPALACHIAN PROGRAM FOR SAVE THE CHILDREN FEDERATI</v>
      </c>
      <c r="H2807" s="8">
        <f>VLOOKUP(A2807,[1]!Table1[#All],32,FALSE)</f>
        <v>44104</v>
      </c>
      <c r="I2807" s="8">
        <f>VLOOKUP(A2807,[1]!Table1[#All],33,FALSE)</f>
        <v>45929</v>
      </c>
      <c r="J2807" t="str">
        <f t="shared" ca="1" si="47"/>
        <v>Non UDO</v>
      </c>
    </row>
    <row r="2808" spans="1:10" x14ac:dyDescent="0.35">
      <c r="A2808" s="5" t="s">
        <v>89</v>
      </c>
      <c r="B2808" s="6">
        <v>44958</v>
      </c>
      <c r="C2808" s="7">
        <v>1800000</v>
      </c>
      <c r="D2808" s="7">
        <v>1468595.58</v>
      </c>
      <c r="E2808" s="7">
        <v>331404.42</v>
      </c>
      <c r="F2808" t="str">
        <f>VLOOKUP(A2808,[1]!Table1[#All],17,FALSE)</f>
        <v>UNITED STATES</v>
      </c>
      <c r="G2808" t="str">
        <f>VLOOKUP(A2808,[1]!Table1[#All],22,FALSE)</f>
        <v>APPALACHIAN PROGRAM FOR SAVE THE CHILDREN FEDERATI</v>
      </c>
      <c r="H2808" s="8">
        <f>VLOOKUP(A2808,[1]!Table1[#All],32,FALSE)</f>
        <v>44104</v>
      </c>
      <c r="I2808" s="8">
        <f>VLOOKUP(A2808,[1]!Table1[#All],33,FALSE)</f>
        <v>45929</v>
      </c>
      <c r="J2808" t="str">
        <f t="shared" ca="1" si="47"/>
        <v>Non UDO</v>
      </c>
    </row>
    <row r="2809" spans="1:10" x14ac:dyDescent="0.35">
      <c r="A2809" s="9" t="s">
        <v>89</v>
      </c>
      <c r="B2809" s="10">
        <v>44986</v>
      </c>
      <c r="C2809" s="11">
        <v>1800000</v>
      </c>
      <c r="D2809" s="11">
        <v>1532990.55</v>
      </c>
      <c r="E2809" s="11">
        <v>267009.45</v>
      </c>
      <c r="F2809" t="str">
        <f>VLOOKUP(A2809,[1]!Table1[#All],17,FALSE)</f>
        <v>UNITED STATES</v>
      </c>
      <c r="G2809" t="str">
        <f>VLOOKUP(A2809,[1]!Table1[#All],22,FALSE)</f>
        <v>APPALACHIAN PROGRAM FOR SAVE THE CHILDREN FEDERATI</v>
      </c>
      <c r="H2809" s="8">
        <f>VLOOKUP(A2809,[1]!Table1[#All],32,FALSE)</f>
        <v>44104</v>
      </c>
      <c r="I2809" s="8">
        <f>VLOOKUP(A2809,[1]!Table1[#All],33,FALSE)</f>
        <v>45929</v>
      </c>
      <c r="J2809" t="str">
        <f t="shared" ca="1" si="47"/>
        <v>Non UDO</v>
      </c>
    </row>
    <row r="2810" spans="1:10" x14ac:dyDescent="0.35">
      <c r="A2810" s="5" t="s">
        <v>89</v>
      </c>
      <c r="B2810" s="6">
        <v>45017</v>
      </c>
      <c r="C2810" s="7">
        <v>1800000</v>
      </c>
      <c r="D2810" s="7">
        <v>1563672.24</v>
      </c>
      <c r="E2810" s="7">
        <v>236327.76</v>
      </c>
      <c r="F2810" t="str">
        <f>VLOOKUP(A2810,[1]!Table1[#All],17,FALSE)</f>
        <v>UNITED STATES</v>
      </c>
      <c r="G2810" t="str">
        <f>VLOOKUP(A2810,[1]!Table1[#All],22,FALSE)</f>
        <v>APPALACHIAN PROGRAM FOR SAVE THE CHILDREN FEDERATI</v>
      </c>
      <c r="H2810" s="8">
        <f>VLOOKUP(A2810,[1]!Table1[#All],32,FALSE)</f>
        <v>44104</v>
      </c>
      <c r="I2810" s="8">
        <f>VLOOKUP(A2810,[1]!Table1[#All],33,FALSE)</f>
        <v>45929</v>
      </c>
      <c r="J2810" t="str">
        <f t="shared" ca="1" si="47"/>
        <v>Non UDO</v>
      </c>
    </row>
    <row r="2811" spans="1:10" x14ac:dyDescent="0.35">
      <c r="A2811" s="9" t="s">
        <v>89</v>
      </c>
      <c r="B2811" s="10">
        <v>45047</v>
      </c>
      <c r="C2811" s="11">
        <v>1800000</v>
      </c>
      <c r="D2811" s="11">
        <v>1591248.69</v>
      </c>
      <c r="E2811" s="11">
        <v>208751.31</v>
      </c>
      <c r="F2811" t="str">
        <f>VLOOKUP(A2811,[1]!Table1[#All],17,FALSE)</f>
        <v>UNITED STATES</v>
      </c>
      <c r="G2811" t="str">
        <f>VLOOKUP(A2811,[1]!Table1[#All],22,FALSE)</f>
        <v>APPALACHIAN PROGRAM FOR SAVE THE CHILDREN FEDERATI</v>
      </c>
      <c r="H2811" s="8">
        <f>VLOOKUP(A2811,[1]!Table1[#All],32,FALSE)</f>
        <v>44104</v>
      </c>
      <c r="I2811" s="8">
        <f>VLOOKUP(A2811,[1]!Table1[#All],33,FALSE)</f>
        <v>45929</v>
      </c>
      <c r="J2811" t="str">
        <f t="shared" ca="1" si="47"/>
        <v>Non UDO</v>
      </c>
    </row>
    <row r="2812" spans="1:10" x14ac:dyDescent="0.35">
      <c r="A2812" s="5" t="s">
        <v>89</v>
      </c>
      <c r="B2812" s="6">
        <v>45078</v>
      </c>
      <c r="C2812" s="7">
        <v>1800000</v>
      </c>
      <c r="D2812" s="7">
        <v>1638874.89</v>
      </c>
      <c r="E2812" s="7">
        <v>161125.10999999999</v>
      </c>
      <c r="F2812" t="str">
        <f>VLOOKUP(A2812,[1]!Table1[#All],17,FALSE)</f>
        <v>UNITED STATES</v>
      </c>
      <c r="G2812" t="str">
        <f>VLOOKUP(A2812,[1]!Table1[#All],22,FALSE)</f>
        <v>APPALACHIAN PROGRAM FOR SAVE THE CHILDREN FEDERATI</v>
      </c>
      <c r="H2812" s="8">
        <f>VLOOKUP(A2812,[1]!Table1[#All],32,FALSE)</f>
        <v>44104</v>
      </c>
      <c r="I2812" s="8">
        <f>VLOOKUP(A2812,[1]!Table1[#All],33,FALSE)</f>
        <v>45929</v>
      </c>
      <c r="J2812" t="str">
        <f t="shared" ca="1" si="47"/>
        <v>Non UDO</v>
      </c>
    </row>
    <row r="2813" spans="1:10" x14ac:dyDescent="0.35">
      <c r="A2813" s="9" t="s">
        <v>89</v>
      </c>
      <c r="B2813" s="10">
        <v>45108</v>
      </c>
      <c r="C2813" s="11">
        <v>1800000</v>
      </c>
      <c r="D2813" s="11">
        <v>1670958.88</v>
      </c>
      <c r="E2813" s="11">
        <v>129041.12</v>
      </c>
      <c r="F2813" t="str">
        <f>VLOOKUP(A2813,[1]!Table1[#All],17,FALSE)</f>
        <v>UNITED STATES</v>
      </c>
      <c r="G2813" t="str">
        <f>VLOOKUP(A2813,[1]!Table1[#All],22,FALSE)</f>
        <v>APPALACHIAN PROGRAM FOR SAVE THE CHILDREN FEDERATI</v>
      </c>
      <c r="H2813" s="8">
        <f>VLOOKUP(A2813,[1]!Table1[#All],32,FALSE)</f>
        <v>44104</v>
      </c>
      <c r="I2813" s="8">
        <f>VLOOKUP(A2813,[1]!Table1[#All],33,FALSE)</f>
        <v>45929</v>
      </c>
      <c r="J2813" t="str">
        <f t="shared" ca="1" si="47"/>
        <v>Non UDO</v>
      </c>
    </row>
    <row r="2814" spans="1:10" x14ac:dyDescent="0.35">
      <c r="A2814" s="5" t="s">
        <v>89</v>
      </c>
      <c r="B2814" s="6">
        <v>45139</v>
      </c>
      <c r="C2814" s="7">
        <v>1800000</v>
      </c>
      <c r="D2814" s="7">
        <v>1699761.54</v>
      </c>
      <c r="E2814" s="7">
        <v>100238.46</v>
      </c>
      <c r="F2814" t="str">
        <f>VLOOKUP(A2814,[1]!Table1[#All],17,FALSE)</f>
        <v>UNITED STATES</v>
      </c>
      <c r="G2814" t="str">
        <f>VLOOKUP(A2814,[1]!Table1[#All],22,FALSE)</f>
        <v>APPALACHIAN PROGRAM FOR SAVE THE CHILDREN FEDERATI</v>
      </c>
      <c r="H2814" s="8">
        <f>VLOOKUP(A2814,[1]!Table1[#All],32,FALSE)</f>
        <v>44104</v>
      </c>
      <c r="I2814" s="8">
        <f>VLOOKUP(A2814,[1]!Table1[#All],33,FALSE)</f>
        <v>45929</v>
      </c>
      <c r="J2814" t="str">
        <f t="shared" ca="1" si="47"/>
        <v>Non UDO</v>
      </c>
    </row>
    <row r="2815" spans="1:10" x14ac:dyDescent="0.35">
      <c r="A2815" s="9" t="s">
        <v>89</v>
      </c>
      <c r="B2815" s="10">
        <v>45170</v>
      </c>
      <c r="C2815" s="11">
        <v>1800000</v>
      </c>
      <c r="D2815" s="11">
        <v>1744673.13</v>
      </c>
      <c r="E2815" s="11">
        <v>55326.87</v>
      </c>
      <c r="F2815" t="str">
        <f>VLOOKUP(A2815,[1]!Table1[#All],17,FALSE)</f>
        <v>UNITED STATES</v>
      </c>
      <c r="G2815" t="str">
        <f>VLOOKUP(A2815,[1]!Table1[#All],22,FALSE)</f>
        <v>APPALACHIAN PROGRAM FOR SAVE THE CHILDREN FEDERATI</v>
      </c>
      <c r="H2815" s="8">
        <f>VLOOKUP(A2815,[1]!Table1[#All],32,FALSE)</f>
        <v>44104</v>
      </c>
      <c r="I2815" s="8">
        <f>VLOOKUP(A2815,[1]!Table1[#All],33,FALSE)</f>
        <v>45929</v>
      </c>
      <c r="J2815" t="str">
        <f t="shared" ca="1" si="47"/>
        <v>Non UDO</v>
      </c>
    </row>
    <row r="2816" spans="1:10" x14ac:dyDescent="0.35">
      <c r="A2816" s="5" t="s">
        <v>90</v>
      </c>
      <c r="B2816" s="6">
        <v>44409</v>
      </c>
      <c r="C2816" s="7">
        <v>150000</v>
      </c>
      <c r="D2816" s="7">
        <v>0</v>
      </c>
      <c r="E2816" s="7">
        <v>150000</v>
      </c>
      <c r="F2816" t="str">
        <f>VLOOKUP(A2816,[1]!Table1[#All],17,FALSE)</f>
        <v>UNITED STATES</v>
      </c>
      <c r="G2816" t="str">
        <f>VLOOKUP(A2816,[1]!Table1[#All],22,FALSE)</f>
        <v>APPALACHIAN PROGRAM FOR SAVE THE CHILDREN FEDERATION</v>
      </c>
      <c r="H2816" s="8">
        <f>VLOOKUP(A2816,[1]!Table1[#All],32,FALSE)</f>
        <v>44104</v>
      </c>
      <c r="I2816" s="8">
        <f>VLOOKUP(A2816,[1]!Table1[#All],33,FALSE)</f>
        <v>45929</v>
      </c>
      <c r="J2816" t="str">
        <f t="shared" ca="1" si="47"/>
        <v>Non UDO</v>
      </c>
    </row>
    <row r="2817" spans="1:10" x14ac:dyDescent="0.35">
      <c r="A2817" s="9" t="s">
        <v>90</v>
      </c>
      <c r="B2817" s="10">
        <v>44440</v>
      </c>
      <c r="C2817" s="11">
        <v>150000</v>
      </c>
      <c r="D2817" s="11">
        <v>0</v>
      </c>
      <c r="E2817" s="11">
        <v>150000</v>
      </c>
      <c r="F2817" t="str">
        <f>VLOOKUP(A2817,[1]!Table1[#All],17,FALSE)</f>
        <v>UNITED STATES</v>
      </c>
      <c r="G2817" t="str">
        <f>VLOOKUP(A2817,[1]!Table1[#All],22,FALSE)</f>
        <v>APPALACHIAN PROGRAM FOR SAVE THE CHILDREN FEDERATION</v>
      </c>
      <c r="H2817" s="8">
        <f>VLOOKUP(A2817,[1]!Table1[#All],32,FALSE)</f>
        <v>44104</v>
      </c>
      <c r="I2817" s="8">
        <f>VLOOKUP(A2817,[1]!Table1[#All],33,FALSE)</f>
        <v>45929</v>
      </c>
      <c r="J2817" t="str">
        <f t="shared" ca="1" si="47"/>
        <v>Non UDO</v>
      </c>
    </row>
    <row r="2818" spans="1:10" x14ac:dyDescent="0.35">
      <c r="A2818" s="5" t="s">
        <v>90</v>
      </c>
      <c r="B2818" s="6">
        <v>44470</v>
      </c>
      <c r="C2818" s="7">
        <v>150000</v>
      </c>
      <c r="D2818" s="7">
        <v>0</v>
      </c>
      <c r="E2818" s="7">
        <v>150000</v>
      </c>
      <c r="F2818" t="str">
        <f>VLOOKUP(A2818,[1]!Table1[#All],17,FALSE)</f>
        <v>UNITED STATES</v>
      </c>
      <c r="G2818" t="str">
        <f>VLOOKUP(A2818,[1]!Table1[#All],22,FALSE)</f>
        <v>APPALACHIAN PROGRAM FOR SAVE THE CHILDREN FEDERATION</v>
      </c>
      <c r="H2818" s="8">
        <f>VLOOKUP(A2818,[1]!Table1[#All],32,FALSE)</f>
        <v>44104</v>
      </c>
      <c r="I2818" s="8">
        <f>VLOOKUP(A2818,[1]!Table1[#All],33,FALSE)</f>
        <v>45929</v>
      </c>
      <c r="J2818" t="str">
        <f t="shared" ca="1" si="47"/>
        <v>Non UDO</v>
      </c>
    </row>
    <row r="2819" spans="1:10" x14ac:dyDescent="0.35">
      <c r="A2819" s="9" t="s">
        <v>90</v>
      </c>
      <c r="B2819" s="10">
        <v>44501</v>
      </c>
      <c r="C2819" s="11">
        <v>150000</v>
      </c>
      <c r="D2819" s="11">
        <v>0</v>
      </c>
      <c r="E2819" s="11">
        <v>150000</v>
      </c>
      <c r="F2819" t="str">
        <f>VLOOKUP(A2819,[1]!Table1[#All],17,FALSE)</f>
        <v>UNITED STATES</v>
      </c>
      <c r="G2819" t="str">
        <f>VLOOKUP(A2819,[1]!Table1[#All],22,FALSE)</f>
        <v>APPALACHIAN PROGRAM FOR SAVE THE CHILDREN FEDERATION</v>
      </c>
      <c r="H2819" s="8">
        <f>VLOOKUP(A2819,[1]!Table1[#All],32,FALSE)</f>
        <v>44104</v>
      </c>
      <c r="I2819" s="8">
        <f>VLOOKUP(A2819,[1]!Table1[#All],33,FALSE)</f>
        <v>45929</v>
      </c>
      <c r="J2819" t="str">
        <f t="shared" ref="J2819:J2882" ca="1" si="48">IF(AND( E2819&gt;0,TODAY()&gt;I2819),"UDO","Non UDO")</f>
        <v>Non UDO</v>
      </c>
    </row>
    <row r="2820" spans="1:10" x14ac:dyDescent="0.35">
      <c r="A2820" s="5" t="s">
        <v>90</v>
      </c>
      <c r="B2820" s="6">
        <v>44531</v>
      </c>
      <c r="C2820" s="7">
        <v>150000</v>
      </c>
      <c r="D2820" s="7">
        <v>0</v>
      </c>
      <c r="E2820" s="7">
        <v>150000</v>
      </c>
      <c r="F2820" t="str">
        <f>VLOOKUP(A2820,[1]!Table1[#All],17,FALSE)</f>
        <v>UNITED STATES</v>
      </c>
      <c r="G2820" t="str">
        <f>VLOOKUP(A2820,[1]!Table1[#All],22,FALSE)</f>
        <v>APPALACHIAN PROGRAM FOR SAVE THE CHILDREN FEDERATION</v>
      </c>
      <c r="H2820" s="8">
        <f>VLOOKUP(A2820,[1]!Table1[#All],32,FALSE)</f>
        <v>44104</v>
      </c>
      <c r="I2820" s="8">
        <f>VLOOKUP(A2820,[1]!Table1[#All],33,FALSE)</f>
        <v>45929</v>
      </c>
      <c r="J2820" t="str">
        <f t="shared" ca="1" si="48"/>
        <v>Non UDO</v>
      </c>
    </row>
    <row r="2821" spans="1:10" x14ac:dyDescent="0.35">
      <c r="A2821" s="9" t="s">
        <v>90</v>
      </c>
      <c r="B2821" s="10">
        <v>44562</v>
      </c>
      <c r="C2821" s="11">
        <v>150000</v>
      </c>
      <c r="D2821" s="11">
        <v>0</v>
      </c>
      <c r="E2821" s="11">
        <v>150000</v>
      </c>
      <c r="F2821" t="str">
        <f>VLOOKUP(A2821,[1]!Table1[#All],17,FALSE)</f>
        <v>UNITED STATES</v>
      </c>
      <c r="G2821" t="str">
        <f>VLOOKUP(A2821,[1]!Table1[#All],22,FALSE)</f>
        <v>APPALACHIAN PROGRAM FOR SAVE THE CHILDREN FEDERATION</v>
      </c>
      <c r="H2821" s="8">
        <f>VLOOKUP(A2821,[1]!Table1[#All],32,FALSE)</f>
        <v>44104</v>
      </c>
      <c r="I2821" s="8">
        <f>VLOOKUP(A2821,[1]!Table1[#All],33,FALSE)</f>
        <v>45929</v>
      </c>
      <c r="J2821" t="str">
        <f t="shared" ca="1" si="48"/>
        <v>Non UDO</v>
      </c>
    </row>
    <row r="2822" spans="1:10" x14ac:dyDescent="0.35">
      <c r="A2822" s="5" t="s">
        <v>90</v>
      </c>
      <c r="B2822" s="6">
        <v>44593</v>
      </c>
      <c r="C2822" s="7">
        <v>150000</v>
      </c>
      <c r="D2822" s="7">
        <v>7633.77</v>
      </c>
      <c r="E2822" s="7">
        <v>142366.23000000001</v>
      </c>
      <c r="F2822" t="str">
        <f>VLOOKUP(A2822,[1]!Table1[#All],17,FALSE)</f>
        <v>UNITED STATES</v>
      </c>
      <c r="G2822" t="str">
        <f>VLOOKUP(A2822,[1]!Table1[#All],22,FALSE)</f>
        <v>APPALACHIAN PROGRAM FOR SAVE THE CHILDREN FEDERATION</v>
      </c>
      <c r="H2822" s="8">
        <f>VLOOKUP(A2822,[1]!Table1[#All],32,FALSE)</f>
        <v>44104</v>
      </c>
      <c r="I2822" s="8">
        <f>VLOOKUP(A2822,[1]!Table1[#All],33,FALSE)</f>
        <v>45929</v>
      </c>
      <c r="J2822" t="str">
        <f t="shared" ca="1" si="48"/>
        <v>Non UDO</v>
      </c>
    </row>
    <row r="2823" spans="1:10" x14ac:dyDescent="0.35">
      <c r="A2823" s="9" t="s">
        <v>90</v>
      </c>
      <c r="B2823" s="10">
        <v>44621</v>
      </c>
      <c r="C2823" s="11">
        <v>150000</v>
      </c>
      <c r="D2823" s="11">
        <v>20655.54</v>
      </c>
      <c r="E2823" s="11">
        <v>129344.46</v>
      </c>
      <c r="F2823" t="str">
        <f>VLOOKUP(A2823,[1]!Table1[#All],17,FALSE)</f>
        <v>UNITED STATES</v>
      </c>
      <c r="G2823" t="str">
        <f>VLOOKUP(A2823,[1]!Table1[#All],22,FALSE)</f>
        <v>APPALACHIAN PROGRAM FOR SAVE THE CHILDREN FEDERATION</v>
      </c>
      <c r="H2823" s="8">
        <f>VLOOKUP(A2823,[1]!Table1[#All],32,FALSE)</f>
        <v>44104</v>
      </c>
      <c r="I2823" s="8">
        <f>VLOOKUP(A2823,[1]!Table1[#All],33,FALSE)</f>
        <v>45929</v>
      </c>
      <c r="J2823" t="str">
        <f t="shared" ca="1" si="48"/>
        <v>Non UDO</v>
      </c>
    </row>
    <row r="2824" spans="1:10" x14ac:dyDescent="0.35">
      <c r="A2824" s="5" t="s">
        <v>90</v>
      </c>
      <c r="B2824" s="6">
        <v>44652</v>
      </c>
      <c r="C2824" s="7">
        <v>150000</v>
      </c>
      <c r="D2824" s="7">
        <v>32681.1</v>
      </c>
      <c r="E2824" s="7">
        <v>117318.9</v>
      </c>
      <c r="F2824" t="str">
        <f>VLOOKUP(A2824,[1]!Table1[#All],17,FALSE)</f>
        <v>UNITED STATES</v>
      </c>
      <c r="G2824" t="str">
        <f>VLOOKUP(A2824,[1]!Table1[#All],22,FALSE)</f>
        <v>APPALACHIAN PROGRAM FOR SAVE THE CHILDREN FEDERATION</v>
      </c>
      <c r="H2824" s="8">
        <f>VLOOKUP(A2824,[1]!Table1[#All],32,FALSE)</f>
        <v>44104</v>
      </c>
      <c r="I2824" s="8">
        <f>VLOOKUP(A2824,[1]!Table1[#All],33,FALSE)</f>
        <v>45929</v>
      </c>
      <c r="J2824" t="str">
        <f t="shared" ca="1" si="48"/>
        <v>Non UDO</v>
      </c>
    </row>
    <row r="2825" spans="1:10" x14ac:dyDescent="0.35">
      <c r="A2825" s="9" t="s">
        <v>90</v>
      </c>
      <c r="B2825" s="10">
        <v>44682</v>
      </c>
      <c r="C2825" s="11">
        <v>150000</v>
      </c>
      <c r="D2825" s="11">
        <v>32681.1</v>
      </c>
      <c r="E2825" s="11">
        <v>117318.9</v>
      </c>
      <c r="F2825" t="str">
        <f>VLOOKUP(A2825,[1]!Table1[#All],17,FALSE)</f>
        <v>UNITED STATES</v>
      </c>
      <c r="G2825" t="str">
        <f>VLOOKUP(A2825,[1]!Table1[#All],22,FALSE)</f>
        <v>APPALACHIAN PROGRAM FOR SAVE THE CHILDREN FEDERATION</v>
      </c>
      <c r="H2825" s="8">
        <f>VLOOKUP(A2825,[1]!Table1[#All],32,FALSE)</f>
        <v>44104</v>
      </c>
      <c r="I2825" s="8">
        <f>VLOOKUP(A2825,[1]!Table1[#All],33,FALSE)</f>
        <v>45929</v>
      </c>
      <c r="J2825" t="str">
        <f t="shared" ca="1" si="48"/>
        <v>Non UDO</v>
      </c>
    </row>
    <row r="2826" spans="1:10" x14ac:dyDescent="0.35">
      <c r="A2826" s="5" t="s">
        <v>90</v>
      </c>
      <c r="B2826" s="6">
        <v>44713</v>
      </c>
      <c r="C2826" s="7">
        <v>150000</v>
      </c>
      <c r="D2826" s="7">
        <v>50789.61</v>
      </c>
      <c r="E2826" s="7">
        <v>99210.39</v>
      </c>
      <c r="F2826" t="str">
        <f>VLOOKUP(A2826,[1]!Table1[#All],17,FALSE)</f>
        <v>UNITED STATES</v>
      </c>
      <c r="G2826" t="str">
        <f>VLOOKUP(A2826,[1]!Table1[#All],22,FALSE)</f>
        <v>APPALACHIAN PROGRAM FOR SAVE THE CHILDREN FEDERATION</v>
      </c>
      <c r="H2826" s="8">
        <f>VLOOKUP(A2826,[1]!Table1[#All],32,FALSE)</f>
        <v>44104</v>
      </c>
      <c r="I2826" s="8">
        <f>VLOOKUP(A2826,[1]!Table1[#All],33,FALSE)</f>
        <v>45929</v>
      </c>
      <c r="J2826" t="str">
        <f t="shared" ca="1" si="48"/>
        <v>Non UDO</v>
      </c>
    </row>
    <row r="2827" spans="1:10" x14ac:dyDescent="0.35">
      <c r="A2827" s="9" t="s">
        <v>90</v>
      </c>
      <c r="B2827" s="10">
        <v>44743</v>
      </c>
      <c r="C2827" s="11">
        <v>150000</v>
      </c>
      <c r="D2827" s="11">
        <v>59826.55</v>
      </c>
      <c r="E2827" s="11">
        <v>90173.45</v>
      </c>
      <c r="F2827" t="str">
        <f>VLOOKUP(A2827,[1]!Table1[#All],17,FALSE)</f>
        <v>UNITED STATES</v>
      </c>
      <c r="G2827" t="str">
        <f>VLOOKUP(A2827,[1]!Table1[#All],22,FALSE)</f>
        <v>APPALACHIAN PROGRAM FOR SAVE THE CHILDREN FEDERATION</v>
      </c>
      <c r="H2827" s="8">
        <f>VLOOKUP(A2827,[1]!Table1[#All],32,FALSE)</f>
        <v>44104</v>
      </c>
      <c r="I2827" s="8">
        <f>VLOOKUP(A2827,[1]!Table1[#All],33,FALSE)</f>
        <v>45929</v>
      </c>
      <c r="J2827" t="str">
        <f t="shared" ca="1" si="48"/>
        <v>Non UDO</v>
      </c>
    </row>
    <row r="2828" spans="1:10" x14ac:dyDescent="0.35">
      <c r="A2828" s="5" t="s">
        <v>90</v>
      </c>
      <c r="B2828" s="6">
        <v>44774</v>
      </c>
      <c r="C2828" s="7">
        <v>150000</v>
      </c>
      <c r="D2828" s="7">
        <v>71438.66</v>
      </c>
      <c r="E2828" s="7">
        <v>78561.34</v>
      </c>
      <c r="F2828" t="str">
        <f>VLOOKUP(A2828,[1]!Table1[#All],17,FALSE)</f>
        <v>UNITED STATES</v>
      </c>
      <c r="G2828" t="str">
        <f>VLOOKUP(A2828,[1]!Table1[#All],22,FALSE)</f>
        <v>APPALACHIAN PROGRAM FOR SAVE THE CHILDREN FEDERATION</v>
      </c>
      <c r="H2828" s="8">
        <f>VLOOKUP(A2828,[1]!Table1[#All],32,FALSE)</f>
        <v>44104</v>
      </c>
      <c r="I2828" s="8">
        <f>VLOOKUP(A2828,[1]!Table1[#All],33,FALSE)</f>
        <v>45929</v>
      </c>
      <c r="J2828" t="str">
        <f t="shared" ca="1" si="48"/>
        <v>Non UDO</v>
      </c>
    </row>
    <row r="2829" spans="1:10" x14ac:dyDescent="0.35">
      <c r="A2829" s="9" t="s">
        <v>90</v>
      </c>
      <c r="B2829" s="10">
        <v>44805</v>
      </c>
      <c r="C2829" s="11">
        <v>150000</v>
      </c>
      <c r="D2829" s="11">
        <v>82411.399999999994</v>
      </c>
      <c r="E2829" s="11">
        <v>67588.600000000006</v>
      </c>
      <c r="F2829" t="str">
        <f>VLOOKUP(A2829,[1]!Table1[#All],17,FALSE)</f>
        <v>UNITED STATES</v>
      </c>
      <c r="G2829" t="str">
        <f>VLOOKUP(A2829,[1]!Table1[#All],22,FALSE)</f>
        <v>APPALACHIAN PROGRAM FOR SAVE THE CHILDREN FEDERATION</v>
      </c>
      <c r="H2829" s="8">
        <f>VLOOKUP(A2829,[1]!Table1[#All],32,FALSE)</f>
        <v>44104</v>
      </c>
      <c r="I2829" s="8">
        <f>VLOOKUP(A2829,[1]!Table1[#All],33,FALSE)</f>
        <v>45929</v>
      </c>
      <c r="J2829" t="str">
        <f t="shared" ca="1" si="48"/>
        <v>Non UDO</v>
      </c>
    </row>
    <row r="2830" spans="1:10" x14ac:dyDescent="0.35">
      <c r="A2830" s="5" t="s">
        <v>90</v>
      </c>
      <c r="B2830" s="6">
        <v>44835</v>
      </c>
      <c r="C2830" s="7">
        <v>150000</v>
      </c>
      <c r="D2830" s="7">
        <v>94001.61</v>
      </c>
      <c r="E2830" s="7">
        <v>55998.39</v>
      </c>
      <c r="F2830" t="str">
        <f>VLOOKUP(A2830,[1]!Table1[#All],17,FALSE)</f>
        <v>UNITED STATES</v>
      </c>
      <c r="G2830" t="str">
        <f>VLOOKUP(A2830,[1]!Table1[#All],22,FALSE)</f>
        <v>APPALACHIAN PROGRAM FOR SAVE THE CHILDREN FEDERATION</v>
      </c>
      <c r="H2830" s="8">
        <f>VLOOKUP(A2830,[1]!Table1[#All],32,FALSE)</f>
        <v>44104</v>
      </c>
      <c r="I2830" s="8">
        <f>VLOOKUP(A2830,[1]!Table1[#All],33,FALSE)</f>
        <v>45929</v>
      </c>
      <c r="J2830" t="str">
        <f t="shared" ca="1" si="48"/>
        <v>Non UDO</v>
      </c>
    </row>
    <row r="2831" spans="1:10" x14ac:dyDescent="0.35">
      <c r="A2831" s="9" t="s">
        <v>90</v>
      </c>
      <c r="B2831" s="10">
        <v>44866</v>
      </c>
      <c r="C2831" s="11">
        <v>150000</v>
      </c>
      <c r="D2831" s="11">
        <v>102303.08</v>
      </c>
      <c r="E2831" s="11">
        <v>47696.92</v>
      </c>
      <c r="F2831" t="str">
        <f>VLOOKUP(A2831,[1]!Table1[#All],17,FALSE)</f>
        <v>UNITED STATES</v>
      </c>
      <c r="G2831" t="str">
        <f>VLOOKUP(A2831,[1]!Table1[#All],22,FALSE)</f>
        <v>APPALACHIAN PROGRAM FOR SAVE THE CHILDREN FEDERATION</v>
      </c>
      <c r="H2831" s="8">
        <f>VLOOKUP(A2831,[1]!Table1[#All],32,FALSE)</f>
        <v>44104</v>
      </c>
      <c r="I2831" s="8">
        <f>VLOOKUP(A2831,[1]!Table1[#All],33,FALSE)</f>
        <v>45929</v>
      </c>
      <c r="J2831" t="str">
        <f t="shared" ca="1" si="48"/>
        <v>Non UDO</v>
      </c>
    </row>
    <row r="2832" spans="1:10" x14ac:dyDescent="0.35">
      <c r="A2832" s="5" t="s">
        <v>90</v>
      </c>
      <c r="B2832" s="6">
        <v>44896</v>
      </c>
      <c r="C2832" s="7">
        <v>150000</v>
      </c>
      <c r="D2832" s="7">
        <v>102862.33</v>
      </c>
      <c r="E2832" s="7">
        <v>47137.67</v>
      </c>
      <c r="F2832" t="str">
        <f>VLOOKUP(A2832,[1]!Table1[#All],17,FALSE)</f>
        <v>UNITED STATES</v>
      </c>
      <c r="G2832" t="str">
        <f>VLOOKUP(A2832,[1]!Table1[#All],22,FALSE)</f>
        <v>APPALACHIAN PROGRAM FOR SAVE THE CHILDREN FEDERATION</v>
      </c>
      <c r="H2832" s="8">
        <f>VLOOKUP(A2832,[1]!Table1[#All],32,FALSE)</f>
        <v>44104</v>
      </c>
      <c r="I2832" s="8">
        <f>VLOOKUP(A2832,[1]!Table1[#All],33,FALSE)</f>
        <v>45929</v>
      </c>
      <c r="J2832" t="str">
        <f t="shared" ca="1" si="48"/>
        <v>Non UDO</v>
      </c>
    </row>
    <row r="2833" spans="1:10" x14ac:dyDescent="0.35">
      <c r="A2833" s="9" t="s">
        <v>90</v>
      </c>
      <c r="B2833" s="10">
        <v>44927</v>
      </c>
      <c r="C2833" s="11">
        <v>150000</v>
      </c>
      <c r="D2833" s="11">
        <v>102862.33</v>
      </c>
      <c r="E2833" s="11">
        <v>47137.67</v>
      </c>
      <c r="F2833" t="str">
        <f>VLOOKUP(A2833,[1]!Table1[#All],17,FALSE)</f>
        <v>UNITED STATES</v>
      </c>
      <c r="G2833" t="str">
        <f>VLOOKUP(A2833,[1]!Table1[#All],22,FALSE)</f>
        <v>APPALACHIAN PROGRAM FOR SAVE THE CHILDREN FEDERATION</v>
      </c>
      <c r="H2833" s="8">
        <f>VLOOKUP(A2833,[1]!Table1[#All],32,FALSE)</f>
        <v>44104</v>
      </c>
      <c r="I2833" s="8">
        <f>VLOOKUP(A2833,[1]!Table1[#All],33,FALSE)</f>
        <v>45929</v>
      </c>
      <c r="J2833" t="str">
        <f t="shared" ca="1" si="48"/>
        <v>Non UDO</v>
      </c>
    </row>
    <row r="2834" spans="1:10" x14ac:dyDescent="0.35">
      <c r="A2834" s="5" t="s">
        <v>90</v>
      </c>
      <c r="B2834" s="6">
        <v>44958</v>
      </c>
      <c r="C2834" s="7">
        <v>150000</v>
      </c>
      <c r="D2834" s="7">
        <v>108427.84</v>
      </c>
      <c r="E2834" s="7">
        <v>41572.160000000003</v>
      </c>
      <c r="F2834" t="str">
        <f>VLOOKUP(A2834,[1]!Table1[#All],17,FALSE)</f>
        <v>UNITED STATES</v>
      </c>
      <c r="G2834" t="str">
        <f>VLOOKUP(A2834,[1]!Table1[#All],22,FALSE)</f>
        <v>APPALACHIAN PROGRAM FOR SAVE THE CHILDREN FEDERATION</v>
      </c>
      <c r="H2834" s="8">
        <f>VLOOKUP(A2834,[1]!Table1[#All],32,FALSE)</f>
        <v>44104</v>
      </c>
      <c r="I2834" s="8">
        <f>VLOOKUP(A2834,[1]!Table1[#All],33,FALSE)</f>
        <v>45929</v>
      </c>
      <c r="J2834" t="str">
        <f t="shared" ca="1" si="48"/>
        <v>Non UDO</v>
      </c>
    </row>
    <row r="2835" spans="1:10" x14ac:dyDescent="0.35">
      <c r="A2835" s="9" t="s">
        <v>90</v>
      </c>
      <c r="B2835" s="10">
        <v>44986</v>
      </c>
      <c r="C2835" s="11">
        <v>150000</v>
      </c>
      <c r="D2835" s="11">
        <v>116505.7</v>
      </c>
      <c r="E2835" s="11">
        <v>33494.300000000003</v>
      </c>
      <c r="F2835" t="str">
        <f>VLOOKUP(A2835,[1]!Table1[#All],17,FALSE)</f>
        <v>UNITED STATES</v>
      </c>
      <c r="G2835" t="str">
        <f>VLOOKUP(A2835,[1]!Table1[#All],22,FALSE)</f>
        <v>APPALACHIAN PROGRAM FOR SAVE THE CHILDREN FEDERATION</v>
      </c>
      <c r="H2835" s="8">
        <f>VLOOKUP(A2835,[1]!Table1[#All],32,FALSE)</f>
        <v>44104</v>
      </c>
      <c r="I2835" s="8">
        <f>VLOOKUP(A2835,[1]!Table1[#All],33,FALSE)</f>
        <v>45929</v>
      </c>
      <c r="J2835" t="str">
        <f t="shared" ca="1" si="48"/>
        <v>Non UDO</v>
      </c>
    </row>
    <row r="2836" spans="1:10" x14ac:dyDescent="0.35">
      <c r="A2836" s="5" t="s">
        <v>90</v>
      </c>
      <c r="B2836" s="6">
        <v>45017</v>
      </c>
      <c r="C2836" s="7">
        <v>150000</v>
      </c>
      <c r="D2836" s="7">
        <v>120354.49</v>
      </c>
      <c r="E2836" s="7">
        <v>29645.51</v>
      </c>
      <c r="F2836" t="str">
        <f>VLOOKUP(A2836,[1]!Table1[#All],17,FALSE)</f>
        <v>UNITED STATES</v>
      </c>
      <c r="G2836" t="str">
        <f>VLOOKUP(A2836,[1]!Table1[#All],22,FALSE)</f>
        <v>APPALACHIAN PROGRAM FOR SAVE THE CHILDREN FEDERATION</v>
      </c>
      <c r="H2836" s="8">
        <f>VLOOKUP(A2836,[1]!Table1[#All],32,FALSE)</f>
        <v>44104</v>
      </c>
      <c r="I2836" s="8">
        <f>VLOOKUP(A2836,[1]!Table1[#All],33,FALSE)</f>
        <v>45929</v>
      </c>
      <c r="J2836" t="str">
        <f t="shared" ca="1" si="48"/>
        <v>Non UDO</v>
      </c>
    </row>
    <row r="2837" spans="1:10" x14ac:dyDescent="0.35">
      <c r="A2837" s="9" t="s">
        <v>90</v>
      </c>
      <c r="B2837" s="10">
        <v>45047</v>
      </c>
      <c r="C2837" s="11">
        <v>150000</v>
      </c>
      <c r="D2837" s="11">
        <v>123813.75</v>
      </c>
      <c r="E2837" s="11">
        <v>26186.25</v>
      </c>
      <c r="F2837" t="str">
        <f>VLOOKUP(A2837,[1]!Table1[#All],17,FALSE)</f>
        <v>UNITED STATES</v>
      </c>
      <c r="G2837" t="str">
        <f>VLOOKUP(A2837,[1]!Table1[#All],22,FALSE)</f>
        <v>APPALACHIAN PROGRAM FOR SAVE THE CHILDREN FEDERATION</v>
      </c>
      <c r="H2837" s="8">
        <f>VLOOKUP(A2837,[1]!Table1[#All],32,FALSE)</f>
        <v>44104</v>
      </c>
      <c r="I2837" s="8">
        <f>VLOOKUP(A2837,[1]!Table1[#All],33,FALSE)</f>
        <v>45929</v>
      </c>
      <c r="J2837" t="str">
        <f t="shared" ca="1" si="48"/>
        <v>Non UDO</v>
      </c>
    </row>
    <row r="2838" spans="1:10" x14ac:dyDescent="0.35">
      <c r="A2838" s="5" t="s">
        <v>90</v>
      </c>
      <c r="B2838" s="6">
        <v>45078</v>
      </c>
      <c r="C2838" s="7">
        <v>150000</v>
      </c>
      <c r="D2838" s="7">
        <v>129788.09</v>
      </c>
      <c r="E2838" s="7">
        <v>20211.91</v>
      </c>
      <c r="F2838" t="str">
        <f>VLOOKUP(A2838,[1]!Table1[#All],17,FALSE)</f>
        <v>UNITED STATES</v>
      </c>
      <c r="G2838" t="str">
        <f>VLOOKUP(A2838,[1]!Table1[#All],22,FALSE)</f>
        <v>APPALACHIAN PROGRAM FOR SAVE THE CHILDREN FEDERATION</v>
      </c>
      <c r="H2838" s="8">
        <f>VLOOKUP(A2838,[1]!Table1[#All],32,FALSE)</f>
        <v>44104</v>
      </c>
      <c r="I2838" s="8">
        <f>VLOOKUP(A2838,[1]!Table1[#All],33,FALSE)</f>
        <v>45929</v>
      </c>
      <c r="J2838" t="str">
        <f t="shared" ca="1" si="48"/>
        <v>Non UDO</v>
      </c>
    </row>
    <row r="2839" spans="1:10" x14ac:dyDescent="0.35">
      <c r="A2839" s="9" t="s">
        <v>90</v>
      </c>
      <c r="B2839" s="10">
        <v>45108</v>
      </c>
      <c r="C2839" s="11">
        <v>150000</v>
      </c>
      <c r="D2839" s="11">
        <v>133812.78</v>
      </c>
      <c r="E2839" s="11">
        <v>16187.22</v>
      </c>
      <c r="F2839" t="str">
        <f>VLOOKUP(A2839,[1]!Table1[#All],17,FALSE)</f>
        <v>UNITED STATES</v>
      </c>
      <c r="G2839" t="str">
        <f>VLOOKUP(A2839,[1]!Table1[#All],22,FALSE)</f>
        <v>APPALACHIAN PROGRAM FOR SAVE THE CHILDREN FEDERATION</v>
      </c>
      <c r="H2839" s="8">
        <f>VLOOKUP(A2839,[1]!Table1[#All],32,FALSE)</f>
        <v>44104</v>
      </c>
      <c r="I2839" s="8">
        <f>VLOOKUP(A2839,[1]!Table1[#All],33,FALSE)</f>
        <v>45929</v>
      </c>
      <c r="J2839" t="str">
        <f t="shared" ca="1" si="48"/>
        <v>Non UDO</v>
      </c>
    </row>
    <row r="2840" spans="1:10" x14ac:dyDescent="0.35">
      <c r="A2840" s="5" t="s">
        <v>90</v>
      </c>
      <c r="B2840" s="6">
        <v>45139</v>
      </c>
      <c r="C2840" s="7">
        <v>150000</v>
      </c>
      <c r="D2840" s="7">
        <v>137425.85</v>
      </c>
      <c r="E2840" s="7">
        <v>12574.15</v>
      </c>
      <c r="F2840" t="str">
        <f>VLOOKUP(A2840,[1]!Table1[#All],17,FALSE)</f>
        <v>UNITED STATES</v>
      </c>
      <c r="G2840" t="str">
        <f>VLOOKUP(A2840,[1]!Table1[#All],22,FALSE)</f>
        <v>APPALACHIAN PROGRAM FOR SAVE THE CHILDREN FEDERATION</v>
      </c>
      <c r="H2840" s="8">
        <f>VLOOKUP(A2840,[1]!Table1[#All],32,FALSE)</f>
        <v>44104</v>
      </c>
      <c r="I2840" s="8">
        <f>VLOOKUP(A2840,[1]!Table1[#All],33,FALSE)</f>
        <v>45929</v>
      </c>
      <c r="J2840" t="str">
        <f t="shared" ca="1" si="48"/>
        <v>Non UDO</v>
      </c>
    </row>
    <row r="2841" spans="1:10" x14ac:dyDescent="0.35">
      <c r="A2841" s="9" t="s">
        <v>90</v>
      </c>
      <c r="B2841" s="10">
        <v>45170</v>
      </c>
      <c r="C2841" s="11">
        <v>150000</v>
      </c>
      <c r="D2841" s="11">
        <v>143059.67000000001</v>
      </c>
      <c r="E2841" s="11">
        <v>6940.33</v>
      </c>
      <c r="F2841" t="str">
        <f>VLOOKUP(A2841,[1]!Table1[#All],17,FALSE)</f>
        <v>UNITED STATES</v>
      </c>
      <c r="G2841" t="str">
        <f>VLOOKUP(A2841,[1]!Table1[#All],22,FALSE)</f>
        <v>APPALACHIAN PROGRAM FOR SAVE THE CHILDREN FEDERATION</v>
      </c>
      <c r="H2841" s="8">
        <f>VLOOKUP(A2841,[1]!Table1[#All],32,FALSE)</f>
        <v>44104</v>
      </c>
      <c r="I2841" s="8">
        <f>VLOOKUP(A2841,[1]!Table1[#All],33,FALSE)</f>
        <v>45929</v>
      </c>
      <c r="J2841" t="str">
        <f t="shared" ca="1" si="48"/>
        <v>Non UDO</v>
      </c>
    </row>
    <row r="2842" spans="1:10" x14ac:dyDescent="0.35">
      <c r="A2842" s="5" t="s">
        <v>91</v>
      </c>
      <c r="B2842" s="6">
        <v>44409</v>
      </c>
      <c r="C2842" s="7">
        <v>1160000</v>
      </c>
      <c r="D2842" s="7">
        <v>0</v>
      </c>
      <c r="E2842" s="7">
        <v>1160000</v>
      </c>
      <c r="F2842" t="str">
        <f>VLOOKUP(A2842,[1]!Table1[#All],17,FALSE)</f>
        <v>UNITED STATES</v>
      </c>
      <c r="G2842" t="str">
        <f>VLOOKUP(A2842,[1]!Table1[#All],22,FALSE)</f>
        <v>VYSNOVA PARTNERS, INC.</v>
      </c>
      <c r="H2842" s="8">
        <f>VLOOKUP(A2842,[1]!Table1[#All],32,FALSE)</f>
        <v>44104</v>
      </c>
      <c r="I2842" s="8">
        <f>VLOOKUP(A2842,[1]!Table1[#All],33,FALSE)</f>
        <v>45929</v>
      </c>
      <c r="J2842" t="str">
        <f t="shared" ca="1" si="48"/>
        <v>Non UDO</v>
      </c>
    </row>
    <row r="2843" spans="1:10" x14ac:dyDescent="0.35">
      <c r="A2843" s="9" t="s">
        <v>91</v>
      </c>
      <c r="B2843" s="10">
        <v>44440</v>
      </c>
      <c r="C2843" s="11">
        <v>1160000</v>
      </c>
      <c r="D2843" s="11">
        <v>0</v>
      </c>
      <c r="E2843" s="11">
        <v>1160000</v>
      </c>
      <c r="F2843" t="str">
        <f>VLOOKUP(A2843,[1]!Table1[#All],17,FALSE)</f>
        <v>UNITED STATES</v>
      </c>
      <c r="G2843" t="str">
        <f>VLOOKUP(A2843,[1]!Table1[#All],22,FALSE)</f>
        <v>VYSNOVA PARTNERS, INC.</v>
      </c>
      <c r="H2843" s="8">
        <f>VLOOKUP(A2843,[1]!Table1[#All],32,FALSE)</f>
        <v>44104</v>
      </c>
      <c r="I2843" s="8">
        <f>VLOOKUP(A2843,[1]!Table1[#All],33,FALSE)</f>
        <v>45929</v>
      </c>
      <c r="J2843" t="str">
        <f t="shared" ca="1" si="48"/>
        <v>Non UDO</v>
      </c>
    </row>
    <row r="2844" spans="1:10" x14ac:dyDescent="0.35">
      <c r="A2844" s="5" t="s">
        <v>91</v>
      </c>
      <c r="B2844" s="6">
        <v>44470</v>
      </c>
      <c r="C2844" s="7">
        <v>1160000</v>
      </c>
      <c r="D2844" s="7">
        <v>0</v>
      </c>
      <c r="E2844" s="7">
        <v>1160000</v>
      </c>
      <c r="F2844" t="str">
        <f>VLOOKUP(A2844,[1]!Table1[#All],17,FALSE)</f>
        <v>UNITED STATES</v>
      </c>
      <c r="G2844" t="str">
        <f>VLOOKUP(A2844,[1]!Table1[#All],22,FALSE)</f>
        <v>VYSNOVA PARTNERS, INC.</v>
      </c>
      <c r="H2844" s="8">
        <f>VLOOKUP(A2844,[1]!Table1[#All],32,FALSE)</f>
        <v>44104</v>
      </c>
      <c r="I2844" s="8">
        <f>VLOOKUP(A2844,[1]!Table1[#All],33,FALSE)</f>
        <v>45929</v>
      </c>
      <c r="J2844" t="str">
        <f t="shared" ca="1" si="48"/>
        <v>Non UDO</v>
      </c>
    </row>
    <row r="2845" spans="1:10" x14ac:dyDescent="0.35">
      <c r="A2845" s="9" t="s">
        <v>91</v>
      </c>
      <c r="B2845" s="10">
        <v>44501</v>
      </c>
      <c r="C2845" s="11">
        <v>1160000</v>
      </c>
      <c r="D2845" s="11">
        <v>0</v>
      </c>
      <c r="E2845" s="11">
        <v>1160000</v>
      </c>
      <c r="F2845" t="str">
        <f>VLOOKUP(A2845,[1]!Table1[#All],17,FALSE)</f>
        <v>UNITED STATES</v>
      </c>
      <c r="G2845" t="str">
        <f>VLOOKUP(A2845,[1]!Table1[#All],22,FALSE)</f>
        <v>VYSNOVA PARTNERS, INC.</v>
      </c>
      <c r="H2845" s="8">
        <f>VLOOKUP(A2845,[1]!Table1[#All],32,FALSE)</f>
        <v>44104</v>
      </c>
      <c r="I2845" s="8">
        <f>VLOOKUP(A2845,[1]!Table1[#All],33,FALSE)</f>
        <v>45929</v>
      </c>
      <c r="J2845" t="str">
        <f t="shared" ca="1" si="48"/>
        <v>Non UDO</v>
      </c>
    </row>
    <row r="2846" spans="1:10" x14ac:dyDescent="0.35">
      <c r="A2846" s="5" t="s">
        <v>91</v>
      </c>
      <c r="B2846" s="6">
        <v>44531</v>
      </c>
      <c r="C2846" s="7">
        <v>1160000</v>
      </c>
      <c r="D2846" s="7">
        <v>0</v>
      </c>
      <c r="E2846" s="7">
        <v>1160000</v>
      </c>
      <c r="F2846" t="str">
        <f>VLOOKUP(A2846,[1]!Table1[#All],17,FALSE)</f>
        <v>UNITED STATES</v>
      </c>
      <c r="G2846" t="str">
        <f>VLOOKUP(A2846,[1]!Table1[#All],22,FALSE)</f>
        <v>VYSNOVA PARTNERS, INC.</v>
      </c>
      <c r="H2846" s="8">
        <f>VLOOKUP(A2846,[1]!Table1[#All],32,FALSE)</f>
        <v>44104</v>
      </c>
      <c r="I2846" s="8">
        <f>VLOOKUP(A2846,[1]!Table1[#All],33,FALSE)</f>
        <v>45929</v>
      </c>
      <c r="J2846" t="str">
        <f t="shared" ca="1" si="48"/>
        <v>Non UDO</v>
      </c>
    </row>
    <row r="2847" spans="1:10" x14ac:dyDescent="0.35">
      <c r="A2847" s="9" t="s">
        <v>91</v>
      </c>
      <c r="B2847" s="10">
        <v>44562</v>
      </c>
      <c r="C2847" s="11">
        <v>1160000</v>
      </c>
      <c r="D2847" s="11">
        <v>0</v>
      </c>
      <c r="E2847" s="11">
        <v>1160000</v>
      </c>
      <c r="F2847" t="str">
        <f>VLOOKUP(A2847,[1]!Table1[#All],17,FALSE)</f>
        <v>UNITED STATES</v>
      </c>
      <c r="G2847" t="str">
        <f>VLOOKUP(A2847,[1]!Table1[#All],22,FALSE)</f>
        <v>VYSNOVA PARTNERS, INC.</v>
      </c>
      <c r="H2847" s="8">
        <f>VLOOKUP(A2847,[1]!Table1[#All],32,FALSE)</f>
        <v>44104</v>
      </c>
      <c r="I2847" s="8">
        <f>VLOOKUP(A2847,[1]!Table1[#All],33,FALSE)</f>
        <v>45929</v>
      </c>
      <c r="J2847" t="str">
        <f t="shared" ca="1" si="48"/>
        <v>Non UDO</v>
      </c>
    </row>
    <row r="2848" spans="1:10" x14ac:dyDescent="0.35">
      <c r="A2848" s="5" t="s">
        <v>91</v>
      </c>
      <c r="B2848" s="6">
        <v>44593</v>
      </c>
      <c r="C2848" s="7">
        <v>1160000</v>
      </c>
      <c r="D2848" s="7">
        <v>70028.759999999995</v>
      </c>
      <c r="E2848" s="7">
        <v>1089971.24</v>
      </c>
      <c r="F2848" t="str">
        <f>VLOOKUP(A2848,[1]!Table1[#All],17,FALSE)</f>
        <v>UNITED STATES</v>
      </c>
      <c r="G2848" t="str">
        <f>VLOOKUP(A2848,[1]!Table1[#All],22,FALSE)</f>
        <v>VYSNOVA PARTNERS, INC.</v>
      </c>
      <c r="H2848" s="8">
        <f>VLOOKUP(A2848,[1]!Table1[#All],32,FALSE)</f>
        <v>44104</v>
      </c>
      <c r="I2848" s="8">
        <f>VLOOKUP(A2848,[1]!Table1[#All],33,FALSE)</f>
        <v>45929</v>
      </c>
      <c r="J2848" t="str">
        <f t="shared" ca="1" si="48"/>
        <v>Non UDO</v>
      </c>
    </row>
    <row r="2849" spans="1:10" x14ac:dyDescent="0.35">
      <c r="A2849" s="9" t="s">
        <v>91</v>
      </c>
      <c r="B2849" s="10">
        <v>44621</v>
      </c>
      <c r="C2849" s="11">
        <v>1160000</v>
      </c>
      <c r="D2849" s="11">
        <v>70028.759999999995</v>
      </c>
      <c r="E2849" s="11">
        <v>1089971.24</v>
      </c>
      <c r="F2849" t="str">
        <f>VLOOKUP(A2849,[1]!Table1[#All],17,FALSE)</f>
        <v>UNITED STATES</v>
      </c>
      <c r="G2849" t="str">
        <f>VLOOKUP(A2849,[1]!Table1[#All],22,FALSE)</f>
        <v>VYSNOVA PARTNERS, INC.</v>
      </c>
      <c r="H2849" s="8">
        <f>VLOOKUP(A2849,[1]!Table1[#All],32,FALSE)</f>
        <v>44104</v>
      </c>
      <c r="I2849" s="8">
        <f>VLOOKUP(A2849,[1]!Table1[#All],33,FALSE)</f>
        <v>45929</v>
      </c>
      <c r="J2849" t="str">
        <f t="shared" ca="1" si="48"/>
        <v>Non UDO</v>
      </c>
    </row>
    <row r="2850" spans="1:10" x14ac:dyDescent="0.35">
      <c r="A2850" s="5" t="s">
        <v>91</v>
      </c>
      <c r="B2850" s="6">
        <v>44652</v>
      </c>
      <c r="C2850" s="7">
        <v>1160000</v>
      </c>
      <c r="D2850" s="7">
        <v>194251.99</v>
      </c>
      <c r="E2850" s="7">
        <v>965748.01</v>
      </c>
      <c r="F2850" t="str">
        <f>VLOOKUP(A2850,[1]!Table1[#All],17,FALSE)</f>
        <v>UNITED STATES</v>
      </c>
      <c r="G2850" t="str">
        <f>VLOOKUP(A2850,[1]!Table1[#All],22,FALSE)</f>
        <v>VYSNOVA PARTNERS, INC.</v>
      </c>
      <c r="H2850" s="8">
        <f>VLOOKUP(A2850,[1]!Table1[#All],32,FALSE)</f>
        <v>44104</v>
      </c>
      <c r="I2850" s="8">
        <f>VLOOKUP(A2850,[1]!Table1[#All],33,FALSE)</f>
        <v>45929</v>
      </c>
      <c r="J2850" t="str">
        <f t="shared" ca="1" si="48"/>
        <v>Non UDO</v>
      </c>
    </row>
    <row r="2851" spans="1:10" x14ac:dyDescent="0.35">
      <c r="A2851" s="9" t="s">
        <v>91</v>
      </c>
      <c r="B2851" s="10">
        <v>44682</v>
      </c>
      <c r="C2851" s="11">
        <v>1160000</v>
      </c>
      <c r="D2851" s="11">
        <v>439327.73</v>
      </c>
      <c r="E2851" s="11">
        <v>720672.27</v>
      </c>
      <c r="F2851" t="str">
        <f>VLOOKUP(A2851,[1]!Table1[#All],17,FALSE)</f>
        <v>UNITED STATES</v>
      </c>
      <c r="G2851" t="str">
        <f>VLOOKUP(A2851,[1]!Table1[#All],22,FALSE)</f>
        <v>VYSNOVA PARTNERS, INC.</v>
      </c>
      <c r="H2851" s="8">
        <f>VLOOKUP(A2851,[1]!Table1[#All],32,FALSE)</f>
        <v>44104</v>
      </c>
      <c r="I2851" s="8">
        <f>VLOOKUP(A2851,[1]!Table1[#All],33,FALSE)</f>
        <v>45929</v>
      </c>
      <c r="J2851" t="str">
        <f t="shared" ca="1" si="48"/>
        <v>Non UDO</v>
      </c>
    </row>
    <row r="2852" spans="1:10" x14ac:dyDescent="0.35">
      <c r="A2852" s="5" t="s">
        <v>91</v>
      </c>
      <c r="B2852" s="6">
        <v>44713</v>
      </c>
      <c r="C2852" s="7">
        <v>1160000</v>
      </c>
      <c r="D2852" s="7">
        <v>526778.12</v>
      </c>
      <c r="E2852" s="7">
        <v>633221.88</v>
      </c>
      <c r="F2852" t="str">
        <f>VLOOKUP(A2852,[1]!Table1[#All],17,FALSE)</f>
        <v>UNITED STATES</v>
      </c>
      <c r="G2852" t="str">
        <f>VLOOKUP(A2852,[1]!Table1[#All],22,FALSE)</f>
        <v>VYSNOVA PARTNERS, INC.</v>
      </c>
      <c r="H2852" s="8">
        <f>VLOOKUP(A2852,[1]!Table1[#All],32,FALSE)</f>
        <v>44104</v>
      </c>
      <c r="I2852" s="8">
        <f>VLOOKUP(A2852,[1]!Table1[#All],33,FALSE)</f>
        <v>45929</v>
      </c>
      <c r="J2852" t="str">
        <f t="shared" ca="1" si="48"/>
        <v>Non UDO</v>
      </c>
    </row>
    <row r="2853" spans="1:10" x14ac:dyDescent="0.35">
      <c r="A2853" s="9" t="s">
        <v>91</v>
      </c>
      <c r="B2853" s="10">
        <v>44743</v>
      </c>
      <c r="C2853" s="11">
        <v>1160000</v>
      </c>
      <c r="D2853" s="11">
        <v>662520.13</v>
      </c>
      <c r="E2853" s="11">
        <v>497479.87</v>
      </c>
      <c r="F2853" t="str">
        <f>VLOOKUP(A2853,[1]!Table1[#All],17,FALSE)</f>
        <v>UNITED STATES</v>
      </c>
      <c r="G2853" t="str">
        <f>VLOOKUP(A2853,[1]!Table1[#All],22,FALSE)</f>
        <v>VYSNOVA PARTNERS, INC.</v>
      </c>
      <c r="H2853" s="8">
        <f>VLOOKUP(A2853,[1]!Table1[#All],32,FALSE)</f>
        <v>44104</v>
      </c>
      <c r="I2853" s="8">
        <f>VLOOKUP(A2853,[1]!Table1[#All],33,FALSE)</f>
        <v>45929</v>
      </c>
      <c r="J2853" t="str">
        <f t="shared" ca="1" si="48"/>
        <v>Non UDO</v>
      </c>
    </row>
    <row r="2854" spans="1:10" x14ac:dyDescent="0.35">
      <c r="A2854" s="5" t="s">
        <v>91</v>
      </c>
      <c r="B2854" s="6">
        <v>44774</v>
      </c>
      <c r="C2854" s="7">
        <v>1160000</v>
      </c>
      <c r="D2854" s="7">
        <v>695630.85</v>
      </c>
      <c r="E2854" s="7">
        <v>464369.15</v>
      </c>
      <c r="F2854" t="str">
        <f>VLOOKUP(A2854,[1]!Table1[#All],17,FALSE)</f>
        <v>UNITED STATES</v>
      </c>
      <c r="G2854" t="str">
        <f>VLOOKUP(A2854,[1]!Table1[#All],22,FALSE)</f>
        <v>VYSNOVA PARTNERS, INC.</v>
      </c>
      <c r="H2854" s="8">
        <f>VLOOKUP(A2854,[1]!Table1[#All],32,FALSE)</f>
        <v>44104</v>
      </c>
      <c r="I2854" s="8">
        <f>VLOOKUP(A2854,[1]!Table1[#All],33,FALSE)</f>
        <v>45929</v>
      </c>
      <c r="J2854" t="str">
        <f t="shared" ca="1" si="48"/>
        <v>Non UDO</v>
      </c>
    </row>
    <row r="2855" spans="1:10" x14ac:dyDescent="0.35">
      <c r="A2855" s="9" t="s">
        <v>91</v>
      </c>
      <c r="B2855" s="10">
        <v>44805</v>
      </c>
      <c r="C2855" s="11">
        <v>1160000</v>
      </c>
      <c r="D2855" s="11">
        <v>872862.75</v>
      </c>
      <c r="E2855" s="11">
        <v>287137.25</v>
      </c>
      <c r="F2855" t="str">
        <f>VLOOKUP(A2855,[1]!Table1[#All],17,FALSE)</f>
        <v>UNITED STATES</v>
      </c>
      <c r="G2855" t="str">
        <f>VLOOKUP(A2855,[1]!Table1[#All],22,FALSE)</f>
        <v>VYSNOVA PARTNERS, INC.</v>
      </c>
      <c r="H2855" s="8">
        <f>VLOOKUP(A2855,[1]!Table1[#All],32,FALSE)</f>
        <v>44104</v>
      </c>
      <c r="I2855" s="8">
        <f>VLOOKUP(A2855,[1]!Table1[#All],33,FALSE)</f>
        <v>45929</v>
      </c>
      <c r="J2855" t="str">
        <f t="shared" ca="1" si="48"/>
        <v>Non UDO</v>
      </c>
    </row>
    <row r="2856" spans="1:10" x14ac:dyDescent="0.35">
      <c r="A2856" s="5" t="s">
        <v>91</v>
      </c>
      <c r="B2856" s="6">
        <v>44835</v>
      </c>
      <c r="C2856" s="7">
        <v>1160000</v>
      </c>
      <c r="D2856" s="7">
        <v>901692.44</v>
      </c>
      <c r="E2856" s="7">
        <v>258307.56</v>
      </c>
      <c r="F2856" t="str">
        <f>VLOOKUP(A2856,[1]!Table1[#All],17,FALSE)</f>
        <v>UNITED STATES</v>
      </c>
      <c r="G2856" t="str">
        <f>VLOOKUP(A2856,[1]!Table1[#All],22,FALSE)</f>
        <v>VYSNOVA PARTNERS, INC.</v>
      </c>
      <c r="H2856" s="8">
        <f>VLOOKUP(A2856,[1]!Table1[#All],32,FALSE)</f>
        <v>44104</v>
      </c>
      <c r="I2856" s="8">
        <f>VLOOKUP(A2856,[1]!Table1[#All],33,FALSE)</f>
        <v>45929</v>
      </c>
      <c r="J2856" t="str">
        <f t="shared" ca="1" si="48"/>
        <v>Non UDO</v>
      </c>
    </row>
    <row r="2857" spans="1:10" x14ac:dyDescent="0.35">
      <c r="A2857" s="9" t="s">
        <v>91</v>
      </c>
      <c r="B2857" s="10">
        <v>44866</v>
      </c>
      <c r="C2857" s="11">
        <v>1160000</v>
      </c>
      <c r="D2857" s="11">
        <v>912556.96</v>
      </c>
      <c r="E2857" s="11">
        <v>247443.04</v>
      </c>
      <c r="F2857" t="str">
        <f>VLOOKUP(A2857,[1]!Table1[#All],17,FALSE)</f>
        <v>UNITED STATES</v>
      </c>
      <c r="G2857" t="str">
        <f>VLOOKUP(A2857,[1]!Table1[#All],22,FALSE)</f>
        <v>VYSNOVA PARTNERS, INC.</v>
      </c>
      <c r="H2857" s="8">
        <f>VLOOKUP(A2857,[1]!Table1[#All],32,FALSE)</f>
        <v>44104</v>
      </c>
      <c r="I2857" s="8">
        <f>VLOOKUP(A2857,[1]!Table1[#All],33,FALSE)</f>
        <v>45929</v>
      </c>
      <c r="J2857" t="str">
        <f t="shared" ca="1" si="48"/>
        <v>Non UDO</v>
      </c>
    </row>
    <row r="2858" spans="1:10" x14ac:dyDescent="0.35">
      <c r="A2858" s="5" t="s">
        <v>91</v>
      </c>
      <c r="B2858" s="6">
        <v>44896</v>
      </c>
      <c r="C2858" s="7">
        <v>1160000</v>
      </c>
      <c r="D2858" s="7">
        <v>1001489.74</v>
      </c>
      <c r="E2858" s="7">
        <v>158510.26</v>
      </c>
      <c r="F2858" t="str">
        <f>VLOOKUP(A2858,[1]!Table1[#All],17,FALSE)</f>
        <v>UNITED STATES</v>
      </c>
      <c r="G2858" t="str">
        <f>VLOOKUP(A2858,[1]!Table1[#All],22,FALSE)</f>
        <v>VYSNOVA PARTNERS, INC.</v>
      </c>
      <c r="H2858" s="8">
        <f>VLOOKUP(A2858,[1]!Table1[#All],32,FALSE)</f>
        <v>44104</v>
      </c>
      <c r="I2858" s="8">
        <f>VLOOKUP(A2858,[1]!Table1[#All],33,FALSE)</f>
        <v>45929</v>
      </c>
      <c r="J2858" t="str">
        <f t="shared" ca="1" si="48"/>
        <v>Non UDO</v>
      </c>
    </row>
    <row r="2859" spans="1:10" x14ac:dyDescent="0.35">
      <c r="A2859" s="9" t="s">
        <v>91</v>
      </c>
      <c r="B2859" s="10">
        <v>44927</v>
      </c>
      <c r="C2859" s="11">
        <v>1160000</v>
      </c>
      <c r="D2859" s="11">
        <v>1001489.74</v>
      </c>
      <c r="E2859" s="11">
        <v>158510.26</v>
      </c>
      <c r="F2859" t="str">
        <f>VLOOKUP(A2859,[1]!Table1[#All],17,FALSE)</f>
        <v>UNITED STATES</v>
      </c>
      <c r="G2859" t="str">
        <f>VLOOKUP(A2859,[1]!Table1[#All],22,FALSE)</f>
        <v>VYSNOVA PARTNERS, INC.</v>
      </c>
      <c r="H2859" s="8">
        <f>VLOOKUP(A2859,[1]!Table1[#All],32,FALSE)</f>
        <v>44104</v>
      </c>
      <c r="I2859" s="8">
        <f>VLOOKUP(A2859,[1]!Table1[#All],33,FALSE)</f>
        <v>45929</v>
      </c>
      <c r="J2859" t="str">
        <f t="shared" ca="1" si="48"/>
        <v>Non UDO</v>
      </c>
    </row>
    <row r="2860" spans="1:10" x14ac:dyDescent="0.35">
      <c r="A2860" s="5" t="s">
        <v>91</v>
      </c>
      <c r="B2860" s="6">
        <v>44958</v>
      </c>
      <c r="C2860" s="7">
        <v>1160000</v>
      </c>
      <c r="D2860" s="7">
        <v>1001489.74</v>
      </c>
      <c r="E2860" s="7">
        <v>158510.26</v>
      </c>
      <c r="F2860" t="str">
        <f>VLOOKUP(A2860,[1]!Table1[#All],17,FALSE)</f>
        <v>UNITED STATES</v>
      </c>
      <c r="G2860" t="str">
        <f>VLOOKUP(A2860,[1]!Table1[#All],22,FALSE)</f>
        <v>VYSNOVA PARTNERS, INC.</v>
      </c>
      <c r="H2860" s="8">
        <f>VLOOKUP(A2860,[1]!Table1[#All],32,FALSE)</f>
        <v>44104</v>
      </c>
      <c r="I2860" s="8">
        <f>VLOOKUP(A2860,[1]!Table1[#All],33,FALSE)</f>
        <v>45929</v>
      </c>
      <c r="J2860" t="str">
        <f t="shared" ca="1" si="48"/>
        <v>Non UDO</v>
      </c>
    </row>
    <row r="2861" spans="1:10" x14ac:dyDescent="0.35">
      <c r="A2861" s="9" t="s">
        <v>91</v>
      </c>
      <c r="B2861" s="10">
        <v>44986</v>
      </c>
      <c r="C2861" s="11">
        <v>1160000</v>
      </c>
      <c r="D2861" s="11">
        <v>1065440.06</v>
      </c>
      <c r="E2861" s="11">
        <v>94559.94</v>
      </c>
      <c r="F2861" t="str">
        <f>VLOOKUP(A2861,[1]!Table1[#All],17,FALSE)</f>
        <v>UNITED STATES</v>
      </c>
      <c r="G2861" t="str">
        <f>VLOOKUP(A2861,[1]!Table1[#All],22,FALSE)</f>
        <v>VYSNOVA PARTNERS, INC.</v>
      </c>
      <c r="H2861" s="8">
        <f>VLOOKUP(A2861,[1]!Table1[#All],32,FALSE)</f>
        <v>44104</v>
      </c>
      <c r="I2861" s="8">
        <f>VLOOKUP(A2861,[1]!Table1[#All],33,FALSE)</f>
        <v>45929</v>
      </c>
      <c r="J2861" t="str">
        <f t="shared" ca="1" si="48"/>
        <v>Non UDO</v>
      </c>
    </row>
    <row r="2862" spans="1:10" x14ac:dyDescent="0.35">
      <c r="A2862" s="5" t="s">
        <v>91</v>
      </c>
      <c r="B2862" s="6">
        <v>45017</v>
      </c>
      <c r="C2862" s="7">
        <v>1160000</v>
      </c>
      <c r="D2862" s="7">
        <v>1065440.06</v>
      </c>
      <c r="E2862" s="7">
        <v>94559.94</v>
      </c>
      <c r="F2862" t="str">
        <f>VLOOKUP(A2862,[1]!Table1[#All],17,FALSE)</f>
        <v>UNITED STATES</v>
      </c>
      <c r="G2862" t="str">
        <f>VLOOKUP(A2862,[1]!Table1[#All],22,FALSE)</f>
        <v>VYSNOVA PARTNERS, INC.</v>
      </c>
      <c r="H2862" s="8">
        <f>VLOOKUP(A2862,[1]!Table1[#All],32,FALSE)</f>
        <v>44104</v>
      </c>
      <c r="I2862" s="8">
        <f>VLOOKUP(A2862,[1]!Table1[#All],33,FALSE)</f>
        <v>45929</v>
      </c>
      <c r="J2862" t="str">
        <f t="shared" ca="1" si="48"/>
        <v>Non UDO</v>
      </c>
    </row>
    <row r="2863" spans="1:10" x14ac:dyDescent="0.35">
      <c r="A2863" s="9" t="s">
        <v>91</v>
      </c>
      <c r="B2863" s="10">
        <v>45047</v>
      </c>
      <c r="C2863" s="11">
        <v>1160000</v>
      </c>
      <c r="D2863" s="11">
        <v>1160000</v>
      </c>
      <c r="E2863" s="11">
        <v>0</v>
      </c>
      <c r="F2863" t="str">
        <f>VLOOKUP(A2863,[1]!Table1[#All],17,FALSE)</f>
        <v>UNITED STATES</v>
      </c>
      <c r="G2863" t="str">
        <f>VLOOKUP(A2863,[1]!Table1[#All],22,FALSE)</f>
        <v>VYSNOVA PARTNERS, INC.</v>
      </c>
      <c r="H2863" s="8">
        <f>VLOOKUP(A2863,[1]!Table1[#All],32,FALSE)</f>
        <v>44104</v>
      </c>
      <c r="I2863" s="8">
        <f>VLOOKUP(A2863,[1]!Table1[#All],33,FALSE)</f>
        <v>45929</v>
      </c>
      <c r="J2863" t="str">
        <f t="shared" ca="1" si="48"/>
        <v>Non UDO</v>
      </c>
    </row>
    <row r="2864" spans="1:10" x14ac:dyDescent="0.35">
      <c r="A2864" s="5" t="s">
        <v>91</v>
      </c>
      <c r="B2864" s="6">
        <v>45078</v>
      </c>
      <c r="C2864" s="7">
        <v>1160000</v>
      </c>
      <c r="D2864" s="7">
        <v>1160000</v>
      </c>
      <c r="E2864" s="7">
        <v>0</v>
      </c>
      <c r="F2864" t="str">
        <f>VLOOKUP(A2864,[1]!Table1[#All],17,FALSE)</f>
        <v>UNITED STATES</v>
      </c>
      <c r="G2864" t="str">
        <f>VLOOKUP(A2864,[1]!Table1[#All],22,FALSE)</f>
        <v>VYSNOVA PARTNERS, INC.</v>
      </c>
      <c r="H2864" s="8">
        <f>VLOOKUP(A2864,[1]!Table1[#All],32,FALSE)</f>
        <v>44104</v>
      </c>
      <c r="I2864" s="8">
        <f>VLOOKUP(A2864,[1]!Table1[#All],33,FALSE)</f>
        <v>45929</v>
      </c>
      <c r="J2864" t="str">
        <f t="shared" ca="1" si="48"/>
        <v>Non UDO</v>
      </c>
    </row>
    <row r="2865" spans="1:10" x14ac:dyDescent="0.35">
      <c r="A2865" s="9" t="s">
        <v>91</v>
      </c>
      <c r="B2865" s="10">
        <v>45108</v>
      </c>
      <c r="C2865" s="11">
        <v>1160000</v>
      </c>
      <c r="D2865" s="11">
        <v>1160000</v>
      </c>
      <c r="E2865" s="11">
        <v>0</v>
      </c>
      <c r="F2865" t="str">
        <f>VLOOKUP(A2865,[1]!Table1[#All],17,FALSE)</f>
        <v>UNITED STATES</v>
      </c>
      <c r="G2865" t="str">
        <f>VLOOKUP(A2865,[1]!Table1[#All],22,FALSE)</f>
        <v>VYSNOVA PARTNERS, INC.</v>
      </c>
      <c r="H2865" s="8">
        <f>VLOOKUP(A2865,[1]!Table1[#All],32,FALSE)</f>
        <v>44104</v>
      </c>
      <c r="I2865" s="8">
        <f>VLOOKUP(A2865,[1]!Table1[#All],33,FALSE)</f>
        <v>45929</v>
      </c>
      <c r="J2865" t="str">
        <f t="shared" ca="1" si="48"/>
        <v>Non UDO</v>
      </c>
    </row>
    <row r="2866" spans="1:10" x14ac:dyDescent="0.35">
      <c r="A2866" s="5" t="s">
        <v>91</v>
      </c>
      <c r="B2866" s="6">
        <v>45139</v>
      </c>
      <c r="C2866" s="7">
        <v>1160000</v>
      </c>
      <c r="D2866" s="7">
        <v>1160000</v>
      </c>
      <c r="E2866" s="7">
        <v>0</v>
      </c>
      <c r="F2866" t="str">
        <f>VLOOKUP(A2866,[1]!Table1[#All],17,FALSE)</f>
        <v>UNITED STATES</v>
      </c>
      <c r="G2866" t="str">
        <f>VLOOKUP(A2866,[1]!Table1[#All],22,FALSE)</f>
        <v>VYSNOVA PARTNERS, INC.</v>
      </c>
      <c r="H2866" s="8">
        <f>VLOOKUP(A2866,[1]!Table1[#All],32,FALSE)</f>
        <v>44104</v>
      </c>
      <c r="I2866" s="8">
        <f>VLOOKUP(A2866,[1]!Table1[#All],33,FALSE)</f>
        <v>45929</v>
      </c>
      <c r="J2866" t="str">
        <f t="shared" ca="1" si="48"/>
        <v>Non UDO</v>
      </c>
    </row>
    <row r="2867" spans="1:10" x14ac:dyDescent="0.35">
      <c r="A2867" s="9" t="s">
        <v>91</v>
      </c>
      <c r="B2867" s="10">
        <v>45170</v>
      </c>
      <c r="C2867" s="11">
        <v>1160000</v>
      </c>
      <c r="D2867" s="11">
        <v>1160000</v>
      </c>
      <c r="E2867" s="11">
        <v>0</v>
      </c>
      <c r="F2867" t="str">
        <f>VLOOKUP(A2867,[1]!Table1[#All],17,FALSE)</f>
        <v>UNITED STATES</v>
      </c>
      <c r="G2867" t="str">
        <f>VLOOKUP(A2867,[1]!Table1[#All],22,FALSE)</f>
        <v>VYSNOVA PARTNERS, INC.</v>
      </c>
      <c r="H2867" s="8">
        <f>VLOOKUP(A2867,[1]!Table1[#All],32,FALSE)</f>
        <v>44104</v>
      </c>
      <c r="I2867" s="8">
        <f>VLOOKUP(A2867,[1]!Table1[#All],33,FALSE)</f>
        <v>45929</v>
      </c>
      <c r="J2867" t="str">
        <f t="shared" ca="1" si="48"/>
        <v>Non UDO</v>
      </c>
    </row>
    <row r="2868" spans="1:10" x14ac:dyDescent="0.35">
      <c r="A2868" s="5" t="s">
        <v>92</v>
      </c>
      <c r="B2868" s="6">
        <v>44105</v>
      </c>
      <c r="C2868" s="7">
        <v>2500000</v>
      </c>
      <c r="D2868" s="7">
        <v>0</v>
      </c>
      <c r="E2868" s="7">
        <v>2500000</v>
      </c>
      <c r="F2868" t="str">
        <f>VLOOKUP(A2868,[1]!Table1[#All],17,FALSE)</f>
        <v>UNITED STATES</v>
      </c>
      <c r="G2868" t="str">
        <f>VLOOKUP(A2868,[1]!Table1[#All],22,FALSE)</f>
        <v>MANAGEMENT SCIENCES FOR HEALTH</v>
      </c>
      <c r="H2868" s="8">
        <f>VLOOKUP(A2868,[1]!Table1[#All],32,FALSE)</f>
        <v>44104</v>
      </c>
      <c r="I2868" s="8">
        <f>VLOOKUP(A2868,[1]!Table1[#All],33,FALSE)</f>
        <v>45929</v>
      </c>
      <c r="J2868" t="str">
        <f t="shared" ca="1" si="48"/>
        <v>Non UDO</v>
      </c>
    </row>
    <row r="2869" spans="1:10" x14ac:dyDescent="0.35">
      <c r="A2869" s="9" t="s">
        <v>92</v>
      </c>
      <c r="B2869" s="10">
        <v>44136</v>
      </c>
      <c r="C2869" s="11">
        <v>2500000</v>
      </c>
      <c r="D2869" s="11">
        <v>0</v>
      </c>
      <c r="E2869" s="11">
        <v>2500000</v>
      </c>
      <c r="F2869" t="str">
        <f>VLOOKUP(A2869,[1]!Table1[#All],17,FALSE)</f>
        <v>UNITED STATES</v>
      </c>
      <c r="G2869" t="str">
        <f>VLOOKUP(A2869,[1]!Table1[#All],22,FALSE)</f>
        <v>MANAGEMENT SCIENCES FOR HEALTH</v>
      </c>
      <c r="H2869" s="8">
        <f>VLOOKUP(A2869,[1]!Table1[#All],32,FALSE)</f>
        <v>44104</v>
      </c>
      <c r="I2869" s="8">
        <f>VLOOKUP(A2869,[1]!Table1[#All],33,FALSE)</f>
        <v>45929</v>
      </c>
      <c r="J2869" t="str">
        <f t="shared" ca="1" si="48"/>
        <v>Non UDO</v>
      </c>
    </row>
    <row r="2870" spans="1:10" x14ac:dyDescent="0.35">
      <c r="A2870" s="5" t="s">
        <v>92</v>
      </c>
      <c r="B2870" s="6">
        <v>44166</v>
      </c>
      <c r="C2870" s="7">
        <v>2500000</v>
      </c>
      <c r="D2870" s="7">
        <v>0</v>
      </c>
      <c r="E2870" s="7">
        <v>2500000</v>
      </c>
      <c r="F2870" t="str">
        <f>VLOOKUP(A2870,[1]!Table1[#All],17,FALSE)</f>
        <v>UNITED STATES</v>
      </c>
      <c r="G2870" t="str">
        <f>VLOOKUP(A2870,[1]!Table1[#All],22,FALSE)</f>
        <v>MANAGEMENT SCIENCES FOR HEALTH</v>
      </c>
      <c r="H2870" s="8">
        <f>VLOOKUP(A2870,[1]!Table1[#All],32,FALSE)</f>
        <v>44104</v>
      </c>
      <c r="I2870" s="8">
        <f>VLOOKUP(A2870,[1]!Table1[#All],33,FALSE)</f>
        <v>45929</v>
      </c>
      <c r="J2870" t="str">
        <f t="shared" ca="1" si="48"/>
        <v>Non UDO</v>
      </c>
    </row>
    <row r="2871" spans="1:10" x14ac:dyDescent="0.35">
      <c r="A2871" s="9" t="s">
        <v>92</v>
      </c>
      <c r="B2871" s="10">
        <v>44197</v>
      </c>
      <c r="C2871" s="11">
        <v>2500000</v>
      </c>
      <c r="D2871" s="11">
        <v>31055.58</v>
      </c>
      <c r="E2871" s="11">
        <v>2468944.42</v>
      </c>
      <c r="F2871" t="str">
        <f>VLOOKUP(A2871,[1]!Table1[#All],17,FALSE)</f>
        <v>UNITED STATES</v>
      </c>
      <c r="G2871" t="str">
        <f>VLOOKUP(A2871,[1]!Table1[#All],22,FALSE)</f>
        <v>MANAGEMENT SCIENCES FOR HEALTH</v>
      </c>
      <c r="H2871" s="8">
        <f>VLOOKUP(A2871,[1]!Table1[#All],32,FALSE)</f>
        <v>44104</v>
      </c>
      <c r="I2871" s="8">
        <f>VLOOKUP(A2871,[1]!Table1[#All],33,FALSE)</f>
        <v>45929</v>
      </c>
      <c r="J2871" t="str">
        <f t="shared" ca="1" si="48"/>
        <v>Non UDO</v>
      </c>
    </row>
    <row r="2872" spans="1:10" x14ac:dyDescent="0.35">
      <c r="A2872" s="5" t="s">
        <v>92</v>
      </c>
      <c r="B2872" s="6">
        <v>44228</v>
      </c>
      <c r="C2872" s="7">
        <v>2500000</v>
      </c>
      <c r="D2872" s="7">
        <v>94689.94</v>
      </c>
      <c r="E2872" s="7">
        <v>2405310.06</v>
      </c>
      <c r="F2872" t="str">
        <f>VLOOKUP(A2872,[1]!Table1[#All],17,FALSE)</f>
        <v>UNITED STATES</v>
      </c>
      <c r="G2872" t="str">
        <f>VLOOKUP(A2872,[1]!Table1[#All],22,FALSE)</f>
        <v>MANAGEMENT SCIENCES FOR HEALTH</v>
      </c>
      <c r="H2872" s="8">
        <f>VLOOKUP(A2872,[1]!Table1[#All],32,FALSE)</f>
        <v>44104</v>
      </c>
      <c r="I2872" s="8">
        <f>VLOOKUP(A2872,[1]!Table1[#All],33,FALSE)</f>
        <v>45929</v>
      </c>
      <c r="J2872" t="str">
        <f t="shared" ca="1" si="48"/>
        <v>Non UDO</v>
      </c>
    </row>
    <row r="2873" spans="1:10" x14ac:dyDescent="0.35">
      <c r="A2873" s="9" t="s">
        <v>92</v>
      </c>
      <c r="B2873" s="10">
        <v>44256</v>
      </c>
      <c r="C2873" s="11">
        <v>2500000</v>
      </c>
      <c r="D2873" s="11">
        <v>94689.94</v>
      </c>
      <c r="E2873" s="11">
        <v>2405310.06</v>
      </c>
      <c r="F2873" t="str">
        <f>VLOOKUP(A2873,[1]!Table1[#All],17,FALSE)</f>
        <v>UNITED STATES</v>
      </c>
      <c r="G2873" t="str">
        <f>VLOOKUP(A2873,[1]!Table1[#All],22,FALSE)</f>
        <v>MANAGEMENT SCIENCES FOR HEALTH</v>
      </c>
      <c r="H2873" s="8">
        <f>VLOOKUP(A2873,[1]!Table1[#All],32,FALSE)</f>
        <v>44104</v>
      </c>
      <c r="I2873" s="8">
        <f>VLOOKUP(A2873,[1]!Table1[#All],33,FALSE)</f>
        <v>45929</v>
      </c>
      <c r="J2873" t="str">
        <f t="shared" ca="1" si="48"/>
        <v>Non UDO</v>
      </c>
    </row>
    <row r="2874" spans="1:10" x14ac:dyDescent="0.35">
      <c r="A2874" s="5" t="s">
        <v>92</v>
      </c>
      <c r="B2874" s="6">
        <v>44287</v>
      </c>
      <c r="C2874" s="7">
        <v>2500000</v>
      </c>
      <c r="D2874" s="7">
        <v>188080.47</v>
      </c>
      <c r="E2874" s="7">
        <v>2311919.5299999998</v>
      </c>
      <c r="F2874" t="str">
        <f>VLOOKUP(A2874,[1]!Table1[#All],17,FALSE)</f>
        <v>UNITED STATES</v>
      </c>
      <c r="G2874" t="str">
        <f>VLOOKUP(A2874,[1]!Table1[#All],22,FALSE)</f>
        <v>MANAGEMENT SCIENCES FOR HEALTH</v>
      </c>
      <c r="H2874" s="8">
        <f>VLOOKUP(A2874,[1]!Table1[#All],32,FALSE)</f>
        <v>44104</v>
      </c>
      <c r="I2874" s="8">
        <f>VLOOKUP(A2874,[1]!Table1[#All],33,FALSE)</f>
        <v>45929</v>
      </c>
      <c r="J2874" t="str">
        <f t="shared" ca="1" si="48"/>
        <v>Non UDO</v>
      </c>
    </row>
    <row r="2875" spans="1:10" x14ac:dyDescent="0.35">
      <c r="A2875" s="9" t="s">
        <v>92</v>
      </c>
      <c r="B2875" s="10">
        <v>44317</v>
      </c>
      <c r="C2875" s="11">
        <v>2500000</v>
      </c>
      <c r="D2875" s="11">
        <v>188080.47</v>
      </c>
      <c r="E2875" s="11">
        <v>2311919.5299999998</v>
      </c>
      <c r="F2875" t="str">
        <f>VLOOKUP(A2875,[1]!Table1[#All],17,FALSE)</f>
        <v>UNITED STATES</v>
      </c>
      <c r="G2875" t="str">
        <f>VLOOKUP(A2875,[1]!Table1[#All],22,FALSE)</f>
        <v>MANAGEMENT SCIENCES FOR HEALTH</v>
      </c>
      <c r="H2875" s="8">
        <f>VLOOKUP(A2875,[1]!Table1[#All],32,FALSE)</f>
        <v>44104</v>
      </c>
      <c r="I2875" s="8">
        <f>VLOOKUP(A2875,[1]!Table1[#All],33,FALSE)</f>
        <v>45929</v>
      </c>
      <c r="J2875" t="str">
        <f t="shared" ca="1" si="48"/>
        <v>Non UDO</v>
      </c>
    </row>
    <row r="2876" spans="1:10" x14ac:dyDescent="0.35">
      <c r="A2876" s="5" t="s">
        <v>92</v>
      </c>
      <c r="B2876" s="6">
        <v>44348</v>
      </c>
      <c r="C2876" s="7">
        <v>2500000</v>
      </c>
      <c r="D2876" s="7">
        <v>342675.14</v>
      </c>
      <c r="E2876" s="7">
        <v>2157324.86</v>
      </c>
      <c r="F2876" t="str">
        <f>VLOOKUP(A2876,[1]!Table1[#All],17,FALSE)</f>
        <v>UNITED STATES</v>
      </c>
      <c r="G2876" t="str">
        <f>VLOOKUP(A2876,[1]!Table1[#All],22,FALSE)</f>
        <v>MANAGEMENT SCIENCES FOR HEALTH</v>
      </c>
      <c r="H2876" s="8">
        <f>VLOOKUP(A2876,[1]!Table1[#All],32,FALSE)</f>
        <v>44104</v>
      </c>
      <c r="I2876" s="8">
        <f>VLOOKUP(A2876,[1]!Table1[#All],33,FALSE)</f>
        <v>45929</v>
      </c>
      <c r="J2876" t="str">
        <f t="shared" ca="1" si="48"/>
        <v>Non UDO</v>
      </c>
    </row>
    <row r="2877" spans="1:10" x14ac:dyDescent="0.35">
      <c r="A2877" s="9" t="s">
        <v>92</v>
      </c>
      <c r="B2877" s="10">
        <v>44378</v>
      </c>
      <c r="C2877" s="11">
        <v>2500000</v>
      </c>
      <c r="D2877" s="11">
        <v>342675.14</v>
      </c>
      <c r="E2877" s="11">
        <v>2157324.86</v>
      </c>
      <c r="F2877" t="str">
        <f>VLOOKUP(A2877,[1]!Table1[#All],17,FALSE)</f>
        <v>UNITED STATES</v>
      </c>
      <c r="G2877" t="str">
        <f>VLOOKUP(A2877,[1]!Table1[#All],22,FALSE)</f>
        <v>MANAGEMENT SCIENCES FOR HEALTH</v>
      </c>
      <c r="H2877" s="8">
        <f>VLOOKUP(A2877,[1]!Table1[#All],32,FALSE)</f>
        <v>44104</v>
      </c>
      <c r="I2877" s="8">
        <f>VLOOKUP(A2877,[1]!Table1[#All],33,FALSE)</f>
        <v>45929</v>
      </c>
      <c r="J2877" t="str">
        <f t="shared" ca="1" si="48"/>
        <v>Non UDO</v>
      </c>
    </row>
    <row r="2878" spans="1:10" x14ac:dyDescent="0.35">
      <c r="A2878" s="5" t="s">
        <v>92</v>
      </c>
      <c r="B2878" s="6">
        <v>44409</v>
      </c>
      <c r="C2878" s="7">
        <v>2500000</v>
      </c>
      <c r="D2878" s="7">
        <v>410178.68</v>
      </c>
      <c r="E2878" s="7">
        <v>2089821.32</v>
      </c>
      <c r="F2878" t="str">
        <f>VLOOKUP(A2878,[1]!Table1[#All],17,FALSE)</f>
        <v>UNITED STATES</v>
      </c>
      <c r="G2878" t="str">
        <f>VLOOKUP(A2878,[1]!Table1[#All],22,FALSE)</f>
        <v>MANAGEMENT SCIENCES FOR HEALTH</v>
      </c>
      <c r="H2878" s="8">
        <f>VLOOKUP(A2878,[1]!Table1[#All],32,FALSE)</f>
        <v>44104</v>
      </c>
      <c r="I2878" s="8">
        <f>VLOOKUP(A2878,[1]!Table1[#All],33,FALSE)</f>
        <v>45929</v>
      </c>
      <c r="J2878" t="str">
        <f t="shared" ca="1" si="48"/>
        <v>Non UDO</v>
      </c>
    </row>
    <row r="2879" spans="1:10" x14ac:dyDescent="0.35">
      <c r="A2879" s="9" t="s">
        <v>92</v>
      </c>
      <c r="B2879" s="10">
        <v>44440</v>
      </c>
      <c r="C2879" s="11">
        <v>2500000</v>
      </c>
      <c r="D2879" s="11">
        <v>591077.39</v>
      </c>
      <c r="E2879" s="11">
        <v>1908922.61</v>
      </c>
      <c r="F2879" t="str">
        <f>VLOOKUP(A2879,[1]!Table1[#All],17,FALSE)</f>
        <v>UNITED STATES</v>
      </c>
      <c r="G2879" t="str">
        <f>VLOOKUP(A2879,[1]!Table1[#All],22,FALSE)</f>
        <v>MANAGEMENT SCIENCES FOR HEALTH</v>
      </c>
      <c r="H2879" s="8">
        <f>VLOOKUP(A2879,[1]!Table1[#All],32,FALSE)</f>
        <v>44104</v>
      </c>
      <c r="I2879" s="8">
        <f>VLOOKUP(A2879,[1]!Table1[#All],33,FALSE)</f>
        <v>45929</v>
      </c>
      <c r="J2879" t="str">
        <f t="shared" ca="1" si="48"/>
        <v>Non UDO</v>
      </c>
    </row>
    <row r="2880" spans="1:10" x14ac:dyDescent="0.35">
      <c r="A2880" s="5" t="s">
        <v>92</v>
      </c>
      <c r="B2880" s="6">
        <v>44470</v>
      </c>
      <c r="C2880" s="7">
        <v>2500000</v>
      </c>
      <c r="D2880" s="7">
        <v>591077.39</v>
      </c>
      <c r="E2880" s="7">
        <v>1908922.61</v>
      </c>
      <c r="F2880" t="str">
        <f>VLOOKUP(A2880,[1]!Table1[#All],17,FALSE)</f>
        <v>UNITED STATES</v>
      </c>
      <c r="G2880" t="str">
        <f>VLOOKUP(A2880,[1]!Table1[#All],22,FALSE)</f>
        <v>MANAGEMENT SCIENCES FOR HEALTH</v>
      </c>
      <c r="H2880" s="8">
        <f>VLOOKUP(A2880,[1]!Table1[#All],32,FALSE)</f>
        <v>44104</v>
      </c>
      <c r="I2880" s="8">
        <f>VLOOKUP(A2880,[1]!Table1[#All],33,FALSE)</f>
        <v>45929</v>
      </c>
      <c r="J2880" t="str">
        <f t="shared" ca="1" si="48"/>
        <v>Non UDO</v>
      </c>
    </row>
    <row r="2881" spans="1:10" x14ac:dyDescent="0.35">
      <c r="A2881" s="9" t="s">
        <v>92</v>
      </c>
      <c r="B2881" s="10">
        <v>44501</v>
      </c>
      <c r="C2881" s="11">
        <v>2500000</v>
      </c>
      <c r="D2881" s="11">
        <v>591077.39</v>
      </c>
      <c r="E2881" s="11">
        <v>1908922.61</v>
      </c>
      <c r="F2881" t="str">
        <f>VLOOKUP(A2881,[1]!Table1[#All],17,FALSE)</f>
        <v>UNITED STATES</v>
      </c>
      <c r="G2881" t="str">
        <f>VLOOKUP(A2881,[1]!Table1[#All],22,FALSE)</f>
        <v>MANAGEMENT SCIENCES FOR HEALTH</v>
      </c>
      <c r="H2881" s="8">
        <f>VLOOKUP(A2881,[1]!Table1[#All],32,FALSE)</f>
        <v>44104</v>
      </c>
      <c r="I2881" s="8">
        <f>VLOOKUP(A2881,[1]!Table1[#All],33,FALSE)</f>
        <v>45929</v>
      </c>
      <c r="J2881" t="str">
        <f t="shared" ca="1" si="48"/>
        <v>Non UDO</v>
      </c>
    </row>
    <row r="2882" spans="1:10" x14ac:dyDescent="0.35">
      <c r="A2882" s="5" t="s">
        <v>92</v>
      </c>
      <c r="B2882" s="6">
        <v>44531</v>
      </c>
      <c r="C2882" s="7">
        <v>2500000</v>
      </c>
      <c r="D2882" s="7">
        <v>921121.84</v>
      </c>
      <c r="E2882" s="7">
        <v>1578878.16</v>
      </c>
      <c r="F2882" t="str">
        <f>VLOOKUP(A2882,[1]!Table1[#All],17,FALSE)</f>
        <v>UNITED STATES</v>
      </c>
      <c r="G2882" t="str">
        <f>VLOOKUP(A2882,[1]!Table1[#All],22,FALSE)</f>
        <v>MANAGEMENT SCIENCES FOR HEALTH</v>
      </c>
      <c r="H2882" s="8">
        <f>VLOOKUP(A2882,[1]!Table1[#All],32,FALSE)</f>
        <v>44104</v>
      </c>
      <c r="I2882" s="8">
        <f>VLOOKUP(A2882,[1]!Table1[#All],33,FALSE)</f>
        <v>45929</v>
      </c>
      <c r="J2882" t="str">
        <f t="shared" ca="1" si="48"/>
        <v>Non UDO</v>
      </c>
    </row>
    <row r="2883" spans="1:10" x14ac:dyDescent="0.35">
      <c r="A2883" s="9" t="s">
        <v>92</v>
      </c>
      <c r="B2883" s="10">
        <v>44562</v>
      </c>
      <c r="C2883" s="11">
        <v>2500000</v>
      </c>
      <c r="D2883" s="11">
        <v>921121.84</v>
      </c>
      <c r="E2883" s="11">
        <v>1578878.16</v>
      </c>
      <c r="F2883" t="str">
        <f>VLOOKUP(A2883,[1]!Table1[#All],17,FALSE)</f>
        <v>UNITED STATES</v>
      </c>
      <c r="G2883" t="str">
        <f>VLOOKUP(A2883,[1]!Table1[#All],22,FALSE)</f>
        <v>MANAGEMENT SCIENCES FOR HEALTH</v>
      </c>
      <c r="H2883" s="8">
        <f>VLOOKUP(A2883,[1]!Table1[#All],32,FALSE)</f>
        <v>44104</v>
      </c>
      <c r="I2883" s="8">
        <f>VLOOKUP(A2883,[1]!Table1[#All],33,FALSE)</f>
        <v>45929</v>
      </c>
      <c r="J2883" t="str">
        <f t="shared" ref="J2883:J2946" ca="1" si="49">IF(AND( E2883&gt;0,TODAY()&gt;I2883),"UDO","Non UDO")</f>
        <v>Non UDO</v>
      </c>
    </row>
    <row r="2884" spans="1:10" x14ac:dyDescent="0.35">
      <c r="A2884" s="5" t="s">
        <v>92</v>
      </c>
      <c r="B2884" s="6">
        <v>44593</v>
      </c>
      <c r="C2884" s="7">
        <v>2500000</v>
      </c>
      <c r="D2884" s="7">
        <v>921121.84</v>
      </c>
      <c r="E2884" s="7">
        <v>1578878.16</v>
      </c>
      <c r="F2884" t="str">
        <f>VLOOKUP(A2884,[1]!Table1[#All],17,FALSE)</f>
        <v>UNITED STATES</v>
      </c>
      <c r="G2884" t="str">
        <f>VLOOKUP(A2884,[1]!Table1[#All],22,FALSE)</f>
        <v>MANAGEMENT SCIENCES FOR HEALTH</v>
      </c>
      <c r="H2884" s="8">
        <f>VLOOKUP(A2884,[1]!Table1[#All],32,FALSE)</f>
        <v>44104</v>
      </c>
      <c r="I2884" s="8">
        <f>VLOOKUP(A2884,[1]!Table1[#All],33,FALSE)</f>
        <v>45929</v>
      </c>
      <c r="J2884" t="str">
        <f t="shared" ca="1" si="49"/>
        <v>Non UDO</v>
      </c>
    </row>
    <row r="2885" spans="1:10" x14ac:dyDescent="0.35">
      <c r="A2885" s="9" t="s">
        <v>92</v>
      </c>
      <c r="B2885" s="10">
        <v>44621</v>
      </c>
      <c r="C2885" s="11">
        <v>2500000</v>
      </c>
      <c r="D2885" s="11">
        <v>1168365.82</v>
      </c>
      <c r="E2885" s="11">
        <v>1331634.18</v>
      </c>
      <c r="F2885" t="str">
        <f>VLOOKUP(A2885,[1]!Table1[#All],17,FALSE)</f>
        <v>UNITED STATES</v>
      </c>
      <c r="G2885" t="str">
        <f>VLOOKUP(A2885,[1]!Table1[#All],22,FALSE)</f>
        <v>MANAGEMENT SCIENCES FOR HEALTH</v>
      </c>
      <c r="H2885" s="8">
        <f>VLOOKUP(A2885,[1]!Table1[#All],32,FALSE)</f>
        <v>44104</v>
      </c>
      <c r="I2885" s="8">
        <f>VLOOKUP(A2885,[1]!Table1[#All],33,FALSE)</f>
        <v>45929</v>
      </c>
      <c r="J2885" t="str">
        <f t="shared" ca="1" si="49"/>
        <v>Non UDO</v>
      </c>
    </row>
    <row r="2886" spans="1:10" x14ac:dyDescent="0.35">
      <c r="A2886" s="5" t="s">
        <v>92</v>
      </c>
      <c r="B2886" s="6">
        <v>44652</v>
      </c>
      <c r="C2886" s="7">
        <v>2500000</v>
      </c>
      <c r="D2886" s="7">
        <v>1168365.82</v>
      </c>
      <c r="E2886" s="7">
        <v>1331634.18</v>
      </c>
      <c r="F2886" t="str">
        <f>VLOOKUP(A2886,[1]!Table1[#All],17,FALSE)</f>
        <v>UNITED STATES</v>
      </c>
      <c r="G2886" t="str">
        <f>VLOOKUP(A2886,[1]!Table1[#All],22,FALSE)</f>
        <v>MANAGEMENT SCIENCES FOR HEALTH</v>
      </c>
      <c r="H2886" s="8">
        <f>VLOOKUP(A2886,[1]!Table1[#All],32,FALSE)</f>
        <v>44104</v>
      </c>
      <c r="I2886" s="8">
        <f>VLOOKUP(A2886,[1]!Table1[#All],33,FALSE)</f>
        <v>45929</v>
      </c>
      <c r="J2886" t="str">
        <f t="shared" ca="1" si="49"/>
        <v>Non UDO</v>
      </c>
    </row>
    <row r="2887" spans="1:10" x14ac:dyDescent="0.35">
      <c r="A2887" s="9" t="s">
        <v>92</v>
      </c>
      <c r="B2887" s="10">
        <v>44682</v>
      </c>
      <c r="C2887" s="11">
        <v>2500000</v>
      </c>
      <c r="D2887" s="11">
        <v>1312440.8799999999</v>
      </c>
      <c r="E2887" s="11">
        <v>1187559.1200000001</v>
      </c>
      <c r="F2887" t="str">
        <f>VLOOKUP(A2887,[1]!Table1[#All],17,FALSE)</f>
        <v>UNITED STATES</v>
      </c>
      <c r="G2887" t="str">
        <f>VLOOKUP(A2887,[1]!Table1[#All],22,FALSE)</f>
        <v>MANAGEMENT SCIENCES FOR HEALTH</v>
      </c>
      <c r="H2887" s="8">
        <f>VLOOKUP(A2887,[1]!Table1[#All],32,FALSE)</f>
        <v>44104</v>
      </c>
      <c r="I2887" s="8">
        <f>VLOOKUP(A2887,[1]!Table1[#All],33,FALSE)</f>
        <v>45929</v>
      </c>
      <c r="J2887" t="str">
        <f t="shared" ca="1" si="49"/>
        <v>Non UDO</v>
      </c>
    </row>
    <row r="2888" spans="1:10" x14ac:dyDescent="0.35">
      <c r="A2888" s="5" t="s">
        <v>92</v>
      </c>
      <c r="B2888" s="6">
        <v>44713</v>
      </c>
      <c r="C2888" s="7">
        <v>2500000</v>
      </c>
      <c r="D2888" s="7">
        <v>1630938.26</v>
      </c>
      <c r="E2888" s="7">
        <v>869061.74</v>
      </c>
      <c r="F2888" t="str">
        <f>VLOOKUP(A2888,[1]!Table1[#All],17,FALSE)</f>
        <v>UNITED STATES</v>
      </c>
      <c r="G2888" t="str">
        <f>VLOOKUP(A2888,[1]!Table1[#All],22,FALSE)</f>
        <v>MANAGEMENT SCIENCES FOR HEALTH</v>
      </c>
      <c r="H2888" s="8">
        <f>VLOOKUP(A2888,[1]!Table1[#All],32,FALSE)</f>
        <v>44104</v>
      </c>
      <c r="I2888" s="8">
        <f>VLOOKUP(A2888,[1]!Table1[#All],33,FALSE)</f>
        <v>45929</v>
      </c>
      <c r="J2888" t="str">
        <f t="shared" ca="1" si="49"/>
        <v>Non UDO</v>
      </c>
    </row>
    <row r="2889" spans="1:10" x14ac:dyDescent="0.35">
      <c r="A2889" s="9" t="s">
        <v>92</v>
      </c>
      <c r="B2889" s="10">
        <v>44743</v>
      </c>
      <c r="C2889" s="11">
        <v>2500000</v>
      </c>
      <c r="D2889" s="11">
        <v>1630938.26</v>
      </c>
      <c r="E2889" s="11">
        <v>869061.74</v>
      </c>
      <c r="F2889" t="str">
        <f>VLOOKUP(A2889,[1]!Table1[#All],17,FALSE)</f>
        <v>UNITED STATES</v>
      </c>
      <c r="G2889" t="str">
        <f>VLOOKUP(A2889,[1]!Table1[#All],22,FALSE)</f>
        <v>MANAGEMENT SCIENCES FOR HEALTH</v>
      </c>
      <c r="H2889" s="8">
        <f>VLOOKUP(A2889,[1]!Table1[#All],32,FALSE)</f>
        <v>44104</v>
      </c>
      <c r="I2889" s="8">
        <f>VLOOKUP(A2889,[1]!Table1[#All],33,FALSE)</f>
        <v>45929</v>
      </c>
      <c r="J2889" t="str">
        <f t="shared" ca="1" si="49"/>
        <v>Non UDO</v>
      </c>
    </row>
    <row r="2890" spans="1:10" x14ac:dyDescent="0.35">
      <c r="A2890" s="5" t="s">
        <v>92</v>
      </c>
      <c r="B2890" s="6">
        <v>44774</v>
      </c>
      <c r="C2890" s="7">
        <v>2500000</v>
      </c>
      <c r="D2890" s="7">
        <v>1937234.22</v>
      </c>
      <c r="E2890" s="7">
        <v>562765.78</v>
      </c>
      <c r="F2890" t="str">
        <f>VLOOKUP(A2890,[1]!Table1[#All],17,FALSE)</f>
        <v>UNITED STATES</v>
      </c>
      <c r="G2890" t="str">
        <f>VLOOKUP(A2890,[1]!Table1[#All],22,FALSE)</f>
        <v>MANAGEMENT SCIENCES FOR HEALTH</v>
      </c>
      <c r="H2890" s="8">
        <f>VLOOKUP(A2890,[1]!Table1[#All],32,FALSE)</f>
        <v>44104</v>
      </c>
      <c r="I2890" s="8">
        <f>VLOOKUP(A2890,[1]!Table1[#All],33,FALSE)</f>
        <v>45929</v>
      </c>
      <c r="J2890" t="str">
        <f t="shared" ca="1" si="49"/>
        <v>Non UDO</v>
      </c>
    </row>
    <row r="2891" spans="1:10" x14ac:dyDescent="0.35">
      <c r="A2891" s="9" t="s">
        <v>92</v>
      </c>
      <c r="B2891" s="10">
        <v>44805</v>
      </c>
      <c r="C2891" s="11">
        <v>2500000</v>
      </c>
      <c r="D2891" s="11">
        <v>2260527.16</v>
      </c>
      <c r="E2891" s="11">
        <v>239472.84</v>
      </c>
      <c r="F2891" t="str">
        <f>VLOOKUP(A2891,[1]!Table1[#All],17,FALSE)</f>
        <v>UNITED STATES</v>
      </c>
      <c r="G2891" t="str">
        <f>VLOOKUP(A2891,[1]!Table1[#All],22,FALSE)</f>
        <v>MANAGEMENT SCIENCES FOR HEALTH</v>
      </c>
      <c r="H2891" s="8">
        <f>VLOOKUP(A2891,[1]!Table1[#All],32,FALSE)</f>
        <v>44104</v>
      </c>
      <c r="I2891" s="8">
        <f>VLOOKUP(A2891,[1]!Table1[#All],33,FALSE)</f>
        <v>45929</v>
      </c>
      <c r="J2891" t="str">
        <f t="shared" ca="1" si="49"/>
        <v>Non UDO</v>
      </c>
    </row>
    <row r="2892" spans="1:10" x14ac:dyDescent="0.35">
      <c r="A2892" s="5" t="s">
        <v>92</v>
      </c>
      <c r="B2892" s="6">
        <v>44835</v>
      </c>
      <c r="C2892" s="7">
        <v>2500000</v>
      </c>
      <c r="D2892" s="7">
        <v>2287571.3199999998</v>
      </c>
      <c r="E2892" s="7">
        <v>212428.68</v>
      </c>
      <c r="F2892" t="str">
        <f>VLOOKUP(A2892,[1]!Table1[#All],17,FALSE)</f>
        <v>UNITED STATES</v>
      </c>
      <c r="G2892" t="str">
        <f>VLOOKUP(A2892,[1]!Table1[#All],22,FALSE)</f>
        <v>MANAGEMENT SCIENCES FOR HEALTH</v>
      </c>
      <c r="H2892" s="8">
        <f>VLOOKUP(A2892,[1]!Table1[#All],32,FALSE)</f>
        <v>44104</v>
      </c>
      <c r="I2892" s="8">
        <f>VLOOKUP(A2892,[1]!Table1[#All],33,FALSE)</f>
        <v>45929</v>
      </c>
      <c r="J2892" t="str">
        <f t="shared" ca="1" si="49"/>
        <v>Non UDO</v>
      </c>
    </row>
    <row r="2893" spans="1:10" x14ac:dyDescent="0.35">
      <c r="A2893" s="9" t="s">
        <v>92</v>
      </c>
      <c r="B2893" s="10">
        <v>44866</v>
      </c>
      <c r="C2893" s="11">
        <v>2500000</v>
      </c>
      <c r="D2893" s="11">
        <v>2447571.3199999998</v>
      </c>
      <c r="E2893" s="11">
        <v>52428.68</v>
      </c>
      <c r="F2893" t="str">
        <f>VLOOKUP(A2893,[1]!Table1[#All],17,FALSE)</f>
        <v>UNITED STATES</v>
      </c>
      <c r="G2893" t="str">
        <f>VLOOKUP(A2893,[1]!Table1[#All],22,FALSE)</f>
        <v>MANAGEMENT SCIENCES FOR HEALTH</v>
      </c>
      <c r="H2893" s="8">
        <f>VLOOKUP(A2893,[1]!Table1[#All],32,FALSE)</f>
        <v>44104</v>
      </c>
      <c r="I2893" s="8">
        <f>VLOOKUP(A2893,[1]!Table1[#All],33,FALSE)</f>
        <v>45929</v>
      </c>
      <c r="J2893" t="str">
        <f t="shared" ca="1" si="49"/>
        <v>Non UDO</v>
      </c>
    </row>
    <row r="2894" spans="1:10" x14ac:dyDescent="0.35">
      <c r="A2894" s="5" t="s">
        <v>92</v>
      </c>
      <c r="B2894" s="6">
        <v>44896</v>
      </c>
      <c r="C2894" s="7">
        <v>2500000</v>
      </c>
      <c r="D2894" s="7">
        <v>2477887.62</v>
      </c>
      <c r="E2894" s="7">
        <v>22112.38</v>
      </c>
      <c r="F2894" t="str">
        <f>VLOOKUP(A2894,[1]!Table1[#All],17,FALSE)</f>
        <v>UNITED STATES</v>
      </c>
      <c r="G2894" t="str">
        <f>VLOOKUP(A2894,[1]!Table1[#All],22,FALSE)</f>
        <v>MANAGEMENT SCIENCES FOR HEALTH</v>
      </c>
      <c r="H2894" s="8">
        <f>VLOOKUP(A2894,[1]!Table1[#All],32,FALSE)</f>
        <v>44104</v>
      </c>
      <c r="I2894" s="8">
        <f>VLOOKUP(A2894,[1]!Table1[#All],33,FALSE)</f>
        <v>45929</v>
      </c>
      <c r="J2894" t="str">
        <f t="shared" ca="1" si="49"/>
        <v>Non UDO</v>
      </c>
    </row>
    <row r="2895" spans="1:10" x14ac:dyDescent="0.35">
      <c r="A2895" s="9" t="s">
        <v>92</v>
      </c>
      <c r="B2895" s="10">
        <v>44927</v>
      </c>
      <c r="C2895" s="11">
        <v>2500000</v>
      </c>
      <c r="D2895" s="11">
        <v>2477887.62</v>
      </c>
      <c r="E2895" s="11">
        <v>22112.38</v>
      </c>
      <c r="F2895" t="str">
        <f>VLOOKUP(A2895,[1]!Table1[#All],17,FALSE)</f>
        <v>UNITED STATES</v>
      </c>
      <c r="G2895" t="str">
        <f>VLOOKUP(A2895,[1]!Table1[#All],22,FALSE)</f>
        <v>MANAGEMENT SCIENCES FOR HEALTH</v>
      </c>
      <c r="H2895" s="8">
        <f>VLOOKUP(A2895,[1]!Table1[#All],32,FALSE)</f>
        <v>44104</v>
      </c>
      <c r="I2895" s="8">
        <f>VLOOKUP(A2895,[1]!Table1[#All],33,FALSE)</f>
        <v>45929</v>
      </c>
      <c r="J2895" t="str">
        <f t="shared" ca="1" si="49"/>
        <v>Non UDO</v>
      </c>
    </row>
    <row r="2896" spans="1:10" x14ac:dyDescent="0.35">
      <c r="A2896" s="5" t="s">
        <v>92</v>
      </c>
      <c r="B2896" s="6">
        <v>44958</v>
      </c>
      <c r="C2896" s="7">
        <v>2500000</v>
      </c>
      <c r="D2896" s="7">
        <v>2477887.62</v>
      </c>
      <c r="E2896" s="7">
        <v>22112.38</v>
      </c>
      <c r="F2896" t="str">
        <f>VLOOKUP(A2896,[1]!Table1[#All],17,FALSE)</f>
        <v>UNITED STATES</v>
      </c>
      <c r="G2896" t="str">
        <f>VLOOKUP(A2896,[1]!Table1[#All],22,FALSE)</f>
        <v>MANAGEMENT SCIENCES FOR HEALTH</v>
      </c>
      <c r="H2896" s="8">
        <f>VLOOKUP(A2896,[1]!Table1[#All],32,FALSE)</f>
        <v>44104</v>
      </c>
      <c r="I2896" s="8">
        <f>VLOOKUP(A2896,[1]!Table1[#All],33,FALSE)</f>
        <v>45929</v>
      </c>
      <c r="J2896" t="str">
        <f t="shared" ca="1" si="49"/>
        <v>Non UDO</v>
      </c>
    </row>
    <row r="2897" spans="1:10" x14ac:dyDescent="0.35">
      <c r="A2897" s="9" t="s">
        <v>92</v>
      </c>
      <c r="B2897" s="10">
        <v>44986</v>
      </c>
      <c r="C2897" s="11">
        <v>2500000</v>
      </c>
      <c r="D2897" s="11">
        <v>2477887.62</v>
      </c>
      <c r="E2897" s="11">
        <v>22112.38</v>
      </c>
      <c r="F2897" t="str">
        <f>VLOOKUP(A2897,[1]!Table1[#All],17,FALSE)</f>
        <v>UNITED STATES</v>
      </c>
      <c r="G2897" t="str">
        <f>VLOOKUP(A2897,[1]!Table1[#All],22,FALSE)</f>
        <v>MANAGEMENT SCIENCES FOR HEALTH</v>
      </c>
      <c r="H2897" s="8">
        <f>VLOOKUP(A2897,[1]!Table1[#All],32,FALSE)</f>
        <v>44104</v>
      </c>
      <c r="I2897" s="8">
        <f>VLOOKUP(A2897,[1]!Table1[#All],33,FALSE)</f>
        <v>45929</v>
      </c>
      <c r="J2897" t="str">
        <f t="shared" ca="1" si="49"/>
        <v>Non UDO</v>
      </c>
    </row>
    <row r="2898" spans="1:10" x14ac:dyDescent="0.35">
      <c r="A2898" s="5" t="s">
        <v>92</v>
      </c>
      <c r="B2898" s="6">
        <v>45017</v>
      </c>
      <c r="C2898" s="7">
        <v>2500000</v>
      </c>
      <c r="D2898" s="7">
        <v>2500000</v>
      </c>
      <c r="E2898" s="7">
        <v>0</v>
      </c>
      <c r="F2898" t="str">
        <f>VLOOKUP(A2898,[1]!Table1[#All],17,FALSE)</f>
        <v>UNITED STATES</v>
      </c>
      <c r="G2898" t="str">
        <f>VLOOKUP(A2898,[1]!Table1[#All],22,FALSE)</f>
        <v>MANAGEMENT SCIENCES FOR HEALTH</v>
      </c>
      <c r="H2898" s="8">
        <f>VLOOKUP(A2898,[1]!Table1[#All],32,FALSE)</f>
        <v>44104</v>
      </c>
      <c r="I2898" s="8">
        <f>VLOOKUP(A2898,[1]!Table1[#All],33,FALSE)</f>
        <v>45929</v>
      </c>
      <c r="J2898" t="str">
        <f t="shared" ca="1" si="49"/>
        <v>Non UDO</v>
      </c>
    </row>
    <row r="2899" spans="1:10" x14ac:dyDescent="0.35">
      <c r="A2899" s="9" t="s">
        <v>92</v>
      </c>
      <c r="B2899" s="10">
        <v>45047</v>
      </c>
      <c r="C2899" s="11">
        <v>2500000</v>
      </c>
      <c r="D2899" s="11">
        <v>2500000</v>
      </c>
      <c r="E2899" s="11">
        <v>0</v>
      </c>
      <c r="F2899" t="str">
        <f>VLOOKUP(A2899,[1]!Table1[#All],17,FALSE)</f>
        <v>UNITED STATES</v>
      </c>
      <c r="G2899" t="str">
        <f>VLOOKUP(A2899,[1]!Table1[#All],22,FALSE)</f>
        <v>MANAGEMENT SCIENCES FOR HEALTH</v>
      </c>
      <c r="H2899" s="8">
        <f>VLOOKUP(A2899,[1]!Table1[#All],32,FALSE)</f>
        <v>44104</v>
      </c>
      <c r="I2899" s="8">
        <f>VLOOKUP(A2899,[1]!Table1[#All],33,FALSE)</f>
        <v>45929</v>
      </c>
      <c r="J2899" t="str">
        <f t="shared" ca="1" si="49"/>
        <v>Non UDO</v>
      </c>
    </row>
    <row r="2900" spans="1:10" x14ac:dyDescent="0.35">
      <c r="A2900" s="5" t="s">
        <v>92</v>
      </c>
      <c r="B2900" s="6">
        <v>45078</v>
      </c>
      <c r="C2900" s="7">
        <v>2500000</v>
      </c>
      <c r="D2900" s="7">
        <v>2500000</v>
      </c>
      <c r="E2900" s="7">
        <v>0</v>
      </c>
      <c r="F2900" t="str">
        <f>VLOOKUP(A2900,[1]!Table1[#All],17,FALSE)</f>
        <v>UNITED STATES</v>
      </c>
      <c r="G2900" t="str">
        <f>VLOOKUP(A2900,[1]!Table1[#All],22,FALSE)</f>
        <v>MANAGEMENT SCIENCES FOR HEALTH</v>
      </c>
      <c r="H2900" s="8">
        <f>VLOOKUP(A2900,[1]!Table1[#All],32,FALSE)</f>
        <v>44104</v>
      </c>
      <c r="I2900" s="8">
        <f>VLOOKUP(A2900,[1]!Table1[#All],33,FALSE)</f>
        <v>45929</v>
      </c>
      <c r="J2900" t="str">
        <f t="shared" ca="1" si="49"/>
        <v>Non UDO</v>
      </c>
    </row>
    <row r="2901" spans="1:10" x14ac:dyDescent="0.35">
      <c r="A2901" s="9" t="s">
        <v>92</v>
      </c>
      <c r="B2901" s="10">
        <v>45108</v>
      </c>
      <c r="C2901" s="11">
        <v>2500000</v>
      </c>
      <c r="D2901" s="11">
        <v>2500000</v>
      </c>
      <c r="E2901" s="11">
        <v>0</v>
      </c>
      <c r="F2901" t="str">
        <f>VLOOKUP(A2901,[1]!Table1[#All],17,FALSE)</f>
        <v>UNITED STATES</v>
      </c>
      <c r="G2901" t="str">
        <f>VLOOKUP(A2901,[1]!Table1[#All],22,FALSE)</f>
        <v>MANAGEMENT SCIENCES FOR HEALTH</v>
      </c>
      <c r="H2901" s="8">
        <f>VLOOKUP(A2901,[1]!Table1[#All],32,FALSE)</f>
        <v>44104</v>
      </c>
      <c r="I2901" s="8">
        <f>VLOOKUP(A2901,[1]!Table1[#All],33,FALSE)</f>
        <v>45929</v>
      </c>
      <c r="J2901" t="str">
        <f t="shared" ca="1" si="49"/>
        <v>Non UDO</v>
      </c>
    </row>
    <row r="2902" spans="1:10" x14ac:dyDescent="0.35">
      <c r="A2902" s="5" t="s">
        <v>92</v>
      </c>
      <c r="B2902" s="6">
        <v>45139</v>
      </c>
      <c r="C2902" s="7">
        <v>2500000</v>
      </c>
      <c r="D2902" s="7">
        <v>2500000</v>
      </c>
      <c r="E2902" s="7">
        <v>0</v>
      </c>
      <c r="F2902" t="str">
        <f>VLOOKUP(A2902,[1]!Table1[#All],17,FALSE)</f>
        <v>UNITED STATES</v>
      </c>
      <c r="G2902" t="str">
        <f>VLOOKUP(A2902,[1]!Table1[#All],22,FALSE)</f>
        <v>MANAGEMENT SCIENCES FOR HEALTH</v>
      </c>
      <c r="H2902" s="8">
        <f>VLOOKUP(A2902,[1]!Table1[#All],32,FALSE)</f>
        <v>44104</v>
      </c>
      <c r="I2902" s="8">
        <f>VLOOKUP(A2902,[1]!Table1[#All],33,FALSE)</f>
        <v>45929</v>
      </c>
      <c r="J2902" t="str">
        <f t="shared" ca="1" si="49"/>
        <v>Non UDO</v>
      </c>
    </row>
    <row r="2903" spans="1:10" x14ac:dyDescent="0.35">
      <c r="A2903" s="9" t="s">
        <v>92</v>
      </c>
      <c r="B2903" s="10">
        <v>45170</v>
      </c>
      <c r="C2903" s="11">
        <v>2500000</v>
      </c>
      <c r="D2903" s="11">
        <v>2500000</v>
      </c>
      <c r="E2903" s="11">
        <v>0</v>
      </c>
      <c r="F2903" t="str">
        <f>VLOOKUP(A2903,[1]!Table1[#All],17,FALSE)</f>
        <v>UNITED STATES</v>
      </c>
      <c r="G2903" t="str">
        <f>VLOOKUP(A2903,[1]!Table1[#All],22,FALSE)</f>
        <v>MANAGEMENT SCIENCES FOR HEALTH</v>
      </c>
      <c r="H2903" s="8">
        <f>VLOOKUP(A2903,[1]!Table1[#All],32,FALSE)</f>
        <v>44104</v>
      </c>
      <c r="I2903" s="8">
        <f>VLOOKUP(A2903,[1]!Table1[#All],33,FALSE)</f>
        <v>45929</v>
      </c>
      <c r="J2903" t="str">
        <f t="shared" ca="1" si="49"/>
        <v>Non UDO</v>
      </c>
    </row>
    <row r="2904" spans="1:10" x14ac:dyDescent="0.35">
      <c r="A2904" s="5" t="s">
        <v>93</v>
      </c>
      <c r="B2904" s="6">
        <v>44105</v>
      </c>
      <c r="C2904" s="7">
        <v>2608144</v>
      </c>
      <c r="D2904" s="7">
        <v>0</v>
      </c>
      <c r="E2904" s="7">
        <v>2608144</v>
      </c>
      <c r="F2904" t="str">
        <f>VLOOKUP(A2904,[1]!Table1[#All],17,FALSE)</f>
        <v>UNITED STATES</v>
      </c>
      <c r="G2904" t="str">
        <f>VLOOKUP(A2904,[1]!Table1[#All],22,FALSE)</f>
        <v>FAMILY HEALTH INTERNATIONAL</v>
      </c>
      <c r="H2904" s="8">
        <f>VLOOKUP(A2904,[1]!Table1[#All],32,FALSE)</f>
        <v>44104</v>
      </c>
      <c r="I2904" s="8">
        <f>VLOOKUP(A2904,[1]!Table1[#All],33,FALSE)</f>
        <v>45929</v>
      </c>
      <c r="J2904" t="str">
        <f t="shared" ca="1" si="49"/>
        <v>Non UDO</v>
      </c>
    </row>
    <row r="2905" spans="1:10" x14ac:dyDescent="0.35">
      <c r="A2905" s="9" t="s">
        <v>93</v>
      </c>
      <c r="B2905" s="10">
        <v>44136</v>
      </c>
      <c r="C2905" s="11">
        <v>2608144</v>
      </c>
      <c r="D2905" s="11">
        <v>0</v>
      </c>
      <c r="E2905" s="11">
        <v>2608144</v>
      </c>
      <c r="F2905" t="str">
        <f>VLOOKUP(A2905,[1]!Table1[#All],17,FALSE)</f>
        <v>UNITED STATES</v>
      </c>
      <c r="G2905" t="str">
        <f>VLOOKUP(A2905,[1]!Table1[#All],22,FALSE)</f>
        <v>FAMILY HEALTH INTERNATIONAL</v>
      </c>
      <c r="H2905" s="8">
        <f>VLOOKUP(A2905,[1]!Table1[#All],32,FALSE)</f>
        <v>44104</v>
      </c>
      <c r="I2905" s="8">
        <f>VLOOKUP(A2905,[1]!Table1[#All],33,FALSE)</f>
        <v>45929</v>
      </c>
      <c r="J2905" t="str">
        <f t="shared" ca="1" si="49"/>
        <v>Non UDO</v>
      </c>
    </row>
    <row r="2906" spans="1:10" x14ac:dyDescent="0.35">
      <c r="A2906" s="5" t="s">
        <v>93</v>
      </c>
      <c r="B2906" s="6">
        <v>44166</v>
      </c>
      <c r="C2906" s="7">
        <v>2608144</v>
      </c>
      <c r="D2906" s="7">
        <v>2879.8500000000004</v>
      </c>
      <c r="E2906" s="7">
        <v>2605264.15</v>
      </c>
      <c r="F2906" t="str">
        <f>VLOOKUP(A2906,[1]!Table1[#All],17,FALSE)</f>
        <v>UNITED STATES</v>
      </c>
      <c r="G2906" t="str">
        <f>VLOOKUP(A2906,[1]!Table1[#All],22,FALSE)</f>
        <v>FAMILY HEALTH INTERNATIONAL</v>
      </c>
      <c r="H2906" s="8">
        <f>VLOOKUP(A2906,[1]!Table1[#All],32,FALSE)</f>
        <v>44104</v>
      </c>
      <c r="I2906" s="8">
        <f>VLOOKUP(A2906,[1]!Table1[#All],33,FALSE)</f>
        <v>45929</v>
      </c>
      <c r="J2906" t="str">
        <f t="shared" ca="1" si="49"/>
        <v>Non UDO</v>
      </c>
    </row>
    <row r="2907" spans="1:10" x14ac:dyDescent="0.35">
      <c r="A2907" s="9" t="s">
        <v>93</v>
      </c>
      <c r="B2907" s="10">
        <v>44197</v>
      </c>
      <c r="C2907" s="11">
        <v>2608144</v>
      </c>
      <c r="D2907" s="11">
        <v>194575.99</v>
      </c>
      <c r="E2907" s="11">
        <v>2413568.0099999998</v>
      </c>
      <c r="F2907" t="str">
        <f>VLOOKUP(A2907,[1]!Table1[#All],17,FALSE)</f>
        <v>UNITED STATES</v>
      </c>
      <c r="G2907" t="str">
        <f>VLOOKUP(A2907,[1]!Table1[#All],22,FALSE)</f>
        <v>FAMILY HEALTH INTERNATIONAL</v>
      </c>
      <c r="H2907" s="8">
        <f>VLOOKUP(A2907,[1]!Table1[#All],32,FALSE)</f>
        <v>44104</v>
      </c>
      <c r="I2907" s="8">
        <f>VLOOKUP(A2907,[1]!Table1[#All],33,FALSE)</f>
        <v>45929</v>
      </c>
      <c r="J2907" t="str">
        <f t="shared" ca="1" si="49"/>
        <v>Non UDO</v>
      </c>
    </row>
    <row r="2908" spans="1:10" x14ac:dyDescent="0.35">
      <c r="A2908" s="5" t="s">
        <v>93</v>
      </c>
      <c r="B2908" s="6">
        <v>44228</v>
      </c>
      <c r="C2908" s="7">
        <v>2608144</v>
      </c>
      <c r="D2908" s="7">
        <v>255587.73</v>
      </c>
      <c r="E2908" s="7">
        <v>2352556.27</v>
      </c>
      <c r="F2908" t="str">
        <f>VLOOKUP(A2908,[1]!Table1[#All],17,FALSE)</f>
        <v>UNITED STATES</v>
      </c>
      <c r="G2908" t="str">
        <f>VLOOKUP(A2908,[1]!Table1[#All],22,FALSE)</f>
        <v>FAMILY HEALTH INTERNATIONAL</v>
      </c>
      <c r="H2908" s="8">
        <f>VLOOKUP(A2908,[1]!Table1[#All],32,FALSE)</f>
        <v>44104</v>
      </c>
      <c r="I2908" s="8">
        <f>VLOOKUP(A2908,[1]!Table1[#All],33,FALSE)</f>
        <v>45929</v>
      </c>
      <c r="J2908" t="str">
        <f t="shared" ca="1" si="49"/>
        <v>Non UDO</v>
      </c>
    </row>
    <row r="2909" spans="1:10" x14ac:dyDescent="0.35">
      <c r="A2909" s="9" t="s">
        <v>93</v>
      </c>
      <c r="B2909" s="10">
        <v>44256</v>
      </c>
      <c r="C2909" s="11">
        <v>2608144</v>
      </c>
      <c r="D2909" s="11">
        <v>315905.54000000004</v>
      </c>
      <c r="E2909" s="11">
        <v>2292238.46</v>
      </c>
      <c r="F2909" t="str">
        <f>VLOOKUP(A2909,[1]!Table1[#All],17,FALSE)</f>
        <v>UNITED STATES</v>
      </c>
      <c r="G2909" t="str">
        <f>VLOOKUP(A2909,[1]!Table1[#All],22,FALSE)</f>
        <v>FAMILY HEALTH INTERNATIONAL</v>
      </c>
      <c r="H2909" s="8">
        <f>VLOOKUP(A2909,[1]!Table1[#All],32,FALSE)</f>
        <v>44104</v>
      </c>
      <c r="I2909" s="8">
        <f>VLOOKUP(A2909,[1]!Table1[#All],33,FALSE)</f>
        <v>45929</v>
      </c>
      <c r="J2909" t="str">
        <f t="shared" ca="1" si="49"/>
        <v>Non UDO</v>
      </c>
    </row>
    <row r="2910" spans="1:10" x14ac:dyDescent="0.35">
      <c r="A2910" s="5" t="s">
        <v>93</v>
      </c>
      <c r="B2910" s="6">
        <v>44287</v>
      </c>
      <c r="C2910" s="7">
        <v>1308000</v>
      </c>
      <c r="D2910" s="7">
        <v>186204.49</v>
      </c>
      <c r="E2910" s="7">
        <v>1121795.51</v>
      </c>
      <c r="F2910" t="str">
        <f>VLOOKUP(A2910,[1]!Table1[#All],17,FALSE)</f>
        <v>UNITED STATES</v>
      </c>
      <c r="G2910" t="str">
        <f>VLOOKUP(A2910,[1]!Table1[#All],22,FALSE)</f>
        <v>FAMILY HEALTH INTERNATIONAL</v>
      </c>
      <c r="H2910" s="8">
        <f>VLOOKUP(A2910,[1]!Table1[#All],32,FALSE)</f>
        <v>44104</v>
      </c>
      <c r="I2910" s="8">
        <f>VLOOKUP(A2910,[1]!Table1[#All],33,FALSE)</f>
        <v>45929</v>
      </c>
      <c r="J2910" t="str">
        <f t="shared" ca="1" si="49"/>
        <v>Non UDO</v>
      </c>
    </row>
    <row r="2911" spans="1:10" x14ac:dyDescent="0.35">
      <c r="A2911" s="9" t="s">
        <v>93</v>
      </c>
      <c r="B2911" s="10">
        <v>44317</v>
      </c>
      <c r="C2911" s="11">
        <v>2608144</v>
      </c>
      <c r="D2911" s="11">
        <v>626888.99</v>
      </c>
      <c r="E2911" s="11">
        <v>1981255.01</v>
      </c>
      <c r="F2911" t="str">
        <f>VLOOKUP(A2911,[1]!Table1[#All],17,FALSE)</f>
        <v>UNITED STATES</v>
      </c>
      <c r="G2911" t="str">
        <f>VLOOKUP(A2911,[1]!Table1[#All],22,FALSE)</f>
        <v>FAMILY HEALTH INTERNATIONAL</v>
      </c>
      <c r="H2911" s="8">
        <f>VLOOKUP(A2911,[1]!Table1[#All],32,FALSE)</f>
        <v>44104</v>
      </c>
      <c r="I2911" s="8">
        <f>VLOOKUP(A2911,[1]!Table1[#All],33,FALSE)</f>
        <v>45929</v>
      </c>
      <c r="J2911" t="str">
        <f t="shared" ca="1" si="49"/>
        <v>Non UDO</v>
      </c>
    </row>
    <row r="2912" spans="1:10" x14ac:dyDescent="0.35">
      <c r="A2912" s="5" t="s">
        <v>93</v>
      </c>
      <c r="B2912" s="6">
        <v>44348</v>
      </c>
      <c r="C2912" s="7">
        <v>2608144</v>
      </c>
      <c r="D2912" s="7">
        <v>726891.23</v>
      </c>
      <c r="E2912" s="7">
        <v>1881252.77</v>
      </c>
      <c r="F2912" t="str">
        <f>VLOOKUP(A2912,[1]!Table1[#All],17,FALSE)</f>
        <v>UNITED STATES</v>
      </c>
      <c r="G2912" t="str">
        <f>VLOOKUP(A2912,[1]!Table1[#All],22,FALSE)</f>
        <v>FAMILY HEALTH INTERNATIONAL</v>
      </c>
      <c r="H2912" s="8">
        <f>VLOOKUP(A2912,[1]!Table1[#All],32,FALSE)</f>
        <v>44104</v>
      </c>
      <c r="I2912" s="8">
        <f>VLOOKUP(A2912,[1]!Table1[#All],33,FALSE)</f>
        <v>45929</v>
      </c>
      <c r="J2912" t="str">
        <f t="shared" ca="1" si="49"/>
        <v>Non UDO</v>
      </c>
    </row>
    <row r="2913" spans="1:10" x14ac:dyDescent="0.35">
      <c r="A2913" s="9" t="s">
        <v>93</v>
      </c>
      <c r="B2913" s="10">
        <v>44378</v>
      </c>
      <c r="C2913" s="11">
        <v>2608144</v>
      </c>
      <c r="D2913" s="11">
        <v>789511.67</v>
      </c>
      <c r="E2913" s="11">
        <v>1818632.33</v>
      </c>
      <c r="F2913" t="str">
        <f>VLOOKUP(A2913,[1]!Table1[#All],17,FALSE)</f>
        <v>UNITED STATES</v>
      </c>
      <c r="G2913" t="str">
        <f>VLOOKUP(A2913,[1]!Table1[#All],22,FALSE)</f>
        <v>FAMILY HEALTH INTERNATIONAL</v>
      </c>
      <c r="H2913" s="8">
        <f>VLOOKUP(A2913,[1]!Table1[#All],32,FALSE)</f>
        <v>44104</v>
      </c>
      <c r="I2913" s="8">
        <f>VLOOKUP(A2913,[1]!Table1[#All],33,FALSE)</f>
        <v>45929</v>
      </c>
      <c r="J2913" t="str">
        <f t="shared" ca="1" si="49"/>
        <v>Non UDO</v>
      </c>
    </row>
    <row r="2914" spans="1:10" x14ac:dyDescent="0.35">
      <c r="A2914" s="5" t="s">
        <v>93</v>
      </c>
      <c r="B2914" s="6">
        <v>44409</v>
      </c>
      <c r="C2914" s="7">
        <v>2608144</v>
      </c>
      <c r="D2914" s="7">
        <v>860862.96</v>
      </c>
      <c r="E2914" s="7">
        <v>1747281.04</v>
      </c>
      <c r="F2914" t="str">
        <f>VLOOKUP(A2914,[1]!Table1[#All],17,FALSE)</f>
        <v>UNITED STATES</v>
      </c>
      <c r="G2914" t="str">
        <f>VLOOKUP(A2914,[1]!Table1[#All],22,FALSE)</f>
        <v>FAMILY HEALTH INTERNATIONAL</v>
      </c>
      <c r="H2914" s="8">
        <f>VLOOKUP(A2914,[1]!Table1[#All],32,FALSE)</f>
        <v>44104</v>
      </c>
      <c r="I2914" s="8">
        <f>VLOOKUP(A2914,[1]!Table1[#All],33,FALSE)</f>
        <v>45929</v>
      </c>
      <c r="J2914" t="str">
        <f t="shared" ca="1" si="49"/>
        <v>Non UDO</v>
      </c>
    </row>
    <row r="2915" spans="1:10" x14ac:dyDescent="0.35">
      <c r="A2915" s="9" t="s">
        <v>93</v>
      </c>
      <c r="B2915" s="10">
        <v>44440</v>
      </c>
      <c r="C2915" s="11">
        <v>2608144</v>
      </c>
      <c r="D2915" s="11">
        <v>932545.91</v>
      </c>
      <c r="E2915" s="11">
        <v>1675598.0899999999</v>
      </c>
      <c r="F2915" t="str">
        <f>VLOOKUP(A2915,[1]!Table1[#All],17,FALSE)</f>
        <v>UNITED STATES</v>
      </c>
      <c r="G2915" t="str">
        <f>VLOOKUP(A2915,[1]!Table1[#All],22,FALSE)</f>
        <v>FAMILY HEALTH INTERNATIONAL</v>
      </c>
      <c r="H2915" s="8">
        <f>VLOOKUP(A2915,[1]!Table1[#All],32,FALSE)</f>
        <v>44104</v>
      </c>
      <c r="I2915" s="8">
        <f>VLOOKUP(A2915,[1]!Table1[#All],33,FALSE)</f>
        <v>45929</v>
      </c>
      <c r="J2915" t="str">
        <f t="shared" ca="1" si="49"/>
        <v>Non UDO</v>
      </c>
    </row>
    <row r="2916" spans="1:10" x14ac:dyDescent="0.35">
      <c r="A2916" s="5" t="s">
        <v>93</v>
      </c>
      <c r="B2916" s="6">
        <v>44470</v>
      </c>
      <c r="C2916" s="7">
        <v>2608144</v>
      </c>
      <c r="D2916" s="7">
        <v>1028822.22</v>
      </c>
      <c r="E2916" s="7">
        <v>1579321.78</v>
      </c>
      <c r="F2916" t="str">
        <f>VLOOKUP(A2916,[1]!Table1[#All],17,FALSE)</f>
        <v>UNITED STATES</v>
      </c>
      <c r="G2916" t="str">
        <f>VLOOKUP(A2916,[1]!Table1[#All],22,FALSE)</f>
        <v>FAMILY HEALTH INTERNATIONAL</v>
      </c>
      <c r="H2916" s="8">
        <f>VLOOKUP(A2916,[1]!Table1[#All],32,FALSE)</f>
        <v>44104</v>
      </c>
      <c r="I2916" s="8">
        <f>VLOOKUP(A2916,[1]!Table1[#All],33,FALSE)</f>
        <v>45929</v>
      </c>
      <c r="J2916" t="str">
        <f t="shared" ca="1" si="49"/>
        <v>Non UDO</v>
      </c>
    </row>
    <row r="2917" spans="1:10" x14ac:dyDescent="0.35">
      <c r="A2917" s="9" t="s">
        <v>93</v>
      </c>
      <c r="B2917" s="10">
        <v>44501</v>
      </c>
      <c r="C2917" s="11">
        <v>2608144</v>
      </c>
      <c r="D2917" s="11">
        <v>1094151.6499999999</v>
      </c>
      <c r="E2917" s="11">
        <v>1513992.35</v>
      </c>
      <c r="F2917" t="str">
        <f>VLOOKUP(A2917,[1]!Table1[#All],17,FALSE)</f>
        <v>UNITED STATES</v>
      </c>
      <c r="G2917" t="str">
        <f>VLOOKUP(A2917,[1]!Table1[#All],22,FALSE)</f>
        <v>FAMILY HEALTH INTERNATIONAL</v>
      </c>
      <c r="H2917" s="8">
        <f>VLOOKUP(A2917,[1]!Table1[#All],32,FALSE)</f>
        <v>44104</v>
      </c>
      <c r="I2917" s="8">
        <f>VLOOKUP(A2917,[1]!Table1[#All],33,FALSE)</f>
        <v>45929</v>
      </c>
      <c r="J2917" t="str">
        <f t="shared" ca="1" si="49"/>
        <v>Non UDO</v>
      </c>
    </row>
    <row r="2918" spans="1:10" x14ac:dyDescent="0.35">
      <c r="A2918" s="5" t="s">
        <v>93</v>
      </c>
      <c r="B2918" s="6">
        <v>44531</v>
      </c>
      <c r="C2918" s="7">
        <v>2608144</v>
      </c>
      <c r="D2918" s="7">
        <v>1162728.98</v>
      </c>
      <c r="E2918" s="7">
        <v>1445415.02</v>
      </c>
      <c r="F2918" t="str">
        <f>VLOOKUP(A2918,[1]!Table1[#All],17,FALSE)</f>
        <v>UNITED STATES</v>
      </c>
      <c r="G2918" t="str">
        <f>VLOOKUP(A2918,[1]!Table1[#All],22,FALSE)</f>
        <v>FAMILY HEALTH INTERNATIONAL</v>
      </c>
      <c r="H2918" s="8">
        <f>VLOOKUP(A2918,[1]!Table1[#All],32,FALSE)</f>
        <v>44104</v>
      </c>
      <c r="I2918" s="8">
        <f>VLOOKUP(A2918,[1]!Table1[#All],33,FALSE)</f>
        <v>45929</v>
      </c>
      <c r="J2918" t="str">
        <f t="shared" ca="1" si="49"/>
        <v>Non UDO</v>
      </c>
    </row>
    <row r="2919" spans="1:10" x14ac:dyDescent="0.35">
      <c r="A2919" s="9" t="s">
        <v>93</v>
      </c>
      <c r="B2919" s="10">
        <v>44562</v>
      </c>
      <c r="C2919" s="11">
        <v>2608144</v>
      </c>
      <c r="D2919" s="11">
        <v>1208746.1600000001</v>
      </c>
      <c r="E2919" s="11">
        <v>1399397.8399999999</v>
      </c>
      <c r="F2919" t="str">
        <f>VLOOKUP(A2919,[1]!Table1[#All],17,FALSE)</f>
        <v>UNITED STATES</v>
      </c>
      <c r="G2919" t="str">
        <f>VLOOKUP(A2919,[1]!Table1[#All],22,FALSE)</f>
        <v>FAMILY HEALTH INTERNATIONAL</v>
      </c>
      <c r="H2919" s="8">
        <f>VLOOKUP(A2919,[1]!Table1[#All],32,FALSE)</f>
        <v>44104</v>
      </c>
      <c r="I2919" s="8">
        <f>VLOOKUP(A2919,[1]!Table1[#All],33,FALSE)</f>
        <v>45929</v>
      </c>
      <c r="J2919" t="str">
        <f t="shared" ca="1" si="49"/>
        <v>Non UDO</v>
      </c>
    </row>
    <row r="2920" spans="1:10" x14ac:dyDescent="0.35">
      <c r="A2920" s="5" t="s">
        <v>93</v>
      </c>
      <c r="B2920" s="6">
        <v>44593</v>
      </c>
      <c r="C2920" s="7">
        <v>2608144</v>
      </c>
      <c r="D2920" s="7">
        <v>1324898.3399999999</v>
      </c>
      <c r="E2920" s="7">
        <v>1283245.6599999999</v>
      </c>
      <c r="F2920" t="str">
        <f>VLOOKUP(A2920,[1]!Table1[#All],17,FALSE)</f>
        <v>UNITED STATES</v>
      </c>
      <c r="G2920" t="str">
        <f>VLOOKUP(A2920,[1]!Table1[#All],22,FALSE)</f>
        <v>FAMILY HEALTH INTERNATIONAL</v>
      </c>
      <c r="H2920" s="8">
        <f>VLOOKUP(A2920,[1]!Table1[#All],32,FALSE)</f>
        <v>44104</v>
      </c>
      <c r="I2920" s="8">
        <f>VLOOKUP(A2920,[1]!Table1[#All],33,FALSE)</f>
        <v>45929</v>
      </c>
      <c r="J2920" t="str">
        <f t="shared" ca="1" si="49"/>
        <v>Non UDO</v>
      </c>
    </row>
    <row r="2921" spans="1:10" x14ac:dyDescent="0.35">
      <c r="A2921" s="9" t="s">
        <v>93</v>
      </c>
      <c r="B2921" s="10">
        <v>44621</v>
      </c>
      <c r="C2921" s="11">
        <v>2608144</v>
      </c>
      <c r="D2921" s="11">
        <v>1385759.78</v>
      </c>
      <c r="E2921" s="11">
        <v>1222384.22</v>
      </c>
      <c r="F2921" t="str">
        <f>VLOOKUP(A2921,[1]!Table1[#All],17,FALSE)</f>
        <v>UNITED STATES</v>
      </c>
      <c r="G2921" t="str">
        <f>VLOOKUP(A2921,[1]!Table1[#All],22,FALSE)</f>
        <v>FAMILY HEALTH INTERNATIONAL</v>
      </c>
      <c r="H2921" s="8">
        <f>VLOOKUP(A2921,[1]!Table1[#All],32,FALSE)</f>
        <v>44104</v>
      </c>
      <c r="I2921" s="8">
        <f>VLOOKUP(A2921,[1]!Table1[#All],33,FALSE)</f>
        <v>45929</v>
      </c>
      <c r="J2921" t="str">
        <f t="shared" ca="1" si="49"/>
        <v>Non UDO</v>
      </c>
    </row>
    <row r="2922" spans="1:10" x14ac:dyDescent="0.35">
      <c r="A2922" s="5" t="s">
        <v>93</v>
      </c>
      <c r="B2922" s="6">
        <v>44652</v>
      </c>
      <c r="C2922" s="7">
        <v>2608144</v>
      </c>
      <c r="D2922" s="7">
        <v>1441114.83</v>
      </c>
      <c r="E2922" s="7">
        <v>1167029.17</v>
      </c>
      <c r="F2922" t="str">
        <f>VLOOKUP(A2922,[1]!Table1[#All],17,FALSE)</f>
        <v>UNITED STATES</v>
      </c>
      <c r="G2922" t="str">
        <f>VLOOKUP(A2922,[1]!Table1[#All],22,FALSE)</f>
        <v>FAMILY HEALTH INTERNATIONAL</v>
      </c>
      <c r="H2922" s="8">
        <f>VLOOKUP(A2922,[1]!Table1[#All],32,FALSE)</f>
        <v>44104</v>
      </c>
      <c r="I2922" s="8">
        <f>VLOOKUP(A2922,[1]!Table1[#All],33,FALSE)</f>
        <v>45929</v>
      </c>
      <c r="J2922" t="str">
        <f t="shared" ca="1" si="49"/>
        <v>Non UDO</v>
      </c>
    </row>
    <row r="2923" spans="1:10" x14ac:dyDescent="0.35">
      <c r="A2923" s="9" t="s">
        <v>93</v>
      </c>
      <c r="B2923" s="10">
        <v>44682</v>
      </c>
      <c r="C2923" s="11">
        <v>2608144</v>
      </c>
      <c r="D2923" s="11">
        <v>1520039.15</v>
      </c>
      <c r="E2923" s="11">
        <v>1088104.8500000001</v>
      </c>
      <c r="F2923" t="str">
        <f>VLOOKUP(A2923,[1]!Table1[#All],17,FALSE)</f>
        <v>UNITED STATES</v>
      </c>
      <c r="G2923" t="str">
        <f>VLOOKUP(A2923,[1]!Table1[#All],22,FALSE)</f>
        <v>FAMILY HEALTH INTERNATIONAL</v>
      </c>
      <c r="H2923" s="8">
        <f>VLOOKUP(A2923,[1]!Table1[#All],32,FALSE)</f>
        <v>44104</v>
      </c>
      <c r="I2923" s="8">
        <f>VLOOKUP(A2923,[1]!Table1[#All],33,FALSE)</f>
        <v>45929</v>
      </c>
      <c r="J2923" t="str">
        <f t="shared" ca="1" si="49"/>
        <v>Non UDO</v>
      </c>
    </row>
    <row r="2924" spans="1:10" x14ac:dyDescent="0.35">
      <c r="A2924" s="5" t="s">
        <v>93</v>
      </c>
      <c r="B2924" s="6">
        <v>44713</v>
      </c>
      <c r="C2924" s="7">
        <v>2608144</v>
      </c>
      <c r="D2924" s="7">
        <v>1638120.12</v>
      </c>
      <c r="E2924" s="7">
        <v>970023.88</v>
      </c>
      <c r="F2924" t="str">
        <f>VLOOKUP(A2924,[1]!Table1[#All],17,FALSE)</f>
        <v>UNITED STATES</v>
      </c>
      <c r="G2924" t="str">
        <f>VLOOKUP(A2924,[1]!Table1[#All],22,FALSE)</f>
        <v>FAMILY HEALTH INTERNATIONAL</v>
      </c>
      <c r="H2924" s="8">
        <f>VLOOKUP(A2924,[1]!Table1[#All],32,FALSE)</f>
        <v>44104</v>
      </c>
      <c r="I2924" s="8">
        <f>VLOOKUP(A2924,[1]!Table1[#All],33,FALSE)</f>
        <v>45929</v>
      </c>
      <c r="J2924" t="str">
        <f t="shared" ca="1" si="49"/>
        <v>Non UDO</v>
      </c>
    </row>
    <row r="2925" spans="1:10" x14ac:dyDescent="0.35">
      <c r="A2925" s="9" t="s">
        <v>93</v>
      </c>
      <c r="B2925" s="10">
        <v>44743</v>
      </c>
      <c r="C2925" s="11">
        <v>2608144</v>
      </c>
      <c r="D2925" s="11">
        <v>1722824.1099999999</v>
      </c>
      <c r="E2925" s="11">
        <v>885319.89</v>
      </c>
      <c r="F2925" t="str">
        <f>VLOOKUP(A2925,[1]!Table1[#All],17,FALSE)</f>
        <v>UNITED STATES</v>
      </c>
      <c r="G2925" t="str">
        <f>VLOOKUP(A2925,[1]!Table1[#All],22,FALSE)</f>
        <v>FAMILY HEALTH INTERNATIONAL</v>
      </c>
      <c r="H2925" s="8">
        <f>VLOOKUP(A2925,[1]!Table1[#All],32,FALSE)</f>
        <v>44104</v>
      </c>
      <c r="I2925" s="8">
        <f>VLOOKUP(A2925,[1]!Table1[#All],33,FALSE)</f>
        <v>45929</v>
      </c>
      <c r="J2925" t="str">
        <f t="shared" ca="1" si="49"/>
        <v>Non UDO</v>
      </c>
    </row>
    <row r="2926" spans="1:10" x14ac:dyDescent="0.35">
      <c r="A2926" s="5" t="s">
        <v>93</v>
      </c>
      <c r="B2926" s="6">
        <v>44774</v>
      </c>
      <c r="C2926" s="7">
        <v>2608144</v>
      </c>
      <c r="D2926" s="7">
        <v>1792303.28</v>
      </c>
      <c r="E2926" s="7">
        <v>815840.72</v>
      </c>
      <c r="F2926" t="str">
        <f>VLOOKUP(A2926,[1]!Table1[#All],17,FALSE)</f>
        <v>UNITED STATES</v>
      </c>
      <c r="G2926" t="str">
        <f>VLOOKUP(A2926,[1]!Table1[#All],22,FALSE)</f>
        <v>FAMILY HEALTH INTERNATIONAL</v>
      </c>
      <c r="H2926" s="8">
        <f>VLOOKUP(A2926,[1]!Table1[#All],32,FALSE)</f>
        <v>44104</v>
      </c>
      <c r="I2926" s="8">
        <f>VLOOKUP(A2926,[1]!Table1[#All],33,FALSE)</f>
        <v>45929</v>
      </c>
      <c r="J2926" t="str">
        <f t="shared" ca="1" si="49"/>
        <v>Non UDO</v>
      </c>
    </row>
    <row r="2927" spans="1:10" x14ac:dyDescent="0.35">
      <c r="A2927" s="9" t="s">
        <v>93</v>
      </c>
      <c r="B2927" s="10">
        <v>44805</v>
      </c>
      <c r="C2927" s="11">
        <v>2608144</v>
      </c>
      <c r="D2927" s="11">
        <v>1874043.9600000002</v>
      </c>
      <c r="E2927" s="11">
        <v>734100.03999999992</v>
      </c>
      <c r="F2927" t="str">
        <f>VLOOKUP(A2927,[1]!Table1[#All],17,FALSE)</f>
        <v>UNITED STATES</v>
      </c>
      <c r="G2927" t="str">
        <f>VLOOKUP(A2927,[1]!Table1[#All],22,FALSE)</f>
        <v>FAMILY HEALTH INTERNATIONAL</v>
      </c>
      <c r="H2927" s="8">
        <f>VLOOKUP(A2927,[1]!Table1[#All],32,FALSE)</f>
        <v>44104</v>
      </c>
      <c r="I2927" s="8">
        <f>VLOOKUP(A2927,[1]!Table1[#All],33,FALSE)</f>
        <v>45929</v>
      </c>
      <c r="J2927" t="str">
        <f t="shared" ca="1" si="49"/>
        <v>Non UDO</v>
      </c>
    </row>
    <row r="2928" spans="1:10" x14ac:dyDescent="0.35">
      <c r="A2928" s="5" t="s">
        <v>93</v>
      </c>
      <c r="B2928" s="6">
        <v>44835</v>
      </c>
      <c r="C2928" s="7">
        <v>2608144</v>
      </c>
      <c r="D2928" s="7">
        <v>1937887.44</v>
      </c>
      <c r="E2928" s="7">
        <v>670256.55999999994</v>
      </c>
      <c r="F2928" t="str">
        <f>VLOOKUP(A2928,[1]!Table1[#All],17,FALSE)</f>
        <v>UNITED STATES</v>
      </c>
      <c r="G2928" t="str">
        <f>VLOOKUP(A2928,[1]!Table1[#All],22,FALSE)</f>
        <v>FAMILY HEALTH INTERNATIONAL</v>
      </c>
      <c r="H2928" s="8">
        <f>VLOOKUP(A2928,[1]!Table1[#All],32,FALSE)</f>
        <v>44104</v>
      </c>
      <c r="I2928" s="8">
        <f>VLOOKUP(A2928,[1]!Table1[#All],33,FALSE)</f>
        <v>45929</v>
      </c>
      <c r="J2928" t="str">
        <f t="shared" ca="1" si="49"/>
        <v>Non UDO</v>
      </c>
    </row>
    <row r="2929" spans="1:10" x14ac:dyDescent="0.35">
      <c r="A2929" s="9" t="s">
        <v>93</v>
      </c>
      <c r="B2929" s="10">
        <v>44866</v>
      </c>
      <c r="C2929" s="11">
        <v>2608144</v>
      </c>
      <c r="D2929" s="11">
        <v>1948295.5</v>
      </c>
      <c r="E2929" s="11">
        <v>659848.5</v>
      </c>
      <c r="F2929" t="str">
        <f>VLOOKUP(A2929,[1]!Table1[#All],17,FALSE)</f>
        <v>UNITED STATES</v>
      </c>
      <c r="G2929" t="str">
        <f>VLOOKUP(A2929,[1]!Table1[#All],22,FALSE)</f>
        <v>FAMILY HEALTH INTERNATIONAL</v>
      </c>
      <c r="H2929" s="8">
        <f>VLOOKUP(A2929,[1]!Table1[#All],32,FALSE)</f>
        <v>44104</v>
      </c>
      <c r="I2929" s="8">
        <f>VLOOKUP(A2929,[1]!Table1[#All],33,FALSE)</f>
        <v>45929</v>
      </c>
      <c r="J2929" t="str">
        <f t="shared" ca="1" si="49"/>
        <v>Non UDO</v>
      </c>
    </row>
    <row r="2930" spans="1:10" x14ac:dyDescent="0.35">
      <c r="A2930" s="5" t="s">
        <v>93</v>
      </c>
      <c r="B2930" s="6">
        <v>44896</v>
      </c>
      <c r="C2930" s="7">
        <v>2608144</v>
      </c>
      <c r="D2930" s="7">
        <v>2014227.99</v>
      </c>
      <c r="E2930" s="7">
        <v>593916.01</v>
      </c>
      <c r="F2930" t="str">
        <f>VLOOKUP(A2930,[1]!Table1[#All],17,FALSE)</f>
        <v>UNITED STATES</v>
      </c>
      <c r="G2930" t="str">
        <f>VLOOKUP(A2930,[1]!Table1[#All],22,FALSE)</f>
        <v>FAMILY HEALTH INTERNATIONAL</v>
      </c>
      <c r="H2930" s="8">
        <f>VLOOKUP(A2930,[1]!Table1[#All],32,FALSE)</f>
        <v>44104</v>
      </c>
      <c r="I2930" s="8">
        <f>VLOOKUP(A2930,[1]!Table1[#All],33,FALSE)</f>
        <v>45929</v>
      </c>
      <c r="J2930" t="str">
        <f t="shared" ca="1" si="49"/>
        <v>Non UDO</v>
      </c>
    </row>
    <row r="2931" spans="1:10" x14ac:dyDescent="0.35">
      <c r="A2931" s="9" t="s">
        <v>93</v>
      </c>
      <c r="B2931" s="10">
        <v>44927</v>
      </c>
      <c r="C2931" s="11">
        <v>2608144</v>
      </c>
      <c r="D2931" s="11">
        <v>2020162.38</v>
      </c>
      <c r="E2931" s="11">
        <v>587981.62</v>
      </c>
      <c r="F2931" t="str">
        <f>VLOOKUP(A2931,[1]!Table1[#All],17,FALSE)</f>
        <v>UNITED STATES</v>
      </c>
      <c r="G2931" t="str">
        <f>VLOOKUP(A2931,[1]!Table1[#All],22,FALSE)</f>
        <v>FAMILY HEALTH INTERNATIONAL</v>
      </c>
      <c r="H2931" s="8">
        <f>VLOOKUP(A2931,[1]!Table1[#All],32,FALSE)</f>
        <v>44104</v>
      </c>
      <c r="I2931" s="8">
        <f>VLOOKUP(A2931,[1]!Table1[#All],33,FALSE)</f>
        <v>45929</v>
      </c>
      <c r="J2931" t="str">
        <f t="shared" ca="1" si="49"/>
        <v>Non UDO</v>
      </c>
    </row>
    <row r="2932" spans="1:10" x14ac:dyDescent="0.35">
      <c r="A2932" s="5" t="s">
        <v>93</v>
      </c>
      <c r="B2932" s="6">
        <v>44958</v>
      </c>
      <c r="C2932" s="7">
        <v>2608144</v>
      </c>
      <c r="D2932" s="7">
        <v>2027631.4299999997</v>
      </c>
      <c r="E2932" s="7">
        <v>580512.57000000007</v>
      </c>
      <c r="F2932" t="str">
        <f>VLOOKUP(A2932,[1]!Table1[#All],17,FALSE)</f>
        <v>UNITED STATES</v>
      </c>
      <c r="G2932" t="str">
        <f>VLOOKUP(A2932,[1]!Table1[#All],22,FALSE)</f>
        <v>FAMILY HEALTH INTERNATIONAL</v>
      </c>
      <c r="H2932" s="8">
        <f>VLOOKUP(A2932,[1]!Table1[#All],32,FALSE)</f>
        <v>44104</v>
      </c>
      <c r="I2932" s="8">
        <f>VLOOKUP(A2932,[1]!Table1[#All],33,FALSE)</f>
        <v>45929</v>
      </c>
      <c r="J2932" t="str">
        <f t="shared" ca="1" si="49"/>
        <v>Non UDO</v>
      </c>
    </row>
    <row r="2933" spans="1:10" x14ac:dyDescent="0.35">
      <c r="A2933" s="9" t="s">
        <v>93</v>
      </c>
      <c r="B2933" s="10">
        <v>44986</v>
      </c>
      <c r="C2933" s="11">
        <v>2608144</v>
      </c>
      <c r="D2933" s="11">
        <v>2030732.5699999998</v>
      </c>
      <c r="E2933" s="11">
        <v>577411.43000000005</v>
      </c>
      <c r="F2933" t="str">
        <f>VLOOKUP(A2933,[1]!Table1[#All],17,FALSE)</f>
        <v>UNITED STATES</v>
      </c>
      <c r="G2933" t="str">
        <f>VLOOKUP(A2933,[1]!Table1[#All],22,FALSE)</f>
        <v>FAMILY HEALTH INTERNATIONAL</v>
      </c>
      <c r="H2933" s="8">
        <f>VLOOKUP(A2933,[1]!Table1[#All],32,FALSE)</f>
        <v>44104</v>
      </c>
      <c r="I2933" s="8">
        <f>VLOOKUP(A2933,[1]!Table1[#All],33,FALSE)</f>
        <v>45929</v>
      </c>
      <c r="J2933" t="str">
        <f t="shared" ca="1" si="49"/>
        <v>Non UDO</v>
      </c>
    </row>
    <row r="2934" spans="1:10" x14ac:dyDescent="0.35">
      <c r="A2934" s="5" t="s">
        <v>93</v>
      </c>
      <c r="B2934" s="6">
        <v>45017</v>
      </c>
      <c r="C2934" s="7">
        <v>2608144</v>
      </c>
      <c r="D2934" s="7">
        <v>2030732.5699999998</v>
      </c>
      <c r="E2934" s="7">
        <v>577411.43000000005</v>
      </c>
      <c r="F2934" t="str">
        <f>VLOOKUP(A2934,[1]!Table1[#All],17,FALSE)</f>
        <v>UNITED STATES</v>
      </c>
      <c r="G2934" t="str">
        <f>VLOOKUP(A2934,[1]!Table1[#All],22,FALSE)</f>
        <v>FAMILY HEALTH INTERNATIONAL</v>
      </c>
      <c r="H2934" s="8">
        <f>VLOOKUP(A2934,[1]!Table1[#All],32,FALSE)</f>
        <v>44104</v>
      </c>
      <c r="I2934" s="8">
        <f>VLOOKUP(A2934,[1]!Table1[#All],33,FALSE)</f>
        <v>45929</v>
      </c>
      <c r="J2934" t="str">
        <f t="shared" ca="1" si="49"/>
        <v>Non UDO</v>
      </c>
    </row>
    <row r="2935" spans="1:10" x14ac:dyDescent="0.35">
      <c r="A2935" s="9" t="s">
        <v>93</v>
      </c>
      <c r="B2935" s="10">
        <v>45047</v>
      </c>
      <c r="C2935" s="11">
        <v>2608144</v>
      </c>
      <c r="D2935" s="11">
        <v>2030732.5699999998</v>
      </c>
      <c r="E2935" s="11">
        <v>577411.43000000005</v>
      </c>
      <c r="F2935" t="str">
        <f>VLOOKUP(A2935,[1]!Table1[#All],17,FALSE)</f>
        <v>UNITED STATES</v>
      </c>
      <c r="G2935" t="str">
        <f>VLOOKUP(A2935,[1]!Table1[#All],22,FALSE)</f>
        <v>FAMILY HEALTH INTERNATIONAL</v>
      </c>
      <c r="H2935" s="8">
        <f>VLOOKUP(A2935,[1]!Table1[#All],32,FALSE)</f>
        <v>44104</v>
      </c>
      <c r="I2935" s="8">
        <f>VLOOKUP(A2935,[1]!Table1[#All],33,FALSE)</f>
        <v>45929</v>
      </c>
      <c r="J2935" t="str">
        <f t="shared" ca="1" si="49"/>
        <v>Non UDO</v>
      </c>
    </row>
    <row r="2936" spans="1:10" x14ac:dyDescent="0.35">
      <c r="A2936" s="5" t="s">
        <v>93</v>
      </c>
      <c r="B2936" s="6">
        <v>45078</v>
      </c>
      <c r="C2936" s="7">
        <v>2608144</v>
      </c>
      <c r="D2936" s="7">
        <v>2030733.05</v>
      </c>
      <c r="E2936" s="7">
        <v>577410.94999999995</v>
      </c>
      <c r="F2936" t="str">
        <f>VLOOKUP(A2936,[1]!Table1[#All],17,FALSE)</f>
        <v>UNITED STATES</v>
      </c>
      <c r="G2936" t="str">
        <f>VLOOKUP(A2936,[1]!Table1[#All],22,FALSE)</f>
        <v>FAMILY HEALTH INTERNATIONAL</v>
      </c>
      <c r="H2936" s="8">
        <f>VLOOKUP(A2936,[1]!Table1[#All],32,FALSE)</f>
        <v>44104</v>
      </c>
      <c r="I2936" s="8">
        <f>VLOOKUP(A2936,[1]!Table1[#All],33,FALSE)</f>
        <v>45929</v>
      </c>
      <c r="J2936" t="str">
        <f t="shared" ca="1" si="49"/>
        <v>Non UDO</v>
      </c>
    </row>
    <row r="2937" spans="1:10" x14ac:dyDescent="0.35">
      <c r="A2937" s="9" t="s">
        <v>93</v>
      </c>
      <c r="B2937" s="10">
        <v>45108</v>
      </c>
      <c r="C2937" s="11">
        <v>2608144</v>
      </c>
      <c r="D2937" s="11">
        <v>2030732.74</v>
      </c>
      <c r="E2937" s="11">
        <v>577411.26</v>
      </c>
      <c r="F2937" t="str">
        <f>VLOOKUP(A2937,[1]!Table1[#All],17,FALSE)</f>
        <v>UNITED STATES</v>
      </c>
      <c r="G2937" t="str">
        <f>VLOOKUP(A2937,[1]!Table1[#All],22,FALSE)</f>
        <v>FAMILY HEALTH INTERNATIONAL</v>
      </c>
      <c r="H2937" s="8">
        <f>VLOOKUP(A2937,[1]!Table1[#All],32,FALSE)</f>
        <v>44104</v>
      </c>
      <c r="I2937" s="8">
        <f>VLOOKUP(A2937,[1]!Table1[#All],33,FALSE)</f>
        <v>45929</v>
      </c>
      <c r="J2937" t="str">
        <f t="shared" ca="1" si="49"/>
        <v>Non UDO</v>
      </c>
    </row>
    <row r="2938" spans="1:10" x14ac:dyDescent="0.35">
      <c r="A2938" s="5" t="s">
        <v>93</v>
      </c>
      <c r="B2938" s="6">
        <v>45139</v>
      </c>
      <c r="C2938" s="7">
        <v>2608144</v>
      </c>
      <c r="D2938" s="7">
        <v>2030731.1800000002</v>
      </c>
      <c r="E2938" s="7">
        <v>577412.81999999995</v>
      </c>
      <c r="F2938" t="str">
        <f>VLOOKUP(A2938,[1]!Table1[#All],17,FALSE)</f>
        <v>UNITED STATES</v>
      </c>
      <c r="G2938" t="str">
        <f>VLOOKUP(A2938,[1]!Table1[#All],22,FALSE)</f>
        <v>FAMILY HEALTH INTERNATIONAL</v>
      </c>
      <c r="H2938" s="8">
        <f>VLOOKUP(A2938,[1]!Table1[#All],32,FALSE)</f>
        <v>44104</v>
      </c>
      <c r="I2938" s="8">
        <f>VLOOKUP(A2938,[1]!Table1[#All],33,FALSE)</f>
        <v>45929</v>
      </c>
      <c r="J2938" t="str">
        <f t="shared" ca="1" si="49"/>
        <v>Non UDO</v>
      </c>
    </row>
    <row r="2939" spans="1:10" x14ac:dyDescent="0.35">
      <c r="A2939" s="9" t="s">
        <v>93</v>
      </c>
      <c r="B2939" s="10">
        <v>45170</v>
      </c>
      <c r="C2939" s="11">
        <v>2608144</v>
      </c>
      <c r="D2939" s="11">
        <v>2046488.3</v>
      </c>
      <c r="E2939" s="11">
        <v>561655.69999999995</v>
      </c>
      <c r="F2939" t="str">
        <f>VLOOKUP(A2939,[1]!Table1[#All],17,FALSE)</f>
        <v>UNITED STATES</v>
      </c>
      <c r="G2939" t="str">
        <f>VLOOKUP(A2939,[1]!Table1[#All],22,FALSE)</f>
        <v>FAMILY HEALTH INTERNATIONAL</v>
      </c>
      <c r="H2939" s="8">
        <f>VLOOKUP(A2939,[1]!Table1[#All],32,FALSE)</f>
        <v>44104</v>
      </c>
      <c r="I2939" s="8">
        <f>VLOOKUP(A2939,[1]!Table1[#All],33,FALSE)</f>
        <v>45929</v>
      </c>
      <c r="J2939" t="str">
        <f t="shared" ca="1" si="49"/>
        <v>Non UDO</v>
      </c>
    </row>
    <row r="2940" spans="1:10" x14ac:dyDescent="0.35">
      <c r="A2940" s="5" t="s">
        <v>94</v>
      </c>
      <c r="B2940" s="6">
        <v>44105</v>
      </c>
      <c r="C2940" s="7">
        <v>2925000</v>
      </c>
      <c r="D2940" s="7">
        <v>0</v>
      </c>
      <c r="E2940" s="7">
        <v>2925000</v>
      </c>
      <c r="F2940" t="str">
        <f>VLOOKUP(A2940,[1]!Table1[#All],17,FALSE)</f>
        <v>FRANCE</v>
      </c>
      <c r="G2940" t="str">
        <f>VLOOKUP(A2940,[1]!Table1[#All],22,FALSE)</f>
        <v>INTEGRATED QUALITY LABORATORY SERVICES</v>
      </c>
      <c r="H2940" s="8">
        <f>VLOOKUP(A2940,[1]!Table1[#All],32,FALSE)</f>
        <v>44104</v>
      </c>
      <c r="I2940" s="8">
        <f>VLOOKUP(A2940,[1]!Table1[#All],33,FALSE)</f>
        <v>45929</v>
      </c>
      <c r="J2940" t="str">
        <f t="shared" ca="1" si="49"/>
        <v>Non UDO</v>
      </c>
    </row>
    <row r="2941" spans="1:10" x14ac:dyDescent="0.35">
      <c r="A2941" s="9" t="s">
        <v>94</v>
      </c>
      <c r="B2941" s="10">
        <v>44136</v>
      </c>
      <c r="C2941" s="11">
        <v>2925000</v>
      </c>
      <c r="D2941" s="11">
        <v>0</v>
      </c>
      <c r="E2941" s="11">
        <v>2925000</v>
      </c>
      <c r="F2941" t="str">
        <f>VLOOKUP(A2941,[1]!Table1[#All],17,FALSE)</f>
        <v>FRANCE</v>
      </c>
      <c r="G2941" t="str">
        <f>VLOOKUP(A2941,[1]!Table1[#All],22,FALSE)</f>
        <v>INTEGRATED QUALITY LABORATORY SERVICES</v>
      </c>
      <c r="H2941" s="8">
        <f>VLOOKUP(A2941,[1]!Table1[#All],32,FALSE)</f>
        <v>44104</v>
      </c>
      <c r="I2941" s="8">
        <f>VLOOKUP(A2941,[1]!Table1[#All],33,FALSE)</f>
        <v>45929</v>
      </c>
      <c r="J2941" t="str">
        <f t="shared" ca="1" si="49"/>
        <v>Non UDO</v>
      </c>
    </row>
    <row r="2942" spans="1:10" x14ac:dyDescent="0.35">
      <c r="A2942" s="5" t="s">
        <v>94</v>
      </c>
      <c r="B2942" s="6">
        <v>44166</v>
      </c>
      <c r="C2942" s="7">
        <v>2925000</v>
      </c>
      <c r="D2942" s="7">
        <v>0</v>
      </c>
      <c r="E2942" s="7">
        <v>2925000</v>
      </c>
      <c r="F2942" t="str">
        <f>VLOOKUP(A2942,[1]!Table1[#All],17,FALSE)</f>
        <v>FRANCE</v>
      </c>
      <c r="G2942" t="str">
        <f>VLOOKUP(A2942,[1]!Table1[#All],22,FALSE)</f>
        <v>INTEGRATED QUALITY LABORATORY SERVICES</v>
      </c>
      <c r="H2942" s="8">
        <f>VLOOKUP(A2942,[1]!Table1[#All],32,FALSE)</f>
        <v>44104</v>
      </c>
      <c r="I2942" s="8">
        <f>VLOOKUP(A2942,[1]!Table1[#All],33,FALSE)</f>
        <v>45929</v>
      </c>
      <c r="J2942" t="str">
        <f t="shared" ca="1" si="49"/>
        <v>Non UDO</v>
      </c>
    </row>
    <row r="2943" spans="1:10" x14ac:dyDescent="0.35">
      <c r="A2943" s="9" t="s">
        <v>94</v>
      </c>
      <c r="B2943" s="10">
        <v>44197</v>
      </c>
      <c r="C2943" s="11">
        <v>2925000</v>
      </c>
      <c r="D2943" s="11">
        <v>71106.36</v>
      </c>
      <c r="E2943" s="11">
        <v>2853893.6399999997</v>
      </c>
      <c r="F2943" t="str">
        <f>VLOOKUP(A2943,[1]!Table1[#All],17,FALSE)</f>
        <v>FRANCE</v>
      </c>
      <c r="G2943" t="str">
        <f>VLOOKUP(A2943,[1]!Table1[#All],22,FALSE)</f>
        <v>INTEGRATED QUALITY LABORATORY SERVICES</v>
      </c>
      <c r="H2943" s="8">
        <f>VLOOKUP(A2943,[1]!Table1[#All],32,FALSE)</f>
        <v>44104</v>
      </c>
      <c r="I2943" s="8">
        <f>VLOOKUP(A2943,[1]!Table1[#All],33,FALSE)</f>
        <v>45929</v>
      </c>
      <c r="J2943" t="str">
        <f t="shared" ca="1" si="49"/>
        <v>Non UDO</v>
      </c>
    </row>
    <row r="2944" spans="1:10" x14ac:dyDescent="0.35">
      <c r="A2944" s="5" t="s">
        <v>94</v>
      </c>
      <c r="B2944" s="6">
        <v>44228</v>
      </c>
      <c r="C2944" s="7">
        <v>2925000</v>
      </c>
      <c r="D2944" s="7">
        <v>150643.76</v>
      </c>
      <c r="E2944" s="7">
        <v>2774356.2399999998</v>
      </c>
      <c r="F2944" t="str">
        <f>VLOOKUP(A2944,[1]!Table1[#All],17,FALSE)</f>
        <v>FRANCE</v>
      </c>
      <c r="G2944" t="str">
        <f>VLOOKUP(A2944,[1]!Table1[#All],22,FALSE)</f>
        <v>INTEGRATED QUALITY LABORATORY SERVICES</v>
      </c>
      <c r="H2944" s="8">
        <f>VLOOKUP(A2944,[1]!Table1[#All],32,FALSE)</f>
        <v>44104</v>
      </c>
      <c r="I2944" s="8">
        <f>VLOOKUP(A2944,[1]!Table1[#All],33,FALSE)</f>
        <v>45929</v>
      </c>
      <c r="J2944" t="str">
        <f t="shared" ca="1" si="49"/>
        <v>Non UDO</v>
      </c>
    </row>
    <row r="2945" spans="1:10" x14ac:dyDescent="0.35">
      <c r="A2945" s="9" t="s">
        <v>94</v>
      </c>
      <c r="B2945" s="10">
        <v>44256</v>
      </c>
      <c r="C2945" s="11">
        <v>2925000</v>
      </c>
      <c r="D2945" s="11">
        <v>150643.76</v>
      </c>
      <c r="E2945" s="11">
        <v>2774356.2399999998</v>
      </c>
      <c r="F2945" t="str">
        <f>VLOOKUP(A2945,[1]!Table1[#All],17,FALSE)</f>
        <v>FRANCE</v>
      </c>
      <c r="G2945" t="str">
        <f>VLOOKUP(A2945,[1]!Table1[#All],22,FALSE)</f>
        <v>INTEGRATED QUALITY LABORATORY SERVICES</v>
      </c>
      <c r="H2945" s="8">
        <f>VLOOKUP(A2945,[1]!Table1[#All],32,FALSE)</f>
        <v>44104</v>
      </c>
      <c r="I2945" s="8">
        <f>VLOOKUP(A2945,[1]!Table1[#All],33,FALSE)</f>
        <v>45929</v>
      </c>
      <c r="J2945" t="str">
        <f t="shared" ca="1" si="49"/>
        <v>Non UDO</v>
      </c>
    </row>
    <row r="2946" spans="1:10" x14ac:dyDescent="0.35">
      <c r="A2946" s="5" t="s">
        <v>94</v>
      </c>
      <c r="B2946" s="6">
        <v>44317</v>
      </c>
      <c r="C2946" s="7">
        <v>2925000</v>
      </c>
      <c r="D2946" s="7">
        <v>380335.76999999996</v>
      </c>
      <c r="E2946" s="7">
        <v>2544664.2299999995</v>
      </c>
      <c r="F2946" t="str">
        <f>VLOOKUP(A2946,[1]!Table1[#All],17,FALSE)</f>
        <v>FRANCE</v>
      </c>
      <c r="G2946" t="str">
        <f>VLOOKUP(A2946,[1]!Table1[#All],22,FALSE)</f>
        <v>INTEGRATED QUALITY LABORATORY SERVICES</v>
      </c>
      <c r="H2946" s="8">
        <f>VLOOKUP(A2946,[1]!Table1[#All],32,FALSE)</f>
        <v>44104</v>
      </c>
      <c r="I2946" s="8">
        <f>VLOOKUP(A2946,[1]!Table1[#All],33,FALSE)</f>
        <v>45929</v>
      </c>
      <c r="J2946" t="str">
        <f t="shared" ca="1" si="49"/>
        <v>Non UDO</v>
      </c>
    </row>
    <row r="2947" spans="1:10" x14ac:dyDescent="0.35">
      <c r="A2947" s="9" t="s">
        <v>94</v>
      </c>
      <c r="B2947" s="10">
        <v>44348</v>
      </c>
      <c r="C2947" s="11">
        <v>2925000</v>
      </c>
      <c r="D2947" s="11">
        <v>555825.07999999996</v>
      </c>
      <c r="E2947" s="11">
        <v>2369174.92</v>
      </c>
      <c r="F2947" t="str">
        <f>VLOOKUP(A2947,[1]!Table1[#All],17,FALSE)</f>
        <v>FRANCE</v>
      </c>
      <c r="G2947" t="str">
        <f>VLOOKUP(A2947,[1]!Table1[#All],22,FALSE)</f>
        <v>INTEGRATED QUALITY LABORATORY SERVICES</v>
      </c>
      <c r="H2947" s="8">
        <f>VLOOKUP(A2947,[1]!Table1[#All],32,FALSE)</f>
        <v>44104</v>
      </c>
      <c r="I2947" s="8">
        <f>VLOOKUP(A2947,[1]!Table1[#All],33,FALSE)</f>
        <v>45929</v>
      </c>
      <c r="J2947" t="str">
        <f t="shared" ref="J2947:J3010" ca="1" si="50">IF(AND( E2947&gt;0,TODAY()&gt;I2947),"UDO","Non UDO")</f>
        <v>Non UDO</v>
      </c>
    </row>
    <row r="2948" spans="1:10" x14ac:dyDescent="0.35">
      <c r="A2948" s="5" t="s">
        <v>94</v>
      </c>
      <c r="B2948" s="6">
        <v>44378</v>
      </c>
      <c r="C2948" s="7">
        <v>2925000</v>
      </c>
      <c r="D2948" s="7">
        <v>730256.95000000019</v>
      </c>
      <c r="E2948" s="7">
        <v>2194743.0499999998</v>
      </c>
      <c r="F2948" t="str">
        <f>VLOOKUP(A2948,[1]!Table1[#All],17,FALSE)</f>
        <v>FRANCE</v>
      </c>
      <c r="G2948" t="str">
        <f>VLOOKUP(A2948,[1]!Table1[#All],22,FALSE)</f>
        <v>INTEGRATED QUALITY LABORATORY SERVICES</v>
      </c>
      <c r="H2948" s="8">
        <f>VLOOKUP(A2948,[1]!Table1[#All],32,FALSE)</f>
        <v>44104</v>
      </c>
      <c r="I2948" s="8">
        <f>VLOOKUP(A2948,[1]!Table1[#All],33,FALSE)</f>
        <v>45929</v>
      </c>
      <c r="J2948" t="str">
        <f t="shared" ca="1" si="50"/>
        <v>Non UDO</v>
      </c>
    </row>
    <row r="2949" spans="1:10" x14ac:dyDescent="0.35">
      <c r="A2949" s="9" t="s">
        <v>94</v>
      </c>
      <c r="B2949" s="10">
        <v>44409</v>
      </c>
      <c r="C2949" s="11">
        <v>2925000</v>
      </c>
      <c r="D2949" s="11">
        <v>929306.23</v>
      </c>
      <c r="E2949" s="11">
        <v>1995693.77</v>
      </c>
      <c r="F2949" t="str">
        <f>VLOOKUP(A2949,[1]!Table1[#All],17,FALSE)</f>
        <v>FRANCE</v>
      </c>
      <c r="G2949" t="str">
        <f>VLOOKUP(A2949,[1]!Table1[#All],22,FALSE)</f>
        <v>INTEGRATED QUALITY LABORATORY SERVICES</v>
      </c>
      <c r="H2949" s="8">
        <f>VLOOKUP(A2949,[1]!Table1[#All],32,FALSE)</f>
        <v>44104</v>
      </c>
      <c r="I2949" s="8">
        <f>VLOOKUP(A2949,[1]!Table1[#All],33,FALSE)</f>
        <v>45929</v>
      </c>
      <c r="J2949" t="str">
        <f t="shared" ca="1" si="50"/>
        <v>Non UDO</v>
      </c>
    </row>
    <row r="2950" spans="1:10" x14ac:dyDescent="0.35">
      <c r="A2950" s="5" t="s">
        <v>94</v>
      </c>
      <c r="B2950" s="6">
        <v>44440</v>
      </c>
      <c r="C2950" s="7">
        <v>2925000</v>
      </c>
      <c r="D2950" s="7">
        <v>1203208.1800000002</v>
      </c>
      <c r="E2950" s="7">
        <v>1721791.8199999998</v>
      </c>
      <c r="F2950" t="str">
        <f>VLOOKUP(A2950,[1]!Table1[#All],17,FALSE)</f>
        <v>FRANCE</v>
      </c>
      <c r="G2950" t="str">
        <f>VLOOKUP(A2950,[1]!Table1[#All],22,FALSE)</f>
        <v>INTEGRATED QUALITY LABORATORY SERVICES</v>
      </c>
      <c r="H2950" s="8">
        <f>VLOOKUP(A2950,[1]!Table1[#All],32,FALSE)</f>
        <v>44104</v>
      </c>
      <c r="I2950" s="8">
        <f>VLOOKUP(A2950,[1]!Table1[#All],33,FALSE)</f>
        <v>45929</v>
      </c>
      <c r="J2950" t="str">
        <f t="shared" ca="1" si="50"/>
        <v>Non UDO</v>
      </c>
    </row>
    <row r="2951" spans="1:10" x14ac:dyDescent="0.35">
      <c r="A2951" s="9" t="s">
        <v>94</v>
      </c>
      <c r="B2951" s="10">
        <v>44470</v>
      </c>
      <c r="C2951" s="11">
        <v>2925000</v>
      </c>
      <c r="D2951" s="11">
        <v>1203208.1800000002</v>
      </c>
      <c r="E2951" s="11">
        <v>1721791.8199999998</v>
      </c>
      <c r="F2951" t="str">
        <f>VLOOKUP(A2951,[1]!Table1[#All],17,FALSE)</f>
        <v>FRANCE</v>
      </c>
      <c r="G2951" t="str">
        <f>VLOOKUP(A2951,[1]!Table1[#All],22,FALSE)</f>
        <v>INTEGRATED QUALITY LABORATORY SERVICES</v>
      </c>
      <c r="H2951" s="8">
        <f>VLOOKUP(A2951,[1]!Table1[#All],32,FALSE)</f>
        <v>44104</v>
      </c>
      <c r="I2951" s="8">
        <f>VLOOKUP(A2951,[1]!Table1[#All],33,FALSE)</f>
        <v>45929</v>
      </c>
      <c r="J2951" t="str">
        <f t="shared" ca="1" si="50"/>
        <v>Non UDO</v>
      </c>
    </row>
    <row r="2952" spans="1:10" x14ac:dyDescent="0.35">
      <c r="A2952" s="5" t="s">
        <v>94</v>
      </c>
      <c r="B2952" s="6">
        <v>44501</v>
      </c>
      <c r="C2952" s="7">
        <v>2925000</v>
      </c>
      <c r="D2952" s="7">
        <v>1203208.1800000002</v>
      </c>
      <c r="E2952" s="7">
        <v>1721791.8199999998</v>
      </c>
      <c r="F2952" t="str">
        <f>VLOOKUP(A2952,[1]!Table1[#All],17,FALSE)</f>
        <v>FRANCE</v>
      </c>
      <c r="G2952" t="str">
        <f>VLOOKUP(A2952,[1]!Table1[#All],22,FALSE)</f>
        <v>INTEGRATED QUALITY LABORATORY SERVICES</v>
      </c>
      <c r="H2952" s="8">
        <f>VLOOKUP(A2952,[1]!Table1[#All],32,FALSE)</f>
        <v>44104</v>
      </c>
      <c r="I2952" s="8">
        <f>VLOOKUP(A2952,[1]!Table1[#All],33,FALSE)</f>
        <v>45929</v>
      </c>
      <c r="J2952" t="str">
        <f t="shared" ca="1" si="50"/>
        <v>Non UDO</v>
      </c>
    </row>
    <row r="2953" spans="1:10" x14ac:dyDescent="0.35">
      <c r="A2953" s="9" t="s">
        <v>94</v>
      </c>
      <c r="B2953" s="10">
        <v>44531</v>
      </c>
      <c r="C2953" s="11">
        <v>2925000</v>
      </c>
      <c r="D2953" s="11">
        <v>1632573.52</v>
      </c>
      <c r="E2953" s="11">
        <v>1292426.48</v>
      </c>
      <c r="F2953" t="str">
        <f>VLOOKUP(A2953,[1]!Table1[#All],17,FALSE)</f>
        <v>FRANCE</v>
      </c>
      <c r="G2953" t="str">
        <f>VLOOKUP(A2953,[1]!Table1[#All],22,FALSE)</f>
        <v>INTEGRATED QUALITY LABORATORY SERVICES</v>
      </c>
      <c r="H2953" s="8">
        <f>VLOOKUP(A2953,[1]!Table1[#All],32,FALSE)</f>
        <v>44104</v>
      </c>
      <c r="I2953" s="8">
        <f>VLOOKUP(A2953,[1]!Table1[#All],33,FALSE)</f>
        <v>45929</v>
      </c>
      <c r="J2953" t="str">
        <f t="shared" ca="1" si="50"/>
        <v>Non UDO</v>
      </c>
    </row>
    <row r="2954" spans="1:10" x14ac:dyDescent="0.35">
      <c r="A2954" s="5" t="s">
        <v>94</v>
      </c>
      <c r="B2954" s="6">
        <v>44562</v>
      </c>
      <c r="C2954" s="7">
        <v>2925000</v>
      </c>
      <c r="D2954" s="7">
        <v>1632573.52</v>
      </c>
      <c r="E2954" s="7">
        <v>1292426.48</v>
      </c>
      <c r="F2954" t="str">
        <f>VLOOKUP(A2954,[1]!Table1[#All],17,FALSE)</f>
        <v>FRANCE</v>
      </c>
      <c r="G2954" t="str">
        <f>VLOOKUP(A2954,[1]!Table1[#All],22,FALSE)</f>
        <v>INTEGRATED QUALITY LABORATORY SERVICES</v>
      </c>
      <c r="H2954" s="8">
        <f>VLOOKUP(A2954,[1]!Table1[#All],32,FALSE)</f>
        <v>44104</v>
      </c>
      <c r="I2954" s="8">
        <f>VLOOKUP(A2954,[1]!Table1[#All],33,FALSE)</f>
        <v>45929</v>
      </c>
      <c r="J2954" t="str">
        <f t="shared" ca="1" si="50"/>
        <v>Non UDO</v>
      </c>
    </row>
    <row r="2955" spans="1:10" x14ac:dyDescent="0.35">
      <c r="A2955" s="9" t="s">
        <v>94</v>
      </c>
      <c r="B2955" s="10">
        <v>44593</v>
      </c>
      <c r="C2955" s="11">
        <v>2925000</v>
      </c>
      <c r="D2955" s="11">
        <v>1632573.52</v>
      </c>
      <c r="E2955" s="11">
        <v>1292426.48</v>
      </c>
      <c r="F2955" t="str">
        <f>VLOOKUP(A2955,[1]!Table1[#All],17,FALSE)</f>
        <v>FRANCE</v>
      </c>
      <c r="G2955" t="str">
        <f>VLOOKUP(A2955,[1]!Table1[#All],22,FALSE)</f>
        <v>INTEGRATED QUALITY LABORATORY SERVICES</v>
      </c>
      <c r="H2955" s="8">
        <f>VLOOKUP(A2955,[1]!Table1[#All],32,FALSE)</f>
        <v>44104</v>
      </c>
      <c r="I2955" s="8">
        <f>VLOOKUP(A2955,[1]!Table1[#All],33,FALSE)</f>
        <v>45929</v>
      </c>
      <c r="J2955" t="str">
        <f t="shared" ca="1" si="50"/>
        <v>Non UDO</v>
      </c>
    </row>
    <row r="2956" spans="1:10" x14ac:dyDescent="0.35">
      <c r="A2956" s="5" t="s">
        <v>94</v>
      </c>
      <c r="B2956" s="6">
        <v>44621</v>
      </c>
      <c r="C2956" s="7">
        <v>2925000</v>
      </c>
      <c r="D2956" s="7">
        <v>1931572.58</v>
      </c>
      <c r="E2956" s="7">
        <v>993427.41999999993</v>
      </c>
      <c r="F2956" t="str">
        <f>VLOOKUP(A2956,[1]!Table1[#All],17,FALSE)</f>
        <v>FRANCE</v>
      </c>
      <c r="G2956" t="str">
        <f>VLOOKUP(A2956,[1]!Table1[#All],22,FALSE)</f>
        <v>INTEGRATED QUALITY LABORATORY SERVICES</v>
      </c>
      <c r="H2956" s="8">
        <f>VLOOKUP(A2956,[1]!Table1[#All],32,FALSE)</f>
        <v>44104</v>
      </c>
      <c r="I2956" s="8">
        <f>VLOOKUP(A2956,[1]!Table1[#All],33,FALSE)</f>
        <v>45929</v>
      </c>
      <c r="J2956" t="str">
        <f t="shared" ca="1" si="50"/>
        <v>Non UDO</v>
      </c>
    </row>
    <row r="2957" spans="1:10" x14ac:dyDescent="0.35">
      <c r="A2957" s="9" t="s">
        <v>94</v>
      </c>
      <c r="B2957" s="10">
        <v>44652</v>
      </c>
      <c r="C2957" s="11">
        <v>2925000</v>
      </c>
      <c r="D2957" s="11">
        <v>2070631.37</v>
      </c>
      <c r="E2957" s="11">
        <v>854368.62999999989</v>
      </c>
      <c r="F2957" t="str">
        <f>VLOOKUP(A2957,[1]!Table1[#All],17,FALSE)</f>
        <v>FRANCE</v>
      </c>
      <c r="G2957" t="str">
        <f>VLOOKUP(A2957,[1]!Table1[#All],22,FALSE)</f>
        <v>INTEGRATED QUALITY LABORATORY SERVICES</v>
      </c>
      <c r="H2957" s="8">
        <f>VLOOKUP(A2957,[1]!Table1[#All],32,FALSE)</f>
        <v>44104</v>
      </c>
      <c r="I2957" s="8">
        <f>VLOOKUP(A2957,[1]!Table1[#All],33,FALSE)</f>
        <v>45929</v>
      </c>
      <c r="J2957" t="str">
        <f t="shared" ca="1" si="50"/>
        <v>Non UDO</v>
      </c>
    </row>
    <row r="2958" spans="1:10" x14ac:dyDescent="0.35">
      <c r="A2958" s="5" t="s">
        <v>94</v>
      </c>
      <c r="B2958" s="6">
        <v>44682</v>
      </c>
      <c r="C2958" s="7">
        <v>2925000</v>
      </c>
      <c r="D2958" s="7">
        <v>2244655.44</v>
      </c>
      <c r="E2958" s="7">
        <v>680344.56</v>
      </c>
      <c r="F2958" t="str">
        <f>VLOOKUP(A2958,[1]!Table1[#All],17,FALSE)</f>
        <v>FRANCE</v>
      </c>
      <c r="G2958" t="str">
        <f>VLOOKUP(A2958,[1]!Table1[#All],22,FALSE)</f>
        <v>INTEGRATED QUALITY LABORATORY SERVICES</v>
      </c>
      <c r="H2958" s="8">
        <f>VLOOKUP(A2958,[1]!Table1[#All],32,FALSE)</f>
        <v>44104</v>
      </c>
      <c r="I2958" s="8">
        <f>VLOOKUP(A2958,[1]!Table1[#All],33,FALSE)</f>
        <v>45929</v>
      </c>
      <c r="J2958" t="str">
        <f t="shared" ca="1" si="50"/>
        <v>Non UDO</v>
      </c>
    </row>
    <row r="2959" spans="1:10" x14ac:dyDescent="0.35">
      <c r="A2959" s="9" t="s">
        <v>94</v>
      </c>
      <c r="B2959" s="10">
        <v>44713</v>
      </c>
      <c r="C2959" s="11">
        <v>2925000</v>
      </c>
      <c r="D2959" s="11">
        <v>2370397.21</v>
      </c>
      <c r="E2959" s="11">
        <v>554602.79</v>
      </c>
      <c r="F2959" t="str">
        <f>VLOOKUP(A2959,[1]!Table1[#All],17,FALSE)</f>
        <v>FRANCE</v>
      </c>
      <c r="G2959" t="str">
        <f>VLOOKUP(A2959,[1]!Table1[#All],22,FALSE)</f>
        <v>INTEGRATED QUALITY LABORATORY SERVICES</v>
      </c>
      <c r="H2959" s="8">
        <f>VLOOKUP(A2959,[1]!Table1[#All],32,FALSE)</f>
        <v>44104</v>
      </c>
      <c r="I2959" s="8">
        <f>VLOOKUP(A2959,[1]!Table1[#All],33,FALSE)</f>
        <v>45929</v>
      </c>
      <c r="J2959" t="str">
        <f t="shared" ca="1" si="50"/>
        <v>Non UDO</v>
      </c>
    </row>
    <row r="2960" spans="1:10" x14ac:dyDescent="0.35">
      <c r="A2960" s="5" t="s">
        <v>94</v>
      </c>
      <c r="B2960" s="6">
        <v>44743</v>
      </c>
      <c r="C2960" s="7">
        <v>2925000</v>
      </c>
      <c r="D2960" s="7">
        <v>2480251.38</v>
      </c>
      <c r="E2960" s="7">
        <v>444748.62</v>
      </c>
      <c r="F2960" t="str">
        <f>VLOOKUP(A2960,[1]!Table1[#All],17,FALSE)</f>
        <v>FRANCE</v>
      </c>
      <c r="G2960" t="str">
        <f>VLOOKUP(A2960,[1]!Table1[#All],22,FALSE)</f>
        <v>INTEGRATED QUALITY LABORATORY SERVICES</v>
      </c>
      <c r="H2960" s="8">
        <f>VLOOKUP(A2960,[1]!Table1[#All],32,FALSE)</f>
        <v>44104</v>
      </c>
      <c r="I2960" s="8">
        <f>VLOOKUP(A2960,[1]!Table1[#All],33,FALSE)</f>
        <v>45929</v>
      </c>
      <c r="J2960" t="str">
        <f t="shared" ca="1" si="50"/>
        <v>Non UDO</v>
      </c>
    </row>
    <row r="2961" spans="1:10" x14ac:dyDescent="0.35">
      <c r="A2961" s="9" t="s">
        <v>94</v>
      </c>
      <c r="B2961" s="10">
        <v>44774</v>
      </c>
      <c r="C2961" s="11">
        <v>2925000</v>
      </c>
      <c r="D2961" s="11">
        <v>2644614.59</v>
      </c>
      <c r="E2961" s="11">
        <v>280385.41000000003</v>
      </c>
      <c r="F2961" t="str">
        <f>VLOOKUP(A2961,[1]!Table1[#All],17,FALSE)</f>
        <v>FRANCE</v>
      </c>
      <c r="G2961" t="str">
        <f>VLOOKUP(A2961,[1]!Table1[#All],22,FALSE)</f>
        <v>INTEGRATED QUALITY LABORATORY SERVICES</v>
      </c>
      <c r="H2961" s="8">
        <f>VLOOKUP(A2961,[1]!Table1[#All],32,FALSE)</f>
        <v>44104</v>
      </c>
      <c r="I2961" s="8">
        <f>VLOOKUP(A2961,[1]!Table1[#All],33,FALSE)</f>
        <v>45929</v>
      </c>
      <c r="J2961" t="str">
        <f t="shared" ca="1" si="50"/>
        <v>Non UDO</v>
      </c>
    </row>
    <row r="2962" spans="1:10" x14ac:dyDescent="0.35">
      <c r="A2962" s="5" t="s">
        <v>94</v>
      </c>
      <c r="B2962" s="6">
        <v>44805</v>
      </c>
      <c r="C2962" s="7">
        <v>2925000</v>
      </c>
      <c r="D2962" s="7">
        <v>2790773.37</v>
      </c>
      <c r="E2962" s="7">
        <v>134226.63</v>
      </c>
      <c r="F2962" t="str">
        <f>VLOOKUP(A2962,[1]!Table1[#All],17,FALSE)</f>
        <v>FRANCE</v>
      </c>
      <c r="G2962" t="str">
        <f>VLOOKUP(A2962,[1]!Table1[#All],22,FALSE)</f>
        <v>INTEGRATED QUALITY LABORATORY SERVICES</v>
      </c>
      <c r="H2962" s="8">
        <f>VLOOKUP(A2962,[1]!Table1[#All],32,FALSE)</f>
        <v>44104</v>
      </c>
      <c r="I2962" s="8">
        <f>VLOOKUP(A2962,[1]!Table1[#All],33,FALSE)</f>
        <v>45929</v>
      </c>
      <c r="J2962" t="str">
        <f t="shared" ca="1" si="50"/>
        <v>Non UDO</v>
      </c>
    </row>
    <row r="2963" spans="1:10" x14ac:dyDescent="0.35">
      <c r="A2963" s="9" t="s">
        <v>94</v>
      </c>
      <c r="B2963" s="10">
        <v>44835</v>
      </c>
      <c r="C2963" s="11">
        <v>2925000</v>
      </c>
      <c r="D2963" s="11">
        <v>2790773.37</v>
      </c>
      <c r="E2963" s="11">
        <v>134226.63</v>
      </c>
      <c r="F2963" t="str">
        <f>VLOOKUP(A2963,[1]!Table1[#All],17,FALSE)</f>
        <v>FRANCE</v>
      </c>
      <c r="G2963" t="str">
        <f>VLOOKUP(A2963,[1]!Table1[#All],22,FALSE)</f>
        <v>INTEGRATED QUALITY LABORATORY SERVICES</v>
      </c>
      <c r="H2963" s="8">
        <f>VLOOKUP(A2963,[1]!Table1[#All],32,FALSE)</f>
        <v>44104</v>
      </c>
      <c r="I2963" s="8">
        <f>VLOOKUP(A2963,[1]!Table1[#All],33,FALSE)</f>
        <v>45929</v>
      </c>
      <c r="J2963" t="str">
        <f t="shared" ca="1" si="50"/>
        <v>Non UDO</v>
      </c>
    </row>
    <row r="2964" spans="1:10" x14ac:dyDescent="0.35">
      <c r="A2964" s="5" t="s">
        <v>94</v>
      </c>
      <c r="B2964" s="6">
        <v>44866</v>
      </c>
      <c r="C2964" s="7">
        <v>2925000</v>
      </c>
      <c r="D2964" s="7">
        <v>2925000</v>
      </c>
      <c r="E2964" s="7">
        <v>0</v>
      </c>
      <c r="F2964" t="str">
        <f>VLOOKUP(A2964,[1]!Table1[#All],17,FALSE)</f>
        <v>FRANCE</v>
      </c>
      <c r="G2964" t="str">
        <f>VLOOKUP(A2964,[1]!Table1[#All],22,FALSE)</f>
        <v>INTEGRATED QUALITY LABORATORY SERVICES</v>
      </c>
      <c r="H2964" s="8">
        <f>VLOOKUP(A2964,[1]!Table1[#All],32,FALSE)</f>
        <v>44104</v>
      </c>
      <c r="I2964" s="8">
        <f>VLOOKUP(A2964,[1]!Table1[#All],33,FALSE)</f>
        <v>45929</v>
      </c>
      <c r="J2964" t="str">
        <f t="shared" ca="1" si="50"/>
        <v>Non UDO</v>
      </c>
    </row>
    <row r="2965" spans="1:10" x14ac:dyDescent="0.35">
      <c r="A2965" s="9" t="s">
        <v>94</v>
      </c>
      <c r="B2965" s="10">
        <v>44896</v>
      </c>
      <c r="C2965" s="11">
        <v>2925000</v>
      </c>
      <c r="D2965" s="11">
        <v>2925000</v>
      </c>
      <c r="E2965" s="11">
        <v>0</v>
      </c>
      <c r="F2965" t="str">
        <f>VLOOKUP(A2965,[1]!Table1[#All],17,FALSE)</f>
        <v>FRANCE</v>
      </c>
      <c r="G2965" t="str">
        <f>VLOOKUP(A2965,[1]!Table1[#All],22,FALSE)</f>
        <v>INTEGRATED QUALITY LABORATORY SERVICES</v>
      </c>
      <c r="H2965" s="8">
        <f>VLOOKUP(A2965,[1]!Table1[#All],32,FALSE)</f>
        <v>44104</v>
      </c>
      <c r="I2965" s="8">
        <f>VLOOKUP(A2965,[1]!Table1[#All],33,FALSE)</f>
        <v>45929</v>
      </c>
      <c r="J2965" t="str">
        <f t="shared" ca="1" si="50"/>
        <v>Non UDO</v>
      </c>
    </row>
    <row r="2966" spans="1:10" x14ac:dyDescent="0.35">
      <c r="A2966" s="5" t="s">
        <v>94</v>
      </c>
      <c r="B2966" s="6">
        <v>44927</v>
      </c>
      <c r="C2966" s="7">
        <v>2925000</v>
      </c>
      <c r="D2966" s="7">
        <v>2925000</v>
      </c>
      <c r="E2966" s="7">
        <v>0</v>
      </c>
      <c r="F2966" t="str">
        <f>VLOOKUP(A2966,[1]!Table1[#All],17,FALSE)</f>
        <v>FRANCE</v>
      </c>
      <c r="G2966" t="str">
        <f>VLOOKUP(A2966,[1]!Table1[#All],22,FALSE)</f>
        <v>INTEGRATED QUALITY LABORATORY SERVICES</v>
      </c>
      <c r="H2966" s="8">
        <f>VLOOKUP(A2966,[1]!Table1[#All],32,FALSE)</f>
        <v>44104</v>
      </c>
      <c r="I2966" s="8">
        <f>VLOOKUP(A2966,[1]!Table1[#All],33,FALSE)</f>
        <v>45929</v>
      </c>
      <c r="J2966" t="str">
        <f t="shared" ca="1" si="50"/>
        <v>Non UDO</v>
      </c>
    </row>
    <row r="2967" spans="1:10" x14ac:dyDescent="0.35">
      <c r="A2967" s="9" t="s">
        <v>94</v>
      </c>
      <c r="B2967" s="10">
        <v>44958</v>
      </c>
      <c r="C2967" s="11">
        <v>2925000</v>
      </c>
      <c r="D2967" s="11">
        <v>2925000</v>
      </c>
      <c r="E2967" s="11">
        <v>0</v>
      </c>
      <c r="F2967" t="str">
        <f>VLOOKUP(A2967,[1]!Table1[#All],17,FALSE)</f>
        <v>FRANCE</v>
      </c>
      <c r="G2967" t="str">
        <f>VLOOKUP(A2967,[1]!Table1[#All],22,FALSE)</f>
        <v>INTEGRATED QUALITY LABORATORY SERVICES</v>
      </c>
      <c r="H2967" s="8">
        <f>VLOOKUP(A2967,[1]!Table1[#All],32,FALSE)</f>
        <v>44104</v>
      </c>
      <c r="I2967" s="8">
        <f>VLOOKUP(A2967,[1]!Table1[#All],33,FALSE)</f>
        <v>45929</v>
      </c>
      <c r="J2967" t="str">
        <f t="shared" ca="1" si="50"/>
        <v>Non UDO</v>
      </c>
    </row>
    <row r="2968" spans="1:10" x14ac:dyDescent="0.35">
      <c r="A2968" s="5" t="s">
        <v>94</v>
      </c>
      <c r="B2968" s="6">
        <v>44986</v>
      </c>
      <c r="C2968" s="7">
        <v>2925000</v>
      </c>
      <c r="D2968" s="7">
        <v>2925000</v>
      </c>
      <c r="E2968" s="7">
        <v>0</v>
      </c>
      <c r="F2968" t="str">
        <f>VLOOKUP(A2968,[1]!Table1[#All],17,FALSE)</f>
        <v>FRANCE</v>
      </c>
      <c r="G2968" t="str">
        <f>VLOOKUP(A2968,[1]!Table1[#All],22,FALSE)</f>
        <v>INTEGRATED QUALITY LABORATORY SERVICES</v>
      </c>
      <c r="H2968" s="8">
        <f>VLOOKUP(A2968,[1]!Table1[#All],32,FALSE)</f>
        <v>44104</v>
      </c>
      <c r="I2968" s="8">
        <f>VLOOKUP(A2968,[1]!Table1[#All],33,FALSE)</f>
        <v>45929</v>
      </c>
      <c r="J2968" t="str">
        <f t="shared" ca="1" si="50"/>
        <v>Non UDO</v>
      </c>
    </row>
    <row r="2969" spans="1:10" x14ac:dyDescent="0.35">
      <c r="A2969" s="9" t="s">
        <v>94</v>
      </c>
      <c r="B2969" s="10">
        <v>45017</v>
      </c>
      <c r="C2969" s="11">
        <v>2925000</v>
      </c>
      <c r="D2969" s="11">
        <v>2925000</v>
      </c>
      <c r="E2969" s="11">
        <v>0</v>
      </c>
      <c r="F2969" t="str">
        <f>VLOOKUP(A2969,[1]!Table1[#All],17,FALSE)</f>
        <v>FRANCE</v>
      </c>
      <c r="G2969" t="str">
        <f>VLOOKUP(A2969,[1]!Table1[#All],22,FALSE)</f>
        <v>INTEGRATED QUALITY LABORATORY SERVICES</v>
      </c>
      <c r="H2969" s="8">
        <f>VLOOKUP(A2969,[1]!Table1[#All],32,FALSE)</f>
        <v>44104</v>
      </c>
      <c r="I2969" s="8">
        <f>VLOOKUP(A2969,[1]!Table1[#All],33,FALSE)</f>
        <v>45929</v>
      </c>
      <c r="J2969" t="str">
        <f t="shared" ca="1" si="50"/>
        <v>Non UDO</v>
      </c>
    </row>
    <row r="2970" spans="1:10" x14ac:dyDescent="0.35">
      <c r="A2970" s="5" t="s">
        <v>94</v>
      </c>
      <c r="B2970" s="6">
        <v>45047</v>
      </c>
      <c r="C2970" s="7">
        <v>2925000</v>
      </c>
      <c r="D2970" s="7">
        <v>2925000</v>
      </c>
      <c r="E2970" s="7">
        <v>0</v>
      </c>
      <c r="F2970" t="str">
        <f>VLOOKUP(A2970,[1]!Table1[#All],17,FALSE)</f>
        <v>FRANCE</v>
      </c>
      <c r="G2970" t="str">
        <f>VLOOKUP(A2970,[1]!Table1[#All],22,FALSE)</f>
        <v>INTEGRATED QUALITY LABORATORY SERVICES</v>
      </c>
      <c r="H2970" s="8">
        <f>VLOOKUP(A2970,[1]!Table1[#All],32,FALSE)</f>
        <v>44104</v>
      </c>
      <c r="I2970" s="8">
        <f>VLOOKUP(A2970,[1]!Table1[#All],33,FALSE)</f>
        <v>45929</v>
      </c>
      <c r="J2970" t="str">
        <f t="shared" ca="1" si="50"/>
        <v>Non UDO</v>
      </c>
    </row>
    <row r="2971" spans="1:10" x14ac:dyDescent="0.35">
      <c r="A2971" s="9" t="s">
        <v>94</v>
      </c>
      <c r="B2971" s="10">
        <v>45078</v>
      </c>
      <c r="C2971" s="11">
        <v>2925000</v>
      </c>
      <c r="D2971" s="11">
        <v>2925000</v>
      </c>
      <c r="E2971" s="11">
        <v>0</v>
      </c>
      <c r="F2971" t="str">
        <f>VLOOKUP(A2971,[1]!Table1[#All],17,FALSE)</f>
        <v>FRANCE</v>
      </c>
      <c r="G2971" t="str">
        <f>VLOOKUP(A2971,[1]!Table1[#All],22,FALSE)</f>
        <v>INTEGRATED QUALITY LABORATORY SERVICES</v>
      </c>
      <c r="H2971" s="8">
        <f>VLOOKUP(A2971,[1]!Table1[#All],32,FALSE)</f>
        <v>44104</v>
      </c>
      <c r="I2971" s="8">
        <f>VLOOKUP(A2971,[1]!Table1[#All],33,FALSE)</f>
        <v>45929</v>
      </c>
      <c r="J2971" t="str">
        <f t="shared" ca="1" si="50"/>
        <v>Non UDO</v>
      </c>
    </row>
    <row r="2972" spans="1:10" x14ac:dyDescent="0.35">
      <c r="A2972" s="5" t="s">
        <v>94</v>
      </c>
      <c r="B2972" s="6">
        <v>45108</v>
      </c>
      <c r="C2972" s="7">
        <v>2925000</v>
      </c>
      <c r="D2972" s="7">
        <v>2925000</v>
      </c>
      <c r="E2972" s="7">
        <v>0</v>
      </c>
      <c r="F2972" t="str">
        <f>VLOOKUP(A2972,[1]!Table1[#All],17,FALSE)</f>
        <v>FRANCE</v>
      </c>
      <c r="G2972" t="str">
        <f>VLOOKUP(A2972,[1]!Table1[#All],22,FALSE)</f>
        <v>INTEGRATED QUALITY LABORATORY SERVICES</v>
      </c>
      <c r="H2972" s="8">
        <f>VLOOKUP(A2972,[1]!Table1[#All],32,FALSE)</f>
        <v>44104</v>
      </c>
      <c r="I2972" s="8">
        <f>VLOOKUP(A2972,[1]!Table1[#All],33,FALSE)</f>
        <v>45929</v>
      </c>
      <c r="J2972" t="str">
        <f t="shared" ca="1" si="50"/>
        <v>Non UDO</v>
      </c>
    </row>
    <row r="2973" spans="1:10" x14ac:dyDescent="0.35">
      <c r="A2973" s="9" t="s">
        <v>94</v>
      </c>
      <c r="B2973" s="10">
        <v>45139</v>
      </c>
      <c r="C2973" s="11">
        <v>2925000</v>
      </c>
      <c r="D2973" s="11">
        <v>2925000</v>
      </c>
      <c r="E2973" s="11">
        <v>0</v>
      </c>
      <c r="F2973" t="str">
        <f>VLOOKUP(A2973,[1]!Table1[#All],17,FALSE)</f>
        <v>FRANCE</v>
      </c>
      <c r="G2973" t="str">
        <f>VLOOKUP(A2973,[1]!Table1[#All],22,FALSE)</f>
        <v>INTEGRATED QUALITY LABORATORY SERVICES</v>
      </c>
      <c r="H2973" s="8">
        <f>VLOOKUP(A2973,[1]!Table1[#All],32,FALSE)</f>
        <v>44104</v>
      </c>
      <c r="I2973" s="8">
        <f>VLOOKUP(A2973,[1]!Table1[#All],33,FALSE)</f>
        <v>45929</v>
      </c>
      <c r="J2973" t="str">
        <f t="shared" ca="1" si="50"/>
        <v>Non UDO</v>
      </c>
    </row>
    <row r="2974" spans="1:10" x14ac:dyDescent="0.35">
      <c r="A2974" s="5" t="s">
        <v>94</v>
      </c>
      <c r="B2974" s="6">
        <v>45170</v>
      </c>
      <c r="C2974" s="7">
        <v>2925000</v>
      </c>
      <c r="D2974" s="7">
        <v>2925000</v>
      </c>
      <c r="E2974" s="7">
        <v>0</v>
      </c>
      <c r="F2974" t="str">
        <f>VLOOKUP(A2974,[1]!Table1[#All],17,FALSE)</f>
        <v>FRANCE</v>
      </c>
      <c r="G2974" t="str">
        <f>VLOOKUP(A2974,[1]!Table1[#All],22,FALSE)</f>
        <v>INTEGRATED QUALITY LABORATORY SERVICES</v>
      </c>
      <c r="H2974" s="8">
        <f>VLOOKUP(A2974,[1]!Table1[#All],32,FALSE)</f>
        <v>44104</v>
      </c>
      <c r="I2974" s="8">
        <f>VLOOKUP(A2974,[1]!Table1[#All],33,FALSE)</f>
        <v>45929</v>
      </c>
      <c r="J2974" t="str">
        <f t="shared" ca="1" si="50"/>
        <v>Non UDO</v>
      </c>
    </row>
    <row r="2975" spans="1:10" x14ac:dyDescent="0.35">
      <c r="A2975" s="9" t="s">
        <v>95</v>
      </c>
      <c r="B2975" s="10">
        <v>44105</v>
      </c>
      <c r="C2975" s="11">
        <v>6800715</v>
      </c>
      <c r="D2975" s="11">
        <v>0</v>
      </c>
      <c r="E2975" s="11">
        <v>6800715</v>
      </c>
      <c r="F2975" t="str">
        <f>VLOOKUP(A2975,[1]!Table1[#All],17,FALSE)</f>
        <v>UNITED STATES</v>
      </c>
      <c r="G2975" t="str">
        <f>VLOOKUP(A2975,[1]!Table1[#All],22,FALSE)</f>
        <v>ASSN OF PUBLIC HEALTH LABORATORIES</v>
      </c>
      <c r="H2975" s="8">
        <f>VLOOKUP(A2975,[1]!Table1[#All],32,FALSE)</f>
        <v>44104</v>
      </c>
      <c r="I2975" s="8">
        <f>VLOOKUP(A2975,[1]!Table1[#All],33,FALSE)</f>
        <v>45929</v>
      </c>
      <c r="J2975" t="str">
        <f t="shared" ca="1" si="50"/>
        <v>Non UDO</v>
      </c>
    </row>
    <row r="2976" spans="1:10" x14ac:dyDescent="0.35">
      <c r="A2976" s="5" t="s">
        <v>95</v>
      </c>
      <c r="B2976" s="6">
        <v>44136</v>
      </c>
      <c r="C2976" s="7">
        <v>6800715</v>
      </c>
      <c r="D2976" s="7">
        <v>312.94</v>
      </c>
      <c r="E2976" s="7">
        <v>6800402.0599999996</v>
      </c>
      <c r="F2976" t="str">
        <f>VLOOKUP(A2976,[1]!Table1[#All],17,FALSE)</f>
        <v>UNITED STATES</v>
      </c>
      <c r="G2976" t="str">
        <f>VLOOKUP(A2976,[1]!Table1[#All],22,FALSE)</f>
        <v>ASSN OF PUBLIC HEALTH LABORATORIES</v>
      </c>
      <c r="H2976" s="8">
        <f>VLOOKUP(A2976,[1]!Table1[#All],32,FALSE)</f>
        <v>44104</v>
      </c>
      <c r="I2976" s="8">
        <f>VLOOKUP(A2976,[1]!Table1[#All],33,FALSE)</f>
        <v>45929</v>
      </c>
      <c r="J2976" t="str">
        <f t="shared" ca="1" si="50"/>
        <v>Non UDO</v>
      </c>
    </row>
    <row r="2977" spans="1:10" x14ac:dyDescent="0.35">
      <c r="A2977" s="9" t="s">
        <v>95</v>
      </c>
      <c r="B2977" s="10">
        <v>44166</v>
      </c>
      <c r="C2977" s="11">
        <v>6800715</v>
      </c>
      <c r="D2977" s="11">
        <v>312.94</v>
      </c>
      <c r="E2977" s="11">
        <v>6800402.0599999996</v>
      </c>
      <c r="F2977" t="str">
        <f>VLOOKUP(A2977,[1]!Table1[#All],17,FALSE)</f>
        <v>UNITED STATES</v>
      </c>
      <c r="G2977" t="str">
        <f>VLOOKUP(A2977,[1]!Table1[#All],22,FALSE)</f>
        <v>ASSN OF PUBLIC HEALTH LABORATORIES</v>
      </c>
      <c r="H2977" s="8">
        <f>VLOOKUP(A2977,[1]!Table1[#All],32,FALSE)</f>
        <v>44104</v>
      </c>
      <c r="I2977" s="8">
        <f>VLOOKUP(A2977,[1]!Table1[#All],33,FALSE)</f>
        <v>45929</v>
      </c>
      <c r="J2977" t="str">
        <f t="shared" ca="1" si="50"/>
        <v>Non UDO</v>
      </c>
    </row>
    <row r="2978" spans="1:10" x14ac:dyDescent="0.35">
      <c r="A2978" s="5" t="s">
        <v>95</v>
      </c>
      <c r="B2978" s="6">
        <v>44197</v>
      </c>
      <c r="C2978" s="7">
        <v>6800715</v>
      </c>
      <c r="D2978" s="7">
        <v>145450.81</v>
      </c>
      <c r="E2978" s="7">
        <v>6655264.1900000004</v>
      </c>
      <c r="F2978" t="str">
        <f>VLOOKUP(A2978,[1]!Table1[#All],17,FALSE)</f>
        <v>UNITED STATES</v>
      </c>
      <c r="G2978" t="str">
        <f>VLOOKUP(A2978,[1]!Table1[#All],22,FALSE)</f>
        <v>ASSN OF PUBLIC HEALTH LABORATORIES</v>
      </c>
      <c r="H2978" s="8">
        <f>VLOOKUP(A2978,[1]!Table1[#All],32,FALSE)</f>
        <v>44104</v>
      </c>
      <c r="I2978" s="8">
        <f>VLOOKUP(A2978,[1]!Table1[#All],33,FALSE)</f>
        <v>45929</v>
      </c>
      <c r="J2978" t="str">
        <f t="shared" ca="1" si="50"/>
        <v>Non UDO</v>
      </c>
    </row>
    <row r="2979" spans="1:10" x14ac:dyDescent="0.35">
      <c r="A2979" s="9" t="s">
        <v>95</v>
      </c>
      <c r="B2979" s="10">
        <v>44228</v>
      </c>
      <c r="C2979" s="11">
        <v>6800715</v>
      </c>
      <c r="D2979" s="11">
        <v>145450.81</v>
      </c>
      <c r="E2979" s="11">
        <v>6655264.1900000004</v>
      </c>
      <c r="F2979" t="str">
        <f>VLOOKUP(A2979,[1]!Table1[#All],17,FALSE)</f>
        <v>UNITED STATES</v>
      </c>
      <c r="G2979" t="str">
        <f>VLOOKUP(A2979,[1]!Table1[#All],22,FALSE)</f>
        <v>ASSN OF PUBLIC HEALTH LABORATORIES</v>
      </c>
      <c r="H2979" s="8">
        <f>VLOOKUP(A2979,[1]!Table1[#All],32,FALSE)</f>
        <v>44104</v>
      </c>
      <c r="I2979" s="8">
        <f>VLOOKUP(A2979,[1]!Table1[#All],33,FALSE)</f>
        <v>45929</v>
      </c>
      <c r="J2979" t="str">
        <f t="shared" ca="1" si="50"/>
        <v>Non UDO</v>
      </c>
    </row>
    <row r="2980" spans="1:10" x14ac:dyDescent="0.35">
      <c r="A2980" s="5" t="s">
        <v>95</v>
      </c>
      <c r="B2980" s="6">
        <v>44256</v>
      </c>
      <c r="C2980" s="7">
        <v>6800715</v>
      </c>
      <c r="D2980" s="7">
        <v>330450.28999999998</v>
      </c>
      <c r="E2980" s="7">
        <v>6470264.71</v>
      </c>
      <c r="F2980" t="str">
        <f>VLOOKUP(A2980,[1]!Table1[#All],17,FALSE)</f>
        <v>UNITED STATES</v>
      </c>
      <c r="G2980" t="str">
        <f>VLOOKUP(A2980,[1]!Table1[#All],22,FALSE)</f>
        <v>ASSN OF PUBLIC HEALTH LABORATORIES</v>
      </c>
      <c r="H2980" s="8">
        <f>VLOOKUP(A2980,[1]!Table1[#All],32,FALSE)</f>
        <v>44104</v>
      </c>
      <c r="I2980" s="8">
        <f>VLOOKUP(A2980,[1]!Table1[#All],33,FALSE)</f>
        <v>45929</v>
      </c>
      <c r="J2980" t="str">
        <f t="shared" ca="1" si="50"/>
        <v>Non UDO</v>
      </c>
    </row>
    <row r="2981" spans="1:10" x14ac:dyDescent="0.35">
      <c r="A2981" s="9" t="s">
        <v>95</v>
      </c>
      <c r="B2981" s="10">
        <v>44287</v>
      </c>
      <c r="C2981" s="11">
        <v>6800715</v>
      </c>
      <c r="D2981" s="11">
        <v>566799.56999999995</v>
      </c>
      <c r="E2981" s="11">
        <v>6233915.4299999997</v>
      </c>
      <c r="F2981" t="str">
        <f>VLOOKUP(A2981,[1]!Table1[#All],17,FALSE)</f>
        <v>UNITED STATES</v>
      </c>
      <c r="G2981" t="str">
        <f>VLOOKUP(A2981,[1]!Table1[#All],22,FALSE)</f>
        <v>ASSN OF PUBLIC HEALTH LABORATORIES</v>
      </c>
      <c r="H2981" s="8">
        <f>VLOOKUP(A2981,[1]!Table1[#All],32,FALSE)</f>
        <v>44104</v>
      </c>
      <c r="I2981" s="8">
        <f>VLOOKUP(A2981,[1]!Table1[#All],33,FALSE)</f>
        <v>45929</v>
      </c>
      <c r="J2981" t="str">
        <f t="shared" ca="1" si="50"/>
        <v>Non UDO</v>
      </c>
    </row>
    <row r="2982" spans="1:10" x14ac:dyDescent="0.35">
      <c r="A2982" s="5" t="s">
        <v>95</v>
      </c>
      <c r="B2982" s="6">
        <v>44317</v>
      </c>
      <c r="C2982" s="7">
        <v>6800715</v>
      </c>
      <c r="D2982" s="7">
        <v>702516.83</v>
      </c>
      <c r="E2982" s="7">
        <v>6098198.1699999999</v>
      </c>
      <c r="F2982" t="str">
        <f>VLOOKUP(A2982,[1]!Table1[#All],17,FALSE)</f>
        <v>UNITED STATES</v>
      </c>
      <c r="G2982" t="str">
        <f>VLOOKUP(A2982,[1]!Table1[#All],22,FALSE)</f>
        <v>ASSN OF PUBLIC HEALTH LABORATORIES</v>
      </c>
      <c r="H2982" s="8">
        <f>VLOOKUP(A2982,[1]!Table1[#All],32,FALSE)</f>
        <v>44104</v>
      </c>
      <c r="I2982" s="8">
        <f>VLOOKUP(A2982,[1]!Table1[#All],33,FALSE)</f>
        <v>45929</v>
      </c>
      <c r="J2982" t="str">
        <f t="shared" ca="1" si="50"/>
        <v>Non UDO</v>
      </c>
    </row>
    <row r="2983" spans="1:10" x14ac:dyDescent="0.35">
      <c r="A2983" s="9" t="s">
        <v>95</v>
      </c>
      <c r="B2983" s="10">
        <v>44348</v>
      </c>
      <c r="C2983" s="11">
        <v>6800715</v>
      </c>
      <c r="D2983" s="11">
        <v>946297.69</v>
      </c>
      <c r="E2983" s="11">
        <v>5854417.3099999996</v>
      </c>
      <c r="F2983" t="str">
        <f>VLOOKUP(A2983,[1]!Table1[#All],17,FALSE)</f>
        <v>UNITED STATES</v>
      </c>
      <c r="G2983" t="str">
        <f>VLOOKUP(A2983,[1]!Table1[#All],22,FALSE)</f>
        <v>ASSN OF PUBLIC HEALTH LABORATORIES</v>
      </c>
      <c r="H2983" s="8">
        <f>VLOOKUP(A2983,[1]!Table1[#All],32,FALSE)</f>
        <v>44104</v>
      </c>
      <c r="I2983" s="8">
        <f>VLOOKUP(A2983,[1]!Table1[#All],33,FALSE)</f>
        <v>45929</v>
      </c>
      <c r="J2983" t="str">
        <f t="shared" ca="1" si="50"/>
        <v>Non UDO</v>
      </c>
    </row>
    <row r="2984" spans="1:10" x14ac:dyDescent="0.35">
      <c r="A2984" s="5" t="s">
        <v>95</v>
      </c>
      <c r="B2984" s="6">
        <v>44378</v>
      </c>
      <c r="C2984" s="7">
        <v>6800715</v>
      </c>
      <c r="D2984" s="7">
        <v>1087406.79</v>
      </c>
      <c r="E2984" s="7">
        <v>5713308.21</v>
      </c>
      <c r="F2984" t="str">
        <f>VLOOKUP(A2984,[1]!Table1[#All],17,FALSE)</f>
        <v>UNITED STATES</v>
      </c>
      <c r="G2984" t="str">
        <f>VLOOKUP(A2984,[1]!Table1[#All],22,FALSE)</f>
        <v>ASSN OF PUBLIC HEALTH LABORATORIES</v>
      </c>
      <c r="H2984" s="8">
        <f>VLOOKUP(A2984,[1]!Table1[#All],32,FALSE)</f>
        <v>44104</v>
      </c>
      <c r="I2984" s="8">
        <f>VLOOKUP(A2984,[1]!Table1[#All],33,FALSE)</f>
        <v>45929</v>
      </c>
      <c r="J2984" t="str">
        <f t="shared" ca="1" si="50"/>
        <v>Non UDO</v>
      </c>
    </row>
    <row r="2985" spans="1:10" x14ac:dyDescent="0.35">
      <c r="A2985" s="9" t="s">
        <v>95</v>
      </c>
      <c r="B2985" s="10">
        <v>44409</v>
      </c>
      <c r="C2985" s="11">
        <v>6800715</v>
      </c>
      <c r="D2985" s="11">
        <v>1323189.23</v>
      </c>
      <c r="E2985" s="11">
        <v>5477525.7699999996</v>
      </c>
      <c r="F2985" t="str">
        <f>VLOOKUP(A2985,[1]!Table1[#All],17,FALSE)</f>
        <v>UNITED STATES</v>
      </c>
      <c r="G2985" t="str">
        <f>VLOOKUP(A2985,[1]!Table1[#All],22,FALSE)</f>
        <v>ASSN OF PUBLIC HEALTH LABORATORIES</v>
      </c>
      <c r="H2985" s="8">
        <f>VLOOKUP(A2985,[1]!Table1[#All],32,FALSE)</f>
        <v>44104</v>
      </c>
      <c r="I2985" s="8">
        <f>VLOOKUP(A2985,[1]!Table1[#All],33,FALSE)</f>
        <v>45929</v>
      </c>
      <c r="J2985" t="str">
        <f t="shared" ca="1" si="50"/>
        <v>Non UDO</v>
      </c>
    </row>
    <row r="2986" spans="1:10" x14ac:dyDescent="0.35">
      <c r="A2986" s="5" t="s">
        <v>95</v>
      </c>
      <c r="B2986" s="6">
        <v>44440</v>
      </c>
      <c r="C2986" s="7">
        <v>6800715</v>
      </c>
      <c r="D2986" s="7">
        <v>1462779.05</v>
      </c>
      <c r="E2986" s="7">
        <v>5337935.95</v>
      </c>
      <c r="F2986" t="str">
        <f>VLOOKUP(A2986,[1]!Table1[#All],17,FALSE)</f>
        <v>UNITED STATES</v>
      </c>
      <c r="G2986" t="str">
        <f>VLOOKUP(A2986,[1]!Table1[#All],22,FALSE)</f>
        <v>ASSN OF PUBLIC HEALTH LABORATORIES</v>
      </c>
      <c r="H2986" s="8">
        <f>VLOOKUP(A2986,[1]!Table1[#All],32,FALSE)</f>
        <v>44104</v>
      </c>
      <c r="I2986" s="8">
        <f>VLOOKUP(A2986,[1]!Table1[#All],33,FALSE)</f>
        <v>45929</v>
      </c>
      <c r="J2986" t="str">
        <f t="shared" ca="1" si="50"/>
        <v>Non UDO</v>
      </c>
    </row>
    <row r="2987" spans="1:10" x14ac:dyDescent="0.35">
      <c r="A2987" s="9" t="s">
        <v>95</v>
      </c>
      <c r="B2987" s="10">
        <v>44470</v>
      </c>
      <c r="C2987" s="11">
        <v>6800715</v>
      </c>
      <c r="D2987" s="11">
        <v>1633509.88</v>
      </c>
      <c r="E2987" s="11">
        <v>5167205.12</v>
      </c>
      <c r="F2987" t="str">
        <f>VLOOKUP(A2987,[1]!Table1[#All],17,FALSE)</f>
        <v>UNITED STATES</v>
      </c>
      <c r="G2987" t="str">
        <f>VLOOKUP(A2987,[1]!Table1[#All],22,FALSE)</f>
        <v>ASSN OF PUBLIC HEALTH LABORATORIES</v>
      </c>
      <c r="H2987" s="8">
        <f>VLOOKUP(A2987,[1]!Table1[#All],32,FALSE)</f>
        <v>44104</v>
      </c>
      <c r="I2987" s="8">
        <f>VLOOKUP(A2987,[1]!Table1[#All],33,FALSE)</f>
        <v>45929</v>
      </c>
      <c r="J2987" t="str">
        <f t="shared" ca="1" si="50"/>
        <v>Non UDO</v>
      </c>
    </row>
    <row r="2988" spans="1:10" x14ac:dyDescent="0.35">
      <c r="A2988" s="5" t="s">
        <v>95</v>
      </c>
      <c r="B2988" s="6">
        <v>44501</v>
      </c>
      <c r="C2988" s="7">
        <v>6800715</v>
      </c>
      <c r="D2988" s="7">
        <v>1864120.4</v>
      </c>
      <c r="E2988" s="7">
        <v>4936594.5999999996</v>
      </c>
      <c r="F2988" t="str">
        <f>VLOOKUP(A2988,[1]!Table1[#All],17,FALSE)</f>
        <v>UNITED STATES</v>
      </c>
      <c r="G2988" t="str">
        <f>VLOOKUP(A2988,[1]!Table1[#All],22,FALSE)</f>
        <v>ASSN OF PUBLIC HEALTH LABORATORIES</v>
      </c>
      <c r="H2988" s="8">
        <f>VLOOKUP(A2988,[1]!Table1[#All],32,FALSE)</f>
        <v>44104</v>
      </c>
      <c r="I2988" s="8">
        <f>VLOOKUP(A2988,[1]!Table1[#All],33,FALSE)</f>
        <v>45929</v>
      </c>
      <c r="J2988" t="str">
        <f t="shared" ca="1" si="50"/>
        <v>Non UDO</v>
      </c>
    </row>
    <row r="2989" spans="1:10" x14ac:dyDescent="0.35">
      <c r="A2989" s="9" t="s">
        <v>95</v>
      </c>
      <c r="B2989" s="10">
        <v>44531</v>
      </c>
      <c r="C2989" s="11">
        <v>6800715</v>
      </c>
      <c r="D2989" s="11">
        <v>2047678.77</v>
      </c>
      <c r="E2989" s="11">
        <v>4753036.2300000004</v>
      </c>
      <c r="F2989" t="str">
        <f>VLOOKUP(A2989,[1]!Table1[#All],17,FALSE)</f>
        <v>UNITED STATES</v>
      </c>
      <c r="G2989" t="str">
        <f>VLOOKUP(A2989,[1]!Table1[#All],22,FALSE)</f>
        <v>ASSN OF PUBLIC HEALTH LABORATORIES</v>
      </c>
      <c r="H2989" s="8">
        <f>VLOOKUP(A2989,[1]!Table1[#All],32,FALSE)</f>
        <v>44104</v>
      </c>
      <c r="I2989" s="8">
        <f>VLOOKUP(A2989,[1]!Table1[#All],33,FALSE)</f>
        <v>45929</v>
      </c>
      <c r="J2989" t="str">
        <f t="shared" ca="1" si="50"/>
        <v>Non UDO</v>
      </c>
    </row>
    <row r="2990" spans="1:10" x14ac:dyDescent="0.35">
      <c r="A2990" s="5" t="s">
        <v>95</v>
      </c>
      <c r="B2990" s="6">
        <v>44562</v>
      </c>
      <c r="C2990" s="7">
        <v>6800715</v>
      </c>
      <c r="D2990" s="7">
        <v>2047678.77</v>
      </c>
      <c r="E2990" s="7">
        <v>4753036.2300000004</v>
      </c>
      <c r="F2990" t="str">
        <f>VLOOKUP(A2990,[1]!Table1[#All],17,FALSE)</f>
        <v>UNITED STATES</v>
      </c>
      <c r="G2990" t="str">
        <f>VLOOKUP(A2990,[1]!Table1[#All],22,FALSE)</f>
        <v>ASSN OF PUBLIC HEALTH LABORATORIES</v>
      </c>
      <c r="H2990" s="8">
        <f>VLOOKUP(A2990,[1]!Table1[#All],32,FALSE)</f>
        <v>44104</v>
      </c>
      <c r="I2990" s="8">
        <f>VLOOKUP(A2990,[1]!Table1[#All],33,FALSE)</f>
        <v>45929</v>
      </c>
      <c r="J2990" t="str">
        <f t="shared" ca="1" si="50"/>
        <v>Non UDO</v>
      </c>
    </row>
    <row r="2991" spans="1:10" x14ac:dyDescent="0.35">
      <c r="A2991" s="9" t="s">
        <v>95</v>
      </c>
      <c r="B2991" s="10">
        <v>44593</v>
      </c>
      <c r="C2991" s="11">
        <v>6800715</v>
      </c>
      <c r="D2991" s="11">
        <v>2047678.77</v>
      </c>
      <c r="E2991" s="11">
        <v>4753036.2300000004</v>
      </c>
      <c r="F2991" t="str">
        <f>VLOOKUP(A2991,[1]!Table1[#All],17,FALSE)</f>
        <v>UNITED STATES</v>
      </c>
      <c r="G2991" t="str">
        <f>VLOOKUP(A2991,[1]!Table1[#All],22,FALSE)</f>
        <v>ASSN OF PUBLIC HEALTH LABORATORIES</v>
      </c>
      <c r="H2991" s="8">
        <f>VLOOKUP(A2991,[1]!Table1[#All],32,FALSE)</f>
        <v>44104</v>
      </c>
      <c r="I2991" s="8">
        <f>VLOOKUP(A2991,[1]!Table1[#All],33,FALSE)</f>
        <v>45929</v>
      </c>
      <c r="J2991" t="str">
        <f t="shared" ca="1" si="50"/>
        <v>Non UDO</v>
      </c>
    </row>
    <row r="2992" spans="1:10" x14ac:dyDescent="0.35">
      <c r="A2992" s="5" t="s">
        <v>95</v>
      </c>
      <c r="B2992" s="6">
        <v>44621</v>
      </c>
      <c r="C2992" s="7">
        <v>6800715</v>
      </c>
      <c r="D2992" s="7">
        <v>2444288.58</v>
      </c>
      <c r="E2992" s="7">
        <v>4356426.42</v>
      </c>
      <c r="F2992" t="str">
        <f>VLOOKUP(A2992,[1]!Table1[#All],17,FALSE)</f>
        <v>UNITED STATES</v>
      </c>
      <c r="G2992" t="str">
        <f>VLOOKUP(A2992,[1]!Table1[#All],22,FALSE)</f>
        <v>ASSN OF PUBLIC HEALTH LABORATORIES</v>
      </c>
      <c r="H2992" s="8">
        <f>VLOOKUP(A2992,[1]!Table1[#All],32,FALSE)</f>
        <v>44104</v>
      </c>
      <c r="I2992" s="8">
        <f>VLOOKUP(A2992,[1]!Table1[#All],33,FALSE)</f>
        <v>45929</v>
      </c>
      <c r="J2992" t="str">
        <f t="shared" ca="1" si="50"/>
        <v>Non UDO</v>
      </c>
    </row>
    <row r="2993" spans="1:10" x14ac:dyDescent="0.35">
      <c r="A2993" s="9" t="s">
        <v>95</v>
      </c>
      <c r="B2993" s="10">
        <v>44652</v>
      </c>
      <c r="C2993" s="11">
        <v>6800715</v>
      </c>
      <c r="D2993" s="11">
        <v>2927624.95</v>
      </c>
      <c r="E2993" s="11">
        <v>3873090.05</v>
      </c>
      <c r="F2993" t="str">
        <f>VLOOKUP(A2993,[1]!Table1[#All],17,FALSE)</f>
        <v>UNITED STATES</v>
      </c>
      <c r="G2993" t="str">
        <f>VLOOKUP(A2993,[1]!Table1[#All],22,FALSE)</f>
        <v>ASSN OF PUBLIC HEALTH LABORATORIES</v>
      </c>
      <c r="H2993" s="8">
        <f>VLOOKUP(A2993,[1]!Table1[#All],32,FALSE)</f>
        <v>44104</v>
      </c>
      <c r="I2993" s="8">
        <f>VLOOKUP(A2993,[1]!Table1[#All],33,FALSE)</f>
        <v>45929</v>
      </c>
      <c r="J2993" t="str">
        <f t="shared" ca="1" si="50"/>
        <v>Non UDO</v>
      </c>
    </row>
    <row r="2994" spans="1:10" x14ac:dyDescent="0.35">
      <c r="A2994" s="5" t="s">
        <v>95</v>
      </c>
      <c r="B2994" s="6">
        <v>44682</v>
      </c>
      <c r="C2994" s="7">
        <v>6800715</v>
      </c>
      <c r="D2994" s="7">
        <v>3526426.6</v>
      </c>
      <c r="E2994" s="7">
        <v>3274288.4</v>
      </c>
      <c r="F2994" t="str">
        <f>VLOOKUP(A2994,[1]!Table1[#All],17,FALSE)</f>
        <v>UNITED STATES</v>
      </c>
      <c r="G2994" t="str">
        <f>VLOOKUP(A2994,[1]!Table1[#All],22,FALSE)</f>
        <v>ASSN OF PUBLIC HEALTH LABORATORIES</v>
      </c>
      <c r="H2994" s="8">
        <f>VLOOKUP(A2994,[1]!Table1[#All],32,FALSE)</f>
        <v>44104</v>
      </c>
      <c r="I2994" s="8">
        <f>VLOOKUP(A2994,[1]!Table1[#All],33,FALSE)</f>
        <v>45929</v>
      </c>
      <c r="J2994" t="str">
        <f t="shared" ca="1" si="50"/>
        <v>Non UDO</v>
      </c>
    </row>
    <row r="2995" spans="1:10" x14ac:dyDescent="0.35">
      <c r="A2995" s="9" t="s">
        <v>95</v>
      </c>
      <c r="B2995" s="10">
        <v>44713</v>
      </c>
      <c r="C2995" s="11">
        <v>6800715</v>
      </c>
      <c r="D2995" s="11">
        <v>3865894.95</v>
      </c>
      <c r="E2995" s="11">
        <v>2934820.05</v>
      </c>
      <c r="F2995" t="str">
        <f>VLOOKUP(A2995,[1]!Table1[#All],17,FALSE)</f>
        <v>UNITED STATES</v>
      </c>
      <c r="G2995" t="str">
        <f>VLOOKUP(A2995,[1]!Table1[#All],22,FALSE)</f>
        <v>ASSN OF PUBLIC HEALTH LABORATORIES</v>
      </c>
      <c r="H2995" s="8">
        <f>VLOOKUP(A2995,[1]!Table1[#All],32,FALSE)</f>
        <v>44104</v>
      </c>
      <c r="I2995" s="8">
        <f>VLOOKUP(A2995,[1]!Table1[#All],33,FALSE)</f>
        <v>45929</v>
      </c>
      <c r="J2995" t="str">
        <f t="shared" ca="1" si="50"/>
        <v>Non UDO</v>
      </c>
    </row>
    <row r="2996" spans="1:10" x14ac:dyDescent="0.35">
      <c r="A2996" s="5" t="s">
        <v>95</v>
      </c>
      <c r="B2996" s="6">
        <v>44743</v>
      </c>
      <c r="C2996" s="7">
        <v>6800715</v>
      </c>
      <c r="D2996" s="7">
        <v>3865894.95</v>
      </c>
      <c r="E2996" s="7">
        <v>2934820.05</v>
      </c>
      <c r="F2996" t="str">
        <f>VLOOKUP(A2996,[1]!Table1[#All],17,FALSE)</f>
        <v>UNITED STATES</v>
      </c>
      <c r="G2996" t="str">
        <f>VLOOKUP(A2996,[1]!Table1[#All],22,FALSE)</f>
        <v>ASSN OF PUBLIC HEALTH LABORATORIES</v>
      </c>
      <c r="H2996" s="8">
        <f>VLOOKUP(A2996,[1]!Table1[#All],32,FALSE)</f>
        <v>44104</v>
      </c>
      <c r="I2996" s="8">
        <f>VLOOKUP(A2996,[1]!Table1[#All],33,FALSE)</f>
        <v>45929</v>
      </c>
      <c r="J2996" t="str">
        <f t="shared" ca="1" si="50"/>
        <v>Non UDO</v>
      </c>
    </row>
    <row r="2997" spans="1:10" x14ac:dyDescent="0.35">
      <c r="A2997" s="9" t="s">
        <v>95</v>
      </c>
      <c r="B2997" s="10">
        <v>44774</v>
      </c>
      <c r="C2997" s="11">
        <v>6800715</v>
      </c>
      <c r="D2997" s="11">
        <v>4583700.5</v>
      </c>
      <c r="E2997" s="11">
        <v>2217014.5</v>
      </c>
      <c r="F2997" t="str">
        <f>VLOOKUP(A2997,[1]!Table1[#All],17,FALSE)</f>
        <v>UNITED STATES</v>
      </c>
      <c r="G2997" t="str">
        <f>VLOOKUP(A2997,[1]!Table1[#All],22,FALSE)</f>
        <v>ASSN OF PUBLIC HEALTH LABORATORIES</v>
      </c>
      <c r="H2997" s="8">
        <f>VLOOKUP(A2997,[1]!Table1[#All],32,FALSE)</f>
        <v>44104</v>
      </c>
      <c r="I2997" s="8">
        <f>VLOOKUP(A2997,[1]!Table1[#All],33,FALSE)</f>
        <v>45929</v>
      </c>
      <c r="J2997" t="str">
        <f t="shared" ca="1" si="50"/>
        <v>Non UDO</v>
      </c>
    </row>
    <row r="2998" spans="1:10" x14ac:dyDescent="0.35">
      <c r="A2998" s="5" t="s">
        <v>95</v>
      </c>
      <c r="B2998" s="6">
        <v>44805</v>
      </c>
      <c r="C2998" s="7">
        <v>6800715</v>
      </c>
      <c r="D2998" s="7">
        <v>4831736.3499999996</v>
      </c>
      <c r="E2998" s="7">
        <v>1968978.65</v>
      </c>
      <c r="F2998" t="str">
        <f>VLOOKUP(A2998,[1]!Table1[#All],17,FALSE)</f>
        <v>UNITED STATES</v>
      </c>
      <c r="G2998" t="str">
        <f>VLOOKUP(A2998,[1]!Table1[#All],22,FALSE)</f>
        <v>ASSN OF PUBLIC HEALTH LABORATORIES</v>
      </c>
      <c r="H2998" s="8">
        <f>VLOOKUP(A2998,[1]!Table1[#All],32,FALSE)</f>
        <v>44104</v>
      </c>
      <c r="I2998" s="8">
        <f>VLOOKUP(A2998,[1]!Table1[#All],33,FALSE)</f>
        <v>45929</v>
      </c>
      <c r="J2998" t="str">
        <f t="shared" ca="1" si="50"/>
        <v>Non UDO</v>
      </c>
    </row>
    <row r="2999" spans="1:10" x14ac:dyDescent="0.35">
      <c r="A2999" s="9" t="s">
        <v>95</v>
      </c>
      <c r="B2999" s="10">
        <v>44835</v>
      </c>
      <c r="C2999" s="11">
        <v>6800715</v>
      </c>
      <c r="D2999" s="11">
        <v>5145256.45</v>
      </c>
      <c r="E2999" s="11">
        <v>1655458.55</v>
      </c>
      <c r="F2999" t="str">
        <f>VLOOKUP(A2999,[1]!Table1[#All],17,FALSE)</f>
        <v>UNITED STATES</v>
      </c>
      <c r="G2999" t="str">
        <f>VLOOKUP(A2999,[1]!Table1[#All],22,FALSE)</f>
        <v>ASSN OF PUBLIC HEALTH LABORATORIES</v>
      </c>
      <c r="H2999" s="8">
        <f>VLOOKUP(A2999,[1]!Table1[#All],32,FALSE)</f>
        <v>44104</v>
      </c>
      <c r="I2999" s="8">
        <f>VLOOKUP(A2999,[1]!Table1[#All],33,FALSE)</f>
        <v>45929</v>
      </c>
      <c r="J2999" t="str">
        <f t="shared" ca="1" si="50"/>
        <v>Non UDO</v>
      </c>
    </row>
    <row r="3000" spans="1:10" x14ac:dyDescent="0.35">
      <c r="A3000" s="5" t="s">
        <v>95</v>
      </c>
      <c r="B3000" s="6">
        <v>44866</v>
      </c>
      <c r="C3000" s="7">
        <v>6800715</v>
      </c>
      <c r="D3000" s="7">
        <v>5958024</v>
      </c>
      <c r="E3000" s="7">
        <v>842691</v>
      </c>
      <c r="F3000" t="str">
        <f>VLOOKUP(A3000,[1]!Table1[#All],17,FALSE)</f>
        <v>UNITED STATES</v>
      </c>
      <c r="G3000" t="str">
        <f>VLOOKUP(A3000,[1]!Table1[#All],22,FALSE)</f>
        <v>ASSN OF PUBLIC HEALTH LABORATORIES</v>
      </c>
      <c r="H3000" s="8">
        <f>VLOOKUP(A3000,[1]!Table1[#All],32,FALSE)</f>
        <v>44104</v>
      </c>
      <c r="I3000" s="8">
        <f>VLOOKUP(A3000,[1]!Table1[#All],33,FALSE)</f>
        <v>45929</v>
      </c>
      <c r="J3000" t="str">
        <f t="shared" ca="1" si="50"/>
        <v>Non UDO</v>
      </c>
    </row>
    <row r="3001" spans="1:10" x14ac:dyDescent="0.35">
      <c r="A3001" s="9" t="s">
        <v>95</v>
      </c>
      <c r="B3001" s="10">
        <v>44896</v>
      </c>
      <c r="C3001" s="11">
        <v>6800715</v>
      </c>
      <c r="D3001" s="11">
        <v>5707036.8600000003</v>
      </c>
      <c r="E3001" s="11">
        <v>1093678.1399999999</v>
      </c>
      <c r="F3001" t="str">
        <f>VLOOKUP(A3001,[1]!Table1[#All],17,FALSE)</f>
        <v>UNITED STATES</v>
      </c>
      <c r="G3001" t="str">
        <f>VLOOKUP(A3001,[1]!Table1[#All],22,FALSE)</f>
        <v>ASSN OF PUBLIC HEALTH LABORATORIES</v>
      </c>
      <c r="H3001" s="8">
        <f>VLOOKUP(A3001,[1]!Table1[#All],32,FALSE)</f>
        <v>44104</v>
      </c>
      <c r="I3001" s="8">
        <f>VLOOKUP(A3001,[1]!Table1[#All],33,FALSE)</f>
        <v>45929</v>
      </c>
      <c r="J3001" t="str">
        <f t="shared" ca="1" si="50"/>
        <v>Non UDO</v>
      </c>
    </row>
    <row r="3002" spans="1:10" x14ac:dyDescent="0.35">
      <c r="A3002" s="5" t="s">
        <v>95</v>
      </c>
      <c r="B3002" s="6">
        <v>44927</v>
      </c>
      <c r="C3002" s="7">
        <v>6800715</v>
      </c>
      <c r="D3002" s="7">
        <v>5707036.8600000003</v>
      </c>
      <c r="E3002" s="7">
        <v>1093678.1399999999</v>
      </c>
      <c r="F3002" t="str">
        <f>VLOOKUP(A3002,[1]!Table1[#All],17,FALSE)</f>
        <v>UNITED STATES</v>
      </c>
      <c r="G3002" t="str">
        <f>VLOOKUP(A3002,[1]!Table1[#All],22,FALSE)</f>
        <v>ASSN OF PUBLIC HEALTH LABORATORIES</v>
      </c>
      <c r="H3002" s="8">
        <f>VLOOKUP(A3002,[1]!Table1[#All],32,FALSE)</f>
        <v>44104</v>
      </c>
      <c r="I3002" s="8">
        <f>VLOOKUP(A3002,[1]!Table1[#All],33,FALSE)</f>
        <v>45929</v>
      </c>
      <c r="J3002" t="str">
        <f t="shared" ca="1" si="50"/>
        <v>Non UDO</v>
      </c>
    </row>
    <row r="3003" spans="1:10" x14ac:dyDescent="0.35">
      <c r="A3003" s="9" t="s">
        <v>95</v>
      </c>
      <c r="B3003" s="10">
        <v>44958</v>
      </c>
      <c r="C3003" s="11">
        <v>6800715</v>
      </c>
      <c r="D3003" s="11">
        <v>5722342.04</v>
      </c>
      <c r="E3003" s="11">
        <v>1078372.96</v>
      </c>
      <c r="F3003" t="str">
        <f>VLOOKUP(A3003,[1]!Table1[#All],17,FALSE)</f>
        <v>UNITED STATES</v>
      </c>
      <c r="G3003" t="str">
        <f>VLOOKUP(A3003,[1]!Table1[#All],22,FALSE)</f>
        <v>ASSN OF PUBLIC HEALTH LABORATORIES</v>
      </c>
      <c r="H3003" s="8">
        <f>VLOOKUP(A3003,[1]!Table1[#All],32,FALSE)</f>
        <v>44104</v>
      </c>
      <c r="I3003" s="8">
        <f>VLOOKUP(A3003,[1]!Table1[#All],33,FALSE)</f>
        <v>45929</v>
      </c>
      <c r="J3003" t="str">
        <f t="shared" ca="1" si="50"/>
        <v>Non UDO</v>
      </c>
    </row>
    <row r="3004" spans="1:10" x14ac:dyDescent="0.35">
      <c r="A3004" s="5" t="s">
        <v>95</v>
      </c>
      <c r="B3004" s="6">
        <v>44986</v>
      </c>
      <c r="C3004" s="7">
        <v>6800715</v>
      </c>
      <c r="D3004" s="7">
        <v>5778273.8899999997</v>
      </c>
      <c r="E3004" s="7">
        <v>1022441.11</v>
      </c>
      <c r="F3004" t="str">
        <f>VLOOKUP(A3004,[1]!Table1[#All],17,FALSE)</f>
        <v>UNITED STATES</v>
      </c>
      <c r="G3004" t="str">
        <f>VLOOKUP(A3004,[1]!Table1[#All],22,FALSE)</f>
        <v>ASSN OF PUBLIC HEALTH LABORATORIES</v>
      </c>
      <c r="H3004" s="8">
        <f>VLOOKUP(A3004,[1]!Table1[#All],32,FALSE)</f>
        <v>44104</v>
      </c>
      <c r="I3004" s="8">
        <f>VLOOKUP(A3004,[1]!Table1[#All],33,FALSE)</f>
        <v>45929</v>
      </c>
      <c r="J3004" t="str">
        <f t="shared" ca="1" si="50"/>
        <v>Non UDO</v>
      </c>
    </row>
    <row r="3005" spans="1:10" x14ac:dyDescent="0.35">
      <c r="A3005" s="9" t="s">
        <v>95</v>
      </c>
      <c r="B3005" s="10">
        <v>45017</v>
      </c>
      <c r="C3005" s="11">
        <v>6800715</v>
      </c>
      <c r="D3005" s="11">
        <v>5832848.6600000001</v>
      </c>
      <c r="E3005" s="11">
        <v>967866.34</v>
      </c>
      <c r="F3005" t="str">
        <f>VLOOKUP(A3005,[1]!Table1[#All],17,FALSE)</f>
        <v>UNITED STATES</v>
      </c>
      <c r="G3005" t="str">
        <f>VLOOKUP(A3005,[1]!Table1[#All],22,FALSE)</f>
        <v>ASSN OF PUBLIC HEALTH LABORATORIES</v>
      </c>
      <c r="H3005" s="8">
        <f>VLOOKUP(A3005,[1]!Table1[#All],32,FALSE)</f>
        <v>44104</v>
      </c>
      <c r="I3005" s="8">
        <f>VLOOKUP(A3005,[1]!Table1[#All],33,FALSE)</f>
        <v>45929</v>
      </c>
      <c r="J3005" t="str">
        <f t="shared" ca="1" si="50"/>
        <v>Non UDO</v>
      </c>
    </row>
    <row r="3006" spans="1:10" x14ac:dyDescent="0.35">
      <c r="A3006" s="5" t="s">
        <v>95</v>
      </c>
      <c r="B3006" s="6">
        <v>45047</v>
      </c>
      <c r="C3006" s="7">
        <v>6800715</v>
      </c>
      <c r="D3006" s="7">
        <v>6001327.9400000004</v>
      </c>
      <c r="E3006" s="7">
        <v>799387.06</v>
      </c>
      <c r="F3006" t="str">
        <f>VLOOKUP(A3006,[1]!Table1[#All],17,FALSE)</f>
        <v>UNITED STATES</v>
      </c>
      <c r="G3006" t="str">
        <f>VLOOKUP(A3006,[1]!Table1[#All],22,FALSE)</f>
        <v>ASSN OF PUBLIC HEALTH LABORATORIES</v>
      </c>
      <c r="H3006" s="8">
        <f>VLOOKUP(A3006,[1]!Table1[#All],32,FALSE)</f>
        <v>44104</v>
      </c>
      <c r="I3006" s="8">
        <f>VLOOKUP(A3006,[1]!Table1[#All],33,FALSE)</f>
        <v>45929</v>
      </c>
      <c r="J3006" t="str">
        <f t="shared" ca="1" si="50"/>
        <v>Non UDO</v>
      </c>
    </row>
    <row r="3007" spans="1:10" x14ac:dyDescent="0.35">
      <c r="A3007" s="9" t="s">
        <v>95</v>
      </c>
      <c r="B3007" s="10">
        <v>45078</v>
      </c>
      <c r="C3007" s="11">
        <v>6800715</v>
      </c>
      <c r="D3007" s="11">
        <v>6199264.2599999998</v>
      </c>
      <c r="E3007" s="11">
        <v>601450.74</v>
      </c>
      <c r="F3007" t="str">
        <f>VLOOKUP(A3007,[1]!Table1[#All],17,FALSE)</f>
        <v>UNITED STATES</v>
      </c>
      <c r="G3007" t="str">
        <f>VLOOKUP(A3007,[1]!Table1[#All],22,FALSE)</f>
        <v>ASSN OF PUBLIC HEALTH LABORATORIES</v>
      </c>
      <c r="H3007" s="8">
        <f>VLOOKUP(A3007,[1]!Table1[#All],32,FALSE)</f>
        <v>44104</v>
      </c>
      <c r="I3007" s="8">
        <f>VLOOKUP(A3007,[1]!Table1[#All],33,FALSE)</f>
        <v>45929</v>
      </c>
      <c r="J3007" t="str">
        <f t="shared" ca="1" si="50"/>
        <v>Non UDO</v>
      </c>
    </row>
    <row r="3008" spans="1:10" x14ac:dyDescent="0.35">
      <c r="A3008" s="5" t="s">
        <v>95</v>
      </c>
      <c r="B3008" s="6">
        <v>45108</v>
      </c>
      <c r="C3008" s="7">
        <v>6800715</v>
      </c>
      <c r="D3008" s="7">
        <v>6361659.4400000004</v>
      </c>
      <c r="E3008" s="7">
        <v>439055.56</v>
      </c>
      <c r="F3008" t="str">
        <f>VLOOKUP(A3008,[1]!Table1[#All],17,FALSE)</f>
        <v>UNITED STATES</v>
      </c>
      <c r="G3008" t="str">
        <f>VLOOKUP(A3008,[1]!Table1[#All],22,FALSE)</f>
        <v>ASSN OF PUBLIC HEALTH LABORATORIES</v>
      </c>
      <c r="H3008" s="8">
        <f>VLOOKUP(A3008,[1]!Table1[#All],32,FALSE)</f>
        <v>44104</v>
      </c>
      <c r="I3008" s="8">
        <f>VLOOKUP(A3008,[1]!Table1[#All],33,FALSE)</f>
        <v>45929</v>
      </c>
      <c r="J3008" t="str">
        <f t="shared" ca="1" si="50"/>
        <v>Non UDO</v>
      </c>
    </row>
    <row r="3009" spans="1:10" x14ac:dyDescent="0.35">
      <c r="A3009" s="9" t="s">
        <v>95</v>
      </c>
      <c r="B3009" s="10">
        <v>45139</v>
      </c>
      <c r="C3009" s="11">
        <v>6800715</v>
      </c>
      <c r="D3009" s="11">
        <v>6709145.4400000004</v>
      </c>
      <c r="E3009" s="11">
        <v>91569.56</v>
      </c>
      <c r="F3009" t="str">
        <f>VLOOKUP(A3009,[1]!Table1[#All],17,FALSE)</f>
        <v>UNITED STATES</v>
      </c>
      <c r="G3009" t="str">
        <f>VLOOKUP(A3009,[1]!Table1[#All],22,FALSE)</f>
        <v>ASSN OF PUBLIC HEALTH LABORATORIES</v>
      </c>
      <c r="H3009" s="8">
        <f>VLOOKUP(A3009,[1]!Table1[#All],32,FALSE)</f>
        <v>44104</v>
      </c>
      <c r="I3009" s="8">
        <f>VLOOKUP(A3009,[1]!Table1[#All],33,FALSE)</f>
        <v>45929</v>
      </c>
      <c r="J3009" t="str">
        <f t="shared" ca="1" si="50"/>
        <v>Non UDO</v>
      </c>
    </row>
    <row r="3010" spans="1:10" x14ac:dyDescent="0.35">
      <c r="A3010" s="5" t="s">
        <v>95</v>
      </c>
      <c r="B3010" s="6">
        <v>45170</v>
      </c>
      <c r="C3010" s="7">
        <v>6800715</v>
      </c>
      <c r="D3010" s="7">
        <v>6800715</v>
      </c>
      <c r="E3010" s="7">
        <v>0</v>
      </c>
      <c r="F3010" t="str">
        <f>VLOOKUP(A3010,[1]!Table1[#All],17,FALSE)</f>
        <v>UNITED STATES</v>
      </c>
      <c r="G3010" t="str">
        <f>VLOOKUP(A3010,[1]!Table1[#All],22,FALSE)</f>
        <v>ASSN OF PUBLIC HEALTH LABORATORIES</v>
      </c>
      <c r="H3010" s="8">
        <f>VLOOKUP(A3010,[1]!Table1[#All],32,FALSE)</f>
        <v>44104</v>
      </c>
      <c r="I3010" s="8">
        <f>VLOOKUP(A3010,[1]!Table1[#All],33,FALSE)</f>
        <v>45929</v>
      </c>
      <c r="J3010" t="str">
        <f t="shared" ca="1" si="50"/>
        <v>Non UDO</v>
      </c>
    </row>
    <row r="3011" spans="1:10" x14ac:dyDescent="0.35">
      <c r="A3011" s="9" t="s">
        <v>96</v>
      </c>
      <c r="B3011" s="10">
        <v>44440</v>
      </c>
      <c r="C3011" s="11">
        <v>5528169</v>
      </c>
      <c r="D3011" s="11">
        <v>0</v>
      </c>
      <c r="E3011" s="11">
        <v>5528169</v>
      </c>
      <c r="F3011" t="str">
        <f>VLOOKUP(A3011,[1]!Table1[#All],17,FALSE)</f>
        <v>UNITED STATES</v>
      </c>
      <c r="G3011" t="str">
        <f>VLOOKUP(A3011,[1]!Table1[#All],22,FALSE)</f>
        <v>NATIONAL FOUNDATION FOR THE CDC,INC</v>
      </c>
      <c r="H3011" s="8">
        <f>VLOOKUP(A3011,[1]!Table1[#All],32,FALSE)</f>
        <v>44469</v>
      </c>
      <c r="I3011" s="8">
        <f>VLOOKUP(A3011,[1]!Table1[#All],33,FALSE)</f>
        <v>45929</v>
      </c>
      <c r="J3011" t="str">
        <f t="shared" ref="J3011:J3074" ca="1" si="51">IF(AND( E3011&gt;0,TODAY()&gt;I3011),"UDO","Non UDO")</f>
        <v>Non UDO</v>
      </c>
    </row>
    <row r="3012" spans="1:10" x14ac:dyDescent="0.35">
      <c r="A3012" s="5" t="s">
        <v>96</v>
      </c>
      <c r="B3012" s="6">
        <v>44470</v>
      </c>
      <c r="C3012" s="7">
        <v>5528169</v>
      </c>
      <c r="D3012" s="7">
        <v>0</v>
      </c>
      <c r="E3012" s="7">
        <v>5528169</v>
      </c>
      <c r="F3012" t="str">
        <f>VLOOKUP(A3012,[1]!Table1[#All],17,FALSE)</f>
        <v>UNITED STATES</v>
      </c>
      <c r="G3012" t="str">
        <f>VLOOKUP(A3012,[1]!Table1[#All],22,FALSE)</f>
        <v>NATIONAL FOUNDATION FOR THE CDC,INC</v>
      </c>
      <c r="H3012" s="8">
        <f>VLOOKUP(A3012,[1]!Table1[#All],32,FALSE)</f>
        <v>44469</v>
      </c>
      <c r="I3012" s="8">
        <f>VLOOKUP(A3012,[1]!Table1[#All],33,FALSE)</f>
        <v>45929</v>
      </c>
      <c r="J3012" t="str">
        <f t="shared" ca="1" si="51"/>
        <v>Non UDO</v>
      </c>
    </row>
    <row r="3013" spans="1:10" x14ac:dyDescent="0.35">
      <c r="A3013" s="9" t="s">
        <v>96</v>
      </c>
      <c r="B3013" s="10">
        <v>44501</v>
      </c>
      <c r="C3013" s="11">
        <v>5528169</v>
      </c>
      <c r="D3013" s="11">
        <v>76484.02</v>
      </c>
      <c r="E3013" s="11">
        <v>5451684.9800000004</v>
      </c>
      <c r="F3013" t="str">
        <f>VLOOKUP(A3013,[1]!Table1[#All],17,FALSE)</f>
        <v>UNITED STATES</v>
      </c>
      <c r="G3013" t="str">
        <f>VLOOKUP(A3013,[1]!Table1[#All],22,FALSE)</f>
        <v>NATIONAL FOUNDATION FOR THE CDC,INC</v>
      </c>
      <c r="H3013" s="8">
        <f>VLOOKUP(A3013,[1]!Table1[#All],32,FALSE)</f>
        <v>44469</v>
      </c>
      <c r="I3013" s="8">
        <f>VLOOKUP(A3013,[1]!Table1[#All],33,FALSE)</f>
        <v>45929</v>
      </c>
      <c r="J3013" t="str">
        <f t="shared" ca="1" si="51"/>
        <v>Non UDO</v>
      </c>
    </row>
    <row r="3014" spans="1:10" x14ac:dyDescent="0.35">
      <c r="A3014" s="5" t="s">
        <v>96</v>
      </c>
      <c r="B3014" s="6">
        <v>44531</v>
      </c>
      <c r="C3014" s="7">
        <v>5528169</v>
      </c>
      <c r="D3014" s="7">
        <v>2720868.33</v>
      </c>
      <c r="E3014" s="7">
        <v>2807300.67</v>
      </c>
      <c r="F3014" t="str">
        <f>VLOOKUP(A3014,[1]!Table1[#All],17,FALSE)</f>
        <v>UNITED STATES</v>
      </c>
      <c r="G3014" t="str">
        <f>VLOOKUP(A3014,[1]!Table1[#All],22,FALSE)</f>
        <v>NATIONAL FOUNDATION FOR THE CDC,INC</v>
      </c>
      <c r="H3014" s="8">
        <f>VLOOKUP(A3014,[1]!Table1[#All],32,FALSE)</f>
        <v>44469</v>
      </c>
      <c r="I3014" s="8">
        <f>VLOOKUP(A3014,[1]!Table1[#All],33,FALSE)</f>
        <v>45929</v>
      </c>
      <c r="J3014" t="str">
        <f t="shared" ca="1" si="51"/>
        <v>Non UDO</v>
      </c>
    </row>
    <row r="3015" spans="1:10" x14ac:dyDescent="0.35">
      <c r="A3015" s="9" t="s">
        <v>96</v>
      </c>
      <c r="B3015" s="10">
        <v>44562</v>
      </c>
      <c r="C3015" s="11">
        <v>5528169</v>
      </c>
      <c r="D3015" s="11">
        <v>607282.94999999995</v>
      </c>
      <c r="E3015" s="11">
        <v>4920886.05</v>
      </c>
      <c r="F3015" t="str">
        <f>VLOOKUP(A3015,[1]!Table1[#All],17,FALSE)</f>
        <v>UNITED STATES</v>
      </c>
      <c r="G3015" t="str">
        <f>VLOOKUP(A3015,[1]!Table1[#All],22,FALSE)</f>
        <v>NATIONAL FOUNDATION FOR THE CDC,INC</v>
      </c>
      <c r="H3015" s="8">
        <f>VLOOKUP(A3015,[1]!Table1[#All],32,FALSE)</f>
        <v>44469</v>
      </c>
      <c r="I3015" s="8">
        <f>VLOOKUP(A3015,[1]!Table1[#All],33,FALSE)</f>
        <v>45929</v>
      </c>
      <c r="J3015" t="str">
        <f t="shared" ca="1" si="51"/>
        <v>Non UDO</v>
      </c>
    </row>
    <row r="3016" spans="1:10" x14ac:dyDescent="0.35">
      <c r="A3016" s="5" t="s">
        <v>96</v>
      </c>
      <c r="B3016" s="6">
        <v>44593</v>
      </c>
      <c r="C3016" s="7">
        <v>5528169</v>
      </c>
      <c r="D3016" s="7">
        <v>607282.94999999995</v>
      </c>
      <c r="E3016" s="7">
        <v>4920886.05</v>
      </c>
      <c r="F3016" t="str">
        <f>VLOOKUP(A3016,[1]!Table1[#All],17,FALSE)</f>
        <v>UNITED STATES</v>
      </c>
      <c r="G3016" t="str">
        <f>VLOOKUP(A3016,[1]!Table1[#All],22,FALSE)</f>
        <v>NATIONAL FOUNDATION FOR THE CDC,INC</v>
      </c>
      <c r="H3016" s="8">
        <f>VLOOKUP(A3016,[1]!Table1[#All],32,FALSE)</f>
        <v>44469</v>
      </c>
      <c r="I3016" s="8">
        <f>VLOOKUP(A3016,[1]!Table1[#All],33,FALSE)</f>
        <v>45929</v>
      </c>
      <c r="J3016" t="str">
        <f t="shared" ca="1" si="51"/>
        <v>Non UDO</v>
      </c>
    </row>
    <row r="3017" spans="1:10" x14ac:dyDescent="0.35">
      <c r="A3017" s="9" t="s">
        <v>96</v>
      </c>
      <c r="B3017" s="10">
        <v>44621</v>
      </c>
      <c r="C3017" s="11">
        <v>5528169</v>
      </c>
      <c r="D3017" s="11">
        <v>1446027.28</v>
      </c>
      <c r="E3017" s="11">
        <v>4082141.7199999997</v>
      </c>
      <c r="F3017" t="str">
        <f>VLOOKUP(A3017,[1]!Table1[#All],17,FALSE)</f>
        <v>UNITED STATES</v>
      </c>
      <c r="G3017" t="str">
        <f>VLOOKUP(A3017,[1]!Table1[#All],22,FALSE)</f>
        <v>NATIONAL FOUNDATION FOR THE CDC,INC</v>
      </c>
      <c r="H3017" s="8">
        <f>VLOOKUP(A3017,[1]!Table1[#All],32,FALSE)</f>
        <v>44469</v>
      </c>
      <c r="I3017" s="8">
        <f>VLOOKUP(A3017,[1]!Table1[#All],33,FALSE)</f>
        <v>45929</v>
      </c>
      <c r="J3017" t="str">
        <f t="shared" ca="1" si="51"/>
        <v>Non UDO</v>
      </c>
    </row>
    <row r="3018" spans="1:10" x14ac:dyDescent="0.35">
      <c r="A3018" s="5" t="s">
        <v>96</v>
      </c>
      <c r="B3018" s="6">
        <v>44652</v>
      </c>
      <c r="C3018" s="7">
        <v>5528169</v>
      </c>
      <c r="D3018" s="7">
        <v>2241176.8199999998</v>
      </c>
      <c r="E3018" s="7">
        <v>3286992.18</v>
      </c>
      <c r="F3018" t="str">
        <f>VLOOKUP(A3018,[1]!Table1[#All],17,FALSE)</f>
        <v>UNITED STATES</v>
      </c>
      <c r="G3018" t="str">
        <f>VLOOKUP(A3018,[1]!Table1[#All],22,FALSE)</f>
        <v>NATIONAL FOUNDATION FOR THE CDC,INC</v>
      </c>
      <c r="H3018" s="8">
        <f>VLOOKUP(A3018,[1]!Table1[#All],32,FALSE)</f>
        <v>44469</v>
      </c>
      <c r="I3018" s="8">
        <f>VLOOKUP(A3018,[1]!Table1[#All],33,FALSE)</f>
        <v>45929</v>
      </c>
      <c r="J3018" t="str">
        <f t="shared" ca="1" si="51"/>
        <v>Non UDO</v>
      </c>
    </row>
    <row r="3019" spans="1:10" x14ac:dyDescent="0.35">
      <c r="A3019" s="9" t="s">
        <v>96</v>
      </c>
      <c r="B3019" s="10">
        <v>44682</v>
      </c>
      <c r="C3019" s="11">
        <v>5528169</v>
      </c>
      <c r="D3019" s="11">
        <v>2584417.86</v>
      </c>
      <c r="E3019" s="11">
        <v>2943751.14</v>
      </c>
      <c r="F3019" t="str">
        <f>VLOOKUP(A3019,[1]!Table1[#All],17,FALSE)</f>
        <v>UNITED STATES</v>
      </c>
      <c r="G3019" t="str">
        <f>VLOOKUP(A3019,[1]!Table1[#All],22,FALSE)</f>
        <v>NATIONAL FOUNDATION FOR THE CDC,INC</v>
      </c>
      <c r="H3019" s="8">
        <f>VLOOKUP(A3019,[1]!Table1[#All],32,FALSE)</f>
        <v>44469</v>
      </c>
      <c r="I3019" s="8">
        <f>VLOOKUP(A3019,[1]!Table1[#All],33,FALSE)</f>
        <v>45929</v>
      </c>
      <c r="J3019" t="str">
        <f t="shared" ca="1" si="51"/>
        <v>Non UDO</v>
      </c>
    </row>
    <row r="3020" spans="1:10" x14ac:dyDescent="0.35">
      <c r="A3020" s="5" t="s">
        <v>96</v>
      </c>
      <c r="B3020" s="6">
        <v>44713</v>
      </c>
      <c r="C3020" s="7">
        <v>5528169</v>
      </c>
      <c r="D3020" s="7">
        <v>2595323.4900000002</v>
      </c>
      <c r="E3020" s="7">
        <v>2932845.51</v>
      </c>
      <c r="F3020" t="str">
        <f>VLOOKUP(A3020,[1]!Table1[#All],17,FALSE)</f>
        <v>UNITED STATES</v>
      </c>
      <c r="G3020" t="str">
        <f>VLOOKUP(A3020,[1]!Table1[#All],22,FALSE)</f>
        <v>NATIONAL FOUNDATION FOR THE CDC,INC</v>
      </c>
      <c r="H3020" s="8">
        <f>VLOOKUP(A3020,[1]!Table1[#All],32,FALSE)</f>
        <v>44469</v>
      </c>
      <c r="I3020" s="8">
        <f>VLOOKUP(A3020,[1]!Table1[#All],33,FALSE)</f>
        <v>45929</v>
      </c>
      <c r="J3020" t="str">
        <f t="shared" ca="1" si="51"/>
        <v>Non UDO</v>
      </c>
    </row>
    <row r="3021" spans="1:10" x14ac:dyDescent="0.35">
      <c r="A3021" s="9" t="s">
        <v>96</v>
      </c>
      <c r="B3021" s="10">
        <v>44743</v>
      </c>
      <c r="C3021" s="11">
        <v>5528169</v>
      </c>
      <c r="D3021" s="11">
        <v>3171285.45</v>
      </c>
      <c r="E3021" s="11">
        <v>2356883.5499999998</v>
      </c>
      <c r="F3021" t="str">
        <f>VLOOKUP(A3021,[1]!Table1[#All],17,FALSE)</f>
        <v>UNITED STATES</v>
      </c>
      <c r="G3021" t="str">
        <f>VLOOKUP(A3021,[1]!Table1[#All],22,FALSE)</f>
        <v>NATIONAL FOUNDATION FOR THE CDC,INC</v>
      </c>
      <c r="H3021" s="8">
        <f>VLOOKUP(A3021,[1]!Table1[#All],32,FALSE)</f>
        <v>44469</v>
      </c>
      <c r="I3021" s="8">
        <f>VLOOKUP(A3021,[1]!Table1[#All],33,FALSE)</f>
        <v>45929</v>
      </c>
      <c r="J3021" t="str">
        <f t="shared" ca="1" si="51"/>
        <v>Non UDO</v>
      </c>
    </row>
    <row r="3022" spans="1:10" x14ac:dyDescent="0.35">
      <c r="A3022" s="5" t="s">
        <v>96</v>
      </c>
      <c r="B3022" s="6">
        <v>44774</v>
      </c>
      <c r="C3022" s="7">
        <v>5528169</v>
      </c>
      <c r="D3022" s="7">
        <v>3746630.96</v>
      </c>
      <c r="E3022" s="7">
        <v>1781538.04</v>
      </c>
      <c r="F3022" t="str">
        <f>VLOOKUP(A3022,[1]!Table1[#All],17,FALSE)</f>
        <v>UNITED STATES</v>
      </c>
      <c r="G3022" t="str">
        <f>VLOOKUP(A3022,[1]!Table1[#All],22,FALSE)</f>
        <v>NATIONAL FOUNDATION FOR THE CDC,INC</v>
      </c>
      <c r="H3022" s="8">
        <f>VLOOKUP(A3022,[1]!Table1[#All],32,FALSE)</f>
        <v>44469</v>
      </c>
      <c r="I3022" s="8">
        <f>VLOOKUP(A3022,[1]!Table1[#All],33,FALSE)</f>
        <v>45929</v>
      </c>
      <c r="J3022" t="str">
        <f t="shared" ca="1" si="51"/>
        <v>Non UDO</v>
      </c>
    </row>
    <row r="3023" spans="1:10" x14ac:dyDescent="0.35">
      <c r="A3023" s="9" t="s">
        <v>96</v>
      </c>
      <c r="B3023" s="10">
        <v>44805</v>
      </c>
      <c r="C3023" s="11">
        <v>5528169</v>
      </c>
      <c r="D3023" s="11">
        <v>3914858.29</v>
      </c>
      <c r="E3023" s="11">
        <v>1613310.71</v>
      </c>
      <c r="F3023" t="str">
        <f>VLOOKUP(A3023,[1]!Table1[#All],17,FALSE)</f>
        <v>UNITED STATES</v>
      </c>
      <c r="G3023" t="str">
        <f>VLOOKUP(A3023,[1]!Table1[#All],22,FALSE)</f>
        <v>NATIONAL FOUNDATION FOR THE CDC,INC</v>
      </c>
      <c r="H3023" s="8">
        <f>VLOOKUP(A3023,[1]!Table1[#All],32,FALSE)</f>
        <v>44469</v>
      </c>
      <c r="I3023" s="8">
        <f>VLOOKUP(A3023,[1]!Table1[#All],33,FALSE)</f>
        <v>45929</v>
      </c>
      <c r="J3023" t="str">
        <f t="shared" ca="1" si="51"/>
        <v>Non UDO</v>
      </c>
    </row>
    <row r="3024" spans="1:10" x14ac:dyDescent="0.35">
      <c r="A3024" s="5" t="s">
        <v>96</v>
      </c>
      <c r="B3024" s="6">
        <v>44835</v>
      </c>
      <c r="C3024" s="7">
        <v>5528169</v>
      </c>
      <c r="D3024" s="7">
        <v>4029179.43</v>
      </c>
      <c r="E3024" s="7">
        <v>1498989.57</v>
      </c>
      <c r="F3024" t="str">
        <f>VLOOKUP(A3024,[1]!Table1[#All],17,FALSE)</f>
        <v>UNITED STATES</v>
      </c>
      <c r="G3024" t="str">
        <f>VLOOKUP(A3024,[1]!Table1[#All],22,FALSE)</f>
        <v>NATIONAL FOUNDATION FOR THE CDC,INC</v>
      </c>
      <c r="H3024" s="8">
        <f>VLOOKUP(A3024,[1]!Table1[#All],32,FALSE)</f>
        <v>44469</v>
      </c>
      <c r="I3024" s="8">
        <f>VLOOKUP(A3024,[1]!Table1[#All],33,FALSE)</f>
        <v>45929</v>
      </c>
      <c r="J3024" t="str">
        <f t="shared" ca="1" si="51"/>
        <v>Non UDO</v>
      </c>
    </row>
    <row r="3025" spans="1:10" x14ac:dyDescent="0.35">
      <c r="A3025" s="9" t="s">
        <v>96</v>
      </c>
      <c r="B3025" s="10">
        <v>44866</v>
      </c>
      <c r="C3025" s="11">
        <v>5528169</v>
      </c>
      <c r="D3025" s="11">
        <v>4353292.3899999997</v>
      </c>
      <c r="E3025" s="11">
        <v>1174876.6100000001</v>
      </c>
      <c r="F3025" t="str">
        <f>VLOOKUP(A3025,[1]!Table1[#All],17,FALSE)</f>
        <v>UNITED STATES</v>
      </c>
      <c r="G3025" t="str">
        <f>VLOOKUP(A3025,[1]!Table1[#All],22,FALSE)</f>
        <v>NATIONAL FOUNDATION FOR THE CDC,INC</v>
      </c>
      <c r="H3025" s="8">
        <f>VLOOKUP(A3025,[1]!Table1[#All],32,FALSE)</f>
        <v>44469</v>
      </c>
      <c r="I3025" s="8">
        <f>VLOOKUP(A3025,[1]!Table1[#All],33,FALSE)</f>
        <v>45929</v>
      </c>
      <c r="J3025" t="str">
        <f t="shared" ca="1" si="51"/>
        <v>Non UDO</v>
      </c>
    </row>
    <row r="3026" spans="1:10" x14ac:dyDescent="0.35">
      <c r="A3026" s="5" t="s">
        <v>96</v>
      </c>
      <c r="B3026" s="6">
        <v>44896</v>
      </c>
      <c r="C3026" s="7">
        <v>5528169</v>
      </c>
      <c r="D3026" s="7">
        <v>4406871.76</v>
      </c>
      <c r="E3026" s="7">
        <v>1121297.24</v>
      </c>
      <c r="F3026" t="str">
        <f>VLOOKUP(A3026,[1]!Table1[#All],17,FALSE)</f>
        <v>UNITED STATES</v>
      </c>
      <c r="G3026" t="str">
        <f>VLOOKUP(A3026,[1]!Table1[#All],22,FALSE)</f>
        <v>NATIONAL FOUNDATION FOR THE CDC,INC</v>
      </c>
      <c r="H3026" s="8">
        <f>VLOOKUP(A3026,[1]!Table1[#All],32,FALSE)</f>
        <v>44469</v>
      </c>
      <c r="I3026" s="8">
        <f>VLOOKUP(A3026,[1]!Table1[#All],33,FALSE)</f>
        <v>45929</v>
      </c>
      <c r="J3026" t="str">
        <f t="shared" ca="1" si="51"/>
        <v>Non UDO</v>
      </c>
    </row>
    <row r="3027" spans="1:10" x14ac:dyDescent="0.35">
      <c r="A3027" s="9" t="s">
        <v>96</v>
      </c>
      <c r="B3027" s="10">
        <v>44927</v>
      </c>
      <c r="C3027" s="11">
        <v>5528169</v>
      </c>
      <c r="D3027" s="11">
        <v>4205037.91</v>
      </c>
      <c r="E3027" s="11">
        <v>1323131.0900000001</v>
      </c>
      <c r="F3027" t="str">
        <f>VLOOKUP(A3027,[1]!Table1[#All],17,FALSE)</f>
        <v>UNITED STATES</v>
      </c>
      <c r="G3027" t="str">
        <f>VLOOKUP(A3027,[1]!Table1[#All],22,FALSE)</f>
        <v>NATIONAL FOUNDATION FOR THE CDC,INC</v>
      </c>
      <c r="H3027" s="8">
        <f>VLOOKUP(A3027,[1]!Table1[#All],32,FALSE)</f>
        <v>44469</v>
      </c>
      <c r="I3027" s="8">
        <f>VLOOKUP(A3027,[1]!Table1[#All],33,FALSE)</f>
        <v>45929</v>
      </c>
      <c r="J3027" t="str">
        <f t="shared" ca="1" si="51"/>
        <v>Non UDO</v>
      </c>
    </row>
    <row r="3028" spans="1:10" x14ac:dyDescent="0.35">
      <c r="A3028" s="5" t="s">
        <v>96</v>
      </c>
      <c r="B3028" s="6">
        <v>44958</v>
      </c>
      <c r="C3028" s="7">
        <v>5528169</v>
      </c>
      <c r="D3028" s="7">
        <v>4291042</v>
      </c>
      <c r="E3028" s="7">
        <v>1237127</v>
      </c>
      <c r="F3028" t="str">
        <f>VLOOKUP(A3028,[1]!Table1[#All],17,FALSE)</f>
        <v>UNITED STATES</v>
      </c>
      <c r="G3028" t="str">
        <f>VLOOKUP(A3028,[1]!Table1[#All],22,FALSE)</f>
        <v>NATIONAL FOUNDATION FOR THE CDC,INC</v>
      </c>
      <c r="H3028" s="8">
        <f>VLOOKUP(A3028,[1]!Table1[#All],32,FALSE)</f>
        <v>44469</v>
      </c>
      <c r="I3028" s="8">
        <f>VLOOKUP(A3028,[1]!Table1[#All],33,FALSE)</f>
        <v>45929</v>
      </c>
      <c r="J3028" t="str">
        <f t="shared" ca="1" si="51"/>
        <v>Non UDO</v>
      </c>
    </row>
    <row r="3029" spans="1:10" x14ac:dyDescent="0.35">
      <c r="A3029" s="9" t="s">
        <v>96</v>
      </c>
      <c r="B3029" s="10">
        <v>44986</v>
      </c>
      <c r="C3029" s="11">
        <v>5528169</v>
      </c>
      <c r="D3029" s="11">
        <v>4368884.37</v>
      </c>
      <c r="E3029" s="11">
        <v>1159284.6299999999</v>
      </c>
      <c r="F3029" t="str">
        <f>VLOOKUP(A3029,[1]!Table1[#All],17,FALSE)</f>
        <v>UNITED STATES</v>
      </c>
      <c r="G3029" t="str">
        <f>VLOOKUP(A3029,[1]!Table1[#All],22,FALSE)</f>
        <v>NATIONAL FOUNDATION FOR THE CDC,INC</v>
      </c>
      <c r="H3029" s="8">
        <f>VLOOKUP(A3029,[1]!Table1[#All],32,FALSE)</f>
        <v>44469</v>
      </c>
      <c r="I3029" s="8">
        <f>VLOOKUP(A3029,[1]!Table1[#All],33,FALSE)</f>
        <v>45929</v>
      </c>
      <c r="J3029" t="str">
        <f t="shared" ca="1" si="51"/>
        <v>Non UDO</v>
      </c>
    </row>
    <row r="3030" spans="1:10" x14ac:dyDescent="0.35">
      <c r="A3030" s="5" t="s">
        <v>96</v>
      </c>
      <c r="B3030" s="6">
        <v>45017</v>
      </c>
      <c r="C3030" s="7">
        <v>5528169</v>
      </c>
      <c r="D3030" s="7">
        <v>4425342.63</v>
      </c>
      <c r="E3030" s="7">
        <v>1102826.3700000001</v>
      </c>
      <c r="F3030" t="str">
        <f>VLOOKUP(A3030,[1]!Table1[#All],17,FALSE)</f>
        <v>UNITED STATES</v>
      </c>
      <c r="G3030" t="str">
        <f>VLOOKUP(A3030,[1]!Table1[#All],22,FALSE)</f>
        <v>NATIONAL FOUNDATION FOR THE CDC,INC</v>
      </c>
      <c r="H3030" s="8">
        <f>VLOOKUP(A3030,[1]!Table1[#All],32,FALSE)</f>
        <v>44469</v>
      </c>
      <c r="I3030" s="8">
        <f>VLOOKUP(A3030,[1]!Table1[#All],33,FALSE)</f>
        <v>45929</v>
      </c>
      <c r="J3030" t="str">
        <f t="shared" ca="1" si="51"/>
        <v>Non UDO</v>
      </c>
    </row>
    <row r="3031" spans="1:10" x14ac:dyDescent="0.35">
      <c r="A3031" s="9" t="s">
        <v>96</v>
      </c>
      <c r="B3031" s="10">
        <v>45047</v>
      </c>
      <c r="C3031" s="11">
        <v>5528169</v>
      </c>
      <c r="D3031" s="11">
        <v>4534455.51</v>
      </c>
      <c r="E3031" s="11">
        <v>993713.49</v>
      </c>
      <c r="F3031" t="str">
        <f>VLOOKUP(A3031,[1]!Table1[#All],17,FALSE)</f>
        <v>UNITED STATES</v>
      </c>
      <c r="G3031" t="str">
        <f>VLOOKUP(A3031,[1]!Table1[#All],22,FALSE)</f>
        <v>NATIONAL FOUNDATION FOR THE CDC,INC</v>
      </c>
      <c r="H3031" s="8">
        <f>VLOOKUP(A3031,[1]!Table1[#All],32,FALSE)</f>
        <v>44469</v>
      </c>
      <c r="I3031" s="8">
        <f>VLOOKUP(A3031,[1]!Table1[#All],33,FALSE)</f>
        <v>45929</v>
      </c>
      <c r="J3031" t="str">
        <f t="shared" ca="1" si="51"/>
        <v>Non UDO</v>
      </c>
    </row>
    <row r="3032" spans="1:10" x14ac:dyDescent="0.35">
      <c r="A3032" s="5" t="s">
        <v>96</v>
      </c>
      <c r="B3032" s="6">
        <v>45078</v>
      </c>
      <c r="C3032" s="7">
        <v>5528169</v>
      </c>
      <c r="D3032" s="7">
        <v>4654288.03</v>
      </c>
      <c r="E3032" s="7">
        <v>873880.97</v>
      </c>
      <c r="F3032" t="str">
        <f>VLOOKUP(A3032,[1]!Table1[#All],17,FALSE)</f>
        <v>UNITED STATES</v>
      </c>
      <c r="G3032" t="str">
        <f>VLOOKUP(A3032,[1]!Table1[#All],22,FALSE)</f>
        <v>NATIONAL FOUNDATION FOR THE CDC,INC</v>
      </c>
      <c r="H3032" s="8">
        <f>VLOOKUP(A3032,[1]!Table1[#All],32,FALSE)</f>
        <v>44469</v>
      </c>
      <c r="I3032" s="8">
        <f>VLOOKUP(A3032,[1]!Table1[#All],33,FALSE)</f>
        <v>45929</v>
      </c>
      <c r="J3032" t="str">
        <f t="shared" ca="1" si="51"/>
        <v>Non UDO</v>
      </c>
    </row>
    <row r="3033" spans="1:10" x14ac:dyDescent="0.35">
      <c r="A3033" s="9" t="s">
        <v>96</v>
      </c>
      <c r="B3033" s="10">
        <v>45108</v>
      </c>
      <c r="C3033" s="11">
        <v>5528169</v>
      </c>
      <c r="D3033" s="11">
        <v>4657101</v>
      </c>
      <c r="E3033" s="11">
        <v>871068</v>
      </c>
      <c r="F3033" t="str">
        <f>VLOOKUP(A3033,[1]!Table1[#All],17,FALSE)</f>
        <v>UNITED STATES</v>
      </c>
      <c r="G3033" t="str">
        <f>VLOOKUP(A3033,[1]!Table1[#All],22,FALSE)</f>
        <v>NATIONAL FOUNDATION FOR THE CDC,INC</v>
      </c>
      <c r="H3033" s="8">
        <f>VLOOKUP(A3033,[1]!Table1[#All],32,FALSE)</f>
        <v>44469</v>
      </c>
      <c r="I3033" s="8">
        <f>VLOOKUP(A3033,[1]!Table1[#All],33,FALSE)</f>
        <v>45929</v>
      </c>
      <c r="J3033" t="str">
        <f t="shared" ca="1" si="51"/>
        <v>Non UDO</v>
      </c>
    </row>
    <row r="3034" spans="1:10" x14ac:dyDescent="0.35">
      <c r="A3034" s="5" t="s">
        <v>96</v>
      </c>
      <c r="B3034" s="6">
        <v>45139</v>
      </c>
      <c r="C3034" s="7">
        <v>5528169</v>
      </c>
      <c r="D3034" s="7">
        <v>4658895.24</v>
      </c>
      <c r="E3034" s="7">
        <v>869273.76</v>
      </c>
      <c r="F3034" t="str">
        <f>VLOOKUP(A3034,[1]!Table1[#All],17,FALSE)</f>
        <v>UNITED STATES</v>
      </c>
      <c r="G3034" t="str">
        <f>VLOOKUP(A3034,[1]!Table1[#All],22,FALSE)</f>
        <v>NATIONAL FOUNDATION FOR THE CDC,INC</v>
      </c>
      <c r="H3034" s="8">
        <f>VLOOKUP(A3034,[1]!Table1[#All],32,FALSE)</f>
        <v>44469</v>
      </c>
      <c r="I3034" s="8">
        <f>VLOOKUP(A3034,[1]!Table1[#All],33,FALSE)</f>
        <v>45929</v>
      </c>
      <c r="J3034" t="str">
        <f t="shared" ca="1" si="51"/>
        <v>Non UDO</v>
      </c>
    </row>
    <row r="3035" spans="1:10" x14ac:dyDescent="0.35">
      <c r="A3035" s="9" t="s">
        <v>96</v>
      </c>
      <c r="B3035" s="10">
        <v>45170</v>
      </c>
      <c r="C3035" s="11">
        <v>5528169</v>
      </c>
      <c r="D3035" s="11">
        <v>4658895.24</v>
      </c>
      <c r="E3035" s="11">
        <v>869273.76</v>
      </c>
      <c r="F3035" t="str">
        <f>VLOOKUP(A3035,[1]!Table1[#All],17,FALSE)</f>
        <v>UNITED STATES</v>
      </c>
      <c r="G3035" t="str">
        <f>VLOOKUP(A3035,[1]!Table1[#All],22,FALSE)</f>
        <v>NATIONAL FOUNDATION FOR THE CDC,INC</v>
      </c>
      <c r="H3035" s="8">
        <f>VLOOKUP(A3035,[1]!Table1[#All],32,FALSE)</f>
        <v>44469</v>
      </c>
      <c r="I3035" s="8">
        <f>VLOOKUP(A3035,[1]!Table1[#All],33,FALSE)</f>
        <v>45929</v>
      </c>
      <c r="J3035" t="str">
        <f t="shared" ca="1" si="51"/>
        <v>Non UDO</v>
      </c>
    </row>
    <row r="3036" spans="1:10" x14ac:dyDescent="0.35">
      <c r="A3036" s="5" t="s">
        <v>97</v>
      </c>
      <c r="B3036" s="6">
        <v>44440</v>
      </c>
      <c r="C3036" s="7">
        <v>3853127</v>
      </c>
      <c r="D3036" s="7">
        <v>0</v>
      </c>
      <c r="E3036" s="7">
        <v>3853127</v>
      </c>
      <c r="F3036" t="str">
        <f>VLOOKUP(A3036,[1]!Table1[#All],17,FALSE)</f>
        <v>UNITED STATES</v>
      </c>
      <c r="G3036" t="str">
        <f>VLOOKUP(A3036,[1]!Table1[#All],22,FALSE)</f>
        <v>UNIVERSITY OF CALIFORNIA-SAN FRANCISCO</v>
      </c>
      <c r="H3036" s="8">
        <f>VLOOKUP(A3036,[1]!Table1[#All],32,FALSE)</f>
        <v>44469</v>
      </c>
      <c r="I3036" s="8">
        <f>VLOOKUP(A3036,[1]!Table1[#All],33,FALSE)</f>
        <v>46294</v>
      </c>
      <c r="J3036" t="str">
        <f t="shared" ca="1" si="51"/>
        <v>Non UDO</v>
      </c>
    </row>
    <row r="3037" spans="1:10" x14ac:dyDescent="0.35">
      <c r="A3037" s="9" t="s">
        <v>97</v>
      </c>
      <c r="B3037" s="10">
        <v>44470</v>
      </c>
      <c r="C3037" s="11">
        <v>3853127</v>
      </c>
      <c r="D3037" s="11">
        <v>0</v>
      </c>
      <c r="E3037" s="11">
        <v>3853127</v>
      </c>
      <c r="F3037" t="str">
        <f>VLOOKUP(A3037,[1]!Table1[#All],17,FALSE)</f>
        <v>UNITED STATES</v>
      </c>
      <c r="G3037" t="str">
        <f>VLOOKUP(A3037,[1]!Table1[#All],22,FALSE)</f>
        <v>UNIVERSITY OF CALIFORNIA-SAN FRANCISCO</v>
      </c>
      <c r="H3037" s="8">
        <f>VLOOKUP(A3037,[1]!Table1[#All],32,FALSE)</f>
        <v>44469</v>
      </c>
      <c r="I3037" s="8">
        <f>VLOOKUP(A3037,[1]!Table1[#All],33,FALSE)</f>
        <v>46294</v>
      </c>
      <c r="J3037" t="str">
        <f t="shared" ca="1" si="51"/>
        <v>Non UDO</v>
      </c>
    </row>
    <row r="3038" spans="1:10" x14ac:dyDescent="0.35">
      <c r="A3038" s="5" t="s">
        <v>97</v>
      </c>
      <c r="B3038" s="6">
        <v>44501</v>
      </c>
      <c r="C3038" s="7">
        <v>3853127</v>
      </c>
      <c r="D3038" s="7">
        <v>0</v>
      </c>
      <c r="E3038" s="7">
        <v>3853127</v>
      </c>
      <c r="F3038" t="str">
        <f>VLOOKUP(A3038,[1]!Table1[#All],17,FALSE)</f>
        <v>UNITED STATES</v>
      </c>
      <c r="G3038" t="str">
        <f>VLOOKUP(A3038,[1]!Table1[#All],22,FALSE)</f>
        <v>UNIVERSITY OF CALIFORNIA-SAN FRANCISCO</v>
      </c>
      <c r="H3038" s="8">
        <f>VLOOKUP(A3038,[1]!Table1[#All],32,FALSE)</f>
        <v>44469</v>
      </c>
      <c r="I3038" s="8">
        <f>VLOOKUP(A3038,[1]!Table1[#All],33,FALSE)</f>
        <v>46294</v>
      </c>
      <c r="J3038" t="str">
        <f t="shared" ca="1" si="51"/>
        <v>Non UDO</v>
      </c>
    </row>
    <row r="3039" spans="1:10" x14ac:dyDescent="0.35">
      <c r="A3039" s="9" t="s">
        <v>97</v>
      </c>
      <c r="B3039" s="10">
        <v>44531</v>
      </c>
      <c r="C3039" s="11">
        <v>3853127</v>
      </c>
      <c r="D3039" s="11">
        <v>0</v>
      </c>
      <c r="E3039" s="11">
        <v>3853127</v>
      </c>
      <c r="F3039" t="str">
        <f>VLOOKUP(A3039,[1]!Table1[#All],17,FALSE)</f>
        <v>UNITED STATES</v>
      </c>
      <c r="G3039" t="str">
        <f>VLOOKUP(A3039,[1]!Table1[#All],22,FALSE)</f>
        <v>UNIVERSITY OF CALIFORNIA-SAN FRANCISCO</v>
      </c>
      <c r="H3039" s="8">
        <f>VLOOKUP(A3039,[1]!Table1[#All],32,FALSE)</f>
        <v>44469</v>
      </c>
      <c r="I3039" s="8">
        <f>VLOOKUP(A3039,[1]!Table1[#All],33,FALSE)</f>
        <v>46294</v>
      </c>
      <c r="J3039" t="str">
        <f t="shared" ca="1" si="51"/>
        <v>Non UDO</v>
      </c>
    </row>
    <row r="3040" spans="1:10" x14ac:dyDescent="0.35">
      <c r="A3040" s="5" t="s">
        <v>97</v>
      </c>
      <c r="B3040" s="6">
        <v>44562</v>
      </c>
      <c r="C3040" s="7">
        <v>3853127</v>
      </c>
      <c r="D3040" s="7">
        <v>49713.439999999995</v>
      </c>
      <c r="E3040" s="7">
        <v>3803413.5599999996</v>
      </c>
      <c r="F3040" t="str">
        <f>VLOOKUP(A3040,[1]!Table1[#All],17,FALSE)</f>
        <v>UNITED STATES</v>
      </c>
      <c r="G3040" t="str">
        <f>VLOOKUP(A3040,[1]!Table1[#All],22,FALSE)</f>
        <v>UNIVERSITY OF CALIFORNIA-SAN FRANCISCO</v>
      </c>
      <c r="H3040" s="8">
        <f>VLOOKUP(A3040,[1]!Table1[#All],32,FALSE)</f>
        <v>44469</v>
      </c>
      <c r="I3040" s="8">
        <f>VLOOKUP(A3040,[1]!Table1[#All],33,FALSE)</f>
        <v>46294</v>
      </c>
      <c r="J3040" t="str">
        <f t="shared" ca="1" si="51"/>
        <v>Non UDO</v>
      </c>
    </row>
    <row r="3041" spans="1:10" x14ac:dyDescent="0.35">
      <c r="A3041" s="9" t="s">
        <v>97</v>
      </c>
      <c r="B3041" s="10">
        <v>44593</v>
      </c>
      <c r="C3041" s="11">
        <v>3853127</v>
      </c>
      <c r="D3041" s="11">
        <v>123970.59</v>
      </c>
      <c r="E3041" s="11">
        <v>3729156.41</v>
      </c>
      <c r="F3041" t="str">
        <f>VLOOKUP(A3041,[1]!Table1[#All],17,FALSE)</f>
        <v>UNITED STATES</v>
      </c>
      <c r="G3041" t="str">
        <f>VLOOKUP(A3041,[1]!Table1[#All],22,FALSE)</f>
        <v>UNIVERSITY OF CALIFORNIA-SAN FRANCISCO</v>
      </c>
      <c r="H3041" s="8">
        <f>VLOOKUP(A3041,[1]!Table1[#All],32,FALSE)</f>
        <v>44469</v>
      </c>
      <c r="I3041" s="8">
        <f>VLOOKUP(A3041,[1]!Table1[#All],33,FALSE)</f>
        <v>46294</v>
      </c>
      <c r="J3041" t="str">
        <f t="shared" ca="1" si="51"/>
        <v>Non UDO</v>
      </c>
    </row>
    <row r="3042" spans="1:10" x14ac:dyDescent="0.35">
      <c r="A3042" s="5" t="s">
        <v>97</v>
      </c>
      <c r="B3042" s="6">
        <v>44621</v>
      </c>
      <c r="C3042" s="7">
        <v>3853127</v>
      </c>
      <c r="D3042" s="7">
        <v>244001.84999999998</v>
      </c>
      <c r="E3042" s="7">
        <v>3609125.15</v>
      </c>
      <c r="F3042" t="str">
        <f>VLOOKUP(A3042,[1]!Table1[#All],17,FALSE)</f>
        <v>UNITED STATES</v>
      </c>
      <c r="G3042" t="str">
        <f>VLOOKUP(A3042,[1]!Table1[#All],22,FALSE)</f>
        <v>UNIVERSITY OF CALIFORNIA-SAN FRANCISCO</v>
      </c>
      <c r="H3042" s="8">
        <f>VLOOKUP(A3042,[1]!Table1[#All],32,FALSE)</f>
        <v>44469</v>
      </c>
      <c r="I3042" s="8">
        <f>VLOOKUP(A3042,[1]!Table1[#All],33,FALSE)</f>
        <v>46294</v>
      </c>
      <c r="J3042" t="str">
        <f t="shared" ca="1" si="51"/>
        <v>Non UDO</v>
      </c>
    </row>
    <row r="3043" spans="1:10" x14ac:dyDescent="0.35">
      <c r="A3043" s="9" t="s">
        <v>97</v>
      </c>
      <c r="B3043" s="10">
        <v>44652</v>
      </c>
      <c r="C3043" s="11">
        <v>3853127</v>
      </c>
      <c r="D3043" s="11">
        <v>367487.07</v>
      </c>
      <c r="E3043" s="11">
        <v>3485639.93</v>
      </c>
      <c r="F3043" t="str">
        <f>VLOOKUP(A3043,[1]!Table1[#All],17,FALSE)</f>
        <v>UNITED STATES</v>
      </c>
      <c r="G3043" t="str">
        <f>VLOOKUP(A3043,[1]!Table1[#All],22,FALSE)</f>
        <v>UNIVERSITY OF CALIFORNIA-SAN FRANCISCO</v>
      </c>
      <c r="H3043" s="8">
        <f>VLOOKUP(A3043,[1]!Table1[#All],32,FALSE)</f>
        <v>44469</v>
      </c>
      <c r="I3043" s="8">
        <f>VLOOKUP(A3043,[1]!Table1[#All],33,FALSE)</f>
        <v>46294</v>
      </c>
      <c r="J3043" t="str">
        <f t="shared" ca="1" si="51"/>
        <v>Non UDO</v>
      </c>
    </row>
    <row r="3044" spans="1:10" x14ac:dyDescent="0.35">
      <c r="A3044" s="5" t="s">
        <v>97</v>
      </c>
      <c r="B3044" s="6">
        <v>44682</v>
      </c>
      <c r="C3044" s="7">
        <v>3853127</v>
      </c>
      <c r="D3044" s="7">
        <v>408587.98000000004</v>
      </c>
      <c r="E3044" s="7">
        <v>3444539.02</v>
      </c>
      <c r="F3044" t="str">
        <f>VLOOKUP(A3044,[1]!Table1[#All],17,FALSE)</f>
        <v>UNITED STATES</v>
      </c>
      <c r="G3044" t="str">
        <f>VLOOKUP(A3044,[1]!Table1[#All],22,FALSE)</f>
        <v>UNIVERSITY OF CALIFORNIA-SAN FRANCISCO</v>
      </c>
      <c r="H3044" s="8">
        <f>VLOOKUP(A3044,[1]!Table1[#All],32,FALSE)</f>
        <v>44469</v>
      </c>
      <c r="I3044" s="8">
        <f>VLOOKUP(A3044,[1]!Table1[#All],33,FALSE)</f>
        <v>46294</v>
      </c>
      <c r="J3044" t="str">
        <f t="shared" ca="1" si="51"/>
        <v>Non UDO</v>
      </c>
    </row>
    <row r="3045" spans="1:10" x14ac:dyDescent="0.35">
      <c r="A3045" s="9" t="s">
        <v>97</v>
      </c>
      <c r="B3045" s="10">
        <v>44713</v>
      </c>
      <c r="C3045" s="11">
        <v>3853127</v>
      </c>
      <c r="D3045" s="11">
        <v>630685.30000000005</v>
      </c>
      <c r="E3045" s="11">
        <v>3222441.7</v>
      </c>
      <c r="F3045" t="str">
        <f>VLOOKUP(A3045,[1]!Table1[#All],17,FALSE)</f>
        <v>UNITED STATES</v>
      </c>
      <c r="G3045" t="str">
        <f>VLOOKUP(A3045,[1]!Table1[#All],22,FALSE)</f>
        <v>UNIVERSITY OF CALIFORNIA-SAN FRANCISCO</v>
      </c>
      <c r="H3045" s="8">
        <f>VLOOKUP(A3045,[1]!Table1[#All],32,FALSE)</f>
        <v>44469</v>
      </c>
      <c r="I3045" s="8">
        <f>VLOOKUP(A3045,[1]!Table1[#All],33,FALSE)</f>
        <v>46294</v>
      </c>
      <c r="J3045" t="str">
        <f t="shared" ca="1" si="51"/>
        <v>Non UDO</v>
      </c>
    </row>
    <row r="3046" spans="1:10" x14ac:dyDescent="0.35">
      <c r="A3046" s="5" t="s">
        <v>97</v>
      </c>
      <c r="B3046" s="6">
        <v>44743</v>
      </c>
      <c r="C3046" s="7">
        <v>3853127</v>
      </c>
      <c r="D3046" s="7">
        <v>730064.59</v>
      </c>
      <c r="E3046" s="7">
        <v>3123062.41</v>
      </c>
      <c r="F3046" t="str">
        <f>VLOOKUP(A3046,[1]!Table1[#All],17,FALSE)</f>
        <v>UNITED STATES</v>
      </c>
      <c r="G3046" t="str">
        <f>VLOOKUP(A3046,[1]!Table1[#All],22,FALSE)</f>
        <v>UNIVERSITY OF CALIFORNIA-SAN FRANCISCO</v>
      </c>
      <c r="H3046" s="8">
        <f>VLOOKUP(A3046,[1]!Table1[#All],32,FALSE)</f>
        <v>44469</v>
      </c>
      <c r="I3046" s="8">
        <f>VLOOKUP(A3046,[1]!Table1[#All],33,FALSE)</f>
        <v>46294</v>
      </c>
      <c r="J3046" t="str">
        <f t="shared" ca="1" si="51"/>
        <v>Non UDO</v>
      </c>
    </row>
    <row r="3047" spans="1:10" x14ac:dyDescent="0.35">
      <c r="A3047" s="9" t="s">
        <v>97</v>
      </c>
      <c r="B3047" s="10">
        <v>44774</v>
      </c>
      <c r="C3047" s="11">
        <v>3853127</v>
      </c>
      <c r="D3047" s="11">
        <v>865840.61</v>
      </c>
      <c r="E3047" s="11">
        <v>2987286.3899999997</v>
      </c>
      <c r="F3047" t="str">
        <f>VLOOKUP(A3047,[1]!Table1[#All],17,FALSE)</f>
        <v>UNITED STATES</v>
      </c>
      <c r="G3047" t="str">
        <f>VLOOKUP(A3047,[1]!Table1[#All],22,FALSE)</f>
        <v>UNIVERSITY OF CALIFORNIA-SAN FRANCISCO</v>
      </c>
      <c r="H3047" s="8">
        <f>VLOOKUP(A3047,[1]!Table1[#All],32,FALSE)</f>
        <v>44469</v>
      </c>
      <c r="I3047" s="8">
        <f>VLOOKUP(A3047,[1]!Table1[#All],33,FALSE)</f>
        <v>46294</v>
      </c>
      <c r="J3047" t="str">
        <f t="shared" ca="1" si="51"/>
        <v>Non UDO</v>
      </c>
    </row>
    <row r="3048" spans="1:10" x14ac:dyDescent="0.35">
      <c r="A3048" s="5" t="s">
        <v>97</v>
      </c>
      <c r="B3048" s="6">
        <v>44805</v>
      </c>
      <c r="C3048" s="7">
        <v>3853127</v>
      </c>
      <c r="D3048" s="7">
        <v>1267978.82</v>
      </c>
      <c r="E3048" s="7">
        <v>2585148.1800000002</v>
      </c>
      <c r="F3048" t="str">
        <f>VLOOKUP(A3048,[1]!Table1[#All],17,FALSE)</f>
        <v>UNITED STATES</v>
      </c>
      <c r="G3048" t="str">
        <f>VLOOKUP(A3048,[1]!Table1[#All],22,FALSE)</f>
        <v>UNIVERSITY OF CALIFORNIA-SAN FRANCISCO</v>
      </c>
      <c r="H3048" s="8">
        <f>VLOOKUP(A3048,[1]!Table1[#All],32,FALSE)</f>
        <v>44469</v>
      </c>
      <c r="I3048" s="8">
        <f>VLOOKUP(A3048,[1]!Table1[#All],33,FALSE)</f>
        <v>46294</v>
      </c>
      <c r="J3048" t="str">
        <f t="shared" ca="1" si="51"/>
        <v>Non UDO</v>
      </c>
    </row>
    <row r="3049" spans="1:10" x14ac:dyDescent="0.35">
      <c r="A3049" s="9" t="s">
        <v>97</v>
      </c>
      <c r="B3049" s="10">
        <v>44835</v>
      </c>
      <c r="C3049" s="11">
        <v>3853127</v>
      </c>
      <c r="D3049" s="11">
        <v>1267978.82</v>
      </c>
      <c r="E3049" s="11">
        <v>2585148.1800000002</v>
      </c>
      <c r="F3049" t="str">
        <f>VLOOKUP(A3049,[1]!Table1[#All],17,FALSE)</f>
        <v>UNITED STATES</v>
      </c>
      <c r="G3049" t="str">
        <f>VLOOKUP(A3049,[1]!Table1[#All],22,FALSE)</f>
        <v>UNIVERSITY OF CALIFORNIA-SAN FRANCISCO</v>
      </c>
      <c r="H3049" s="8">
        <f>VLOOKUP(A3049,[1]!Table1[#All],32,FALSE)</f>
        <v>44469</v>
      </c>
      <c r="I3049" s="8">
        <f>VLOOKUP(A3049,[1]!Table1[#All],33,FALSE)</f>
        <v>46294</v>
      </c>
      <c r="J3049" t="str">
        <f t="shared" ca="1" si="51"/>
        <v>Non UDO</v>
      </c>
    </row>
    <row r="3050" spans="1:10" x14ac:dyDescent="0.35">
      <c r="A3050" s="5" t="s">
        <v>97</v>
      </c>
      <c r="B3050" s="6">
        <v>44866</v>
      </c>
      <c r="C3050" s="7">
        <v>3853127</v>
      </c>
      <c r="D3050" s="7">
        <v>1267978.82</v>
      </c>
      <c r="E3050" s="7">
        <v>2585148.1800000002</v>
      </c>
      <c r="F3050" t="str">
        <f>VLOOKUP(A3050,[1]!Table1[#All],17,FALSE)</f>
        <v>UNITED STATES</v>
      </c>
      <c r="G3050" t="str">
        <f>VLOOKUP(A3050,[1]!Table1[#All],22,FALSE)</f>
        <v>UNIVERSITY OF CALIFORNIA-SAN FRANCISCO</v>
      </c>
      <c r="H3050" s="8">
        <f>VLOOKUP(A3050,[1]!Table1[#All],32,FALSE)</f>
        <v>44469</v>
      </c>
      <c r="I3050" s="8">
        <f>VLOOKUP(A3050,[1]!Table1[#All],33,FALSE)</f>
        <v>46294</v>
      </c>
      <c r="J3050" t="str">
        <f t="shared" ca="1" si="51"/>
        <v>Non UDO</v>
      </c>
    </row>
    <row r="3051" spans="1:10" x14ac:dyDescent="0.35">
      <c r="A3051" s="9" t="s">
        <v>97</v>
      </c>
      <c r="B3051" s="10">
        <v>44896</v>
      </c>
      <c r="C3051" s="11">
        <v>3853127</v>
      </c>
      <c r="D3051" s="11">
        <v>1296367.49</v>
      </c>
      <c r="E3051" s="11">
        <v>2556759.5100000002</v>
      </c>
      <c r="F3051" t="str">
        <f>VLOOKUP(A3051,[1]!Table1[#All],17,FALSE)</f>
        <v>UNITED STATES</v>
      </c>
      <c r="G3051" t="str">
        <f>VLOOKUP(A3051,[1]!Table1[#All],22,FALSE)</f>
        <v>UNIVERSITY OF CALIFORNIA-SAN FRANCISCO</v>
      </c>
      <c r="H3051" s="8">
        <f>VLOOKUP(A3051,[1]!Table1[#All],32,FALSE)</f>
        <v>44469</v>
      </c>
      <c r="I3051" s="8">
        <f>VLOOKUP(A3051,[1]!Table1[#All],33,FALSE)</f>
        <v>46294</v>
      </c>
      <c r="J3051" t="str">
        <f t="shared" ca="1" si="51"/>
        <v>Non UDO</v>
      </c>
    </row>
    <row r="3052" spans="1:10" x14ac:dyDescent="0.35">
      <c r="A3052" s="5" t="s">
        <v>97</v>
      </c>
      <c r="B3052" s="6">
        <v>44927</v>
      </c>
      <c r="C3052" s="7">
        <v>3853127</v>
      </c>
      <c r="D3052" s="7">
        <v>1412246.3800000001</v>
      </c>
      <c r="E3052" s="7">
        <v>2440880.62</v>
      </c>
      <c r="F3052" t="str">
        <f>VLOOKUP(A3052,[1]!Table1[#All],17,FALSE)</f>
        <v>UNITED STATES</v>
      </c>
      <c r="G3052" t="str">
        <f>VLOOKUP(A3052,[1]!Table1[#All],22,FALSE)</f>
        <v>UNIVERSITY OF CALIFORNIA-SAN FRANCISCO</v>
      </c>
      <c r="H3052" s="8">
        <f>VLOOKUP(A3052,[1]!Table1[#All],32,FALSE)</f>
        <v>44469</v>
      </c>
      <c r="I3052" s="8">
        <f>VLOOKUP(A3052,[1]!Table1[#All],33,FALSE)</f>
        <v>46294</v>
      </c>
      <c r="J3052" t="str">
        <f t="shared" ca="1" si="51"/>
        <v>Non UDO</v>
      </c>
    </row>
    <row r="3053" spans="1:10" x14ac:dyDescent="0.35">
      <c r="A3053" s="9" t="s">
        <v>97</v>
      </c>
      <c r="B3053" s="10">
        <v>44958</v>
      </c>
      <c r="C3053" s="11">
        <v>3853127</v>
      </c>
      <c r="D3053" s="11">
        <v>1412246.3800000001</v>
      </c>
      <c r="E3053" s="11">
        <v>2440880.62</v>
      </c>
      <c r="F3053" t="str">
        <f>VLOOKUP(A3053,[1]!Table1[#All],17,FALSE)</f>
        <v>UNITED STATES</v>
      </c>
      <c r="G3053" t="str">
        <f>VLOOKUP(A3053,[1]!Table1[#All],22,FALSE)</f>
        <v>UNIVERSITY OF CALIFORNIA-SAN FRANCISCO</v>
      </c>
      <c r="H3053" s="8">
        <f>VLOOKUP(A3053,[1]!Table1[#All],32,FALSE)</f>
        <v>44469</v>
      </c>
      <c r="I3053" s="8">
        <f>VLOOKUP(A3053,[1]!Table1[#All],33,FALSE)</f>
        <v>46294</v>
      </c>
      <c r="J3053" t="str">
        <f t="shared" ca="1" si="51"/>
        <v>Non UDO</v>
      </c>
    </row>
    <row r="3054" spans="1:10" x14ac:dyDescent="0.35">
      <c r="A3054" s="5" t="s">
        <v>97</v>
      </c>
      <c r="B3054" s="6">
        <v>44986</v>
      </c>
      <c r="C3054" s="7">
        <v>3853127</v>
      </c>
      <c r="D3054" s="7">
        <v>1595624.4900000002</v>
      </c>
      <c r="E3054" s="7">
        <v>2257502.5099999998</v>
      </c>
      <c r="F3054" t="str">
        <f>VLOOKUP(A3054,[1]!Table1[#All],17,FALSE)</f>
        <v>UNITED STATES</v>
      </c>
      <c r="G3054" t="str">
        <f>VLOOKUP(A3054,[1]!Table1[#All],22,FALSE)</f>
        <v>UNIVERSITY OF CALIFORNIA-SAN FRANCISCO</v>
      </c>
      <c r="H3054" s="8">
        <f>VLOOKUP(A3054,[1]!Table1[#All],32,FALSE)</f>
        <v>44469</v>
      </c>
      <c r="I3054" s="8">
        <f>VLOOKUP(A3054,[1]!Table1[#All],33,FALSE)</f>
        <v>46294</v>
      </c>
      <c r="J3054" t="str">
        <f t="shared" ca="1" si="51"/>
        <v>Non UDO</v>
      </c>
    </row>
    <row r="3055" spans="1:10" x14ac:dyDescent="0.35">
      <c r="A3055" s="9" t="s">
        <v>97</v>
      </c>
      <c r="B3055" s="10">
        <v>45017</v>
      </c>
      <c r="C3055" s="11">
        <v>3853127</v>
      </c>
      <c r="D3055" s="11">
        <v>1595624.4900000002</v>
      </c>
      <c r="E3055" s="11">
        <v>2257502.5099999998</v>
      </c>
      <c r="F3055" t="str">
        <f>VLOOKUP(A3055,[1]!Table1[#All],17,FALSE)</f>
        <v>UNITED STATES</v>
      </c>
      <c r="G3055" t="str">
        <f>VLOOKUP(A3055,[1]!Table1[#All],22,FALSE)</f>
        <v>UNIVERSITY OF CALIFORNIA-SAN FRANCISCO</v>
      </c>
      <c r="H3055" s="8">
        <f>VLOOKUP(A3055,[1]!Table1[#All],32,FALSE)</f>
        <v>44469</v>
      </c>
      <c r="I3055" s="8">
        <f>VLOOKUP(A3055,[1]!Table1[#All],33,FALSE)</f>
        <v>46294</v>
      </c>
      <c r="J3055" t="str">
        <f t="shared" ca="1" si="51"/>
        <v>Non UDO</v>
      </c>
    </row>
    <row r="3056" spans="1:10" x14ac:dyDescent="0.35">
      <c r="A3056" s="5" t="s">
        <v>97</v>
      </c>
      <c r="B3056" s="6">
        <v>45047</v>
      </c>
      <c r="C3056" s="7">
        <v>3853127</v>
      </c>
      <c r="D3056" s="7">
        <v>1774372.2</v>
      </c>
      <c r="E3056" s="7">
        <v>2078754.8</v>
      </c>
      <c r="F3056" t="str">
        <f>VLOOKUP(A3056,[1]!Table1[#All],17,FALSE)</f>
        <v>UNITED STATES</v>
      </c>
      <c r="G3056" t="str">
        <f>VLOOKUP(A3056,[1]!Table1[#All],22,FALSE)</f>
        <v>UNIVERSITY OF CALIFORNIA-SAN FRANCISCO</v>
      </c>
      <c r="H3056" s="8">
        <f>VLOOKUP(A3056,[1]!Table1[#All],32,FALSE)</f>
        <v>44469</v>
      </c>
      <c r="I3056" s="8">
        <f>VLOOKUP(A3056,[1]!Table1[#All],33,FALSE)</f>
        <v>46294</v>
      </c>
      <c r="J3056" t="str">
        <f t="shared" ca="1" si="51"/>
        <v>Non UDO</v>
      </c>
    </row>
    <row r="3057" spans="1:10" x14ac:dyDescent="0.35">
      <c r="A3057" s="9" t="s">
        <v>97</v>
      </c>
      <c r="B3057" s="10">
        <v>45078</v>
      </c>
      <c r="C3057" s="11">
        <v>3853127</v>
      </c>
      <c r="D3057" s="11">
        <v>1902106.29</v>
      </c>
      <c r="E3057" s="11">
        <v>1951020.71</v>
      </c>
      <c r="F3057" t="str">
        <f>VLOOKUP(A3057,[1]!Table1[#All],17,FALSE)</f>
        <v>UNITED STATES</v>
      </c>
      <c r="G3057" t="str">
        <f>VLOOKUP(A3057,[1]!Table1[#All],22,FALSE)</f>
        <v>UNIVERSITY OF CALIFORNIA-SAN FRANCISCO</v>
      </c>
      <c r="H3057" s="8">
        <f>VLOOKUP(A3057,[1]!Table1[#All],32,FALSE)</f>
        <v>44469</v>
      </c>
      <c r="I3057" s="8">
        <f>VLOOKUP(A3057,[1]!Table1[#All],33,FALSE)</f>
        <v>46294</v>
      </c>
      <c r="J3057" t="str">
        <f t="shared" ca="1" si="51"/>
        <v>Non UDO</v>
      </c>
    </row>
    <row r="3058" spans="1:10" x14ac:dyDescent="0.35">
      <c r="A3058" s="5" t="s">
        <v>97</v>
      </c>
      <c r="B3058" s="6">
        <v>45108</v>
      </c>
      <c r="C3058" s="7">
        <v>3853127</v>
      </c>
      <c r="D3058" s="7">
        <v>1902106.29</v>
      </c>
      <c r="E3058" s="7">
        <v>1951020.71</v>
      </c>
      <c r="F3058" t="str">
        <f>VLOOKUP(A3058,[1]!Table1[#All],17,FALSE)</f>
        <v>UNITED STATES</v>
      </c>
      <c r="G3058" t="str">
        <f>VLOOKUP(A3058,[1]!Table1[#All],22,FALSE)</f>
        <v>UNIVERSITY OF CALIFORNIA-SAN FRANCISCO</v>
      </c>
      <c r="H3058" s="8">
        <f>VLOOKUP(A3058,[1]!Table1[#All],32,FALSE)</f>
        <v>44469</v>
      </c>
      <c r="I3058" s="8">
        <f>VLOOKUP(A3058,[1]!Table1[#All],33,FALSE)</f>
        <v>46294</v>
      </c>
      <c r="J3058" t="str">
        <f t="shared" ca="1" si="51"/>
        <v>Non UDO</v>
      </c>
    </row>
    <row r="3059" spans="1:10" x14ac:dyDescent="0.35">
      <c r="A3059" s="9" t="s">
        <v>97</v>
      </c>
      <c r="B3059" s="10">
        <v>45139</v>
      </c>
      <c r="C3059" s="11">
        <v>3853127</v>
      </c>
      <c r="D3059" s="11">
        <v>1902106.29</v>
      </c>
      <c r="E3059" s="11">
        <v>1951020.71</v>
      </c>
      <c r="F3059" t="str">
        <f>VLOOKUP(A3059,[1]!Table1[#All],17,FALSE)</f>
        <v>UNITED STATES</v>
      </c>
      <c r="G3059" t="str">
        <f>VLOOKUP(A3059,[1]!Table1[#All],22,FALSE)</f>
        <v>UNIVERSITY OF CALIFORNIA-SAN FRANCISCO</v>
      </c>
      <c r="H3059" s="8">
        <f>VLOOKUP(A3059,[1]!Table1[#All],32,FALSE)</f>
        <v>44469</v>
      </c>
      <c r="I3059" s="8">
        <f>VLOOKUP(A3059,[1]!Table1[#All],33,FALSE)</f>
        <v>46294</v>
      </c>
      <c r="J3059" t="str">
        <f t="shared" ca="1" si="51"/>
        <v>Non UDO</v>
      </c>
    </row>
    <row r="3060" spans="1:10" x14ac:dyDescent="0.35">
      <c r="A3060" s="5" t="s">
        <v>97</v>
      </c>
      <c r="B3060" s="6">
        <v>45170</v>
      </c>
      <c r="C3060" s="7">
        <v>3853127</v>
      </c>
      <c r="D3060" s="7">
        <v>2346842.71</v>
      </c>
      <c r="E3060" s="7">
        <v>1506284.29</v>
      </c>
      <c r="F3060" t="str">
        <f>VLOOKUP(A3060,[1]!Table1[#All],17,FALSE)</f>
        <v>UNITED STATES</v>
      </c>
      <c r="G3060" t="str">
        <f>VLOOKUP(A3060,[1]!Table1[#All],22,FALSE)</f>
        <v>UNIVERSITY OF CALIFORNIA-SAN FRANCISCO</v>
      </c>
      <c r="H3060" s="8">
        <f>VLOOKUP(A3060,[1]!Table1[#All],32,FALSE)</f>
        <v>44469</v>
      </c>
      <c r="I3060" s="8">
        <f>VLOOKUP(A3060,[1]!Table1[#All],33,FALSE)</f>
        <v>46294</v>
      </c>
      <c r="J3060" t="str">
        <f t="shared" ca="1" si="51"/>
        <v>Non UDO</v>
      </c>
    </row>
    <row r="3061" spans="1:10" x14ac:dyDescent="0.35">
      <c r="A3061" s="9" t="s">
        <v>98</v>
      </c>
      <c r="B3061" s="10">
        <v>44440</v>
      </c>
      <c r="C3061" s="11">
        <v>552637</v>
      </c>
      <c r="D3061" s="11">
        <v>0</v>
      </c>
      <c r="E3061" s="11">
        <v>552637</v>
      </c>
      <c r="F3061" t="str">
        <f>VLOOKUP(A3061,[1]!Table1[#All],17,FALSE)</f>
        <v>UNITED STATES</v>
      </c>
      <c r="G3061" t="str">
        <f>VLOOKUP(A3061,[1]!Table1[#All],22,FALSE)</f>
        <v>Trustees Of Columbia University In The City Of New York</v>
      </c>
      <c r="H3061" s="8">
        <f>VLOOKUP(A3061,[1]!Table1[#All],32,FALSE)</f>
        <v>44469</v>
      </c>
      <c r="I3061" s="8">
        <f>VLOOKUP(A3061,[1]!Table1[#All],33,FALSE)</f>
        <v>46294</v>
      </c>
      <c r="J3061" t="str">
        <f t="shared" ca="1" si="51"/>
        <v>Non UDO</v>
      </c>
    </row>
    <row r="3062" spans="1:10" x14ac:dyDescent="0.35">
      <c r="A3062" s="5" t="s">
        <v>98</v>
      </c>
      <c r="B3062" s="6">
        <v>44470</v>
      </c>
      <c r="C3062" s="7">
        <v>552637</v>
      </c>
      <c r="D3062" s="7">
        <v>0</v>
      </c>
      <c r="E3062" s="7">
        <v>552637</v>
      </c>
      <c r="F3062" t="str">
        <f>VLOOKUP(A3062,[1]!Table1[#All],17,FALSE)</f>
        <v>UNITED STATES</v>
      </c>
      <c r="G3062" t="str">
        <f>VLOOKUP(A3062,[1]!Table1[#All],22,FALSE)</f>
        <v>Trustees Of Columbia University In The City Of New York</v>
      </c>
      <c r="H3062" s="8">
        <f>VLOOKUP(A3062,[1]!Table1[#All],32,FALSE)</f>
        <v>44469</v>
      </c>
      <c r="I3062" s="8">
        <f>VLOOKUP(A3062,[1]!Table1[#All],33,FALSE)</f>
        <v>46294</v>
      </c>
      <c r="J3062" t="str">
        <f t="shared" ca="1" si="51"/>
        <v>Non UDO</v>
      </c>
    </row>
    <row r="3063" spans="1:10" x14ac:dyDescent="0.35">
      <c r="A3063" s="9" t="s">
        <v>98</v>
      </c>
      <c r="B3063" s="10">
        <v>44501</v>
      </c>
      <c r="C3063" s="11">
        <v>552637</v>
      </c>
      <c r="D3063" s="11">
        <v>0</v>
      </c>
      <c r="E3063" s="11">
        <v>552637</v>
      </c>
      <c r="F3063" t="str">
        <f>VLOOKUP(A3063,[1]!Table1[#All],17,FALSE)</f>
        <v>UNITED STATES</v>
      </c>
      <c r="G3063" t="str">
        <f>VLOOKUP(A3063,[1]!Table1[#All],22,FALSE)</f>
        <v>Trustees Of Columbia University In The City Of New York</v>
      </c>
      <c r="H3063" s="8">
        <f>VLOOKUP(A3063,[1]!Table1[#All],32,FALSE)</f>
        <v>44469</v>
      </c>
      <c r="I3063" s="8">
        <f>VLOOKUP(A3063,[1]!Table1[#All],33,FALSE)</f>
        <v>46294</v>
      </c>
      <c r="J3063" t="str">
        <f t="shared" ca="1" si="51"/>
        <v>Non UDO</v>
      </c>
    </row>
    <row r="3064" spans="1:10" x14ac:dyDescent="0.35">
      <c r="A3064" s="5" t="s">
        <v>98</v>
      </c>
      <c r="B3064" s="6">
        <v>44531</v>
      </c>
      <c r="C3064" s="7">
        <v>552637</v>
      </c>
      <c r="D3064" s="7">
        <v>0</v>
      </c>
      <c r="E3064" s="7">
        <v>552637</v>
      </c>
      <c r="F3064" t="str">
        <f>VLOOKUP(A3064,[1]!Table1[#All],17,FALSE)</f>
        <v>UNITED STATES</v>
      </c>
      <c r="G3064" t="str">
        <f>VLOOKUP(A3064,[1]!Table1[#All],22,FALSE)</f>
        <v>Trustees Of Columbia University In The City Of New York</v>
      </c>
      <c r="H3064" s="8">
        <f>VLOOKUP(A3064,[1]!Table1[#All],32,FALSE)</f>
        <v>44469</v>
      </c>
      <c r="I3064" s="8">
        <f>VLOOKUP(A3064,[1]!Table1[#All],33,FALSE)</f>
        <v>46294</v>
      </c>
      <c r="J3064" t="str">
        <f t="shared" ca="1" si="51"/>
        <v>Non UDO</v>
      </c>
    </row>
    <row r="3065" spans="1:10" x14ac:dyDescent="0.35">
      <c r="A3065" s="9" t="s">
        <v>98</v>
      </c>
      <c r="B3065" s="10">
        <v>44562</v>
      </c>
      <c r="C3065" s="11">
        <v>552637</v>
      </c>
      <c r="D3065" s="11">
        <v>0</v>
      </c>
      <c r="E3065" s="11">
        <v>552637</v>
      </c>
      <c r="F3065" t="str">
        <f>VLOOKUP(A3065,[1]!Table1[#All],17,FALSE)</f>
        <v>UNITED STATES</v>
      </c>
      <c r="G3065" t="str">
        <f>VLOOKUP(A3065,[1]!Table1[#All],22,FALSE)</f>
        <v>Trustees Of Columbia University In The City Of New York</v>
      </c>
      <c r="H3065" s="8">
        <f>VLOOKUP(A3065,[1]!Table1[#All],32,FALSE)</f>
        <v>44469</v>
      </c>
      <c r="I3065" s="8">
        <f>VLOOKUP(A3065,[1]!Table1[#All],33,FALSE)</f>
        <v>46294</v>
      </c>
      <c r="J3065" t="str">
        <f t="shared" ca="1" si="51"/>
        <v>Non UDO</v>
      </c>
    </row>
    <row r="3066" spans="1:10" x14ac:dyDescent="0.35">
      <c r="A3066" s="5" t="s">
        <v>98</v>
      </c>
      <c r="B3066" s="6">
        <v>44593</v>
      </c>
      <c r="C3066" s="7">
        <v>552637</v>
      </c>
      <c r="D3066" s="7">
        <v>30990.57</v>
      </c>
      <c r="E3066" s="7">
        <v>521646.43000000005</v>
      </c>
      <c r="F3066" t="str">
        <f>VLOOKUP(A3066,[1]!Table1[#All],17,FALSE)</f>
        <v>UNITED STATES</v>
      </c>
      <c r="G3066" t="str">
        <f>VLOOKUP(A3066,[1]!Table1[#All],22,FALSE)</f>
        <v>Trustees Of Columbia University In The City Of New York</v>
      </c>
      <c r="H3066" s="8">
        <f>VLOOKUP(A3066,[1]!Table1[#All],32,FALSE)</f>
        <v>44469</v>
      </c>
      <c r="I3066" s="8">
        <f>VLOOKUP(A3066,[1]!Table1[#All],33,FALSE)</f>
        <v>46294</v>
      </c>
      <c r="J3066" t="str">
        <f t="shared" ca="1" si="51"/>
        <v>Non UDO</v>
      </c>
    </row>
    <row r="3067" spans="1:10" x14ac:dyDescent="0.35">
      <c r="A3067" s="9" t="s">
        <v>98</v>
      </c>
      <c r="B3067" s="10">
        <v>44621</v>
      </c>
      <c r="C3067" s="11">
        <v>552637</v>
      </c>
      <c r="D3067" s="11">
        <v>40936.350000000006</v>
      </c>
      <c r="E3067" s="11">
        <v>511700.65</v>
      </c>
      <c r="F3067" t="str">
        <f>VLOOKUP(A3067,[1]!Table1[#All],17,FALSE)</f>
        <v>UNITED STATES</v>
      </c>
      <c r="G3067" t="str">
        <f>VLOOKUP(A3067,[1]!Table1[#All],22,FALSE)</f>
        <v>Trustees Of Columbia University In The City Of New York</v>
      </c>
      <c r="H3067" s="8">
        <f>VLOOKUP(A3067,[1]!Table1[#All],32,FALSE)</f>
        <v>44469</v>
      </c>
      <c r="I3067" s="8">
        <f>VLOOKUP(A3067,[1]!Table1[#All],33,FALSE)</f>
        <v>46294</v>
      </c>
      <c r="J3067" t="str">
        <f t="shared" ca="1" si="51"/>
        <v>Non UDO</v>
      </c>
    </row>
    <row r="3068" spans="1:10" x14ac:dyDescent="0.35">
      <c r="A3068" s="5" t="s">
        <v>98</v>
      </c>
      <c r="B3068" s="6">
        <v>44652</v>
      </c>
      <c r="C3068" s="7">
        <v>552637</v>
      </c>
      <c r="D3068" s="7">
        <v>58195.55</v>
      </c>
      <c r="E3068" s="7">
        <v>494441.45</v>
      </c>
      <c r="F3068" t="str">
        <f>VLOOKUP(A3068,[1]!Table1[#All],17,FALSE)</f>
        <v>UNITED STATES</v>
      </c>
      <c r="G3068" t="str">
        <f>VLOOKUP(A3068,[1]!Table1[#All],22,FALSE)</f>
        <v>Trustees Of Columbia University In The City Of New York</v>
      </c>
      <c r="H3068" s="8">
        <f>VLOOKUP(A3068,[1]!Table1[#All],32,FALSE)</f>
        <v>44469</v>
      </c>
      <c r="I3068" s="8">
        <f>VLOOKUP(A3068,[1]!Table1[#All],33,FALSE)</f>
        <v>46294</v>
      </c>
      <c r="J3068" t="str">
        <f t="shared" ca="1" si="51"/>
        <v>Non UDO</v>
      </c>
    </row>
    <row r="3069" spans="1:10" x14ac:dyDescent="0.35">
      <c r="A3069" s="9" t="s">
        <v>98</v>
      </c>
      <c r="B3069" s="10">
        <v>44682</v>
      </c>
      <c r="C3069" s="11">
        <v>552637</v>
      </c>
      <c r="D3069" s="11">
        <v>74208.709999999992</v>
      </c>
      <c r="E3069" s="11">
        <v>478428.29000000004</v>
      </c>
      <c r="F3069" t="str">
        <f>VLOOKUP(A3069,[1]!Table1[#All],17,FALSE)</f>
        <v>UNITED STATES</v>
      </c>
      <c r="G3069" t="str">
        <f>VLOOKUP(A3069,[1]!Table1[#All],22,FALSE)</f>
        <v>Trustees Of Columbia University In The City Of New York</v>
      </c>
      <c r="H3069" s="8">
        <f>VLOOKUP(A3069,[1]!Table1[#All],32,FALSE)</f>
        <v>44469</v>
      </c>
      <c r="I3069" s="8">
        <f>VLOOKUP(A3069,[1]!Table1[#All],33,FALSE)</f>
        <v>46294</v>
      </c>
      <c r="J3069" t="str">
        <f t="shared" ca="1" si="51"/>
        <v>Non UDO</v>
      </c>
    </row>
    <row r="3070" spans="1:10" x14ac:dyDescent="0.35">
      <c r="A3070" s="5" t="s">
        <v>98</v>
      </c>
      <c r="B3070" s="6">
        <v>44713</v>
      </c>
      <c r="C3070" s="7">
        <v>552637</v>
      </c>
      <c r="D3070" s="7">
        <v>133120.16999999998</v>
      </c>
      <c r="E3070" s="7">
        <v>419516.83</v>
      </c>
      <c r="F3070" t="str">
        <f>VLOOKUP(A3070,[1]!Table1[#All],17,FALSE)</f>
        <v>UNITED STATES</v>
      </c>
      <c r="G3070" t="str">
        <f>VLOOKUP(A3070,[1]!Table1[#All],22,FALSE)</f>
        <v>Trustees Of Columbia University In The City Of New York</v>
      </c>
      <c r="H3070" s="8">
        <f>VLOOKUP(A3070,[1]!Table1[#All],32,FALSE)</f>
        <v>44469</v>
      </c>
      <c r="I3070" s="8">
        <f>VLOOKUP(A3070,[1]!Table1[#All],33,FALSE)</f>
        <v>46294</v>
      </c>
      <c r="J3070" t="str">
        <f t="shared" ca="1" si="51"/>
        <v>Non UDO</v>
      </c>
    </row>
    <row r="3071" spans="1:10" x14ac:dyDescent="0.35">
      <c r="A3071" s="9" t="s">
        <v>98</v>
      </c>
      <c r="B3071" s="10">
        <v>44743</v>
      </c>
      <c r="C3071" s="11">
        <v>552637</v>
      </c>
      <c r="D3071" s="11">
        <v>174524.95</v>
      </c>
      <c r="E3071" s="11">
        <v>378112.05</v>
      </c>
      <c r="F3071" t="str">
        <f>VLOOKUP(A3071,[1]!Table1[#All],17,FALSE)</f>
        <v>UNITED STATES</v>
      </c>
      <c r="G3071" t="str">
        <f>VLOOKUP(A3071,[1]!Table1[#All],22,FALSE)</f>
        <v>Trustees Of Columbia University In The City Of New York</v>
      </c>
      <c r="H3071" s="8">
        <f>VLOOKUP(A3071,[1]!Table1[#All],32,FALSE)</f>
        <v>44469</v>
      </c>
      <c r="I3071" s="8">
        <f>VLOOKUP(A3071,[1]!Table1[#All],33,FALSE)</f>
        <v>46294</v>
      </c>
      <c r="J3071" t="str">
        <f t="shared" ca="1" si="51"/>
        <v>Non UDO</v>
      </c>
    </row>
    <row r="3072" spans="1:10" x14ac:dyDescent="0.35">
      <c r="A3072" s="5" t="s">
        <v>98</v>
      </c>
      <c r="B3072" s="6">
        <v>44774</v>
      </c>
      <c r="C3072" s="7">
        <v>552637</v>
      </c>
      <c r="D3072" s="7">
        <v>191747.95</v>
      </c>
      <c r="E3072" s="7">
        <v>360889.05</v>
      </c>
      <c r="F3072" t="str">
        <f>VLOOKUP(A3072,[1]!Table1[#All],17,FALSE)</f>
        <v>UNITED STATES</v>
      </c>
      <c r="G3072" t="str">
        <f>VLOOKUP(A3072,[1]!Table1[#All],22,FALSE)</f>
        <v>Trustees Of Columbia University In The City Of New York</v>
      </c>
      <c r="H3072" s="8">
        <f>VLOOKUP(A3072,[1]!Table1[#All],32,FALSE)</f>
        <v>44469</v>
      </c>
      <c r="I3072" s="8">
        <f>VLOOKUP(A3072,[1]!Table1[#All],33,FALSE)</f>
        <v>46294</v>
      </c>
      <c r="J3072" t="str">
        <f t="shared" ca="1" si="51"/>
        <v>Non UDO</v>
      </c>
    </row>
    <row r="3073" spans="1:10" x14ac:dyDescent="0.35">
      <c r="A3073" s="9" t="s">
        <v>98</v>
      </c>
      <c r="B3073" s="10">
        <v>44805</v>
      </c>
      <c r="C3073" s="11">
        <v>552637</v>
      </c>
      <c r="D3073" s="11">
        <v>298003.39</v>
      </c>
      <c r="E3073" s="11">
        <v>254633.61</v>
      </c>
      <c r="F3073" t="str">
        <f>VLOOKUP(A3073,[1]!Table1[#All],17,FALSE)</f>
        <v>UNITED STATES</v>
      </c>
      <c r="G3073" t="str">
        <f>VLOOKUP(A3073,[1]!Table1[#All],22,FALSE)</f>
        <v>Trustees Of Columbia University In The City Of New York</v>
      </c>
      <c r="H3073" s="8">
        <f>VLOOKUP(A3073,[1]!Table1[#All],32,FALSE)</f>
        <v>44469</v>
      </c>
      <c r="I3073" s="8">
        <f>VLOOKUP(A3073,[1]!Table1[#All],33,FALSE)</f>
        <v>46294</v>
      </c>
      <c r="J3073" t="str">
        <f t="shared" ca="1" si="51"/>
        <v>Non UDO</v>
      </c>
    </row>
    <row r="3074" spans="1:10" x14ac:dyDescent="0.35">
      <c r="A3074" s="5" t="s">
        <v>98</v>
      </c>
      <c r="B3074" s="6">
        <v>44835</v>
      </c>
      <c r="C3074" s="7">
        <v>552637</v>
      </c>
      <c r="D3074" s="7">
        <v>365244.23</v>
      </c>
      <c r="E3074" s="7">
        <v>187392.77</v>
      </c>
      <c r="F3074" t="str">
        <f>VLOOKUP(A3074,[1]!Table1[#All],17,FALSE)</f>
        <v>UNITED STATES</v>
      </c>
      <c r="G3074" t="str">
        <f>VLOOKUP(A3074,[1]!Table1[#All],22,FALSE)</f>
        <v>Trustees Of Columbia University In The City Of New York</v>
      </c>
      <c r="H3074" s="8">
        <f>VLOOKUP(A3074,[1]!Table1[#All],32,FALSE)</f>
        <v>44469</v>
      </c>
      <c r="I3074" s="8">
        <f>VLOOKUP(A3074,[1]!Table1[#All],33,FALSE)</f>
        <v>46294</v>
      </c>
      <c r="J3074" t="str">
        <f t="shared" ca="1" si="51"/>
        <v>Non UDO</v>
      </c>
    </row>
    <row r="3075" spans="1:10" x14ac:dyDescent="0.35">
      <c r="A3075" s="9" t="s">
        <v>98</v>
      </c>
      <c r="B3075" s="10">
        <v>44866</v>
      </c>
      <c r="C3075" s="11">
        <v>552637</v>
      </c>
      <c r="D3075" s="11">
        <v>430500.45</v>
      </c>
      <c r="E3075" s="11">
        <v>122136.54999999999</v>
      </c>
      <c r="F3075" t="str">
        <f>VLOOKUP(A3075,[1]!Table1[#All],17,FALSE)</f>
        <v>UNITED STATES</v>
      </c>
      <c r="G3075" t="str">
        <f>VLOOKUP(A3075,[1]!Table1[#All],22,FALSE)</f>
        <v>Trustees Of Columbia University In The City Of New York</v>
      </c>
      <c r="H3075" s="8">
        <f>VLOOKUP(A3075,[1]!Table1[#All],32,FALSE)</f>
        <v>44469</v>
      </c>
      <c r="I3075" s="8">
        <f>VLOOKUP(A3075,[1]!Table1[#All],33,FALSE)</f>
        <v>46294</v>
      </c>
      <c r="J3075" t="str">
        <f t="shared" ref="J3075:J3138" ca="1" si="52">IF(AND( E3075&gt;0,TODAY()&gt;I3075),"UDO","Non UDO")</f>
        <v>Non UDO</v>
      </c>
    </row>
    <row r="3076" spans="1:10" x14ac:dyDescent="0.35">
      <c r="A3076" s="5" t="s">
        <v>98</v>
      </c>
      <c r="B3076" s="6">
        <v>44896</v>
      </c>
      <c r="C3076" s="7">
        <v>552637</v>
      </c>
      <c r="D3076" s="7">
        <v>465033.4</v>
      </c>
      <c r="E3076" s="7">
        <v>87603.6</v>
      </c>
      <c r="F3076" t="str">
        <f>VLOOKUP(A3076,[1]!Table1[#All],17,FALSE)</f>
        <v>UNITED STATES</v>
      </c>
      <c r="G3076" t="str">
        <f>VLOOKUP(A3076,[1]!Table1[#All],22,FALSE)</f>
        <v>Trustees Of Columbia University In The City Of New York</v>
      </c>
      <c r="H3076" s="8">
        <f>VLOOKUP(A3076,[1]!Table1[#All],32,FALSE)</f>
        <v>44469</v>
      </c>
      <c r="I3076" s="8">
        <f>VLOOKUP(A3076,[1]!Table1[#All],33,FALSE)</f>
        <v>46294</v>
      </c>
      <c r="J3076" t="str">
        <f t="shared" ca="1" si="52"/>
        <v>Non UDO</v>
      </c>
    </row>
    <row r="3077" spans="1:10" x14ac:dyDescent="0.35">
      <c r="A3077" s="9" t="s">
        <v>98</v>
      </c>
      <c r="B3077" s="10">
        <v>44927</v>
      </c>
      <c r="C3077" s="11">
        <v>552637</v>
      </c>
      <c r="D3077" s="11">
        <v>465033.4</v>
      </c>
      <c r="E3077" s="11">
        <v>87603.6</v>
      </c>
      <c r="F3077" t="str">
        <f>VLOOKUP(A3077,[1]!Table1[#All],17,FALSE)</f>
        <v>UNITED STATES</v>
      </c>
      <c r="G3077" t="str">
        <f>VLOOKUP(A3077,[1]!Table1[#All],22,FALSE)</f>
        <v>Trustees Of Columbia University In The City Of New York</v>
      </c>
      <c r="H3077" s="8">
        <f>VLOOKUP(A3077,[1]!Table1[#All],32,FALSE)</f>
        <v>44469</v>
      </c>
      <c r="I3077" s="8">
        <f>VLOOKUP(A3077,[1]!Table1[#All],33,FALSE)</f>
        <v>46294</v>
      </c>
      <c r="J3077" t="str">
        <f t="shared" ca="1" si="52"/>
        <v>Non UDO</v>
      </c>
    </row>
    <row r="3078" spans="1:10" x14ac:dyDescent="0.35">
      <c r="A3078" s="5" t="s">
        <v>98</v>
      </c>
      <c r="B3078" s="6">
        <v>44958</v>
      </c>
      <c r="C3078" s="7">
        <v>552637</v>
      </c>
      <c r="D3078" s="7">
        <v>465033.4</v>
      </c>
      <c r="E3078" s="7">
        <v>87603.6</v>
      </c>
      <c r="F3078" t="str">
        <f>VLOOKUP(A3078,[1]!Table1[#All],17,FALSE)</f>
        <v>UNITED STATES</v>
      </c>
      <c r="G3078" t="str">
        <f>VLOOKUP(A3078,[1]!Table1[#All],22,FALSE)</f>
        <v>Trustees Of Columbia University In The City Of New York</v>
      </c>
      <c r="H3078" s="8">
        <f>VLOOKUP(A3078,[1]!Table1[#All],32,FALSE)</f>
        <v>44469</v>
      </c>
      <c r="I3078" s="8">
        <f>VLOOKUP(A3078,[1]!Table1[#All],33,FALSE)</f>
        <v>46294</v>
      </c>
      <c r="J3078" t="str">
        <f t="shared" ca="1" si="52"/>
        <v>Non UDO</v>
      </c>
    </row>
    <row r="3079" spans="1:10" x14ac:dyDescent="0.35">
      <c r="A3079" s="9" t="s">
        <v>98</v>
      </c>
      <c r="B3079" s="10">
        <v>44986</v>
      </c>
      <c r="C3079" s="11">
        <v>552637</v>
      </c>
      <c r="D3079" s="11">
        <v>465033.4</v>
      </c>
      <c r="E3079" s="11">
        <v>87603.6</v>
      </c>
      <c r="F3079" t="str">
        <f>VLOOKUP(A3079,[1]!Table1[#All],17,FALSE)</f>
        <v>UNITED STATES</v>
      </c>
      <c r="G3079" t="str">
        <f>VLOOKUP(A3079,[1]!Table1[#All],22,FALSE)</f>
        <v>Trustees Of Columbia University In The City Of New York</v>
      </c>
      <c r="H3079" s="8">
        <f>VLOOKUP(A3079,[1]!Table1[#All],32,FALSE)</f>
        <v>44469</v>
      </c>
      <c r="I3079" s="8">
        <f>VLOOKUP(A3079,[1]!Table1[#All],33,FALSE)</f>
        <v>46294</v>
      </c>
      <c r="J3079" t="str">
        <f t="shared" ca="1" si="52"/>
        <v>Non UDO</v>
      </c>
    </row>
    <row r="3080" spans="1:10" x14ac:dyDescent="0.35">
      <c r="A3080" s="5" t="s">
        <v>98</v>
      </c>
      <c r="B3080" s="6">
        <v>45017</v>
      </c>
      <c r="C3080" s="7">
        <v>552637</v>
      </c>
      <c r="D3080" s="7">
        <v>465033.4</v>
      </c>
      <c r="E3080" s="7">
        <v>87603.6</v>
      </c>
      <c r="F3080" t="str">
        <f>VLOOKUP(A3080,[1]!Table1[#All],17,FALSE)</f>
        <v>UNITED STATES</v>
      </c>
      <c r="G3080" t="str">
        <f>VLOOKUP(A3080,[1]!Table1[#All],22,FALSE)</f>
        <v>Trustees Of Columbia University In The City Of New York</v>
      </c>
      <c r="H3080" s="8">
        <f>VLOOKUP(A3080,[1]!Table1[#All],32,FALSE)</f>
        <v>44469</v>
      </c>
      <c r="I3080" s="8">
        <f>VLOOKUP(A3080,[1]!Table1[#All],33,FALSE)</f>
        <v>46294</v>
      </c>
      <c r="J3080" t="str">
        <f t="shared" ca="1" si="52"/>
        <v>Non UDO</v>
      </c>
    </row>
    <row r="3081" spans="1:10" x14ac:dyDescent="0.35">
      <c r="A3081" s="9" t="s">
        <v>98</v>
      </c>
      <c r="B3081" s="10">
        <v>45047</v>
      </c>
      <c r="C3081" s="11">
        <v>552637</v>
      </c>
      <c r="D3081" s="11">
        <v>465033.4</v>
      </c>
      <c r="E3081" s="11">
        <v>87603.6</v>
      </c>
      <c r="F3081" t="str">
        <f>VLOOKUP(A3081,[1]!Table1[#All],17,FALSE)</f>
        <v>UNITED STATES</v>
      </c>
      <c r="G3081" t="str">
        <f>VLOOKUP(A3081,[1]!Table1[#All],22,FALSE)</f>
        <v>Trustees Of Columbia University In The City Of New York</v>
      </c>
      <c r="H3081" s="8">
        <f>VLOOKUP(A3081,[1]!Table1[#All],32,FALSE)</f>
        <v>44469</v>
      </c>
      <c r="I3081" s="8">
        <f>VLOOKUP(A3081,[1]!Table1[#All],33,FALSE)</f>
        <v>46294</v>
      </c>
      <c r="J3081" t="str">
        <f t="shared" ca="1" si="52"/>
        <v>Non UDO</v>
      </c>
    </row>
    <row r="3082" spans="1:10" x14ac:dyDescent="0.35">
      <c r="A3082" s="5" t="s">
        <v>98</v>
      </c>
      <c r="B3082" s="6">
        <v>45078</v>
      </c>
      <c r="C3082" s="7">
        <v>552637</v>
      </c>
      <c r="D3082" s="7">
        <v>465033.4</v>
      </c>
      <c r="E3082" s="7">
        <v>87603.6</v>
      </c>
      <c r="F3082" t="str">
        <f>VLOOKUP(A3082,[1]!Table1[#All],17,FALSE)</f>
        <v>UNITED STATES</v>
      </c>
      <c r="G3082" t="str">
        <f>VLOOKUP(A3082,[1]!Table1[#All],22,FALSE)</f>
        <v>Trustees Of Columbia University In The City Of New York</v>
      </c>
      <c r="H3082" s="8">
        <f>VLOOKUP(A3082,[1]!Table1[#All],32,FALSE)</f>
        <v>44469</v>
      </c>
      <c r="I3082" s="8">
        <f>VLOOKUP(A3082,[1]!Table1[#All],33,FALSE)</f>
        <v>46294</v>
      </c>
      <c r="J3082" t="str">
        <f t="shared" ca="1" si="52"/>
        <v>Non UDO</v>
      </c>
    </row>
    <row r="3083" spans="1:10" x14ac:dyDescent="0.35">
      <c r="A3083" s="9" t="s">
        <v>98</v>
      </c>
      <c r="B3083" s="10">
        <v>45108</v>
      </c>
      <c r="C3083" s="11">
        <v>552637</v>
      </c>
      <c r="D3083" s="11">
        <v>465033.4</v>
      </c>
      <c r="E3083" s="11">
        <v>87603.6</v>
      </c>
      <c r="F3083" t="str">
        <f>VLOOKUP(A3083,[1]!Table1[#All],17,FALSE)</f>
        <v>UNITED STATES</v>
      </c>
      <c r="G3083" t="str">
        <f>VLOOKUP(A3083,[1]!Table1[#All],22,FALSE)</f>
        <v>Trustees Of Columbia University In The City Of New York</v>
      </c>
      <c r="H3083" s="8">
        <f>VLOOKUP(A3083,[1]!Table1[#All],32,FALSE)</f>
        <v>44469</v>
      </c>
      <c r="I3083" s="8">
        <f>VLOOKUP(A3083,[1]!Table1[#All],33,FALSE)</f>
        <v>46294</v>
      </c>
      <c r="J3083" t="str">
        <f t="shared" ca="1" si="52"/>
        <v>Non UDO</v>
      </c>
    </row>
    <row r="3084" spans="1:10" x14ac:dyDescent="0.35">
      <c r="A3084" s="5" t="s">
        <v>98</v>
      </c>
      <c r="B3084" s="6">
        <v>45139</v>
      </c>
      <c r="C3084" s="7">
        <v>552637</v>
      </c>
      <c r="D3084" s="7">
        <v>465033.4</v>
      </c>
      <c r="E3084" s="7">
        <v>87603.6</v>
      </c>
      <c r="F3084" t="str">
        <f>VLOOKUP(A3084,[1]!Table1[#All],17,FALSE)</f>
        <v>UNITED STATES</v>
      </c>
      <c r="G3084" t="str">
        <f>VLOOKUP(A3084,[1]!Table1[#All],22,FALSE)</f>
        <v>Trustees Of Columbia University In The City Of New York</v>
      </c>
      <c r="H3084" s="8">
        <f>VLOOKUP(A3084,[1]!Table1[#All],32,FALSE)</f>
        <v>44469</v>
      </c>
      <c r="I3084" s="8">
        <f>VLOOKUP(A3084,[1]!Table1[#All],33,FALSE)</f>
        <v>46294</v>
      </c>
      <c r="J3084" t="str">
        <f t="shared" ca="1" si="52"/>
        <v>Non UDO</v>
      </c>
    </row>
    <row r="3085" spans="1:10" x14ac:dyDescent="0.35">
      <c r="A3085" s="9" t="s">
        <v>98</v>
      </c>
      <c r="B3085" s="10">
        <v>45170</v>
      </c>
      <c r="C3085" s="11">
        <v>552637</v>
      </c>
      <c r="D3085" s="11">
        <v>485304.45</v>
      </c>
      <c r="E3085" s="11">
        <v>67332.55</v>
      </c>
      <c r="F3085" t="str">
        <f>VLOOKUP(A3085,[1]!Table1[#All],17,FALSE)</f>
        <v>UNITED STATES</v>
      </c>
      <c r="G3085" t="str">
        <f>VLOOKUP(A3085,[1]!Table1[#All],22,FALSE)</f>
        <v>Trustees Of Columbia University In The City Of New York</v>
      </c>
      <c r="H3085" s="8">
        <f>VLOOKUP(A3085,[1]!Table1[#All],32,FALSE)</f>
        <v>44469</v>
      </c>
      <c r="I3085" s="8">
        <f>VLOOKUP(A3085,[1]!Table1[#All],33,FALSE)</f>
        <v>46294</v>
      </c>
      <c r="J3085" t="str">
        <f t="shared" ca="1" si="52"/>
        <v>Non UDO</v>
      </c>
    </row>
    <row r="3086" spans="1:10" x14ac:dyDescent="0.35">
      <c r="A3086" s="5" t="s">
        <v>99</v>
      </c>
      <c r="B3086" s="6">
        <v>44440</v>
      </c>
      <c r="C3086" s="7">
        <v>552637</v>
      </c>
      <c r="D3086" s="7">
        <v>0</v>
      </c>
      <c r="E3086" s="7">
        <v>552637</v>
      </c>
      <c r="F3086" t="str">
        <f>VLOOKUP(A3086,[1]!Table1[#All],17,FALSE)</f>
        <v>UNITED STATES</v>
      </c>
      <c r="G3086" t="str">
        <f>VLOOKUP(A3086,[1]!Table1[#All],22,FALSE)</f>
        <v>UNIVERSITY OF WASHINGTON</v>
      </c>
      <c r="H3086" s="8">
        <f>VLOOKUP(A3086,[1]!Table1[#All],32,FALSE)</f>
        <v>44469</v>
      </c>
      <c r="I3086" s="8">
        <f>VLOOKUP(A3086,[1]!Table1[#All],33,FALSE)</f>
        <v>46294</v>
      </c>
      <c r="J3086" t="str">
        <f t="shared" ca="1" si="52"/>
        <v>Non UDO</v>
      </c>
    </row>
    <row r="3087" spans="1:10" x14ac:dyDescent="0.35">
      <c r="A3087" s="9" t="s">
        <v>99</v>
      </c>
      <c r="B3087" s="10">
        <v>44470</v>
      </c>
      <c r="C3087" s="11">
        <v>552637</v>
      </c>
      <c r="D3087" s="11">
        <v>0</v>
      </c>
      <c r="E3087" s="11">
        <v>552637</v>
      </c>
      <c r="F3087" t="str">
        <f>VLOOKUP(A3087,[1]!Table1[#All],17,FALSE)</f>
        <v>UNITED STATES</v>
      </c>
      <c r="G3087" t="str">
        <f>VLOOKUP(A3087,[1]!Table1[#All],22,FALSE)</f>
        <v>UNIVERSITY OF WASHINGTON</v>
      </c>
      <c r="H3087" s="8">
        <f>VLOOKUP(A3087,[1]!Table1[#All],32,FALSE)</f>
        <v>44469</v>
      </c>
      <c r="I3087" s="8">
        <f>VLOOKUP(A3087,[1]!Table1[#All],33,FALSE)</f>
        <v>46294</v>
      </c>
      <c r="J3087" t="str">
        <f t="shared" ca="1" si="52"/>
        <v>Non UDO</v>
      </c>
    </row>
    <row r="3088" spans="1:10" x14ac:dyDescent="0.35">
      <c r="A3088" s="5" t="s">
        <v>99</v>
      </c>
      <c r="B3088" s="6">
        <v>44501</v>
      </c>
      <c r="C3088" s="7">
        <v>552637</v>
      </c>
      <c r="D3088" s="7">
        <v>6555.59</v>
      </c>
      <c r="E3088" s="7">
        <v>546081.41</v>
      </c>
      <c r="F3088" t="str">
        <f>VLOOKUP(A3088,[1]!Table1[#All],17,FALSE)</f>
        <v>UNITED STATES</v>
      </c>
      <c r="G3088" t="str">
        <f>VLOOKUP(A3088,[1]!Table1[#All],22,FALSE)</f>
        <v>UNIVERSITY OF WASHINGTON</v>
      </c>
      <c r="H3088" s="8">
        <f>VLOOKUP(A3088,[1]!Table1[#All],32,FALSE)</f>
        <v>44469</v>
      </c>
      <c r="I3088" s="8">
        <f>VLOOKUP(A3088,[1]!Table1[#All],33,FALSE)</f>
        <v>46294</v>
      </c>
      <c r="J3088" t="str">
        <f t="shared" ca="1" si="52"/>
        <v>Non UDO</v>
      </c>
    </row>
    <row r="3089" spans="1:10" x14ac:dyDescent="0.35">
      <c r="A3089" s="9" t="s">
        <v>99</v>
      </c>
      <c r="B3089" s="10">
        <v>44531</v>
      </c>
      <c r="C3089" s="11">
        <v>552637</v>
      </c>
      <c r="D3089" s="11">
        <v>21926.760000000002</v>
      </c>
      <c r="E3089" s="11">
        <v>530710.24</v>
      </c>
      <c r="F3089" t="str">
        <f>VLOOKUP(A3089,[1]!Table1[#All],17,FALSE)</f>
        <v>UNITED STATES</v>
      </c>
      <c r="G3089" t="str">
        <f>VLOOKUP(A3089,[1]!Table1[#All],22,FALSE)</f>
        <v>UNIVERSITY OF WASHINGTON</v>
      </c>
      <c r="H3089" s="8">
        <f>VLOOKUP(A3089,[1]!Table1[#All],32,FALSE)</f>
        <v>44469</v>
      </c>
      <c r="I3089" s="8">
        <f>VLOOKUP(A3089,[1]!Table1[#All],33,FALSE)</f>
        <v>46294</v>
      </c>
      <c r="J3089" t="str">
        <f t="shared" ca="1" si="52"/>
        <v>Non UDO</v>
      </c>
    </row>
    <row r="3090" spans="1:10" x14ac:dyDescent="0.35">
      <c r="A3090" s="5" t="s">
        <v>99</v>
      </c>
      <c r="B3090" s="6">
        <v>44562</v>
      </c>
      <c r="C3090" s="7">
        <v>552637</v>
      </c>
      <c r="D3090" s="7">
        <v>41271.83</v>
      </c>
      <c r="E3090" s="7">
        <v>511365.17</v>
      </c>
      <c r="F3090" t="str">
        <f>VLOOKUP(A3090,[1]!Table1[#All],17,FALSE)</f>
        <v>UNITED STATES</v>
      </c>
      <c r="G3090" t="str">
        <f>VLOOKUP(A3090,[1]!Table1[#All],22,FALSE)</f>
        <v>UNIVERSITY OF WASHINGTON</v>
      </c>
      <c r="H3090" s="8">
        <f>VLOOKUP(A3090,[1]!Table1[#All],32,FALSE)</f>
        <v>44469</v>
      </c>
      <c r="I3090" s="8">
        <f>VLOOKUP(A3090,[1]!Table1[#All],33,FALSE)</f>
        <v>46294</v>
      </c>
      <c r="J3090" t="str">
        <f t="shared" ca="1" si="52"/>
        <v>Non UDO</v>
      </c>
    </row>
    <row r="3091" spans="1:10" x14ac:dyDescent="0.35">
      <c r="A3091" s="9" t="s">
        <v>99</v>
      </c>
      <c r="B3091" s="10">
        <v>44593</v>
      </c>
      <c r="C3091" s="11">
        <v>552637</v>
      </c>
      <c r="D3091" s="11">
        <v>57249.84</v>
      </c>
      <c r="E3091" s="11">
        <v>495387.16000000003</v>
      </c>
      <c r="F3091" t="str">
        <f>VLOOKUP(A3091,[1]!Table1[#All],17,FALSE)</f>
        <v>UNITED STATES</v>
      </c>
      <c r="G3091" t="str">
        <f>VLOOKUP(A3091,[1]!Table1[#All],22,FALSE)</f>
        <v>UNIVERSITY OF WASHINGTON</v>
      </c>
      <c r="H3091" s="8">
        <f>VLOOKUP(A3091,[1]!Table1[#All],32,FALSE)</f>
        <v>44469</v>
      </c>
      <c r="I3091" s="8">
        <f>VLOOKUP(A3091,[1]!Table1[#All],33,FALSE)</f>
        <v>46294</v>
      </c>
      <c r="J3091" t="str">
        <f t="shared" ca="1" si="52"/>
        <v>Non UDO</v>
      </c>
    </row>
    <row r="3092" spans="1:10" x14ac:dyDescent="0.35">
      <c r="A3092" s="5" t="s">
        <v>99</v>
      </c>
      <c r="B3092" s="6">
        <v>44621</v>
      </c>
      <c r="C3092" s="7">
        <v>552637</v>
      </c>
      <c r="D3092" s="7">
        <v>65217.7</v>
      </c>
      <c r="E3092" s="7">
        <v>487419.3</v>
      </c>
      <c r="F3092" t="str">
        <f>VLOOKUP(A3092,[1]!Table1[#All],17,FALSE)</f>
        <v>UNITED STATES</v>
      </c>
      <c r="G3092" t="str">
        <f>VLOOKUP(A3092,[1]!Table1[#All],22,FALSE)</f>
        <v>UNIVERSITY OF WASHINGTON</v>
      </c>
      <c r="H3092" s="8">
        <f>VLOOKUP(A3092,[1]!Table1[#All],32,FALSE)</f>
        <v>44469</v>
      </c>
      <c r="I3092" s="8">
        <f>VLOOKUP(A3092,[1]!Table1[#All],33,FALSE)</f>
        <v>46294</v>
      </c>
      <c r="J3092" t="str">
        <f t="shared" ca="1" si="52"/>
        <v>Non UDO</v>
      </c>
    </row>
    <row r="3093" spans="1:10" x14ac:dyDescent="0.35">
      <c r="A3093" s="9" t="s">
        <v>99</v>
      </c>
      <c r="B3093" s="10">
        <v>44652</v>
      </c>
      <c r="C3093" s="11">
        <v>552637</v>
      </c>
      <c r="D3093" s="11">
        <v>117335.79</v>
      </c>
      <c r="E3093" s="11">
        <v>435301.20999999996</v>
      </c>
      <c r="F3093" t="str">
        <f>VLOOKUP(A3093,[1]!Table1[#All],17,FALSE)</f>
        <v>UNITED STATES</v>
      </c>
      <c r="G3093" t="str">
        <f>VLOOKUP(A3093,[1]!Table1[#All],22,FALSE)</f>
        <v>UNIVERSITY OF WASHINGTON</v>
      </c>
      <c r="H3093" s="8">
        <f>VLOOKUP(A3093,[1]!Table1[#All],32,FALSE)</f>
        <v>44469</v>
      </c>
      <c r="I3093" s="8">
        <f>VLOOKUP(A3093,[1]!Table1[#All],33,FALSE)</f>
        <v>46294</v>
      </c>
      <c r="J3093" t="str">
        <f t="shared" ca="1" si="52"/>
        <v>Non UDO</v>
      </c>
    </row>
    <row r="3094" spans="1:10" x14ac:dyDescent="0.35">
      <c r="A3094" s="5" t="s">
        <v>99</v>
      </c>
      <c r="B3094" s="6">
        <v>44682</v>
      </c>
      <c r="C3094" s="7">
        <v>552637</v>
      </c>
      <c r="D3094" s="7">
        <v>149304.53</v>
      </c>
      <c r="E3094" s="7">
        <v>403332.47</v>
      </c>
      <c r="F3094" t="str">
        <f>VLOOKUP(A3094,[1]!Table1[#All],17,FALSE)</f>
        <v>UNITED STATES</v>
      </c>
      <c r="G3094" t="str">
        <f>VLOOKUP(A3094,[1]!Table1[#All],22,FALSE)</f>
        <v>UNIVERSITY OF WASHINGTON</v>
      </c>
      <c r="H3094" s="8">
        <f>VLOOKUP(A3094,[1]!Table1[#All],32,FALSE)</f>
        <v>44469</v>
      </c>
      <c r="I3094" s="8">
        <f>VLOOKUP(A3094,[1]!Table1[#All],33,FALSE)</f>
        <v>46294</v>
      </c>
      <c r="J3094" t="str">
        <f t="shared" ca="1" si="52"/>
        <v>Non UDO</v>
      </c>
    </row>
    <row r="3095" spans="1:10" x14ac:dyDescent="0.35">
      <c r="A3095" s="9" t="s">
        <v>99</v>
      </c>
      <c r="B3095" s="10">
        <v>44713</v>
      </c>
      <c r="C3095" s="11">
        <v>552637</v>
      </c>
      <c r="D3095" s="11">
        <v>214062.88999999998</v>
      </c>
      <c r="E3095" s="11">
        <v>338574.11</v>
      </c>
      <c r="F3095" t="str">
        <f>VLOOKUP(A3095,[1]!Table1[#All],17,FALSE)</f>
        <v>UNITED STATES</v>
      </c>
      <c r="G3095" t="str">
        <f>VLOOKUP(A3095,[1]!Table1[#All],22,FALSE)</f>
        <v>UNIVERSITY OF WASHINGTON</v>
      </c>
      <c r="H3095" s="8">
        <f>VLOOKUP(A3095,[1]!Table1[#All],32,FALSE)</f>
        <v>44469</v>
      </c>
      <c r="I3095" s="8">
        <f>VLOOKUP(A3095,[1]!Table1[#All],33,FALSE)</f>
        <v>46294</v>
      </c>
      <c r="J3095" t="str">
        <f t="shared" ca="1" si="52"/>
        <v>Non UDO</v>
      </c>
    </row>
    <row r="3096" spans="1:10" x14ac:dyDescent="0.35">
      <c r="A3096" s="5" t="s">
        <v>99</v>
      </c>
      <c r="B3096" s="6">
        <v>44743</v>
      </c>
      <c r="C3096" s="7">
        <v>552637</v>
      </c>
      <c r="D3096" s="7">
        <v>260548.09</v>
      </c>
      <c r="E3096" s="7">
        <v>292088.91000000003</v>
      </c>
      <c r="F3096" t="str">
        <f>VLOOKUP(A3096,[1]!Table1[#All],17,FALSE)</f>
        <v>UNITED STATES</v>
      </c>
      <c r="G3096" t="str">
        <f>VLOOKUP(A3096,[1]!Table1[#All],22,FALSE)</f>
        <v>UNIVERSITY OF WASHINGTON</v>
      </c>
      <c r="H3096" s="8">
        <f>VLOOKUP(A3096,[1]!Table1[#All],32,FALSE)</f>
        <v>44469</v>
      </c>
      <c r="I3096" s="8">
        <f>VLOOKUP(A3096,[1]!Table1[#All],33,FALSE)</f>
        <v>46294</v>
      </c>
      <c r="J3096" t="str">
        <f t="shared" ca="1" si="52"/>
        <v>Non UDO</v>
      </c>
    </row>
    <row r="3097" spans="1:10" x14ac:dyDescent="0.35">
      <c r="A3097" s="9" t="s">
        <v>99</v>
      </c>
      <c r="B3097" s="10">
        <v>44774</v>
      </c>
      <c r="C3097" s="11">
        <v>552637</v>
      </c>
      <c r="D3097" s="11">
        <v>319821.53000000003</v>
      </c>
      <c r="E3097" s="11">
        <v>232815.47</v>
      </c>
      <c r="F3097" t="str">
        <f>VLOOKUP(A3097,[1]!Table1[#All],17,FALSE)</f>
        <v>UNITED STATES</v>
      </c>
      <c r="G3097" t="str">
        <f>VLOOKUP(A3097,[1]!Table1[#All],22,FALSE)</f>
        <v>UNIVERSITY OF WASHINGTON</v>
      </c>
      <c r="H3097" s="8">
        <f>VLOOKUP(A3097,[1]!Table1[#All],32,FALSE)</f>
        <v>44469</v>
      </c>
      <c r="I3097" s="8">
        <f>VLOOKUP(A3097,[1]!Table1[#All],33,FALSE)</f>
        <v>46294</v>
      </c>
      <c r="J3097" t="str">
        <f t="shared" ca="1" si="52"/>
        <v>Non UDO</v>
      </c>
    </row>
    <row r="3098" spans="1:10" x14ac:dyDescent="0.35">
      <c r="A3098" s="5" t="s">
        <v>99</v>
      </c>
      <c r="B3098" s="6">
        <v>44805</v>
      </c>
      <c r="C3098" s="7">
        <v>552637</v>
      </c>
      <c r="D3098" s="7">
        <v>294449.65999999997</v>
      </c>
      <c r="E3098" s="7">
        <v>258187.34000000003</v>
      </c>
      <c r="F3098" t="str">
        <f>VLOOKUP(A3098,[1]!Table1[#All],17,FALSE)</f>
        <v>UNITED STATES</v>
      </c>
      <c r="G3098" t="str">
        <f>VLOOKUP(A3098,[1]!Table1[#All],22,FALSE)</f>
        <v>UNIVERSITY OF WASHINGTON</v>
      </c>
      <c r="H3098" s="8">
        <f>VLOOKUP(A3098,[1]!Table1[#All],32,FALSE)</f>
        <v>44469</v>
      </c>
      <c r="I3098" s="8">
        <f>VLOOKUP(A3098,[1]!Table1[#All],33,FALSE)</f>
        <v>46294</v>
      </c>
      <c r="J3098" t="str">
        <f t="shared" ca="1" si="52"/>
        <v>Non UDO</v>
      </c>
    </row>
    <row r="3099" spans="1:10" x14ac:dyDescent="0.35">
      <c r="A3099" s="9" t="s">
        <v>99</v>
      </c>
      <c r="B3099" s="10">
        <v>44835</v>
      </c>
      <c r="C3099" s="11">
        <v>552637</v>
      </c>
      <c r="D3099" s="11">
        <v>394218.1</v>
      </c>
      <c r="E3099" s="11">
        <v>158418.9</v>
      </c>
      <c r="F3099" t="str">
        <f>VLOOKUP(A3099,[1]!Table1[#All],17,FALSE)</f>
        <v>UNITED STATES</v>
      </c>
      <c r="G3099" t="str">
        <f>VLOOKUP(A3099,[1]!Table1[#All],22,FALSE)</f>
        <v>UNIVERSITY OF WASHINGTON</v>
      </c>
      <c r="H3099" s="8">
        <f>VLOOKUP(A3099,[1]!Table1[#All],32,FALSE)</f>
        <v>44469</v>
      </c>
      <c r="I3099" s="8">
        <f>VLOOKUP(A3099,[1]!Table1[#All],33,FALSE)</f>
        <v>46294</v>
      </c>
      <c r="J3099" t="str">
        <f t="shared" ca="1" si="52"/>
        <v>Non UDO</v>
      </c>
    </row>
    <row r="3100" spans="1:10" x14ac:dyDescent="0.35">
      <c r="A3100" s="5" t="s">
        <v>99</v>
      </c>
      <c r="B3100" s="6">
        <v>44866</v>
      </c>
      <c r="C3100" s="7">
        <v>552637</v>
      </c>
      <c r="D3100" s="7">
        <v>396359.85</v>
      </c>
      <c r="E3100" s="7">
        <v>156277.15000000002</v>
      </c>
      <c r="F3100" t="str">
        <f>VLOOKUP(A3100,[1]!Table1[#All],17,FALSE)</f>
        <v>UNITED STATES</v>
      </c>
      <c r="G3100" t="str">
        <f>VLOOKUP(A3100,[1]!Table1[#All],22,FALSE)</f>
        <v>UNIVERSITY OF WASHINGTON</v>
      </c>
      <c r="H3100" s="8">
        <f>VLOOKUP(A3100,[1]!Table1[#All],32,FALSE)</f>
        <v>44469</v>
      </c>
      <c r="I3100" s="8">
        <f>VLOOKUP(A3100,[1]!Table1[#All],33,FALSE)</f>
        <v>46294</v>
      </c>
      <c r="J3100" t="str">
        <f t="shared" ca="1" si="52"/>
        <v>Non UDO</v>
      </c>
    </row>
    <row r="3101" spans="1:10" x14ac:dyDescent="0.35">
      <c r="A3101" s="9" t="s">
        <v>99</v>
      </c>
      <c r="B3101" s="10">
        <v>44896</v>
      </c>
      <c r="C3101" s="11">
        <v>552637</v>
      </c>
      <c r="D3101" s="11">
        <v>509501.88</v>
      </c>
      <c r="E3101" s="11">
        <v>43135.12</v>
      </c>
      <c r="F3101" t="str">
        <f>VLOOKUP(A3101,[1]!Table1[#All],17,FALSE)</f>
        <v>UNITED STATES</v>
      </c>
      <c r="G3101" t="str">
        <f>VLOOKUP(A3101,[1]!Table1[#All],22,FALSE)</f>
        <v>UNIVERSITY OF WASHINGTON</v>
      </c>
      <c r="H3101" s="8">
        <f>VLOOKUP(A3101,[1]!Table1[#All],32,FALSE)</f>
        <v>44469</v>
      </c>
      <c r="I3101" s="8">
        <f>VLOOKUP(A3101,[1]!Table1[#All],33,FALSE)</f>
        <v>46294</v>
      </c>
      <c r="J3101" t="str">
        <f t="shared" ca="1" si="52"/>
        <v>Non UDO</v>
      </c>
    </row>
    <row r="3102" spans="1:10" x14ac:dyDescent="0.35">
      <c r="A3102" s="5" t="s">
        <v>99</v>
      </c>
      <c r="B3102" s="6">
        <v>44927</v>
      </c>
      <c r="C3102" s="7">
        <v>552637</v>
      </c>
      <c r="D3102" s="7">
        <v>455141.54000000004</v>
      </c>
      <c r="E3102" s="7">
        <v>97495.459999999992</v>
      </c>
      <c r="F3102" t="str">
        <f>VLOOKUP(A3102,[1]!Table1[#All],17,FALSE)</f>
        <v>UNITED STATES</v>
      </c>
      <c r="G3102" t="str">
        <f>VLOOKUP(A3102,[1]!Table1[#All],22,FALSE)</f>
        <v>UNIVERSITY OF WASHINGTON</v>
      </c>
      <c r="H3102" s="8">
        <f>VLOOKUP(A3102,[1]!Table1[#All],32,FALSE)</f>
        <v>44469</v>
      </c>
      <c r="I3102" s="8">
        <f>VLOOKUP(A3102,[1]!Table1[#All],33,FALSE)</f>
        <v>46294</v>
      </c>
      <c r="J3102" t="str">
        <f t="shared" ca="1" si="52"/>
        <v>Non UDO</v>
      </c>
    </row>
    <row r="3103" spans="1:10" x14ac:dyDescent="0.35">
      <c r="A3103" s="9" t="s">
        <v>99</v>
      </c>
      <c r="B3103" s="10">
        <v>44958</v>
      </c>
      <c r="C3103" s="11">
        <v>552637</v>
      </c>
      <c r="D3103" s="11">
        <v>463149.16000000003</v>
      </c>
      <c r="E3103" s="11">
        <v>89487.84</v>
      </c>
      <c r="F3103" t="str">
        <f>VLOOKUP(A3103,[1]!Table1[#All],17,FALSE)</f>
        <v>UNITED STATES</v>
      </c>
      <c r="G3103" t="str">
        <f>VLOOKUP(A3103,[1]!Table1[#All],22,FALSE)</f>
        <v>UNIVERSITY OF WASHINGTON</v>
      </c>
      <c r="H3103" s="8">
        <f>VLOOKUP(A3103,[1]!Table1[#All],32,FALSE)</f>
        <v>44469</v>
      </c>
      <c r="I3103" s="8">
        <f>VLOOKUP(A3103,[1]!Table1[#All],33,FALSE)</f>
        <v>46294</v>
      </c>
      <c r="J3103" t="str">
        <f t="shared" ca="1" si="52"/>
        <v>Non UDO</v>
      </c>
    </row>
    <row r="3104" spans="1:10" x14ac:dyDescent="0.35">
      <c r="A3104" s="5" t="s">
        <v>99</v>
      </c>
      <c r="B3104" s="6">
        <v>44986</v>
      </c>
      <c r="C3104" s="7">
        <v>552637</v>
      </c>
      <c r="D3104" s="7">
        <v>469602.91</v>
      </c>
      <c r="E3104" s="7">
        <v>83034.09</v>
      </c>
      <c r="F3104" t="str">
        <f>VLOOKUP(A3104,[1]!Table1[#All],17,FALSE)</f>
        <v>UNITED STATES</v>
      </c>
      <c r="G3104" t="str">
        <f>VLOOKUP(A3104,[1]!Table1[#All],22,FALSE)</f>
        <v>UNIVERSITY OF WASHINGTON</v>
      </c>
      <c r="H3104" s="8">
        <f>VLOOKUP(A3104,[1]!Table1[#All],32,FALSE)</f>
        <v>44469</v>
      </c>
      <c r="I3104" s="8">
        <f>VLOOKUP(A3104,[1]!Table1[#All],33,FALSE)</f>
        <v>46294</v>
      </c>
      <c r="J3104" t="str">
        <f t="shared" ca="1" si="52"/>
        <v>Non UDO</v>
      </c>
    </row>
    <row r="3105" spans="1:10" x14ac:dyDescent="0.35">
      <c r="A3105" s="9" t="s">
        <v>99</v>
      </c>
      <c r="B3105" s="10">
        <v>45017</v>
      </c>
      <c r="C3105" s="11">
        <v>552637</v>
      </c>
      <c r="D3105" s="11">
        <v>498473.12</v>
      </c>
      <c r="E3105" s="11">
        <v>54163.880000000005</v>
      </c>
      <c r="F3105" t="str">
        <f>VLOOKUP(A3105,[1]!Table1[#All],17,FALSE)</f>
        <v>UNITED STATES</v>
      </c>
      <c r="G3105" t="str">
        <f>VLOOKUP(A3105,[1]!Table1[#All],22,FALSE)</f>
        <v>UNIVERSITY OF WASHINGTON</v>
      </c>
      <c r="H3105" s="8">
        <f>VLOOKUP(A3105,[1]!Table1[#All],32,FALSE)</f>
        <v>44469</v>
      </c>
      <c r="I3105" s="8">
        <f>VLOOKUP(A3105,[1]!Table1[#All],33,FALSE)</f>
        <v>46294</v>
      </c>
      <c r="J3105" t="str">
        <f t="shared" ca="1" si="52"/>
        <v>Non UDO</v>
      </c>
    </row>
    <row r="3106" spans="1:10" x14ac:dyDescent="0.35">
      <c r="A3106" s="5" t="s">
        <v>99</v>
      </c>
      <c r="B3106" s="6">
        <v>45047</v>
      </c>
      <c r="C3106" s="7">
        <v>552637</v>
      </c>
      <c r="D3106" s="7">
        <v>498863.13</v>
      </c>
      <c r="E3106" s="7">
        <v>53773.869999999995</v>
      </c>
      <c r="F3106" t="str">
        <f>VLOOKUP(A3106,[1]!Table1[#All],17,FALSE)</f>
        <v>UNITED STATES</v>
      </c>
      <c r="G3106" t="str">
        <f>VLOOKUP(A3106,[1]!Table1[#All],22,FALSE)</f>
        <v>UNIVERSITY OF WASHINGTON</v>
      </c>
      <c r="H3106" s="8">
        <f>VLOOKUP(A3106,[1]!Table1[#All],32,FALSE)</f>
        <v>44469</v>
      </c>
      <c r="I3106" s="8">
        <f>VLOOKUP(A3106,[1]!Table1[#All],33,FALSE)</f>
        <v>46294</v>
      </c>
      <c r="J3106" t="str">
        <f t="shared" ca="1" si="52"/>
        <v>Non UDO</v>
      </c>
    </row>
    <row r="3107" spans="1:10" x14ac:dyDescent="0.35">
      <c r="A3107" s="9" t="s">
        <v>99</v>
      </c>
      <c r="B3107" s="10">
        <v>45078</v>
      </c>
      <c r="C3107" s="11">
        <v>552637</v>
      </c>
      <c r="D3107" s="11">
        <v>533698.09000000008</v>
      </c>
      <c r="E3107" s="11">
        <v>18938.91</v>
      </c>
      <c r="F3107" t="str">
        <f>VLOOKUP(A3107,[1]!Table1[#All],17,FALSE)</f>
        <v>UNITED STATES</v>
      </c>
      <c r="G3107" t="str">
        <f>VLOOKUP(A3107,[1]!Table1[#All],22,FALSE)</f>
        <v>UNIVERSITY OF WASHINGTON</v>
      </c>
      <c r="H3107" s="8">
        <f>VLOOKUP(A3107,[1]!Table1[#All],32,FALSE)</f>
        <v>44469</v>
      </c>
      <c r="I3107" s="8">
        <f>VLOOKUP(A3107,[1]!Table1[#All],33,FALSE)</f>
        <v>46294</v>
      </c>
      <c r="J3107" t="str">
        <f t="shared" ca="1" si="52"/>
        <v>Non UDO</v>
      </c>
    </row>
    <row r="3108" spans="1:10" x14ac:dyDescent="0.35">
      <c r="A3108" s="5" t="s">
        <v>99</v>
      </c>
      <c r="B3108" s="6">
        <v>45108</v>
      </c>
      <c r="C3108" s="7">
        <v>552637</v>
      </c>
      <c r="D3108" s="7">
        <v>533698.09000000008</v>
      </c>
      <c r="E3108" s="7">
        <v>18938.91</v>
      </c>
      <c r="F3108" t="str">
        <f>VLOOKUP(A3108,[1]!Table1[#All],17,FALSE)</f>
        <v>UNITED STATES</v>
      </c>
      <c r="G3108" t="str">
        <f>VLOOKUP(A3108,[1]!Table1[#All],22,FALSE)</f>
        <v>UNIVERSITY OF WASHINGTON</v>
      </c>
      <c r="H3108" s="8">
        <f>VLOOKUP(A3108,[1]!Table1[#All],32,FALSE)</f>
        <v>44469</v>
      </c>
      <c r="I3108" s="8">
        <f>VLOOKUP(A3108,[1]!Table1[#All],33,FALSE)</f>
        <v>46294</v>
      </c>
      <c r="J3108" t="str">
        <f t="shared" ca="1" si="52"/>
        <v>Non UDO</v>
      </c>
    </row>
    <row r="3109" spans="1:10" x14ac:dyDescent="0.35">
      <c r="A3109" s="9" t="s">
        <v>99</v>
      </c>
      <c r="B3109" s="10">
        <v>45139</v>
      </c>
      <c r="C3109" s="11">
        <v>552637</v>
      </c>
      <c r="D3109" s="11">
        <v>552637</v>
      </c>
      <c r="E3109" s="11">
        <v>0</v>
      </c>
      <c r="F3109" t="str">
        <f>VLOOKUP(A3109,[1]!Table1[#All],17,FALSE)</f>
        <v>UNITED STATES</v>
      </c>
      <c r="G3109" t="str">
        <f>VLOOKUP(A3109,[1]!Table1[#All],22,FALSE)</f>
        <v>UNIVERSITY OF WASHINGTON</v>
      </c>
      <c r="H3109" s="8">
        <f>VLOOKUP(A3109,[1]!Table1[#All],32,FALSE)</f>
        <v>44469</v>
      </c>
      <c r="I3109" s="8">
        <f>VLOOKUP(A3109,[1]!Table1[#All],33,FALSE)</f>
        <v>46294</v>
      </c>
      <c r="J3109" t="str">
        <f t="shared" ca="1" si="52"/>
        <v>Non UDO</v>
      </c>
    </row>
    <row r="3110" spans="1:10" x14ac:dyDescent="0.35">
      <c r="A3110" s="5" t="s">
        <v>99</v>
      </c>
      <c r="B3110" s="6">
        <v>45170</v>
      </c>
      <c r="C3110" s="7">
        <v>552637</v>
      </c>
      <c r="D3110" s="7">
        <v>552637</v>
      </c>
      <c r="E3110" s="7">
        <v>0</v>
      </c>
      <c r="F3110" t="str">
        <f>VLOOKUP(A3110,[1]!Table1[#All],17,FALSE)</f>
        <v>UNITED STATES</v>
      </c>
      <c r="G3110" t="str">
        <f>VLOOKUP(A3110,[1]!Table1[#All],22,FALSE)</f>
        <v>UNIVERSITY OF WASHINGTON</v>
      </c>
      <c r="H3110" s="8">
        <f>VLOOKUP(A3110,[1]!Table1[#All],32,FALSE)</f>
        <v>44469</v>
      </c>
      <c r="I3110" s="8">
        <f>VLOOKUP(A3110,[1]!Table1[#All],33,FALSE)</f>
        <v>46294</v>
      </c>
      <c r="J3110" t="str">
        <f t="shared" ca="1" si="52"/>
        <v>Non UDO</v>
      </c>
    </row>
    <row r="3111" spans="1:10" x14ac:dyDescent="0.35">
      <c r="A3111" s="9" t="s">
        <v>100</v>
      </c>
      <c r="B3111" s="10">
        <v>44105</v>
      </c>
      <c r="C3111" s="11">
        <v>245000</v>
      </c>
      <c r="D3111" s="11">
        <v>0</v>
      </c>
      <c r="E3111" s="11">
        <v>245000</v>
      </c>
      <c r="F3111" t="str">
        <f>VLOOKUP(A3111,[1]!Table1[#All],17,FALSE)</f>
        <v>UNITED STATES</v>
      </c>
      <c r="G3111" t="str">
        <f>VLOOKUP(A3111,[1]!Table1[#All],22,FALSE)</f>
        <v>AMERICAN ACADEMY OF PEDIATRICS</v>
      </c>
      <c r="H3111" s="8">
        <f>VLOOKUP(A3111,[1]!Table1[#All],32,FALSE)</f>
        <v>43313</v>
      </c>
      <c r="I3111" s="8">
        <f>VLOOKUP(A3111,[1]!Table1[#All],33,FALSE)</f>
        <v>45138</v>
      </c>
      <c r="J3111" t="str">
        <f t="shared" ca="1" si="52"/>
        <v>UDO</v>
      </c>
    </row>
    <row r="3112" spans="1:10" x14ac:dyDescent="0.35">
      <c r="A3112" s="5" t="s">
        <v>100</v>
      </c>
      <c r="B3112" s="6">
        <v>44136</v>
      </c>
      <c r="C3112" s="7">
        <v>245000</v>
      </c>
      <c r="D3112" s="7">
        <v>0</v>
      </c>
      <c r="E3112" s="7">
        <v>245000</v>
      </c>
      <c r="F3112" t="str">
        <f>VLOOKUP(A3112,[1]!Table1[#All],17,FALSE)</f>
        <v>UNITED STATES</v>
      </c>
      <c r="G3112" t="str">
        <f>VLOOKUP(A3112,[1]!Table1[#All],22,FALSE)</f>
        <v>AMERICAN ACADEMY OF PEDIATRICS</v>
      </c>
      <c r="H3112" s="8">
        <f>VLOOKUP(A3112,[1]!Table1[#All],32,FALSE)</f>
        <v>43313</v>
      </c>
      <c r="I3112" s="8">
        <f>VLOOKUP(A3112,[1]!Table1[#All],33,FALSE)</f>
        <v>45138</v>
      </c>
      <c r="J3112" t="str">
        <f t="shared" ca="1" si="52"/>
        <v>UDO</v>
      </c>
    </row>
    <row r="3113" spans="1:10" x14ac:dyDescent="0.35">
      <c r="A3113" s="9" t="s">
        <v>100</v>
      </c>
      <c r="B3113" s="10">
        <v>44166</v>
      </c>
      <c r="C3113" s="11">
        <v>245000</v>
      </c>
      <c r="D3113" s="11">
        <v>0</v>
      </c>
      <c r="E3113" s="11">
        <v>245000</v>
      </c>
      <c r="F3113" t="str">
        <f>VLOOKUP(A3113,[1]!Table1[#All],17,FALSE)</f>
        <v>UNITED STATES</v>
      </c>
      <c r="G3113" t="str">
        <f>VLOOKUP(A3113,[1]!Table1[#All],22,FALSE)</f>
        <v>AMERICAN ACADEMY OF PEDIATRICS</v>
      </c>
      <c r="H3113" s="8">
        <f>VLOOKUP(A3113,[1]!Table1[#All],32,FALSE)</f>
        <v>43313</v>
      </c>
      <c r="I3113" s="8">
        <f>VLOOKUP(A3113,[1]!Table1[#All],33,FALSE)</f>
        <v>45138</v>
      </c>
      <c r="J3113" t="str">
        <f t="shared" ca="1" si="52"/>
        <v>UDO</v>
      </c>
    </row>
    <row r="3114" spans="1:10" x14ac:dyDescent="0.35">
      <c r="A3114" s="5" t="s">
        <v>100</v>
      </c>
      <c r="B3114" s="6">
        <v>44197</v>
      </c>
      <c r="C3114" s="7">
        <v>245000</v>
      </c>
      <c r="D3114" s="7">
        <v>0</v>
      </c>
      <c r="E3114" s="7">
        <v>245000</v>
      </c>
      <c r="F3114" t="str">
        <f>VLOOKUP(A3114,[1]!Table1[#All],17,FALSE)</f>
        <v>UNITED STATES</v>
      </c>
      <c r="G3114" t="str">
        <f>VLOOKUP(A3114,[1]!Table1[#All],22,FALSE)</f>
        <v>AMERICAN ACADEMY OF PEDIATRICS</v>
      </c>
      <c r="H3114" s="8">
        <f>VLOOKUP(A3114,[1]!Table1[#All],32,FALSE)</f>
        <v>43313</v>
      </c>
      <c r="I3114" s="8">
        <f>VLOOKUP(A3114,[1]!Table1[#All],33,FALSE)</f>
        <v>45138</v>
      </c>
      <c r="J3114" t="str">
        <f t="shared" ca="1" si="52"/>
        <v>UDO</v>
      </c>
    </row>
    <row r="3115" spans="1:10" x14ac:dyDescent="0.35">
      <c r="A3115" s="9" t="s">
        <v>100</v>
      </c>
      <c r="B3115" s="10">
        <v>44228</v>
      </c>
      <c r="C3115" s="11">
        <v>245000</v>
      </c>
      <c r="D3115" s="11">
        <v>0</v>
      </c>
      <c r="E3115" s="11">
        <v>245000</v>
      </c>
      <c r="F3115" t="str">
        <f>VLOOKUP(A3115,[1]!Table1[#All],17,FALSE)</f>
        <v>UNITED STATES</v>
      </c>
      <c r="G3115" t="str">
        <f>VLOOKUP(A3115,[1]!Table1[#All],22,FALSE)</f>
        <v>AMERICAN ACADEMY OF PEDIATRICS</v>
      </c>
      <c r="H3115" s="8">
        <f>VLOOKUP(A3115,[1]!Table1[#All],32,FALSE)</f>
        <v>43313</v>
      </c>
      <c r="I3115" s="8">
        <f>VLOOKUP(A3115,[1]!Table1[#All],33,FALSE)</f>
        <v>45138</v>
      </c>
      <c r="J3115" t="str">
        <f t="shared" ca="1" si="52"/>
        <v>UDO</v>
      </c>
    </row>
    <row r="3116" spans="1:10" x14ac:dyDescent="0.35">
      <c r="A3116" s="5" t="s">
        <v>100</v>
      </c>
      <c r="B3116" s="6">
        <v>44256</v>
      </c>
      <c r="C3116" s="7">
        <v>245000</v>
      </c>
      <c r="D3116" s="7">
        <v>12699.54</v>
      </c>
      <c r="E3116" s="7">
        <v>232300.46</v>
      </c>
      <c r="F3116" t="str">
        <f>VLOOKUP(A3116,[1]!Table1[#All],17,FALSE)</f>
        <v>UNITED STATES</v>
      </c>
      <c r="G3116" t="str">
        <f>VLOOKUP(A3116,[1]!Table1[#All],22,FALSE)</f>
        <v>AMERICAN ACADEMY OF PEDIATRICS</v>
      </c>
      <c r="H3116" s="8">
        <f>VLOOKUP(A3116,[1]!Table1[#All],32,FALSE)</f>
        <v>43313</v>
      </c>
      <c r="I3116" s="8">
        <f>VLOOKUP(A3116,[1]!Table1[#All],33,FALSE)</f>
        <v>45138</v>
      </c>
      <c r="J3116" t="str">
        <f t="shared" ca="1" si="52"/>
        <v>UDO</v>
      </c>
    </row>
    <row r="3117" spans="1:10" x14ac:dyDescent="0.35">
      <c r="A3117" s="9" t="s">
        <v>100</v>
      </c>
      <c r="B3117" s="10">
        <v>44317</v>
      </c>
      <c r="C3117" s="11">
        <v>245000</v>
      </c>
      <c r="D3117" s="11">
        <v>55463.839999999997</v>
      </c>
      <c r="E3117" s="11">
        <v>189536.16</v>
      </c>
      <c r="F3117" t="str">
        <f>VLOOKUP(A3117,[1]!Table1[#All],17,FALSE)</f>
        <v>UNITED STATES</v>
      </c>
      <c r="G3117" t="str">
        <f>VLOOKUP(A3117,[1]!Table1[#All],22,FALSE)</f>
        <v>AMERICAN ACADEMY OF PEDIATRICS</v>
      </c>
      <c r="H3117" s="8">
        <f>VLOOKUP(A3117,[1]!Table1[#All],32,FALSE)</f>
        <v>43313</v>
      </c>
      <c r="I3117" s="8">
        <f>VLOOKUP(A3117,[1]!Table1[#All],33,FALSE)</f>
        <v>45138</v>
      </c>
      <c r="J3117" t="str">
        <f t="shared" ca="1" si="52"/>
        <v>UDO</v>
      </c>
    </row>
    <row r="3118" spans="1:10" x14ac:dyDescent="0.35">
      <c r="A3118" s="5" t="s">
        <v>100</v>
      </c>
      <c r="B3118" s="6">
        <v>44348</v>
      </c>
      <c r="C3118" s="7">
        <v>245000</v>
      </c>
      <c r="D3118" s="7">
        <v>82346.45</v>
      </c>
      <c r="E3118" s="7">
        <v>162653.54999999999</v>
      </c>
      <c r="F3118" t="str">
        <f>VLOOKUP(A3118,[1]!Table1[#All],17,FALSE)</f>
        <v>UNITED STATES</v>
      </c>
      <c r="G3118" t="str">
        <f>VLOOKUP(A3118,[1]!Table1[#All],22,FALSE)</f>
        <v>AMERICAN ACADEMY OF PEDIATRICS</v>
      </c>
      <c r="H3118" s="8">
        <f>VLOOKUP(A3118,[1]!Table1[#All],32,FALSE)</f>
        <v>43313</v>
      </c>
      <c r="I3118" s="8">
        <f>VLOOKUP(A3118,[1]!Table1[#All],33,FALSE)</f>
        <v>45138</v>
      </c>
      <c r="J3118" t="str">
        <f t="shared" ca="1" si="52"/>
        <v>UDO</v>
      </c>
    </row>
    <row r="3119" spans="1:10" x14ac:dyDescent="0.35">
      <c r="A3119" s="9" t="s">
        <v>100</v>
      </c>
      <c r="B3119" s="10">
        <v>44378</v>
      </c>
      <c r="C3119" s="11">
        <v>245000</v>
      </c>
      <c r="D3119" s="11">
        <v>128006.93000000001</v>
      </c>
      <c r="E3119" s="11">
        <v>116993.06999999999</v>
      </c>
      <c r="F3119" t="str">
        <f>VLOOKUP(A3119,[1]!Table1[#All],17,FALSE)</f>
        <v>UNITED STATES</v>
      </c>
      <c r="G3119" t="str">
        <f>VLOOKUP(A3119,[1]!Table1[#All],22,FALSE)</f>
        <v>AMERICAN ACADEMY OF PEDIATRICS</v>
      </c>
      <c r="H3119" s="8">
        <f>VLOOKUP(A3119,[1]!Table1[#All],32,FALSE)</f>
        <v>43313</v>
      </c>
      <c r="I3119" s="8">
        <f>VLOOKUP(A3119,[1]!Table1[#All],33,FALSE)</f>
        <v>45138</v>
      </c>
      <c r="J3119" t="str">
        <f t="shared" ca="1" si="52"/>
        <v>UDO</v>
      </c>
    </row>
    <row r="3120" spans="1:10" x14ac:dyDescent="0.35">
      <c r="A3120" s="5" t="s">
        <v>100</v>
      </c>
      <c r="B3120" s="6">
        <v>44409</v>
      </c>
      <c r="C3120" s="7">
        <v>245000</v>
      </c>
      <c r="D3120" s="7">
        <v>140351.01</v>
      </c>
      <c r="E3120" s="7">
        <v>104648.99</v>
      </c>
      <c r="F3120" t="str">
        <f>VLOOKUP(A3120,[1]!Table1[#All],17,FALSE)</f>
        <v>UNITED STATES</v>
      </c>
      <c r="G3120" t="str">
        <f>VLOOKUP(A3120,[1]!Table1[#All],22,FALSE)</f>
        <v>AMERICAN ACADEMY OF PEDIATRICS</v>
      </c>
      <c r="H3120" s="8">
        <f>VLOOKUP(A3120,[1]!Table1[#All],32,FALSE)</f>
        <v>43313</v>
      </c>
      <c r="I3120" s="8">
        <f>VLOOKUP(A3120,[1]!Table1[#All],33,FALSE)</f>
        <v>45138</v>
      </c>
      <c r="J3120" t="str">
        <f t="shared" ca="1" si="52"/>
        <v>UDO</v>
      </c>
    </row>
    <row r="3121" spans="1:10" x14ac:dyDescent="0.35">
      <c r="A3121" s="9" t="s">
        <v>100</v>
      </c>
      <c r="B3121" s="10">
        <v>44440</v>
      </c>
      <c r="C3121" s="11">
        <v>245000</v>
      </c>
      <c r="D3121" s="11">
        <v>158921.34000000003</v>
      </c>
      <c r="E3121" s="11">
        <v>86078.66</v>
      </c>
      <c r="F3121" t="str">
        <f>VLOOKUP(A3121,[1]!Table1[#All],17,FALSE)</f>
        <v>UNITED STATES</v>
      </c>
      <c r="G3121" t="str">
        <f>VLOOKUP(A3121,[1]!Table1[#All],22,FALSE)</f>
        <v>AMERICAN ACADEMY OF PEDIATRICS</v>
      </c>
      <c r="H3121" s="8">
        <f>VLOOKUP(A3121,[1]!Table1[#All],32,FALSE)</f>
        <v>43313</v>
      </c>
      <c r="I3121" s="8">
        <f>VLOOKUP(A3121,[1]!Table1[#All],33,FALSE)</f>
        <v>45138</v>
      </c>
      <c r="J3121" t="str">
        <f t="shared" ca="1" si="52"/>
        <v>UDO</v>
      </c>
    </row>
    <row r="3122" spans="1:10" x14ac:dyDescent="0.35">
      <c r="A3122" s="5" t="s">
        <v>100</v>
      </c>
      <c r="B3122" s="6">
        <v>44470</v>
      </c>
      <c r="C3122" s="7">
        <v>245000</v>
      </c>
      <c r="D3122" s="7">
        <v>169459.11</v>
      </c>
      <c r="E3122" s="7">
        <v>75540.89</v>
      </c>
      <c r="F3122" t="str">
        <f>VLOOKUP(A3122,[1]!Table1[#All],17,FALSE)</f>
        <v>UNITED STATES</v>
      </c>
      <c r="G3122" t="str">
        <f>VLOOKUP(A3122,[1]!Table1[#All],22,FALSE)</f>
        <v>AMERICAN ACADEMY OF PEDIATRICS</v>
      </c>
      <c r="H3122" s="8">
        <f>VLOOKUP(A3122,[1]!Table1[#All],32,FALSE)</f>
        <v>43313</v>
      </c>
      <c r="I3122" s="8">
        <f>VLOOKUP(A3122,[1]!Table1[#All],33,FALSE)</f>
        <v>45138</v>
      </c>
      <c r="J3122" t="str">
        <f t="shared" ca="1" si="52"/>
        <v>UDO</v>
      </c>
    </row>
    <row r="3123" spans="1:10" x14ac:dyDescent="0.35">
      <c r="A3123" s="9" t="s">
        <v>100</v>
      </c>
      <c r="B3123" s="10">
        <v>44501</v>
      </c>
      <c r="C3123" s="11">
        <v>245000</v>
      </c>
      <c r="D3123" s="11">
        <v>184426.85</v>
      </c>
      <c r="E3123" s="11">
        <v>60573.15</v>
      </c>
      <c r="F3123" t="str">
        <f>VLOOKUP(A3123,[1]!Table1[#All],17,FALSE)</f>
        <v>UNITED STATES</v>
      </c>
      <c r="G3123" t="str">
        <f>VLOOKUP(A3123,[1]!Table1[#All],22,FALSE)</f>
        <v>AMERICAN ACADEMY OF PEDIATRICS</v>
      </c>
      <c r="H3123" s="8">
        <f>VLOOKUP(A3123,[1]!Table1[#All],32,FALSE)</f>
        <v>43313</v>
      </c>
      <c r="I3123" s="8">
        <f>VLOOKUP(A3123,[1]!Table1[#All],33,FALSE)</f>
        <v>45138</v>
      </c>
      <c r="J3123" t="str">
        <f t="shared" ca="1" si="52"/>
        <v>UDO</v>
      </c>
    </row>
    <row r="3124" spans="1:10" x14ac:dyDescent="0.35">
      <c r="A3124" s="5" t="s">
        <v>100</v>
      </c>
      <c r="B3124" s="6">
        <v>44531</v>
      </c>
      <c r="C3124" s="7">
        <v>245000</v>
      </c>
      <c r="D3124" s="7">
        <v>203262.84999999998</v>
      </c>
      <c r="E3124" s="7">
        <v>41737.15</v>
      </c>
      <c r="F3124" t="str">
        <f>VLOOKUP(A3124,[1]!Table1[#All],17,FALSE)</f>
        <v>UNITED STATES</v>
      </c>
      <c r="G3124" t="str">
        <f>VLOOKUP(A3124,[1]!Table1[#All],22,FALSE)</f>
        <v>AMERICAN ACADEMY OF PEDIATRICS</v>
      </c>
      <c r="H3124" s="8">
        <f>VLOOKUP(A3124,[1]!Table1[#All],32,FALSE)</f>
        <v>43313</v>
      </c>
      <c r="I3124" s="8">
        <f>VLOOKUP(A3124,[1]!Table1[#All],33,FALSE)</f>
        <v>45138</v>
      </c>
      <c r="J3124" t="str">
        <f t="shared" ca="1" si="52"/>
        <v>UDO</v>
      </c>
    </row>
    <row r="3125" spans="1:10" x14ac:dyDescent="0.35">
      <c r="A3125" s="9" t="s">
        <v>100</v>
      </c>
      <c r="B3125" s="10">
        <v>44562</v>
      </c>
      <c r="C3125" s="11">
        <v>245000</v>
      </c>
      <c r="D3125" s="11">
        <v>222372.03</v>
      </c>
      <c r="E3125" s="11">
        <v>22627.97</v>
      </c>
      <c r="F3125" t="str">
        <f>VLOOKUP(A3125,[1]!Table1[#All],17,FALSE)</f>
        <v>UNITED STATES</v>
      </c>
      <c r="G3125" t="str">
        <f>VLOOKUP(A3125,[1]!Table1[#All],22,FALSE)</f>
        <v>AMERICAN ACADEMY OF PEDIATRICS</v>
      </c>
      <c r="H3125" s="8">
        <f>VLOOKUP(A3125,[1]!Table1[#All],32,FALSE)</f>
        <v>43313</v>
      </c>
      <c r="I3125" s="8">
        <f>VLOOKUP(A3125,[1]!Table1[#All],33,FALSE)</f>
        <v>45138</v>
      </c>
      <c r="J3125" t="str">
        <f t="shared" ca="1" si="52"/>
        <v>UDO</v>
      </c>
    </row>
    <row r="3126" spans="1:10" x14ac:dyDescent="0.35">
      <c r="A3126" s="5" t="s">
        <v>100</v>
      </c>
      <c r="B3126" s="6">
        <v>44593</v>
      </c>
      <c r="C3126" s="7">
        <v>245000</v>
      </c>
      <c r="D3126" s="7">
        <v>237207.99</v>
      </c>
      <c r="E3126" s="7">
        <v>7792.01</v>
      </c>
      <c r="F3126" t="str">
        <f>VLOOKUP(A3126,[1]!Table1[#All],17,FALSE)</f>
        <v>UNITED STATES</v>
      </c>
      <c r="G3126" t="str">
        <f>VLOOKUP(A3126,[1]!Table1[#All],22,FALSE)</f>
        <v>AMERICAN ACADEMY OF PEDIATRICS</v>
      </c>
      <c r="H3126" s="8">
        <f>VLOOKUP(A3126,[1]!Table1[#All],32,FALSE)</f>
        <v>43313</v>
      </c>
      <c r="I3126" s="8">
        <f>VLOOKUP(A3126,[1]!Table1[#All],33,FALSE)</f>
        <v>45138</v>
      </c>
      <c r="J3126" t="str">
        <f t="shared" ca="1" si="52"/>
        <v>UDO</v>
      </c>
    </row>
    <row r="3127" spans="1:10" x14ac:dyDescent="0.35">
      <c r="A3127" s="9" t="s">
        <v>100</v>
      </c>
      <c r="B3127" s="10">
        <v>44621</v>
      </c>
      <c r="C3127" s="11">
        <v>245000</v>
      </c>
      <c r="D3127" s="11">
        <v>245000</v>
      </c>
      <c r="E3127" s="11">
        <v>0</v>
      </c>
      <c r="F3127" t="str">
        <f>VLOOKUP(A3127,[1]!Table1[#All],17,FALSE)</f>
        <v>UNITED STATES</v>
      </c>
      <c r="G3127" t="str">
        <f>VLOOKUP(A3127,[1]!Table1[#All],22,FALSE)</f>
        <v>AMERICAN ACADEMY OF PEDIATRICS</v>
      </c>
      <c r="H3127" s="8">
        <f>VLOOKUP(A3127,[1]!Table1[#All],32,FALSE)</f>
        <v>43313</v>
      </c>
      <c r="I3127" s="8">
        <f>VLOOKUP(A3127,[1]!Table1[#All],33,FALSE)</f>
        <v>45138</v>
      </c>
      <c r="J3127" t="str">
        <f t="shared" ca="1" si="52"/>
        <v>Non UDO</v>
      </c>
    </row>
    <row r="3128" spans="1:10" x14ac:dyDescent="0.35">
      <c r="A3128" s="5" t="s">
        <v>100</v>
      </c>
      <c r="B3128" s="6">
        <v>44652</v>
      </c>
      <c r="C3128" s="7">
        <v>245000</v>
      </c>
      <c r="D3128" s="7">
        <v>245000</v>
      </c>
      <c r="E3128" s="7">
        <v>0</v>
      </c>
      <c r="F3128" t="str">
        <f>VLOOKUP(A3128,[1]!Table1[#All],17,FALSE)</f>
        <v>UNITED STATES</v>
      </c>
      <c r="G3128" t="str">
        <f>VLOOKUP(A3128,[1]!Table1[#All],22,FALSE)</f>
        <v>AMERICAN ACADEMY OF PEDIATRICS</v>
      </c>
      <c r="H3128" s="8">
        <f>VLOOKUP(A3128,[1]!Table1[#All],32,FALSE)</f>
        <v>43313</v>
      </c>
      <c r="I3128" s="8">
        <f>VLOOKUP(A3128,[1]!Table1[#All],33,FALSE)</f>
        <v>45138</v>
      </c>
      <c r="J3128" t="str">
        <f t="shared" ca="1" si="52"/>
        <v>Non UDO</v>
      </c>
    </row>
    <row r="3129" spans="1:10" x14ac:dyDescent="0.35">
      <c r="A3129" s="9" t="s">
        <v>100</v>
      </c>
      <c r="B3129" s="10">
        <v>44682</v>
      </c>
      <c r="C3129" s="11">
        <v>245000</v>
      </c>
      <c r="D3129" s="11">
        <v>245000</v>
      </c>
      <c r="E3129" s="11">
        <v>0</v>
      </c>
      <c r="F3129" t="str">
        <f>VLOOKUP(A3129,[1]!Table1[#All],17,FALSE)</f>
        <v>UNITED STATES</v>
      </c>
      <c r="G3129" t="str">
        <f>VLOOKUP(A3129,[1]!Table1[#All],22,FALSE)</f>
        <v>AMERICAN ACADEMY OF PEDIATRICS</v>
      </c>
      <c r="H3129" s="8">
        <f>VLOOKUP(A3129,[1]!Table1[#All],32,FALSE)</f>
        <v>43313</v>
      </c>
      <c r="I3129" s="8">
        <f>VLOOKUP(A3129,[1]!Table1[#All],33,FALSE)</f>
        <v>45138</v>
      </c>
      <c r="J3129" t="str">
        <f t="shared" ca="1" si="52"/>
        <v>Non UDO</v>
      </c>
    </row>
    <row r="3130" spans="1:10" x14ac:dyDescent="0.35">
      <c r="A3130" s="5" t="s">
        <v>100</v>
      </c>
      <c r="B3130" s="6">
        <v>44713</v>
      </c>
      <c r="C3130" s="7">
        <v>245000</v>
      </c>
      <c r="D3130" s="7">
        <v>245000</v>
      </c>
      <c r="E3130" s="7">
        <v>0</v>
      </c>
      <c r="F3130" t="str">
        <f>VLOOKUP(A3130,[1]!Table1[#All],17,FALSE)</f>
        <v>UNITED STATES</v>
      </c>
      <c r="G3130" t="str">
        <f>VLOOKUP(A3130,[1]!Table1[#All],22,FALSE)</f>
        <v>AMERICAN ACADEMY OF PEDIATRICS</v>
      </c>
      <c r="H3130" s="8">
        <f>VLOOKUP(A3130,[1]!Table1[#All],32,FALSE)</f>
        <v>43313</v>
      </c>
      <c r="I3130" s="8">
        <f>VLOOKUP(A3130,[1]!Table1[#All],33,FALSE)</f>
        <v>45138</v>
      </c>
      <c r="J3130" t="str">
        <f t="shared" ca="1" si="52"/>
        <v>Non UDO</v>
      </c>
    </row>
    <row r="3131" spans="1:10" x14ac:dyDescent="0.35">
      <c r="A3131" s="9" t="s">
        <v>100</v>
      </c>
      <c r="B3131" s="10">
        <v>44743</v>
      </c>
      <c r="C3131" s="11">
        <v>245000</v>
      </c>
      <c r="D3131" s="11">
        <v>245000</v>
      </c>
      <c r="E3131" s="11">
        <v>0</v>
      </c>
      <c r="F3131" t="str">
        <f>VLOOKUP(A3131,[1]!Table1[#All],17,FALSE)</f>
        <v>UNITED STATES</v>
      </c>
      <c r="G3131" t="str">
        <f>VLOOKUP(A3131,[1]!Table1[#All],22,FALSE)</f>
        <v>AMERICAN ACADEMY OF PEDIATRICS</v>
      </c>
      <c r="H3131" s="8">
        <f>VLOOKUP(A3131,[1]!Table1[#All],32,FALSE)</f>
        <v>43313</v>
      </c>
      <c r="I3131" s="8">
        <f>VLOOKUP(A3131,[1]!Table1[#All],33,FALSE)</f>
        <v>45138</v>
      </c>
      <c r="J3131" t="str">
        <f t="shared" ca="1" si="52"/>
        <v>Non UDO</v>
      </c>
    </row>
    <row r="3132" spans="1:10" x14ac:dyDescent="0.35">
      <c r="A3132" s="5" t="s">
        <v>100</v>
      </c>
      <c r="B3132" s="6">
        <v>44774</v>
      </c>
      <c r="C3132" s="7">
        <v>245000</v>
      </c>
      <c r="D3132" s="7">
        <v>245000</v>
      </c>
      <c r="E3132" s="7">
        <v>0</v>
      </c>
      <c r="F3132" t="str">
        <f>VLOOKUP(A3132,[1]!Table1[#All],17,FALSE)</f>
        <v>UNITED STATES</v>
      </c>
      <c r="G3132" t="str">
        <f>VLOOKUP(A3132,[1]!Table1[#All],22,FALSE)</f>
        <v>AMERICAN ACADEMY OF PEDIATRICS</v>
      </c>
      <c r="H3132" s="8">
        <f>VLOOKUP(A3132,[1]!Table1[#All],32,FALSE)</f>
        <v>43313</v>
      </c>
      <c r="I3132" s="8">
        <f>VLOOKUP(A3132,[1]!Table1[#All],33,FALSE)</f>
        <v>45138</v>
      </c>
      <c r="J3132" t="str">
        <f t="shared" ca="1" si="52"/>
        <v>Non UDO</v>
      </c>
    </row>
    <row r="3133" spans="1:10" x14ac:dyDescent="0.35">
      <c r="A3133" s="9" t="s">
        <v>100</v>
      </c>
      <c r="B3133" s="10">
        <v>44805</v>
      </c>
      <c r="C3133" s="11">
        <v>245000</v>
      </c>
      <c r="D3133" s="11">
        <v>245000</v>
      </c>
      <c r="E3133" s="11">
        <v>0</v>
      </c>
      <c r="F3133" t="str">
        <f>VLOOKUP(A3133,[1]!Table1[#All],17,FALSE)</f>
        <v>UNITED STATES</v>
      </c>
      <c r="G3133" t="str">
        <f>VLOOKUP(A3133,[1]!Table1[#All],22,FALSE)</f>
        <v>AMERICAN ACADEMY OF PEDIATRICS</v>
      </c>
      <c r="H3133" s="8">
        <f>VLOOKUP(A3133,[1]!Table1[#All],32,FALSE)</f>
        <v>43313</v>
      </c>
      <c r="I3133" s="8">
        <f>VLOOKUP(A3133,[1]!Table1[#All],33,FALSE)</f>
        <v>45138</v>
      </c>
      <c r="J3133" t="str">
        <f t="shared" ca="1" si="52"/>
        <v>Non UDO</v>
      </c>
    </row>
    <row r="3134" spans="1:10" x14ac:dyDescent="0.35">
      <c r="A3134" s="5" t="s">
        <v>100</v>
      </c>
      <c r="B3134" s="6">
        <v>44835</v>
      </c>
      <c r="C3134" s="7">
        <v>245000</v>
      </c>
      <c r="D3134" s="7">
        <v>245000</v>
      </c>
      <c r="E3134" s="7">
        <v>0</v>
      </c>
      <c r="F3134" t="str">
        <f>VLOOKUP(A3134,[1]!Table1[#All],17,FALSE)</f>
        <v>UNITED STATES</v>
      </c>
      <c r="G3134" t="str">
        <f>VLOOKUP(A3134,[1]!Table1[#All],22,FALSE)</f>
        <v>AMERICAN ACADEMY OF PEDIATRICS</v>
      </c>
      <c r="H3134" s="8">
        <f>VLOOKUP(A3134,[1]!Table1[#All],32,FALSE)</f>
        <v>43313</v>
      </c>
      <c r="I3134" s="8">
        <f>VLOOKUP(A3134,[1]!Table1[#All],33,FALSE)</f>
        <v>45138</v>
      </c>
      <c r="J3134" t="str">
        <f t="shared" ca="1" si="52"/>
        <v>Non UDO</v>
      </c>
    </row>
    <row r="3135" spans="1:10" x14ac:dyDescent="0.35">
      <c r="A3135" s="9" t="s">
        <v>100</v>
      </c>
      <c r="B3135" s="10">
        <v>44866</v>
      </c>
      <c r="C3135" s="11">
        <v>245000</v>
      </c>
      <c r="D3135" s="11">
        <v>245000</v>
      </c>
      <c r="E3135" s="11">
        <v>0</v>
      </c>
      <c r="F3135" t="str">
        <f>VLOOKUP(A3135,[1]!Table1[#All],17,FALSE)</f>
        <v>UNITED STATES</v>
      </c>
      <c r="G3135" t="str">
        <f>VLOOKUP(A3135,[1]!Table1[#All],22,FALSE)</f>
        <v>AMERICAN ACADEMY OF PEDIATRICS</v>
      </c>
      <c r="H3135" s="8">
        <f>VLOOKUP(A3135,[1]!Table1[#All],32,FALSE)</f>
        <v>43313</v>
      </c>
      <c r="I3135" s="8">
        <f>VLOOKUP(A3135,[1]!Table1[#All],33,FALSE)</f>
        <v>45138</v>
      </c>
      <c r="J3135" t="str">
        <f t="shared" ca="1" si="52"/>
        <v>Non UDO</v>
      </c>
    </row>
    <row r="3136" spans="1:10" x14ac:dyDescent="0.35">
      <c r="A3136" s="5" t="s">
        <v>100</v>
      </c>
      <c r="B3136" s="6">
        <v>44896</v>
      </c>
      <c r="C3136" s="7">
        <v>245000</v>
      </c>
      <c r="D3136" s="7">
        <v>245000</v>
      </c>
      <c r="E3136" s="7">
        <v>0</v>
      </c>
      <c r="F3136" t="str">
        <f>VLOOKUP(A3136,[1]!Table1[#All],17,FALSE)</f>
        <v>UNITED STATES</v>
      </c>
      <c r="G3136" t="str">
        <f>VLOOKUP(A3136,[1]!Table1[#All],22,FALSE)</f>
        <v>AMERICAN ACADEMY OF PEDIATRICS</v>
      </c>
      <c r="H3136" s="8">
        <f>VLOOKUP(A3136,[1]!Table1[#All],32,FALSE)</f>
        <v>43313</v>
      </c>
      <c r="I3136" s="8">
        <f>VLOOKUP(A3136,[1]!Table1[#All],33,FALSE)</f>
        <v>45138</v>
      </c>
      <c r="J3136" t="str">
        <f t="shared" ca="1" si="52"/>
        <v>Non UDO</v>
      </c>
    </row>
    <row r="3137" spans="1:10" x14ac:dyDescent="0.35">
      <c r="A3137" s="9" t="s">
        <v>100</v>
      </c>
      <c r="B3137" s="10">
        <v>44927</v>
      </c>
      <c r="C3137" s="11">
        <v>245000</v>
      </c>
      <c r="D3137" s="11">
        <v>245000</v>
      </c>
      <c r="E3137" s="11">
        <v>0</v>
      </c>
      <c r="F3137" t="str">
        <f>VLOOKUP(A3137,[1]!Table1[#All],17,FALSE)</f>
        <v>UNITED STATES</v>
      </c>
      <c r="G3137" t="str">
        <f>VLOOKUP(A3137,[1]!Table1[#All],22,FALSE)</f>
        <v>AMERICAN ACADEMY OF PEDIATRICS</v>
      </c>
      <c r="H3137" s="8">
        <f>VLOOKUP(A3137,[1]!Table1[#All],32,FALSE)</f>
        <v>43313</v>
      </c>
      <c r="I3137" s="8">
        <f>VLOOKUP(A3137,[1]!Table1[#All],33,FALSE)</f>
        <v>45138</v>
      </c>
      <c r="J3137" t="str">
        <f t="shared" ca="1" si="52"/>
        <v>Non UDO</v>
      </c>
    </row>
    <row r="3138" spans="1:10" x14ac:dyDescent="0.35">
      <c r="A3138" s="5" t="s">
        <v>100</v>
      </c>
      <c r="B3138" s="6">
        <v>44958</v>
      </c>
      <c r="C3138" s="7">
        <v>245000</v>
      </c>
      <c r="D3138" s="7">
        <v>245000</v>
      </c>
      <c r="E3138" s="7">
        <v>0</v>
      </c>
      <c r="F3138" t="str">
        <f>VLOOKUP(A3138,[1]!Table1[#All],17,FALSE)</f>
        <v>UNITED STATES</v>
      </c>
      <c r="G3138" t="str">
        <f>VLOOKUP(A3138,[1]!Table1[#All],22,FALSE)</f>
        <v>AMERICAN ACADEMY OF PEDIATRICS</v>
      </c>
      <c r="H3138" s="8">
        <f>VLOOKUP(A3138,[1]!Table1[#All],32,FALSE)</f>
        <v>43313</v>
      </c>
      <c r="I3138" s="8">
        <f>VLOOKUP(A3138,[1]!Table1[#All],33,FALSE)</f>
        <v>45138</v>
      </c>
      <c r="J3138" t="str">
        <f t="shared" ca="1" si="52"/>
        <v>Non UDO</v>
      </c>
    </row>
    <row r="3139" spans="1:10" x14ac:dyDescent="0.35">
      <c r="A3139" s="9" t="s">
        <v>100</v>
      </c>
      <c r="B3139" s="10">
        <v>44986</v>
      </c>
      <c r="C3139" s="11">
        <v>245000</v>
      </c>
      <c r="D3139" s="11">
        <v>245000</v>
      </c>
      <c r="E3139" s="11">
        <v>0</v>
      </c>
      <c r="F3139" t="str">
        <f>VLOOKUP(A3139,[1]!Table1[#All],17,FALSE)</f>
        <v>UNITED STATES</v>
      </c>
      <c r="G3139" t="str">
        <f>VLOOKUP(A3139,[1]!Table1[#All],22,FALSE)</f>
        <v>AMERICAN ACADEMY OF PEDIATRICS</v>
      </c>
      <c r="H3139" s="8">
        <f>VLOOKUP(A3139,[1]!Table1[#All],32,FALSE)</f>
        <v>43313</v>
      </c>
      <c r="I3139" s="8">
        <f>VLOOKUP(A3139,[1]!Table1[#All],33,FALSE)</f>
        <v>45138</v>
      </c>
      <c r="J3139" t="str">
        <f t="shared" ref="J3139:J3202" ca="1" si="53">IF(AND( E3139&gt;0,TODAY()&gt;I3139),"UDO","Non UDO")</f>
        <v>Non UDO</v>
      </c>
    </row>
    <row r="3140" spans="1:10" x14ac:dyDescent="0.35">
      <c r="A3140" s="5" t="s">
        <v>100</v>
      </c>
      <c r="B3140" s="6">
        <v>45017</v>
      </c>
      <c r="C3140" s="7">
        <v>245000</v>
      </c>
      <c r="D3140" s="7">
        <v>245000</v>
      </c>
      <c r="E3140" s="7">
        <v>0</v>
      </c>
      <c r="F3140" t="str">
        <f>VLOOKUP(A3140,[1]!Table1[#All],17,FALSE)</f>
        <v>UNITED STATES</v>
      </c>
      <c r="G3140" t="str">
        <f>VLOOKUP(A3140,[1]!Table1[#All],22,FALSE)</f>
        <v>AMERICAN ACADEMY OF PEDIATRICS</v>
      </c>
      <c r="H3140" s="8">
        <f>VLOOKUP(A3140,[1]!Table1[#All],32,FALSE)</f>
        <v>43313</v>
      </c>
      <c r="I3140" s="8">
        <f>VLOOKUP(A3140,[1]!Table1[#All],33,FALSE)</f>
        <v>45138</v>
      </c>
      <c r="J3140" t="str">
        <f t="shared" ca="1" si="53"/>
        <v>Non UDO</v>
      </c>
    </row>
    <row r="3141" spans="1:10" x14ac:dyDescent="0.35">
      <c r="A3141" s="9" t="s">
        <v>100</v>
      </c>
      <c r="B3141" s="10">
        <v>45047</v>
      </c>
      <c r="C3141" s="11">
        <v>245000</v>
      </c>
      <c r="D3141" s="11">
        <v>245000</v>
      </c>
      <c r="E3141" s="11">
        <v>0</v>
      </c>
      <c r="F3141" t="str">
        <f>VLOOKUP(A3141,[1]!Table1[#All],17,FALSE)</f>
        <v>UNITED STATES</v>
      </c>
      <c r="G3141" t="str">
        <f>VLOOKUP(A3141,[1]!Table1[#All],22,FALSE)</f>
        <v>AMERICAN ACADEMY OF PEDIATRICS</v>
      </c>
      <c r="H3141" s="8">
        <f>VLOOKUP(A3141,[1]!Table1[#All],32,FALSE)</f>
        <v>43313</v>
      </c>
      <c r="I3141" s="8">
        <f>VLOOKUP(A3141,[1]!Table1[#All],33,FALSE)</f>
        <v>45138</v>
      </c>
      <c r="J3141" t="str">
        <f t="shared" ca="1" si="53"/>
        <v>Non UDO</v>
      </c>
    </row>
    <row r="3142" spans="1:10" x14ac:dyDescent="0.35">
      <c r="A3142" s="5" t="s">
        <v>100</v>
      </c>
      <c r="B3142" s="6">
        <v>45078</v>
      </c>
      <c r="C3142" s="7">
        <v>245000</v>
      </c>
      <c r="D3142" s="7">
        <v>245000</v>
      </c>
      <c r="E3142" s="7">
        <v>0</v>
      </c>
      <c r="F3142" t="str">
        <f>VLOOKUP(A3142,[1]!Table1[#All],17,FALSE)</f>
        <v>UNITED STATES</v>
      </c>
      <c r="G3142" t="str">
        <f>VLOOKUP(A3142,[1]!Table1[#All],22,FALSE)</f>
        <v>AMERICAN ACADEMY OF PEDIATRICS</v>
      </c>
      <c r="H3142" s="8">
        <f>VLOOKUP(A3142,[1]!Table1[#All],32,FALSE)</f>
        <v>43313</v>
      </c>
      <c r="I3142" s="8">
        <f>VLOOKUP(A3142,[1]!Table1[#All],33,FALSE)</f>
        <v>45138</v>
      </c>
      <c r="J3142" t="str">
        <f t="shared" ca="1" si="53"/>
        <v>Non UDO</v>
      </c>
    </row>
    <row r="3143" spans="1:10" x14ac:dyDescent="0.35">
      <c r="A3143" s="9" t="s">
        <v>100</v>
      </c>
      <c r="B3143" s="10">
        <v>45108</v>
      </c>
      <c r="C3143" s="11">
        <v>245000</v>
      </c>
      <c r="D3143" s="11">
        <v>245000</v>
      </c>
      <c r="E3143" s="11">
        <v>0</v>
      </c>
      <c r="F3143" t="str">
        <f>VLOOKUP(A3143,[1]!Table1[#All],17,FALSE)</f>
        <v>UNITED STATES</v>
      </c>
      <c r="G3143" t="str">
        <f>VLOOKUP(A3143,[1]!Table1[#All],22,FALSE)</f>
        <v>AMERICAN ACADEMY OF PEDIATRICS</v>
      </c>
      <c r="H3143" s="8">
        <f>VLOOKUP(A3143,[1]!Table1[#All],32,FALSE)</f>
        <v>43313</v>
      </c>
      <c r="I3143" s="8">
        <f>VLOOKUP(A3143,[1]!Table1[#All],33,FALSE)</f>
        <v>45138</v>
      </c>
      <c r="J3143" t="str">
        <f t="shared" ca="1" si="53"/>
        <v>Non UDO</v>
      </c>
    </row>
    <row r="3144" spans="1:10" x14ac:dyDescent="0.35">
      <c r="A3144" s="5" t="s">
        <v>100</v>
      </c>
      <c r="B3144" s="6">
        <v>45139</v>
      </c>
      <c r="C3144" s="7">
        <v>245000</v>
      </c>
      <c r="D3144" s="7">
        <v>245000</v>
      </c>
      <c r="E3144" s="7">
        <v>0</v>
      </c>
      <c r="F3144" t="str">
        <f>VLOOKUP(A3144,[1]!Table1[#All],17,FALSE)</f>
        <v>UNITED STATES</v>
      </c>
      <c r="G3144" t="str">
        <f>VLOOKUP(A3144,[1]!Table1[#All],22,FALSE)</f>
        <v>AMERICAN ACADEMY OF PEDIATRICS</v>
      </c>
      <c r="H3144" s="8">
        <f>VLOOKUP(A3144,[1]!Table1[#All],32,FALSE)</f>
        <v>43313</v>
      </c>
      <c r="I3144" s="8">
        <f>VLOOKUP(A3144,[1]!Table1[#All],33,FALSE)</f>
        <v>45138</v>
      </c>
      <c r="J3144" t="str">
        <f t="shared" ca="1" si="53"/>
        <v>Non UDO</v>
      </c>
    </row>
    <row r="3145" spans="1:10" x14ac:dyDescent="0.35">
      <c r="A3145" s="9" t="s">
        <v>100</v>
      </c>
      <c r="B3145" s="10">
        <v>45170</v>
      </c>
      <c r="C3145" s="11">
        <v>245000</v>
      </c>
      <c r="D3145" s="11">
        <v>245000</v>
      </c>
      <c r="E3145" s="11">
        <v>0</v>
      </c>
      <c r="F3145" t="str">
        <f>VLOOKUP(A3145,[1]!Table1[#All],17,FALSE)</f>
        <v>UNITED STATES</v>
      </c>
      <c r="G3145" t="str">
        <f>VLOOKUP(A3145,[1]!Table1[#All],22,FALSE)</f>
        <v>AMERICAN ACADEMY OF PEDIATRICS</v>
      </c>
      <c r="H3145" s="8">
        <f>VLOOKUP(A3145,[1]!Table1[#All],32,FALSE)</f>
        <v>43313</v>
      </c>
      <c r="I3145" s="8">
        <f>VLOOKUP(A3145,[1]!Table1[#All],33,FALSE)</f>
        <v>45138</v>
      </c>
      <c r="J3145" t="str">
        <f t="shared" ca="1" si="53"/>
        <v>Non UDO</v>
      </c>
    </row>
    <row r="3146" spans="1:10" x14ac:dyDescent="0.35">
      <c r="A3146" s="5" t="s">
        <v>101</v>
      </c>
      <c r="B3146" s="6">
        <v>44409</v>
      </c>
      <c r="C3146" s="7">
        <v>449537</v>
      </c>
      <c r="D3146" s="7">
        <v>0</v>
      </c>
      <c r="E3146" s="7">
        <v>449537</v>
      </c>
      <c r="F3146" t="str">
        <f>VLOOKUP(A3146,[1]!Table1[#All],17,FALSE)</f>
        <v>UNITED STATES</v>
      </c>
      <c r="G3146" t="str">
        <f>VLOOKUP(A3146,[1]!Table1[#All],22,FALSE)</f>
        <v>Pacific Island Health Officers Association</v>
      </c>
      <c r="H3146" s="8">
        <f>VLOOKUP(A3146,[1]!Table1[#All],32,FALSE)</f>
        <v>44409</v>
      </c>
      <c r="I3146" s="8">
        <f>VLOOKUP(A3146,[1]!Table1[#All],33,FALSE)</f>
        <v>46234</v>
      </c>
      <c r="J3146" t="str">
        <f t="shared" ca="1" si="53"/>
        <v>Non UDO</v>
      </c>
    </row>
    <row r="3147" spans="1:10" x14ac:dyDescent="0.35">
      <c r="A3147" s="9" t="s">
        <v>101</v>
      </c>
      <c r="B3147" s="10">
        <v>44440</v>
      </c>
      <c r="C3147" s="11">
        <v>449537</v>
      </c>
      <c r="D3147" s="11">
        <v>0</v>
      </c>
      <c r="E3147" s="11">
        <v>449537</v>
      </c>
      <c r="F3147" t="str">
        <f>VLOOKUP(A3147,[1]!Table1[#All],17,FALSE)</f>
        <v>UNITED STATES</v>
      </c>
      <c r="G3147" t="str">
        <f>VLOOKUP(A3147,[1]!Table1[#All],22,FALSE)</f>
        <v>Pacific Island Health Officers Association</v>
      </c>
      <c r="H3147" s="8">
        <f>VLOOKUP(A3147,[1]!Table1[#All],32,FALSE)</f>
        <v>44409</v>
      </c>
      <c r="I3147" s="8">
        <f>VLOOKUP(A3147,[1]!Table1[#All],33,FALSE)</f>
        <v>46234</v>
      </c>
      <c r="J3147" t="str">
        <f t="shared" ca="1" si="53"/>
        <v>Non UDO</v>
      </c>
    </row>
    <row r="3148" spans="1:10" x14ac:dyDescent="0.35">
      <c r="A3148" s="5" t="s">
        <v>101</v>
      </c>
      <c r="B3148" s="6">
        <v>44470</v>
      </c>
      <c r="C3148" s="7">
        <v>449537</v>
      </c>
      <c r="D3148" s="7">
        <v>0</v>
      </c>
      <c r="E3148" s="7">
        <v>449537</v>
      </c>
      <c r="F3148" t="str">
        <f>VLOOKUP(A3148,[1]!Table1[#All],17,FALSE)</f>
        <v>UNITED STATES</v>
      </c>
      <c r="G3148" t="str">
        <f>VLOOKUP(A3148,[1]!Table1[#All],22,FALSE)</f>
        <v>Pacific Island Health Officers Association</v>
      </c>
      <c r="H3148" s="8">
        <f>VLOOKUP(A3148,[1]!Table1[#All],32,FALSE)</f>
        <v>44409</v>
      </c>
      <c r="I3148" s="8">
        <f>VLOOKUP(A3148,[1]!Table1[#All],33,FALSE)</f>
        <v>46234</v>
      </c>
      <c r="J3148" t="str">
        <f t="shared" ca="1" si="53"/>
        <v>Non UDO</v>
      </c>
    </row>
    <row r="3149" spans="1:10" x14ac:dyDescent="0.35">
      <c r="A3149" s="9" t="s">
        <v>101</v>
      </c>
      <c r="B3149" s="10">
        <v>44501</v>
      </c>
      <c r="C3149" s="11">
        <v>449537</v>
      </c>
      <c r="D3149" s="11">
        <v>0</v>
      </c>
      <c r="E3149" s="11">
        <v>449537</v>
      </c>
      <c r="F3149" t="str">
        <f>VLOOKUP(A3149,[1]!Table1[#All],17,FALSE)</f>
        <v>UNITED STATES</v>
      </c>
      <c r="G3149" t="str">
        <f>VLOOKUP(A3149,[1]!Table1[#All],22,FALSE)</f>
        <v>Pacific Island Health Officers Association</v>
      </c>
      <c r="H3149" s="8">
        <f>VLOOKUP(A3149,[1]!Table1[#All],32,FALSE)</f>
        <v>44409</v>
      </c>
      <c r="I3149" s="8">
        <f>VLOOKUP(A3149,[1]!Table1[#All],33,FALSE)</f>
        <v>46234</v>
      </c>
      <c r="J3149" t="str">
        <f t="shared" ca="1" si="53"/>
        <v>Non UDO</v>
      </c>
    </row>
    <row r="3150" spans="1:10" x14ac:dyDescent="0.35">
      <c r="A3150" s="5" t="s">
        <v>101</v>
      </c>
      <c r="B3150" s="6">
        <v>44531</v>
      </c>
      <c r="C3150" s="7">
        <v>449537</v>
      </c>
      <c r="D3150" s="7">
        <v>0</v>
      </c>
      <c r="E3150" s="7">
        <v>449537</v>
      </c>
      <c r="F3150" t="str">
        <f>VLOOKUP(A3150,[1]!Table1[#All],17,FALSE)</f>
        <v>UNITED STATES</v>
      </c>
      <c r="G3150" t="str">
        <f>VLOOKUP(A3150,[1]!Table1[#All],22,FALSE)</f>
        <v>Pacific Island Health Officers Association</v>
      </c>
      <c r="H3150" s="8">
        <f>VLOOKUP(A3150,[1]!Table1[#All],32,FALSE)</f>
        <v>44409</v>
      </c>
      <c r="I3150" s="8">
        <f>VLOOKUP(A3150,[1]!Table1[#All],33,FALSE)</f>
        <v>46234</v>
      </c>
      <c r="J3150" t="str">
        <f t="shared" ca="1" si="53"/>
        <v>Non UDO</v>
      </c>
    </row>
    <row r="3151" spans="1:10" x14ac:dyDescent="0.35">
      <c r="A3151" s="9" t="s">
        <v>101</v>
      </c>
      <c r="B3151" s="10">
        <v>44562</v>
      </c>
      <c r="C3151" s="11">
        <v>449537</v>
      </c>
      <c r="D3151" s="11">
        <v>24315.62</v>
      </c>
      <c r="E3151" s="11">
        <v>425221.38</v>
      </c>
      <c r="F3151" t="str">
        <f>VLOOKUP(A3151,[1]!Table1[#All],17,FALSE)</f>
        <v>UNITED STATES</v>
      </c>
      <c r="G3151" t="str">
        <f>VLOOKUP(A3151,[1]!Table1[#All],22,FALSE)</f>
        <v>Pacific Island Health Officers Association</v>
      </c>
      <c r="H3151" s="8">
        <f>VLOOKUP(A3151,[1]!Table1[#All],32,FALSE)</f>
        <v>44409</v>
      </c>
      <c r="I3151" s="8">
        <f>VLOOKUP(A3151,[1]!Table1[#All],33,FALSE)</f>
        <v>46234</v>
      </c>
      <c r="J3151" t="str">
        <f t="shared" ca="1" si="53"/>
        <v>Non UDO</v>
      </c>
    </row>
    <row r="3152" spans="1:10" x14ac:dyDescent="0.35">
      <c r="A3152" s="5" t="s">
        <v>101</v>
      </c>
      <c r="B3152" s="6">
        <v>44593</v>
      </c>
      <c r="C3152" s="7">
        <v>449537</v>
      </c>
      <c r="D3152" s="7">
        <v>24315.62</v>
      </c>
      <c r="E3152" s="7">
        <v>425221.38</v>
      </c>
      <c r="F3152" t="str">
        <f>VLOOKUP(A3152,[1]!Table1[#All],17,FALSE)</f>
        <v>UNITED STATES</v>
      </c>
      <c r="G3152" t="str">
        <f>VLOOKUP(A3152,[1]!Table1[#All],22,FALSE)</f>
        <v>Pacific Island Health Officers Association</v>
      </c>
      <c r="H3152" s="8">
        <f>VLOOKUP(A3152,[1]!Table1[#All],32,FALSE)</f>
        <v>44409</v>
      </c>
      <c r="I3152" s="8">
        <f>VLOOKUP(A3152,[1]!Table1[#All],33,FALSE)</f>
        <v>46234</v>
      </c>
      <c r="J3152" t="str">
        <f t="shared" ca="1" si="53"/>
        <v>Non UDO</v>
      </c>
    </row>
    <row r="3153" spans="1:10" x14ac:dyDescent="0.35">
      <c r="A3153" s="9" t="s">
        <v>101</v>
      </c>
      <c r="B3153" s="10">
        <v>44621</v>
      </c>
      <c r="C3153" s="11">
        <v>449537</v>
      </c>
      <c r="D3153" s="11">
        <v>24315.62</v>
      </c>
      <c r="E3153" s="11">
        <v>425221.38</v>
      </c>
      <c r="F3153" t="str">
        <f>VLOOKUP(A3153,[1]!Table1[#All],17,FALSE)</f>
        <v>UNITED STATES</v>
      </c>
      <c r="G3153" t="str">
        <f>VLOOKUP(A3153,[1]!Table1[#All],22,FALSE)</f>
        <v>Pacific Island Health Officers Association</v>
      </c>
      <c r="H3153" s="8">
        <f>VLOOKUP(A3153,[1]!Table1[#All],32,FALSE)</f>
        <v>44409</v>
      </c>
      <c r="I3153" s="8">
        <f>VLOOKUP(A3153,[1]!Table1[#All],33,FALSE)</f>
        <v>46234</v>
      </c>
      <c r="J3153" t="str">
        <f t="shared" ca="1" si="53"/>
        <v>Non UDO</v>
      </c>
    </row>
    <row r="3154" spans="1:10" x14ac:dyDescent="0.35">
      <c r="A3154" s="5" t="s">
        <v>101</v>
      </c>
      <c r="B3154" s="6">
        <v>44652</v>
      </c>
      <c r="C3154" s="7">
        <v>449537</v>
      </c>
      <c r="D3154" s="7">
        <v>46524.81</v>
      </c>
      <c r="E3154" s="7">
        <v>403012.19</v>
      </c>
      <c r="F3154" t="str">
        <f>VLOOKUP(A3154,[1]!Table1[#All],17,FALSE)</f>
        <v>UNITED STATES</v>
      </c>
      <c r="G3154" t="str">
        <f>VLOOKUP(A3154,[1]!Table1[#All],22,FALSE)</f>
        <v>Pacific Island Health Officers Association</v>
      </c>
      <c r="H3154" s="8">
        <f>VLOOKUP(A3154,[1]!Table1[#All],32,FALSE)</f>
        <v>44409</v>
      </c>
      <c r="I3154" s="8">
        <f>VLOOKUP(A3154,[1]!Table1[#All],33,FALSE)</f>
        <v>46234</v>
      </c>
      <c r="J3154" t="str">
        <f t="shared" ca="1" si="53"/>
        <v>Non UDO</v>
      </c>
    </row>
    <row r="3155" spans="1:10" x14ac:dyDescent="0.35">
      <c r="A3155" s="9" t="s">
        <v>101</v>
      </c>
      <c r="B3155" s="10">
        <v>44682</v>
      </c>
      <c r="C3155" s="11">
        <v>449537</v>
      </c>
      <c r="D3155" s="11">
        <v>46524.81</v>
      </c>
      <c r="E3155" s="11">
        <v>403012.19</v>
      </c>
      <c r="F3155" t="str">
        <f>VLOOKUP(A3155,[1]!Table1[#All],17,FALSE)</f>
        <v>UNITED STATES</v>
      </c>
      <c r="G3155" t="str">
        <f>VLOOKUP(A3155,[1]!Table1[#All],22,FALSE)</f>
        <v>Pacific Island Health Officers Association</v>
      </c>
      <c r="H3155" s="8">
        <f>VLOOKUP(A3155,[1]!Table1[#All],32,FALSE)</f>
        <v>44409</v>
      </c>
      <c r="I3155" s="8">
        <f>VLOOKUP(A3155,[1]!Table1[#All],33,FALSE)</f>
        <v>46234</v>
      </c>
      <c r="J3155" t="str">
        <f t="shared" ca="1" si="53"/>
        <v>Non UDO</v>
      </c>
    </row>
    <row r="3156" spans="1:10" x14ac:dyDescent="0.35">
      <c r="A3156" s="5" t="s">
        <v>101</v>
      </c>
      <c r="B3156" s="6">
        <v>44713</v>
      </c>
      <c r="C3156" s="7">
        <v>449537</v>
      </c>
      <c r="D3156" s="7">
        <v>62447.64</v>
      </c>
      <c r="E3156" s="7">
        <v>387089.36</v>
      </c>
      <c r="F3156" t="str">
        <f>VLOOKUP(A3156,[1]!Table1[#All],17,FALSE)</f>
        <v>UNITED STATES</v>
      </c>
      <c r="G3156" t="str">
        <f>VLOOKUP(A3156,[1]!Table1[#All],22,FALSE)</f>
        <v>Pacific Island Health Officers Association</v>
      </c>
      <c r="H3156" s="8">
        <f>VLOOKUP(A3156,[1]!Table1[#All],32,FALSE)</f>
        <v>44409</v>
      </c>
      <c r="I3156" s="8">
        <f>VLOOKUP(A3156,[1]!Table1[#All],33,FALSE)</f>
        <v>46234</v>
      </c>
      <c r="J3156" t="str">
        <f t="shared" ca="1" si="53"/>
        <v>Non UDO</v>
      </c>
    </row>
    <row r="3157" spans="1:10" x14ac:dyDescent="0.35">
      <c r="A3157" s="9" t="s">
        <v>101</v>
      </c>
      <c r="B3157" s="10">
        <v>44743</v>
      </c>
      <c r="C3157" s="11">
        <v>449537</v>
      </c>
      <c r="D3157" s="11">
        <v>86304.82</v>
      </c>
      <c r="E3157" s="11">
        <v>363232.18</v>
      </c>
      <c r="F3157" t="str">
        <f>VLOOKUP(A3157,[1]!Table1[#All],17,FALSE)</f>
        <v>UNITED STATES</v>
      </c>
      <c r="G3157" t="str">
        <f>VLOOKUP(A3157,[1]!Table1[#All],22,FALSE)</f>
        <v>Pacific Island Health Officers Association</v>
      </c>
      <c r="H3157" s="8">
        <f>VLOOKUP(A3157,[1]!Table1[#All],32,FALSE)</f>
        <v>44409</v>
      </c>
      <c r="I3157" s="8">
        <f>VLOOKUP(A3157,[1]!Table1[#All],33,FALSE)</f>
        <v>46234</v>
      </c>
      <c r="J3157" t="str">
        <f t="shared" ca="1" si="53"/>
        <v>Non UDO</v>
      </c>
    </row>
    <row r="3158" spans="1:10" x14ac:dyDescent="0.35">
      <c r="A3158" s="5" t="s">
        <v>101</v>
      </c>
      <c r="B3158" s="6">
        <v>44774</v>
      </c>
      <c r="C3158" s="7">
        <v>449537</v>
      </c>
      <c r="D3158" s="7">
        <v>86304.82</v>
      </c>
      <c r="E3158" s="7">
        <v>363232.18</v>
      </c>
      <c r="F3158" t="str">
        <f>VLOOKUP(A3158,[1]!Table1[#All],17,FALSE)</f>
        <v>UNITED STATES</v>
      </c>
      <c r="G3158" t="str">
        <f>VLOOKUP(A3158,[1]!Table1[#All],22,FALSE)</f>
        <v>Pacific Island Health Officers Association</v>
      </c>
      <c r="H3158" s="8">
        <f>VLOOKUP(A3158,[1]!Table1[#All],32,FALSE)</f>
        <v>44409</v>
      </c>
      <c r="I3158" s="8">
        <f>VLOOKUP(A3158,[1]!Table1[#All],33,FALSE)</f>
        <v>46234</v>
      </c>
      <c r="J3158" t="str">
        <f t="shared" ca="1" si="53"/>
        <v>Non UDO</v>
      </c>
    </row>
    <row r="3159" spans="1:10" x14ac:dyDescent="0.35">
      <c r="A3159" s="9" t="s">
        <v>101</v>
      </c>
      <c r="B3159" s="10">
        <v>44805</v>
      </c>
      <c r="C3159" s="11">
        <v>449537</v>
      </c>
      <c r="D3159" s="11">
        <v>132647.51</v>
      </c>
      <c r="E3159" s="11">
        <v>316889.49</v>
      </c>
      <c r="F3159" t="str">
        <f>VLOOKUP(A3159,[1]!Table1[#All],17,FALSE)</f>
        <v>UNITED STATES</v>
      </c>
      <c r="G3159" t="str">
        <f>VLOOKUP(A3159,[1]!Table1[#All],22,FALSE)</f>
        <v>Pacific Island Health Officers Association</v>
      </c>
      <c r="H3159" s="8">
        <f>VLOOKUP(A3159,[1]!Table1[#All],32,FALSE)</f>
        <v>44409</v>
      </c>
      <c r="I3159" s="8">
        <f>VLOOKUP(A3159,[1]!Table1[#All],33,FALSE)</f>
        <v>46234</v>
      </c>
      <c r="J3159" t="str">
        <f t="shared" ca="1" si="53"/>
        <v>Non UDO</v>
      </c>
    </row>
    <row r="3160" spans="1:10" x14ac:dyDescent="0.35">
      <c r="A3160" s="5" t="s">
        <v>101</v>
      </c>
      <c r="B3160" s="6">
        <v>44835</v>
      </c>
      <c r="C3160" s="7">
        <v>449537</v>
      </c>
      <c r="D3160" s="7">
        <v>151241.87</v>
      </c>
      <c r="E3160" s="7">
        <v>298295.13</v>
      </c>
      <c r="F3160" t="str">
        <f>VLOOKUP(A3160,[1]!Table1[#All],17,FALSE)</f>
        <v>UNITED STATES</v>
      </c>
      <c r="G3160" t="str">
        <f>VLOOKUP(A3160,[1]!Table1[#All],22,FALSE)</f>
        <v>Pacific Island Health Officers Association</v>
      </c>
      <c r="H3160" s="8">
        <f>VLOOKUP(A3160,[1]!Table1[#All],32,FALSE)</f>
        <v>44409</v>
      </c>
      <c r="I3160" s="8">
        <f>VLOOKUP(A3160,[1]!Table1[#All],33,FALSE)</f>
        <v>46234</v>
      </c>
      <c r="J3160" t="str">
        <f t="shared" ca="1" si="53"/>
        <v>Non UDO</v>
      </c>
    </row>
    <row r="3161" spans="1:10" x14ac:dyDescent="0.35">
      <c r="A3161" s="9" t="s">
        <v>101</v>
      </c>
      <c r="B3161" s="10">
        <v>44866</v>
      </c>
      <c r="C3161" s="11">
        <v>449537</v>
      </c>
      <c r="D3161" s="11">
        <v>153651</v>
      </c>
      <c r="E3161" s="11">
        <v>295886</v>
      </c>
      <c r="F3161" t="str">
        <f>VLOOKUP(A3161,[1]!Table1[#All],17,FALSE)</f>
        <v>UNITED STATES</v>
      </c>
      <c r="G3161" t="str">
        <f>VLOOKUP(A3161,[1]!Table1[#All],22,FALSE)</f>
        <v>Pacific Island Health Officers Association</v>
      </c>
      <c r="H3161" s="8">
        <f>VLOOKUP(A3161,[1]!Table1[#All],32,FALSE)</f>
        <v>44409</v>
      </c>
      <c r="I3161" s="8">
        <f>VLOOKUP(A3161,[1]!Table1[#All],33,FALSE)</f>
        <v>46234</v>
      </c>
      <c r="J3161" t="str">
        <f t="shared" ca="1" si="53"/>
        <v>Non UDO</v>
      </c>
    </row>
    <row r="3162" spans="1:10" x14ac:dyDescent="0.35">
      <c r="A3162" s="5" t="s">
        <v>101</v>
      </c>
      <c r="B3162" s="6">
        <v>44896</v>
      </c>
      <c r="C3162" s="7">
        <v>449537</v>
      </c>
      <c r="D3162" s="7">
        <v>221300.82</v>
      </c>
      <c r="E3162" s="7">
        <v>228236.18</v>
      </c>
      <c r="F3162" t="str">
        <f>VLOOKUP(A3162,[1]!Table1[#All],17,FALSE)</f>
        <v>UNITED STATES</v>
      </c>
      <c r="G3162" t="str">
        <f>VLOOKUP(A3162,[1]!Table1[#All],22,FALSE)</f>
        <v>Pacific Island Health Officers Association</v>
      </c>
      <c r="H3162" s="8">
        <f>VLOOKUP(A3162,[1]!Table1[#All],32,FALSE)</f>
        <v>44409</v>
      </c>
      <c r="I3162" s="8">
        <f>VLOOKUP(A3162,[1]!Table1[#All],33,FALSE)</f>
        <v>46234</v>
      </c>
      <c r="J3162" t="str">
        <f t="shared" ca="1" si="53"/>
        <v>Non UDO</v>
      </c>
    </row>
    <row r="3163" spans="1:10" x14ac:dyDescent="0.35">
      <c r="A3163" s="9" t="s">
        <v>101</v>
      </c>
      <c r="B3163" s="10">
        <v>44927</v>
      </c>
      <c r="C3163" s="11">
        <v>449537</v>
      </c>
      <c r="D3163" s="11">
        <v>223190.85</v>
      </c>
      <c r="E3163" s="11">
        <v>226346.15</v>
      </c>
      <c r="F3163" t="str">
        <f>VLOOKUP(A3163,[1]!Table1[#All],17,FALSE)</f>
        <v>UNITED STATES</v>
      </c>
      <c r="G3163" t="str">
        <f>VLOOKUP(A3163,[1]!Table1[#All],22,FALSE)</f>
        <v>Pacific Island Health Officers Association</v>
      </c>
      <c r="H3163" s="8">
        <f>VLOOKUP(A3163,[1]!Table1[#All],32,FALSE)</f>
        <v>44409</v>
      </c>
      <c r="I3163" s="8">
        <f>VLOOKUP(A3163,[1]!Table1[#All],33,FALSE)</f>
        <v>46234</v>
      </c>
      <c r="J3163" t="str">
        <f t="shared" ca="1" si="53"/>
        <v>Non UDO</v>
      </c>
    </row>
    <row r="3164" spans="1:10" x14ac:dyDescent="0.35">
      <c r="A3164" s="5" t="s">
        <v>101</v>
      </c>
      <c r="B3164" s="6">
        <v>44958</v>
      </c>
      <c r="C3164" s="7">
        <v>449537</v>
      </c>
      <c r="D3164" s="7">
        <v>256422.65999999997</v>
      </c>
      <c r="E3164" s="7">
        <v>193114.34</v>
      </c>
      <c r="F3164" t="str">
        <f>VLOOKUP(A3164,[1]!Table1[#All],17,FALSE)</f>
        <v>UNITED STATES</v>
      </c>
      <c r="G3164" t="str">
        <f>VLOOKUP(A3164,[1]!Table1[#All],22,FALSE)</f>
        <v>Pacific Island Health Officers Association</v>
      </c>
      <c r="H3164" s="8">
        <f>VLOOKUP(A3164,[1]!Table1[#All],32,FALSE)</f>
        <v>44409</v>
      </c>
      <c r="I3164" s="8">
        <f>VLOOKUP(A3164,[1]!Table1[#All],33,FALSE)</f>
        <v>46234</v>
      </c>
      <c r="J3164" t="str">
        <f t="shared" ca="1" si="53"/>
        <v>Non UDO</v>
      </c>
    </row>
    <row r="3165" spans="1:10" x14ac:dyDescent="0.35">
      <c r="A3165" s="9" t="s">
        <v>101</v>
      </c>
      <c r="B3165" s="10">
        <v>44986</v>
      </c>
      <c r="C3165" s="11">
        <v>449537</v>
      </c>
      <c r="D3165" s="11">
        <v>288449.25</v>
      </c>
      <c r="E3165" s="11">
        <v>161087.75</v>
      </c>
      <c r="F3165" t="str">
        <f>VLOOKUP(A3165,[1]!Table1[#All],17,FALSE)</f>
        <v>UNITED STATES</v>
      </c>
      <c r="G3165" t="str">
        <f>VLOOKUP(A3165,[1]!Table1[#All],22,FALSE)</f>
        <v>Pacific Island Health Officers Association</v>
      </c>
      <c r="H3165" s="8">
        <f>VLOOKUP(A3165,[1]!Table1[#All],32,FALSE)</f>
        <v>44409</v>
      </c>
      <c r="I3165" s="8">
        <f>VLOOKUP(A3165,[1]!Table1[#All],33,FALSE)</f>
        <v>46234</v>
      </c>
      <c r="J3165" t="str">
        <f t="shared" ca="1" si="53"/>
        <v>Non UDO</v>
      </c>
    </row>
    <row r="3166" spans="1:10" x14ac:dyDescent="0.35">
      <c r="A3166" s="5" t="s">
        <v>101</v>
      </c>
      <c r="B3166" s="6">
        <v>45017</v>
      </c>
      <c r="C3166" s="7">
        <v>449537</v>
      </c>
      <c r="D3166" s="7">
        <v>288449.25</v>
      </c>
      <c r="E3166" s="7">
        <v>161087.75</v>
      </c>
      <c r="F3166" t="str">
        <f>VLOOKUP(A3166,[1]!Table1[#All],17,FALSE)</f>
        <v>UNITED STATES</v>
      </c>
      <c r="G3166" t="str">
        <f>VLOOKUP(A3166,[1]!Table1[#All],22,FALSE)</f>
        <v>Pacific Island Health Officers Association</v>
      </c>
      <c r="H3166" s="8">
        <f>VLOOKUP(A3166,[1]!Table1[#All],32,FALSE)</f>
        <v>44409</v>
      </c>
      <c r="I3166" s="8">
        <f>VLOOKUP(A3166,[1]!Table1[#All],33,FALSE)</f>
        <v>46234</v>
      </c>
      <c r="J3166" t="str">
        <f t="shared" ca="1" si="53"/>
        <v>Non UDO</v>
      </c>
    </row>
    <row r="3167" spans="1:10" x14ac:dyDescent="0.35">
      <c r="A3167" s="9" t="s">
        <v>101</v>
      </c>
      <c r="B3167" s="10">
        <v>45047</v>
      </c>
      <c r="C3167" s="11">
        <v>449537</v>
      </c>
      <c r="D3167" s="11">
        <v>302619.65999999997</v>
      </c>
      <c r="E3167" s="11">
        <v>146917.34</v>
      </c>
      <c r="F3167" t="str">
        <f>VLOOKUP(A3167,[1]!Table1[#All],17,FALSE)</f>
        <v>UNITED STATES</v>
      </c>
      <c r="G3167" t="str">
        <f>VLOOKUP(A3167,[1]!Table1[#All],22,FALSE)</f>
        <v>Pacific Island Health Officers Association</v>
      </c>
      <c r="H3167" s="8">
        <f>VLOOKUP(A3167,[1]!Table1[#All],32,FALSE)</f>
        <v>44409</v>
      </c>
      <c r="I3167" s="8">
        <f>VLOOKUP(A3167,[1]!Table1[#All],33,FALSE)</f>
        <v>46234</v>
      </c>
      <c r="J3167" t="str">
        <f t="shared" ca="1" si="53"/>
        <v>Non UDO</v>
      </c>
    </row>
    <row r="3168" spans="1:10" x14ac:dyDescent="0.35">
      <c r="A3168" s="5" t="s">
        <v>101</v>
      </c>
      <c r="B3168" s="6">
        <v>45078</v>
      </c>
      <c r="C3168" s="7">
        <v>449537</v>
      </c>
      <c r="D3168" s="7">
        <v>363610.86</v>
      </c>
      <c r="E3168" s="7">
        <v>85926.14</v>
      </c>
      <c r="F3168" t="str">
        <f>VLOOKUP(A3168,[1]!Table1[#All],17,FALSE)</f>
        <v>UNITED STATES</v>
      </c>
      <c r="G3168" t="str">
        <f>VLOOKUP(A3168,[1]!Table1[#All],22,FALSE)</f>
        <v>Pacific Island Health Officers Association</v>
      </c>
      <c r="H3168" s="8">
        <f>VLOOKUP(A3168,[1]!Table1[#All],32,FALSE)</f>
        <v>44409</v>
      </c>
      <c r="I3168" s="8">
        <f>VLOOKUP(A3168,[1]!Table1[#All],33,FALSE)</f>
        <v>46234</v>
      </c>
      <c r="J3168" t="str">
        <f t="shared" ca="1" si="53"/>
        <v>Non UDO</v>
      </c>
    </row>
    <row r="3169" spans="1:10" x14ac:dyDescent="0.35">
      <c r="A3169" s="9" t="s">
        <v>101</v>
      </c>
      <c r="B3169" s="10">
        <v>45108</v>
      </c>
      <c r="C3169" s="11">
        <v>449537</v>
      </c>
      <c r="D3169" s="11">
        <v>373842.27999999997</v>
      </c>
      <c r="E3169" s="11">
        <v>75694.720000000001</v>
      </c>
      <c r="F3169" t="str">
        <f>VLOOKUP(A3169,[1]!Table1[#All],17,FALSE)</f>
        <v>UNITED STATES</v>
      </c>
      <c r="G3169" t="str">
        <f>VLOOKUP(A3169,[1]!Table1[#All],22,FALSE)</f>
        <v>Pacific Island Health Officers Association</v>
      </c>
      <c r="H3169" s="8">
        <f>VLOOKUP(A3169,[1]!Table1[#All],32,FALSE)</f>
        <v>44409</v>
      </c>
      <c r="I3169" s="8">
        <f>VLOOKUP(A3169,[1]!Table1[#All],33,FALSE)</f>
        <v>46234</v>
      </c>
      <c r="J3169" t="str">
        <f t="shared" ca="1" si="53"/>
        <v>Non UDO</v>
      </c>
    </row>
    <row r="3170" spans="1:10" x14ac:dyDescent="0.35">
      <c r="A3170" s="5" t="s">
        <v>101</v>
      </c>
      <c r="B3170" s="6">
        <v>45139</v>
      </c>
      <c r="C3170" s="7">
        <v>449537</v>
      </c>
      <c r="D3170" s="7">
        <v>449537</v>
      </c>
      <c r="E3170" s="7">
        <v>0</v>
      </c>
      <c r="F3170" t="str">
        <f>VLOOKUP(A3170,[1]!Table1[#All],17,FALSE)</f>
        <v>UNITED STATES</v>
      </c>
      <c r="G3170" t="str">
        <f>VLOOKUP(A3170,[1]!Table1[#All],22,FALSE)</f>
        <v>Pacific Island Health Officers Association</v>
      </c>
      <c r="H3170" s="8">
        <f>VLOOKUP(A3170,[1]!Table1[#All],32,FALSE)</f>
        <v>44409</v>
      </c>
      <c r="I3170" s="8">
        <f>VLOOKUP(A3170,[1]!Table1[#All],33,FALSE)</f>
        <v>46234</v>
      </c>
      <c r="J3170" t="str">
        <f t="shared" ca="1" si="53"/>
        <v>Non UDO</v>
      </c>
    </row>
    <row r="3171" spans="1:10" x14ac:dyDescent="0.35">
      <c r="A3171" s="9" t="s">
        <v>101</v>
      </c>
      <c r="B3171" s="10">
        <v>45170</v>
      </c>
      <c r="C3171" s="11">
        <v>449537</v>
      </c>
      <c r="D3171" s="11">
        <v>449537</v>
      </c>
      <c r="E3171" s="11">
        <v>0</v>
      </c>
      <c r="F3171" t="str">
        <f>VLOOKUP(A3171,[1]!Table1[#All],17,FALSE)</f>
        <v>UNITED STATES</v>
      </c>
      <c r="G3171" t="str">
        <f>VLOOKUP(A3171,[1]!Table1[#All],22,FALSE)</f>
        <v>Pacific Island Health Officers Association</v>
      </c>
      <c r="H3171" s="8">
        <f>VLOOKUP(A3171,[1]!Table1[#All],32,FALSE)</f>
        <v>44409</v>
      </c>
      <c r="I3171" s="8">
        <f>VLOOKUP(A3171,[1]!Table1[#All],33,FALSE)</f>
        <v>46234</v>
      </c>
      <c r="J3171" t="str">
        <f t="shared" ca="1" si="53"/>
        <v>Non UDO</v>
      </c>
    </row>
    <row r="3172" spans="1:10" x14ac:dyDescent="0.35">
      <c r="A3172" s="5" t="s">
        <v>102</v>
      </c>
      <c r="B3172" s="6">
        <v>44105</v>
      </c>
      <c r="C3172" s="7">
        <v>3168000</v>
      </c>
      <c r="D3172" s="7">
        <v>276563.46999999997</v>
      </c>
      <c r="E3172" s="7">
        <v>2891436.53</v>
      </c>
      <c r="F3172" t="str">
        <f>VLOOKUP(A3172,[1]!Table1[#All],17,FALSE)</f>
        <v>MEXICO</v>
      </c>
      <c r="G3172" t="str">
        <f>VLOOKUP(A3172,[1]!Table1[#All],22,FALSE)</f>
        <v>US-Mexico Foundation for Science (FUMEC)</v>
      </c>
      <c r="H3172" s="8">
        <f>VLOOKUP(A3172,[1]!Table1[#All],32,FALSE)</f>
        <v>43008</v>
      </c>
      <c r="I3172" s="8">
        <f>VLOOKUP(A3172,[1]!Table1[#All],33,FALSE)</f>
        <v>44833</v>
      </c>
      <c r="J3172" t="str">
        <f t="shared" ca="1" si="53"/>
        <v>UDO</v>
      </c>
    </row>
    <row r="3173" spans="1:10" x14ac:dyDescent="0.35">
      <c r="A3173" s="9" t="s">
        <v>102</v>
      </c>
      <c r="B3173" s="10">
        <v>44136</v>
      </c>
      <c r="C3173" s="11">
        <v>3168000</v>
      </c>
      <c r="D3173" s="11">
        <v>499321.32</v>
      </c>
      <c r="E3173" s="11">
        <v>2668678.6800000002</v>
      </c>
      <c r="F3173" t="str">
        <f>VLOOKUP(A3173,[1]!Table1[#All],17,FALSE)</f>
        <v>MEXICO</v>
      </c>
      <c r="G3173" t="str">
        <f>VLOOKUP(A3173,[1]!Table1[#All],22,FALSE)</f>
        <v>US-Mexico Foundation for Science (FUMEC)</v>
      </c>
      <c r="H3173" s="8">
        <f>VLOOKUP(A3173,[1]!Table1[#All],32,FALSE)</f>
        <v>43008</v>
      </c>
      <c r="I3173" s="8">
        <f>VLOOKUP(A3173,[1]!Table1[#All],33,FALSE)</f>
        <v>44833</v>
      </c>
      <c r="J3173" t="str">
        <f t="shared" ca="1" si="53"/>
        <v>UDO</v>
      </c>
    </row>
    <row r="3174" spans="1:10" x14ac:dyDescent="0.35">
      <c r="A3174" s="5" t="s">
        <v>102</v>
      </c>
      <c r="B3174" s="6">
        <v>44166</v>
      </c>
      <c r="C3174" s="7">
        <v>3168000</v>
      </c>
      <c r="D3174" s="7">
        <v>775701.62</v>
      </c>
      <c r="E3174" s="7">
        <v>2392298.38</v>
      </c>
      <c r="F3174" t="str">
        <f>VLOOKUP(A3174,[1]!Table1[#All],17,FALSE)</f>
        <v>MEXICO</v>
      </c>
      <c r="G3174" t="str">
        <f>VLOOKUP(A3174,[1]!Table1[#All],22,FALSE)</f>
        <v>US-Mexico Foundation for Science (FUMEC)</v>
      </c>
      <c r="H3174" s="8">
        <f>VLOOKUP(A3174,[1]!Table1[#All],32,FALSE)</f>
        <v>43008</v>
      </c>
      <c r="I3174" s="8">
        <f>VLOOKUP(A3174,[1]!Table1[#All],33,FALSE)</f>
        <v>44833</v>
      </c>
      <c r="J3174" t="str">
        <f t="shared" ca="1" si="53"/>
        <v>UDO</v>
      </c>
    </row>
    <row r="3175" spans="1:10" x14ac:dyDescent="0.35">
      <c r="A3175" s="9" t="s">
        <v>102</v>
      </c>
      <c r="B3175" s="10">
        <v>44197</v>
      </c>
      <c r="C3175" s="11">
        <v>3168000</v>
      </c>
      <c r="D3175" s="11">
        <v>1150311.92</v>
      </c>
      <c r="E3175" s="11">
        <v>2017688.08</v>
      </c>
      <c r="F3175" t="str">
        <f>VLOOKUP(A3175,[1]!Table1[#All],17,FALSE)</f>
        <v>MEXICO</v>
      </c>
      <c r="G3175" t="str">
        <f>VLOOKUP(A3175,[1]!Table1[#All],22,FALSE)</f>
        <v>US-Mexico Foundation for Science (FUMEC)</v>
      </c>
      <c r="H3175" s="8">
        <f>VLOOKUP(A3175,[1]!Table1[#All],32,FALSE)</f>
        <v>43008</v>
      </c>
      <c r="I3175" s="8">
        <f>VLOOKUP(A3175,[1]!Table1[#All],33,FALSE)</f>
        <v>44833</v>
      </c>
      <c r="J3175" t="str">
        <f t="shared" ca="1" si="53"/>
        <v>UDO</v>
      </c>
    </row>
    <row r="3176" spans="1:10" x14ac:dyDescent="0.35">
      <c r="A3176" s="5" t="s">
        <v>102</v>
      </c>
      <c r="B3176" s="6">
        <v>44228</v>
      </c>
      <c r="C3176" s="7">
        <v>3168000</v>
      </c>
      <c r="D3176" s="7">
        <v>1316392.22</v>
      </c>
      <c r="E3176" s="7">
        <v>1851607.78</v>
      </c>
      <c r="F3176" t="str">
        <f>VLOOKUP(A3176,[1]!Table1[#All],17,FALSE)</f>
        <v>MEXICO</v>
      </c>
      <c r="G3176" t="str">
        <f>VLOOKUP(A3176,[1]!Table1[#All],22,FALSE)</f>
        <v>US-Mexico Foundation for Science (FUMEC)</v>
      </c>
      <c r="H3176" s="8">
        <f>VLOOKUP(A3176,[1]!Table1[#All],32,FALSE)</f>
        <v>43008</v>
      </c>
      <c r="I3176" s="8">
        <f>VLOOKUP(A3176,[1]!Table1[#All],33,FALSE)</f>
        <v>44833</v>
      </c>
      <c r="J3176" t="str">
        <f t="shared" ca="1" si="53"/>
        <v>UDO</v>
      </c>
    </row>
    <row r="3177" spans="1:10" x14ac:dyDescent="0.35">
      <c r="A3177" s="9" t="s">
        <v>102</v>
      </c>
      <c r="B3177" s="10">
        <v>44256</v>
      </c>
      <c r="C3177" s="11">
        <v>3168000</v>
      </c>
      <c r="D3177" s="11">
        <v>1462772.52</v>
      </c>
      <c r="E3177" s="11">
        <v>1705227.48</v>
      </c>
      <c r="F3177" t="str">
        <f>VLOOKUP(A3177,[1]!Table1[#All],17,FALSE)</f>
        <v>MEXICO</v>
      </c>
      <c r="G3177" t="str">
        <f>VLOOKUP(A3177,[1]!Table1[#All],22,FALSE)</f>
        <v>US-Mexico Foundation for Science (FUMEC)</v>
      </c>
      <c r="H3177" s="8">
        <f>VLOOKUP(A3177,[1]!Table1[#All],32,FALSE)</f>
        <v>43008</v>
      </c>
      <c r="I3177" s="8">
        <f>VLOOKUP(A3177,[1]!Table1[#All],33,FALSE)</f>
        <v>44833</v>
      </c>
      <c r="J3177" t="str">
        <f t="shared" ca="1" si="53"/>
        <v>UDO</v>
      </c>
    </row>
    <row r="3178" spans="1:10" x14ac:dyDescent="0.35">
      <c r="A3178" s="5" t="s">
        <v>102</v>
      </c>
      <c r="B3178" s="6">
        <v>44287</v>
      </c>
      <c r="C3178" s="7">
        <v>3168000</v>
      </c>
      <c r="D3178" s="7">
        <v>1462772.52</v>
      </c>
      <c r="E3178" s="7">
        <v>1705227.48</v>
      </c>
      <c r="F3178" t="str">
        <f>VLOOKUP(A3178,[1]!Table1[#All],17,FALSE)</f>
        <v>MEXICO</v>
      </c>
      <c r="G3178" t="str">
        <f>VLOOKUP(A3178,[1]!Table1[#All],22,FALSE)</f>
        <v>US-Mexico Foundation for Science (FUMEC)</v>
      </c>
      <c r="H3178" s="8">
        <f>VLOOKUP(A3178,[1]!Table1[#All],32,FALSE)</f>
        <v>43008</v>
      </c>
      <c r="I3178" s="8">
        <f>VLOOKUP(A3178,[1]!Table1[#All],33,FALSE)</f>
        <v>44833</v>
      </c>
      <c r="J3178" t="str">
        <f t="shared" ca="1" si="53"/>
        <v>UDO</v>
      </c>
    </row>
    <row r="3179" spans="1:10" x14ac:dyDescent="0.35">
      <c r="A3179" s="9" t="s">
        <v>102</v>
      </c>
      <c r="B3179" s="10">
        <v>44317</v>
      </c>
      <c r="C3179" s="11">
        <v>3168000</v>
      </c>
      <c r="D3179" s="11">
        <v>1563852.82</v>
      </c>
      <c r="E3179" s="11">
        <v>1604147.18</v>
      </c>
      <c r="F3179" t="str">
        <f>VLOOKUP(A3179,[1]!Table1[#All],17,FALSE)</f>
        <v>MEXICO</v>
      </c>
      <c r="G3179" t="str">
        <f>VLOOKUP(A3179,[1]!Table1[#All],22,FALSE)</f>
        <v>US-Mexico Foundation for Science (FUMEC)</v>
      </c>
      <c r="H3179" s="8">
        <f>VLOOKUP(A3179,[1]!Table1[#All],32,FALSE)</f>
        <v>43008</v>
      </c>
      <c r="I3179" s="8">
        <f>VLOOKUP(A3179,[1]!Table1[#All],33,FALSE)</f>
        <v>44833</v>
      </c>
      <c r="J3179" t="str">
        <f t="shared" ca="1" si="53"/>
        <v>UDO</v>
      </c>
    </row>
    <row r="3180" spans="1:10" x14ac:dyDescent="0.35">
      <c r="A3180" s="5" t="s">
        <v>102</v>
      </c>
      <c r="B3180" s="6">
        <v>44348</v>
      </c>
      <c r="C3180" s="7">
        <v>3168000</v>
      </c>
      <c r="D3180" s="7">
        <v>1796267.82</v>
      </c>
      <c r="E3180" s="7">
        <v>1371732.18</v>
      </c>
      <c r="F3180" t="str">
        <f>VLOOKUP(A3180,[1]!Table1[#All],17,FALSE)</f>
        <v>MEXICO</v>
      </c>
      <c r="G3180" t="str">
        <f>VLOOKUP(A3180,[1]!Table1[#All],22,FALSE)</f>
        <v>US-Mexico Foundation for Science (FUMEC)</v>
      </c>
      <c r="H3180" s="8">
        <f>VLOOKUP(A3180,[1]!Table1[#All],32,FALSE)</f>
        <v>43008</v>
      </c>
      <c r="I3180" s="8">
        <f>VLOOKUP(A3180,[1]!Table1[#All],33,FALSE)</f>
        <v>44833</v>
      </c>
      <c r="J3180" t="str">
        <f t="shared" ca="1" si="53"/>
        <v>UDO</v>
      </c>
    </row>
    <row r="3181" spans="1:10" x14ac:dyDescent="0.35">
      <c r="A3181" s="9" t="s">
        <v>102</v>
      </c>
      <c r="B3181" s="10">
        <v>44378</v>
      </c>
      <c r="C3181" s="11">
        <v>3168000</v>
      </c>
      <c r="D3181" s="11">
        <v>1972619.42</v>
      </c>
      <c r="E3181" s="11">
        <v>1195380.58</v>
      </c>
      <c r="F3181" t="str">
        <f>VLOOKUP(A3181,[1]!Table1[#All],17,FALSE)</f>
        <v>MEXICO</v>
      </c>
      <c r="G3181" t="str">
        <f>VLOOKUP(A3181,[1]!Table1[#All],22,FALSE)</f>
        <v>US-Mexico Foundation for Science (FUMEC)</v>
      </c>
      <c r="H3181" s="8">
        <f>VLOOKUP(A3181,[1]!Table1[#All],32,FALSE)</f>
        <v>43008</v>
      </c>
      <c r="I3181" s="8">
        <f>VLOOKUP(A3181,[1]!Table1[#All],33,FALSE)</f>
        <v>44833</v>
      </c>
      <c r="J3181" t="str">
        <f t="shared" ca="1" si="53"/>
        <v>UDO</v>
      </c>
    </row>
    <row r="3182" spans="1:10" x14ac:dyDescent="0.35">
      <c r="A3182" s="5" t="s">
        <v>102</v>
      </c>
      <c r="B3182" s="6">
        <v>44409</v>
      </c>
      <c r="C3182" s="7">
        <v>3168000</v>
      </c>
      <c r="D3182" s="7">
        <v>2096699.72</v>
      </c>
      <c r="E3182" s="7">
        <v>1071300.28</v>
      </c>
      <c r="F3182" t="str">
        <f>VLOOKUP(A3182,[1]!Table1[#All],17,FALSE)</f>
        <v>MEXICO</v>
      </c>
      <c r="G3182" t="str">
        <f>VLOOKUP(A3182,[1]!Table1[#All],22,FALSE)</f>
        <v>US-Mexico Foundation for Science (FUMEC)</v>
      </c>
      <c r="H3182" s="8">
        <f>VLOOKUP(A3182,[1]!Table1[#All],32,FALSE)</f>
        <v>43008</v>
      </c>
      <c r="I3182" s="8">
        <f>VLOOKUP(A3182,[1]!Table1[#All],33,FALSE)</f>
        <v>44833</v>
      </c>
      <c r="J3182" t="str">
        <f t="shared" ca="1" si="53"/>
        <v>UDO</v>
      </c>
    </row>
    <row r="3183" spans="1:10" x14ac:dyDescent="0.35">
      <c r="A3183" s="9" t="s">
        <v>102</v>
      </c>
      <c r="B3183" s="10">
        <v>44440</v>
      </c>
      <c r="C3183" s="11">
        <v>3168000</v>
      </c>
      <c r="D3183" s="11">
        <v>2212690.02</v>
      </c>
      <c r="E3183" s="11">
        <v>955309.98</v>
      </c>
      <c r="F3183" t="str">
        <f>VLOOKUP(A3183,[1]!Table1[#All],17,FALSE)</f>
        <v>MEXICO</v>
      </c>
      <c r="G3183" t="str">
        <f>VLOOKUP(A3183,[1]!Table1[#All],22,FALSE)</f>
        <v>US-Mexico Foundation for Science (FUMEC)</v>
      </c>
      <c r="H3183" s="8">
        <f>VLOOKUP(A3183,[1]!Table1[#All],32,FALSE)</f>
        <v>43008</v>
      </c>
      <c r="I3183" s="8">
        <f>VLOOKUP(A3183,[1]!Table1[#All],33,FALSE)</f>
        <v>44833</v>
      </c>
      <c r="J3183" t="str">
        <f t="shared" ca="1" si="53"/>
        <v>UDO</v>
      </c>
    </row>
    <row r="3184" spans="1:10" x14ac:dyDescent="0.35">
      <c r="A3184" s="5" t="s">
        <v>102</v>
      </c>
      <c r="B3184" s="6">
        <v>44470</v>
      </c>
      <c r="C3184" s="7">
        <v>3168000</v>
      </c>
      <c r="D3184" s="7">
        <v>2362496.4500000002</v>
      </c>
      <c r="E3184" s="7">
        <v>805503.55</v>
      </c>
      <c r="F3184" t="str">
        <f>VLOOKUP(A3184,[1]!Table1[#All],17,FALSE)</f>
        <v>MEXICO</v>
      </c>
      <c r="G3184" t="str">
        <f>VLOOKUP(A3184,[1]!Table1[#All],22,FALSE)</f>
        <v>US-Mexico Foundation for Science (FUMEC)</v>
      </c>
      <c r="H3184" s="8">
        <f>VLOOKUP(A3184,[1]!Table1[#All],32,FALSE)</f>
        <v>43008</v>
      </c>
      <c r="I3184" s="8">
        <f>VLOOKUP(A3184,[1]!Table1[#All],33,FALSE)</f>
        <v>44833</v>
      </c>
      <c r="J3184" t="str">
        <f t="shared" ca="1" si="53"/>
        <v>UDO</v>
      </c>
    </row>
    <row r="3185" spans="1:10" x14ac:dyDescent="0.35">
      <c r="A3185" s="9" t="s">
        <v>102</v>
      </c>
      <c r="B3185" s="10">
        <v>44501</v>
      </c>
      <c r="C3185" s="11">
        <v>3168000</v>
      </c>
      <c r="D3185" s="11">
        <v>2430835.2000000002</v>
      </c>
      <c r="E3185" s="11">
        <v>737164.80000000005</v>
      </c>
      <c r="F3185" t="str">
        <f>VLOOKUP(A3185,[1]!Table1[#All],17,FALSE)</f>
        <v>MEXICO</v>
      </c>
      <c r="G3185" t="str">
        <f>VLOOKUP(A3185,[1]!Table1[#All],22,FALSE)</f>
        <v>US-Mexico Foundation for Science (FUMEC)</v>
      </c>
      <c r="H3185" s="8">
        <f>VLOOKUP(A3185,[1]!Table1[#All],32,FALSE)</f>
        <v>43008</v>
      </c>
      <c r="I3185" s="8">
        <f>VLOOKUP(A3185,[1]!Table1[#All],33,FALSE)</f>
        <v>44833</v>
      </c>
      <c r="J3185" t="str">
        <f t="shared" ca="1" si="53"/>
        <v>UDO</v>
      </c>
    </row>
    <row r="3186" spans="1:10" x14ac:dyDescent="0.35">
      <c r="A3186" s="5" t="s">
        <v>102</v>
      </c>
      <c r="B3186" s="6">
        <v>44531</v>
      </c>
      <c r="C3186" s="7">
        <v>3168000</v>
      </c>
      <c r="D3186" s="7">
        <v>2514695.0499999998</v>
      </c>
      <c r="E3186" s="7">
        <v>653304.94999999995</v>
      </c>
      <c r="F3186" t="str">
        <f>VLOOKUP(A3186,[1]!Table1[#All],17,FALSE)</f>
        <v>MEXICO</v>
      </c>
      <c r="G3186" t="str">
        <f>VLOOKUP(A3186,[1]!Table1[#All],22,FALSE)</f>
        <v>US-Mexico Foundation for Science (FUMEC)</v>
      </c>
      <c r="H3186" s="8">
        <f>VLOOKUP(A3186,[1]!Table1[#All],32,FALSE)</f>
        <v>43008</v>
      </c>
      <c r="I3186" s="8">
        <f>VLOOKUP(A3186,[1]!Table1[#All],33,FALSE)</f>
        <v>44833</v>
      </c>
      <c r="J3186" t="str">
        <f t="shared" ca="1" si="53"/>
        <v>UDO</v>
      </c>
    </row>
    <row r="3187" spans="1:10" x14ac:dyDescent="0.35">
      <c r="A3187" s="9" t="s">
        <v>102</v>
      </c>
      <c r="B3187" s="10">
        <v>44562</v>
      </c>
      <c r="C3187" s="11">
        <v>3168000</v>
      </c>
      <c r="D3187" s="11">
        <v>2597084.0499999998</v>
      </c>
      <c r="E3187" s="11">
        <v>570915.94999999995</v>
      </c>
      <c r="F3187" t="str">
        <f>VLOOKUP(A3187,[1]!Table1[#All],17,FALSE)</f>
        <v>MEXICO</v>
      </c>
      <c r="G3187" t="str">
        <f>VLOOKUP(A3187,[1]!Table1[#All],22,FALSE)</f>
        <v>US-Mexico Foundation for Science (FUMEC)</v>
      </c>
      <c r="H3187" s="8">
        <f>VLOOKUP(A3187,[1]!Table1[#All],32,FALSE)</f>
        <v>43008</v>
      </c>
      <c r="I3187" s="8">
        <f>VLOOKUP(A3187,[1]!Table1[#All],33,FALSE)</f>
        <v>44833</v>
      </c>
      <c r="J3187" t="str">
        <f t="shared" ca="1" si="53"/>
        <v>UDO</v>
      </c>
    </row>
    <row r="3188" spans="1:10" x14ac:dyDescent="0.35">
      <c r="A3188" s="5" t="s">
        <v>102</v>
      </c>
      <c r="B3188" s="6">
        <v>44593</v>
      </c>
      <c r="C3188" s="7">
        <v>3168000</v>
      </c>
      <c r="D3188" s="7">
        <v>2662263.0499999998</v>
      </c>
      <c r="E3188" s="7">
        <v>505736.95</v>
      </c>
      <c r="F3188" t="str">
        <f>VLOOKUP(A3188,[1]!Table1[#All],17,FALSE)</f>
        <v>MEXICO</v>
      </c>
      <c r="G3188" t="str">
        <f>VLOOKUP(A3188,[1]!Table1[#All],22,FALSE)</f>
        <v>US-Mexico Foundation for Science (FUMEC)</v>
      </c>
      <c r="H3188" s="8">
        <f>VLOOKUP(A3188,[1]!Table1[#All],32,FALSE)</f>
        <v>43008</v>
      </c>
      <c r="I3188" s="8">
        <f>VLOOKUP(A3188,[1]!Table1[#All],33,FALSE)</f>
        <v>44833</v>
      </c>
      <c r="J3188" t="str">
        <f t="shared" ca="1" si="53"/>
        <v>UDO</v>
      </c>
    </row>
    <row r="3189" spans="1:10" x14ac:dyDescent="0.35">
      <c r="A3189" s="9" t="s">
        <v>102</v>
      </c>
      <c r="B3189" s="10">
        <v>44621</v>
      </c>
      <c r="C3189" s="11">
        <v>3168000</v>
      </c>
      <c r="D3189" s="11">
        <v>2704422.15</v>
      </c>
      <c r="E3189" s="11">
        <v>463577.85</v>
      </c>
      <c r="F3189" t="str">
        <f>VLOOKUP(A3189,[1]!Table1[#All],17,FALSE)</f>
        <v>MEXICO</v>
      </c>
      <c r="G3189" t="str">
        <f>VLOOKUP(A3189,[1]!Table1[#All],22,FALSE)</f>
        <v>US-Mexico Foundation for Science (FUMEC)</v>
      </c>
      <c r="H3189" s="8">
        <f>VLOOKUP(A3189,[1]!Table1[#All],32,FALSE)</f>
        <v>43008</v>
      </c>
      <c r="I3189" s="8">
        <f>VLOOKUP(A3189,[1]!Table1[#All],33,FALSE)</f>
        <v>44833</v>
      </c>
      <c r="J3189" t="str">
        <f t="shared" ca="1" si="53"/>
        <v>UDO</v>
      </c>
    </row>
    <row r="3190" spans="1:10" x14ac:dyDescent="0.35">
      <c r="A3190" s="5" t="s">
        <v>102</v>
      </c>
      <c r="B3190" s="6">
        <v>44652</v>
      </c>
      <c r="C3190" s="7">
        <v>3168000</v>
      </c>
      <c r="D3190" s="7">
        <v>2751581.25</v>
      </c>
      <c r="E3190" s="7">
        <v>416418.75</v>
      </c>
      <c r="F3190" t="str">
        <f>VLOOKUP(A3190,[1]!Table1[#All],17,FALSE)</f>
        <v>MEXICO</v>
      </c>
      <c r="G3190" t="str">
        <f>VLOOKUP(A3190,[1]!Table1[#All],22,FALSE)</f>
        <v>US-Mexico Foundation for Science (FUMEC)</v>
      </c>
      <c r="H3190" s="8">
        <f>VLOOKUP(A3190,[1]!Table1[#All],32,FALSE)</f>
        <v>43008</v>
      </c>
      <c r="I3190" s="8">
        <f>VLOOKUP(A3190,[1]!Table1[#All],33,FALSE)</f>
        <v>44833</v>
      </c>
      <c r="J3190" t="str">
        <f t="shared" ca="1" si="53"/>
        <v>UDO</v>
      </c>
    </row>
    <row r="3191" spans="1:10" x14ac:dyDescent="0.35">
      <c r="A3191" s="9" t="s">
        <v>102</v>
      </c>
      <c r="B3191" s="10">
        <v>44682</v>
      </c>
      <c r="C3191" s="11">
        <v>3168000</v>
      </c>
      <c r="D3191" s="11">
        <v>2818740.35</v>
      </c>
      <c r="E3191" s="11">
        <v>349259.65</v>
      </c>
      <c r="F3191" t="str">
        <f>VLOOKUP(A3191,[1]!Table1[#All],17,FALSE)</f>
        <v>MEXICO</v>
      </c>
      <c r="G3191" t="str">
        <f>VLOOKUP(A3191,[1]!Table1[#All],22,FALSE)</f>
        <v>US-Mexico Foundation for Science (FUMEC)</v>
      </c>
      <c r="H3191" s="8">
        <f>VLOOKUP(A3191,[1]!Table1[#All],32,FALSE)</f>
        <v>43008</v>
      </c>
      <c r="I3191" s="8">
        <f>VLOOKUP(A3191,[1]!Table1[#All],33,FALSE)</f>
        <v>44833</v>
      </c>
      <c r="J3191" t="str">
        <f t="shared" ca="1" si="53"/>
        <v>UDO</v>
      </c>
    </row>
    <row r="3192" spans="1:10" x14ac:dyDescent="0.35">
      <c r="A3192" s="5" t="s">
        <v>102</v>
      </c>
      <c r="B3192" s="6">
        <v>44713</v>
      </c>
      <c r="C3192" s="7">
        <v>3168000</v>
      </c>
      <c r="D3192" s="7">
        <v>2863899.45</v>
      </c>
      <c r="E3192" s="7">
        <v>304100.55</v>
      </c>
      <c r="F3192" t="str">
        <f>VLOOKUP(A3192,[1]!Table1[#All],17,FALSE)</f>
        <v>MEXICO</v>
      </c>
      <c r="G3192" t="str">
        <f>VLOOKUP(A3192,[1]!Table1[#All],22,FALSE)</f>
        <v>US-Mexico Foundation for Science (FUMEC)</v>
      </c>
      <c r="H3192" s="8">
        <f>VLOOKUP(A3192,[1]!Table1[#All],32,FALSE)</f>
        <v>43008</v>
      </c>
      <c r="I3192" s="8">
        <f>VLOOKUP(A3192,[1]!Table1[#All],33,FALSE)</f>
        <v>44833</v>
      </c>
      <c r="J3192" t="str">
        <f t="shared" ca="1" si="53"/>
        <v>UDO</v>
      </c>
    </row>
    <row r="3193" spans="1:10" x14ac:dyDescent="0.35">
      <c r="A3193" s="9" t="s">
        <v>102</v>
      </c>
      <c r="B3193" s="10">
        <v>44743</v>
      </c>
      <c r="C3193" s="11">
        <v>3168000</v>
      </c>
      <c r="D3193" s="11">
        <v>2903058.55</v>
      </c>
      <c r="E3193" s="11">
        <v>264941.45</v>
      </c>
      <c r="F3193" t="str">
        <f>VLOOKUP(A3193,[1]!Table1[#All],17,FALSE)</f>
        <v>MEXICO</v>
      </c>
      <c r="G3193" t="str">
        <f>VLOOKUP(A3193,[1]!Table1[#All],22,FALSE)</f>
        <v>US-Mexico Foundation for Science (FUMEC)</v>
      </c>
      <c r="H3193" s="8">
        <f>VLOOKUP(A3193,[1]!Table1[#All],32,FALSE)</f>
        <v>43008</v>
      </c>
      <c r="I3193" s="8">
        <f>VLOOKUP(A3193,[1]!Table1[#All],33,FALSE)</f>
        <v>44833</v>
      </c>
      <c r="J3193" t="str">
        <f t="shared" ca="1" si="53"/>
        <v>UDO</v>
      </c>
    </row>
    <row r="3194" spans="1:10" x14ac:dyDescent="0.35">
      <c r="A3194" s="5" t="s">
        <v>102</v>
      </c>
      <c r="B3194" s="6">
        <v>44774</v>
      </c>
      <c r="C3194" s="7">
        <v>3168000</v>
      </c>
      <c r="D3194" s="7">
        <v>3116692.48</v>
      </c>
      <c r="E3194" s="7">
        <v>51307.519999999997</v>
      </c>
      <c r="F3194" t="str">
        <f>VLOOKUP(A3194,[1]!Table1[#All],17,FALSE)</f>
        <v>MEXICO</v>
      </c>
      <c r="G3194" t="str">
        <f>VLOOKUP(A3194,[1]!Table1[#All],22,FALSE)</f>
        <v>US-Mexico Foundation for Science (FUMEC)</v>
      </c>
      <c r="H3194" s="8">
        <f>VLOOKUP(A3194,[1]!Table1[#All],32,FALSE)</f>
        <v>43008</v>
      </c>
      <c r="I3194" s="8">
        <f>VLOOKUP(A3194,[1]!Table1[#All],33,FALSE)</f>
        <v>44833</v>
      </c>
      <c r="J3194" t="str">
        <f t="shared" ca="1" si="53"/>
        <v>UDO</v>
      </c>
    </row>
    <row r="3195" spans="1:10" x14ac:dyDescent="0.35">
      <c r="A3195" s="9" t="s">
        <v>102</v>
      </c>
      <c r="B3195" s="10">
        <v>44805</v>
      </c>
      <c r="C3195" s="11">
        <v>3168000</v>
      </c>
      <c r="D3195" s="11">
        <v>3168000</v>
      </c>
      <c r="E3195" s="11">
        <v>0</v>
      </c>
      <c r="F3195" t="str">
        <f>VLOOKUP(A3195,[1]!Table1[#All],17,FALSE)</f>
        <v>MEXICO</v>
      </c>
      <c r="G3195" t="str">
        <f>VLOOKUP(A3195,[1]!Table1[#All],22,FALSE)</f>
        <v>US-Mexico Foundation for Science (FUMEC)</v>
      </c>
      <c r="H3195" s="8">
        <f>VLOOKUP(A3195,[1]!Table1[#All],32,FALSE)</f>
        <v>43008</v>
      </c>
      <c r="I3195" s="8">
        <f>VLOOKUP(A3195,[1]!Table1[#All],33,FALSE)</f>
        <v>44833</v>
      </c>
      <c r="J3195" t="str">
        <f t="shared" ca="1" si="53"/>
        <v>Non UDO</v>
      </c>
    </row>
    <row r="3196" spans="1:10" x14ac:dyDescent="0.35">
      <c r="A3196" s="5" t="s">
        <v>102</v>
      </c>
      <c r="B3196" s="6">
        <v>44835</v>
      </c>
      <c r="C3196" s="7">
        <v>3168000</v>
      </c>
      <c r="D3196" s="7">
        <v>3168000</v>
      </c>
      <c r="E3196" s="7">
        <v>0</v>
      </c>
      <c r="F3196" t="str">
        <f>VLOOKUP(A3196,[1]!Table1[#All],17,FALSE)</f>
        <v>MEXICO</v>
      </c>
      <c r="G3196" t="str">
        <f>VLOOKUP(A3196,[1]!Table1[#All],22,FALSE)</f>
        <v>US-Mexico Foundation for Science (FUMEC)</v>
      </c>
      <c r="H3196" s="8">
        <f>VLOOKUP(A3196,[1]!Table1[#All],32,FALSE)</f>
        <v>43008</v>
      </c>
      <c r="I3196" s="8">
        <f>VLOOKUP(A3196,[1]!Table1[#All],33,FALSE)</f>
        <v>44833</v>
      </c>
      <c r="J3196" t="str">
        <f t="shared" ca="1" si="53"/>
        <v>Non UDO</v>
      </c>
    </row>
    <row r="3197" spans="1:10" x14ac:dyDescent="0.35">
      <c r="A3197" s="9" t="s">
        <v>102</v>
      </c>
      <c r="B3197" s="10">
        <v>44866</v>
      </c>
      <c r="C3197" s="11">
        <v>3168000</v>
      </c>
      <c r="D3197" s="11">
        <v>3168000</v>
      </c>
      <c r="E3197" s="11">
        <v>0</v>
      </c>
      <c r="F3197" t="str">
        <f>VLOOKUP(A3197,[1]!Table1[#All],17,FALSE)</f>
        <v>MEXICO</v>
      </c>
      <c r="G3197" t="str">
        <f>VLOOKUP(A3197,[1]!Table1[#All],22,FALSE)</f>
        <v>US-Mexico Foundation for Science (FUMEC)</v>
      </c>
      <c r="H3197" s="8">
        <f>VLOOKUP(A3197,[1]!Table1[#All],32,FALSE)</f>
        <v>43008</v>
      </c>
      <c r="I3197" s="8">
        <f>VLOOKUP(A3197,[1]!Table1[#All],33,FALSE)</f>
        <v>44833</v>
      </c>
      <c r="J3197" t="str">
        <f t="shared" ca="1" si="53"/>
        <v>Non UDO</v>
      </c>
    </row>
    <row r="3198" spans="1:10" x14ac:dyDescent="0.35">
      <c r="A3198" s="5" t="s">
        <v>102</v>
      </c>
      <c r="B3198" s="6">
        <v>44896</v>
      </c>
      <c r="C3198" s="7">
        <v>3168000</v>
      </c>
      <c r="D3198" s="7">
        <v>3168000</v>
      </c>
      <c r="E3198" s="7">
        <v>0</v>
      </c>
      <c r="F3198" t="str">
        <f>VLOOKUP(A3198,[1]!Table1[#All],17,FALSE)</f>
        <v>MEXICO</v>
      </c>
      <c r="G3198" t="str">
        <f>VLOOKUP(A3198,[1]!Table1[#All],22,FALSE)</f>
        <v>US-Mexico Foundation for Science (FUMEC)</v>
      </c>
      <c r="H3198" s="8">
        <f>VLOOKUP(A3198,[1]!Table1[#All],32,FALSE)</f>
        <v>43008</v>
      </c>
      <c r="I3198" s="8">
        <f>VLOOKUP(A3198,[1]!Table1[#All],33,FALSE)</f>
        <v>44833</v>
      </c>
      <c r="J3198" t="str">
        <f t="shared" ca="1" si="53"/>
        <v>Non UDO</v>
      </c>
    </row>
    <row r="3199" spans="1:10" x14ac:dyDescent="0.35">
      <c r="A3199" s="9" t="s">
        <v>102</v>
      </c>
      <c r="B3199" s="10">
        <v>44927</v>
      </c>
      <c r="C3199" s="11">
        <v>3168000</v>
      </c>
      <c r="D3199" s="11">
        <v>3168000</v>
      </c>
      <c r="E3199" s="11">
        <v>0</v>
      </c>
      <c r="F3199" t="str">
        <f>VLOOKUP(A3199,[1]!Table1[#All],17,FALSE)</f>
        <v>MEXICO</v>
      </c>
      <c r="G3199" t="str">
        <f>VLOOKUP(A3199,[1]!Table1[#All],22,FALSE)</f>
        <v>US-Mexico Foundation for Science (FUMEC)</v>
      </c>
      <c r="H3199" s="8">
        <f>VLOOKUP(A3199,[1]!Table1[#All],32,FALSE)</f>
        <v>43008</v>
      </c>
      <c r="I3199" s="8">
        <f>VLOOKUP(A3199,[1]!Table1[#All],33,FALSE)</f>
        <v>44833</v>
      </c>
      <c r="J3199" t="str">
        <f t="shared" ca="1" si="53"/>
        <v>Non UDO</v>
      </c>
    </row>
    <row r="3200" spans="1:10" x14ac:dyDescent="0.35">
      <c r="A3200" s="5" t="s">
        <v>102</v>
      </c>
      <c r="B3200" s="6">
        <v>44958</v>
      </c>
      <c r="C3200" s="7">
        <v>3168000</v>
      </c>
      <c r="D3200" s="7">
        <v>3168000</v>
      </c>
      <c r="E3200" s="7">
        <v>0</v>
      </c>
      <c r="F3200" t="str">
        <f>VLOOKUP(A3200,[1]!Table1[#All],17,FALSE)</f>
        <v>MEXICO</v>
      </c>
      <c r="G3200" t="str">
        <f>VLOOKUP(A3200,[1]!Table1[#All],22,FALSE)</f>
        <v>US-Mexico Foundation for Science (FUMEC)</v>
      </c>
      <c r="H3200" s="8">
        <f>VLOOKUP(A3200,[1]!Table1[#All],32,FALSE)</f>
        <v>43008</v>
      </c>
      <c r="I3200" s="8">
        <f>VLOOKUP(A3200,[1]!Table1[#All],33,FALSE)</f>
        <v>44833</v>
      </c>
      <c r="J3200" t="str">
        <f t="shared" ca="1" si="53"/>
        <v>Non UDO</v>
      </c>
    </row>
    <row r="3201" spans="1:10" x14ac:dyDescent="0.35">
      <c r="A3201" s="9" t="s">
        <v>102</v>
      </c>
      <c r="B3201" s="10">
        <v>44986</v>
      </c>
      <c r="C3201" s="11">
        <v>3168000</v>
      </c>
      <c r="D3201" s="11">
        <v>3168000</v>
      </c>
      <c r="E3201" s="11">
        <v>0</v>
      </c>
      <c r="F3201" t="str">
        <f>VLOOKUP(A3201,[1]!Table1[#All],17,FALSE)</f>
        <v>MEXICO</v>
      </c>
      <c r="G3201" t="str">
        <f>VLOOKUP(A3201,[1]!Table1[#All],22,FALSE)</f>
        <v>US-Mexico Foundation for Science (FUMEC)</v>
      </c>
      <c r="H3201" s="8">
        <f>VLOOKUP(A3201,[1]!Table1[#All],32,FALSE)</f>
        <v>43008</v>
      </c>
      <c r="I3201" s="8">
        <f>VLOOKUP(A3201,[1]!Table1[#All],33,FALSE)</f>
        <v>44833</v>
      </c>
      <c r="J3201" t="str">
        <f t="shared" ca="1" si="53"/>
        <v>Non UDO</v>
      </c>
    </row>
    <row r="3202" spans="1:10" x14ac:dyDescent="0.35">
      <c r="A3202" s="5" t="s">
        <v>102</v>
      </c>
      <c r="B3202" s="6">
        <v>45017</v>
      </c>
      <c r="C3202" s="7">
        <v>3168000</v>
      </c>
      <c r="D3202" s="7">
        <v>3168000</v>
      </c>
      <c r="E3202" s="7">
        <v>0</v>
      </c>
      <c r="F3202" t="str">
        <f>VLOOKUP(A3202,[1]!Table1[#All],17,FALSE)</f>
        <v>MEXICO</v>
      </c>
      <c r="G3202" t="str">
        <f>VLOOKUP(A3202,[1]!Table1[#All],22,FALSE)</f>
        <v>US-Mexico Foundation for Science (FUMEC)</v>
      </c>
      <c r="H3202" s="8">
        <f>VLOOKUP(A3202,[1]!Table1[#All],32,FALSE)</f>
        <v>43008</v>
      </c>
      <c r="I3202" s="8">
        <f>VLOOKUP(A3202,[1]!Table1[#All],33,FALSE)</f>
        <v>44833</v>
      </c>
      <c r="J3202" t="str">
        <f t="shared" ca="1" si="53"/>
        <v>Non UDO</v>
      </c>
    </row>
    <row r="3203" spans="1:10" x14ac:dyDescent="0.35">
      <c r="A3203" s="9" t="s">
        <v>102</v>
      </c>
      <c r="B3203" s="10">
        <v>45047</v>
      </c>
      <c r="C3203" s="11">
        <v>3168000</v>
      </c>
      <c r="D3203" s="11">
        <v>3168000</v>
      </c>
      <c r="E3203" s="11">
        <v>0</v>
      </c>
      <c r="F3203" t="str">
        <f>VLOOKUP(A3203,[1]!Table1[#All],17,FALSE)</f>
        <v>MEXICO</v>
      </c>
      <c r="G3203" t="str">
        <f>VLOOKUP(A3203,[1]!Table1[#All],22,FALSE)</f>
        <v>US-Mexico Foundation for Science (FUMEC)</v>
      </c>
      <c r="H3203" s="8">
        <f>VLOOKUP(A3203,[1]!Table1[#All],32,FALSE)</f>
        <v>43008</v>
      </c>
      <c r="I3203" s="8">
        <f>VLOOKUP(A3203,[1]!Table1[#All],33,FALSE)</f>
        <v>44833</v>
      </c>
      <c r="J3203" t="str">
        <f t="shared" ref="J3203:J3266" ca="1" si="54">IF(AND( E3203&gt;0,TODAY()&gt;I3203),"UDO","Non UDO")</f>
        <v>Non UDO</v>
      </c>
    </row>
    <row r="3204" spans="1:10" x14ac:dyDescent="0.35">
      <c r="A3204" s="5" t="s">
        <v>102</v>
      </c>
      <c r="B3204" s="6">
        <v>45078</v>
      </c>
      <c r="C3204" s="7">
        <v>3168000</v>
      </c>
      <c r="D3204" s="7">
        <v>3168000</v>
      </c>
      <c r="E3204" s="7">
        <v>0</v>
      </c>
      <c r="F3204" t="str">
        <f>VLOOKUP(A3204,[1]!Table1[#All],17,FALSE)</f>
        <v>MEXICO</v>
      </c>
      <c r="G3204" t="str">
        <f>VLOOKUP(A3204,[1]!Table1[#All],22,FALSE)</f>
        <v>US-Mexico Foundation for Science (FUMEC)</v>
      </c>
      <c r="H3204" s="8">
        <f>VLOOKUP(A3204,[1]!Table1[#All],32,FALSE)</f>
        <v>43008</v>
      </c>
      <c r="I3204" s="8">
        <f>VLOOKUP(A3204,[1]!Table1[#All],33,FALSE)</f>
        <v>44833</v>
      </c>
      <c r="J3204" t="str">
        <f t="shared" ca="1" si="54"/>
        <v>Non UDO</v>
      </c>
    </row>
    <row r="3205" spans="1:10" x14ac:dyDescent="0.35">
      <c r="A3205" s="9" t="s">
        <v>102</v>
      </c>
      <c r="B3205" s="10">
        <v>45108</v>
      </c>
      <c r="C3205" s="11">
        <v>3168000</v>
      </c>
      <c r="D3205" s="11">
        <v>3168000</v>
      </c>
      <c r="E3205" s="11">
        <v>0</v>
      </c>
      <c r="F3205" t="str">
        <f>VLOOKUP(A3205,[1]!Table1[#All],17,FALSE)</f>
        <v>MEXICO</v>
      </c>
      <c r="G3205" t="str">
        <f>VLOOKUP(A3205,[1]!Table1[#All],22,FALSE)</f>
        <v>US-Mexico Foundation for Science (FUMEC)</v>
      </c>
      <c r="H3205" s="8">
        <f>VLOOKUP(A3205,[1]!Table1[#All],32,FALSE)</f>
        <v>43008</v>
      </c>
      <c r="I3205" s="8">
        <f>VLOOKUP(A3205,[1]!Table1[#All],33,FALSE)</f>
        <v>44833</v>
      </c>
      <c r="J3205" t="str">
        <f t="shared" ca="1" si="54"/>
        <v>Non UDO</v>
      </c>
    </row>
    <row r="3206" spans="1:10" x14ac:dyDescent="0.35">
      <c r="A3206" s="5" t="s">
        <v>102</v>
      </c>
      <c r="B3206" s="6">
        <v>45139</v>
      </c>
      <c r="C3206" s="7">
        <v>3168000</v>
      </c>
      <c r="D3206" s="7">
        <v>3168000</v>
      </c>
      <c r="E3206" s="7">
        <v>0</v>
      </c>
      <c r="F3206" t="str">
        <f>VLOOKUP(A3206,[1]!Table1[#All],17,FALSE)</f>
        <v>MEXICO</v>
      </c>
      <c r="G3206" t="str">
        <f>VLOOKUP(A3206,[1]!Table1[#All],22,FALSE)</f>
        <v>US-Mexico Foundation for Science (FUMEC)</v>
      </c>
      <c r="H3206" s="8">
        <f>VLOOKUP(A3206,[1]!Table1[#All],32,FALSE)</f>
        <v>43008</v>
      </c>
      <c r="I3206" s="8">
        <f>VLOOKUP(A3206,[1]!Table1[#All],33,FALSE)</f>
        <v>44833</v>
      </c>
      <c r="J3206" t="str">
        <f t="shared" ca="1" si="54"/>
        <v>Non UDO</v>
      </c>
    </row>
    <row r="3207" spans="1:10" x14ac:dyDescent="0.35">
      <c r="A3207" s="9" t="s">
        <v>102</v>
      </c>
      <c r="B3207" s="10">
        <v>45170</v>
      </c>
      <c r="C3207" s="11">
        <v>3168000</v>
      </c>
      <c r="D3207" s="11">
        <v>3168000</v>
      </c>
      <c r="E3207" s="11">
        <v>0</v>
      </c>
      <c r="F3207" t="str">
        <f>VLOOKUP(A3207,[1]!Table1[#All],17,FALSE)</f>
        <v>MEXICO</v>
      </c>
      <c r="G3207" t="str">
        <f>VLOOKUP(A3207,[1]!Table1[#All],22,FALSE)</f>
        <v>US-Mexico Foundation for Science (FUMEC)</v>
      </c>
      <c r="H3207" s="8">
        <f>VLOOKUP(A3207,[1]!Table1[#All],32,FALSE)</f>
        <v>43008</v>
      </c>
      <c r="I3207" s="8">
        <f>VLOOKUP(A3207,[1]!Table1[#All],33,FALSE)</f>
        <v>44833</v>
      </c>
      <c r="J3207" t="str">
        <f t="shared" ca="1" si="54"/>
        <v>Non UDO</v>
      </c>
    </row>
    <row r="3208" spans="1:10" x14ac:dyDescent="0.35">
      <c r="A3208" s="5" t="s">
        <v>103</v>
      </c>
      <c r="B3208" s="6">
        <v>44105</v>
      </c>
      <c r="C3208" s="7">
        <v>13980476</v>
      </c>
      <c r="D3208" s="7">
        <v>0</v>
      </c>
      <c r="E3208" s="7">
        <v>13980476</v>
      </c>
      <c r="F3208" t="str">
        <f>VLOOKUP(A3208,[1]!Table1[#All],17,FALSE)</f>
        <v>UNITED STATES</v>
      </c>
      <c r="G3208" t="str">
        <f>VLOOKUP(A3208,[1]!Table1[#All],22,FALSE)</f>
        <v>Pan American Health Organization</v>
      </c>
      <c r="H3208" s="8">
        <f>VLOOKUP(A3208,[1]!Table1[#All],32,FALSE)</f>
        <v>43346</v>
      </c>
      <c r="I3208" s="8">
        <f>VLOOKUP(A3208,[1]!Table1[#All],33,FALSE)</f>
        <v>45171</v>
      </c>
      <c r="J3208" t="str">
        <f t="shared" ca="1" si="54"/>
        <v>UDO</v>
      </c>
    </row>
    <row r="3209" spans="1:10" x14ac:dyDescent="0.35">
      <c r="A3209" s="9" t="s">
        <v>103</v>
      </c>
      <c r="B3209" s="10">
        <v>44136</v>
      </c>
      <c r="C3209" s="11">
        <v>13980476</v>
      </c>
      <c r="D3209" s="11">
        <v>0</v>
      </c>
      <c r="E3209" s="11">
        <v>13980476</v>
      </c>
      <c r="F3209" t="str">
        <f>VLOOKUP(A3209,[1]!Table1[#All],17,FALSE)</f>
        <v>UNITED STATES</v>
      </c>
      <c r="G3209" t="str">
        <f>VLOOKUP(A3209,[1]!Table1[#All],22,FALSE)</f>
        <v>Pan American Health Organization</v>
      </c>
      <c r="H3209" s="8">
        <f>VLOOKUP(A3209,[1]!Table1[#All],32,FALSE)</f>
        <v>43346</v>
      </c>
      <c r="I3209" s="8">
        <f>VLOOKUP(A3209,[1]!Table1[#All],33,FALSE)</f>
        <v>45171</v>
      </c>
      <c r="J3209" t="str">
        <f t="shared" ca="1" si="54"/>
        <v>UDO</v>
      </c>
    </row>
    <row r="3210" spans="1:10" x14ac:dyDescent="0.35">
      <c r="A3210" s="5" t="s">
        <v>103</v>
      </c>
      <c r="B3210" s="6">
        <v>44166</v>
      </c>
      <c r="C3210" s="7">
        <v>13980476</v>
      </c>
      <c r="D3210" s="7">
        <v>0</v>
      </c>
      <c r="E3210" s="7">
        <v>13980476</v>
      </c>
      <c r="F3210" t="str">
        <f>VLOOKUP(A3210,[1]!Table1[#All],17,FALSE)</f>
        <v>UNITED STATES</v>
      </c>
      <c r="G3210" t="str">
        <f>VLOOKUP(A3210,[1]!Table1[#All],22,FALSE)</f>
        <v>Pan American Health Organization</v>
      </c>
      <c r="H3210" s="8">
        <f>VLOOKUP(A3210,[1]!Table1[#All],32,FALSE)</f>
        <v>43346</v>
      </c>
      <c r="I3210" s="8">
        <f>VLOOKUP(A3210,[1]!Table1[#All],33,FALSE)</f>
        <v>45171</v>
      </c>
      <c r="J3210" t="str">
        <f t="shared" ca="1" si="54"/>
        <v>UDO</v>
      </c>
    </row>
    <row r="3211" spans="1:10" x14ac:dyDescent="0.35">
      <c r="A3211" s="9" t="s">
        <v>103</v>
      </c>
      <c r="B3211" s="10">
        <v>44197</v>
      </c>
      <c r="C3211" s="11">
        <v>13980476</v>
      </c>
      <c r="D3211" s="11">
        <v>130200</v>
      </c>
      <c r="E3211" s="11">
        <v>13850276</v>
      </c>
      <c r="F3211" t="str">
        <f>VLOOKUP(A3211,[1]!Table1[#All],17,FALSE)</f>
        <v>UNITED STATES</v>
      </c>
      <c r="G3211" t="str">
        <f>VLOOKUP(A3211,[1]!Table1[#All],22,FALSE)</f>
        <v>Pan American Health Organization</v>
      </c>
      <c r="H3211" s="8">
        <f>VLOOKUP(A3211,[1]!Table1[#All],32,FALSE)</f>
        <v>43346</v>
      </c>
      <c r="I3211" s="8">
        <f>VLOOKUP(A3211,[1]!Table1[#All],33,FALSE)</f>
        <v>45171</v>
      </c>
      <c r="J3211" t="str">
        <f t="shared" ca="1" si="54"/>
        <v>UDO</v>
      </c>
    </row>
    <row r="3212" spans="1:10" x14ac:dyDescent="0.35">
      <c r="A3212" s="5" t="s">
        <v>103</v>
      </c>
      <c r="B3212" s="6">
        <v>44228</v>
      </c>
      <c r="C3212" s="7">
        <v>13980476</v>
      </c>
      <c r="D3212" s="7">
        <v>520200</v>
      </c>
      <c r="E3212" s="7">
        <v>13460276</v>
      </c>
      <c r="F3212" t="str">
        <f>VLOOKUP(A3212,[1]!Table1[#All],17,FALSE)</f>
        <v>UNITED STATES</v>
      </c>
      <c r="G3212" t="str">
        <f>VLOOKUP(A3212,[1]!Table1[#All],22,FALSE)</f>
        <v>Pan American Health Organization</v>
      </c>
      <c r="H3212" s="8">
        <f>VLOOKUP(A3212,[1]!Table1[#All],32,FALSE)</f>
        <v>43346</v>
      </c>
      <c r="I3212" s="8">
        <f>VLOOKUP(A3212,[1]!Table1[#All],33,FALSE)</f>
        <v>45171</v>
      </c>
      <c r="J3212" t="str">
        <f t="shared" ca="1" si="54"/>
        <v>UDO</v>
      </c>
    </row>
    <row r="3213" spans="1:10" x14ac:dyDescent="0.35">
      <c r="A3213" s="9" t="s">
        <v>103</v>
      </c>
      <c r="B3213" s="10">
        <v>44256</v>
      </c>
      <c r="C3213" s="11">
        <v>13980476</v>
      </c>
      <c r="D3213" s="11">
        <v>750200</v>
      </c>
      <c r="E3213" s="11">
        <v>13230276</v>
      </c>
      <c r="F3213" t="str">
        <f>VLOOKUP(A3213,[1]!Table1[#All],17,FALSE)</f>
        <v>UNITED STATES</v>
      </c>
      <c r="G3213" t="str">
        <f>VLOOKUP(A3213,[1]!Table1[#All],22,FALSE)</f>
        <v>Pan American Health Organization</v>
      </c>
      <c r="H3213" s="8">
        <f>VLOOKUP(A3213,[1]!Table1[#All],32,FALSE)</f>
        <v>43346</v>
      </c>
      <c r="I3213" s="8">
        <f>VLOOKUP(A3213,[1]!Table1[#All],33,FALSE)</f>
        <v>45171</v>
      </c>
      <c r="J3213" t="str">
        <f t="shared" ca="1" si="54"/>
        <v>UDO</v>
      </c>
    </row>
    <row r="3214" spans="1:10" x14ac:dyDescent="0.35">
      <c r="A3214" s="5" t="s">
        <v>103</v>
      </c>
      <c r="B3214" s="6">
        <v>44287</v>
      </c>
      <c r="C3214" s="7">
        <v>13980476</v>
      </c>
      <c r="D3214" s="7">
        <v>1490200</v>
      </c>
      <c r="E3214" s="7">
        <v>12490276</v>
      </c>
      <c r="F3214" t="str">
        <f>VLOOKUP(A3214,[1]!Table1[#All],17,FALSE)</f>
        <v>UNITED STATES</v>
      </c>
      <c r="G3214" t="str">
        <f>VLOOKUP(A3214,[1]!Table1[#All],22,FALSE)</f>
        <v>Pan American Health Organization</v>
      </c>
      <c r="H3214" s="8">
        <f>VLOOKUP(A3214,[1]!Table1[#All],32,FALSE)</f>
        <v>43346</v>
      </c>
      <c r="I3214" s="8">
        <f>VLOOKUP(A3214,[1]!Table1[#All],33,FALSE)</f>
        <v>45171</v>
      </c>
      <c r="J3214" t="str">
        <f t="shared" ca="1" si="54"/>
        <v>UDO</v>
      </c>
    </row>
    <row r="3215" spans="1:10" x14ac:dyDescent="0.35">
      <c r="A3215" s="9" t="s">
        <v>103</v>
      </c>
      <c r="B3215" s="10">
        <v>44317</v>
      </c>
      <c r="C3215" s="11">
        <v>13980476</v>
      </c>
      <c r="D3215" s="11">
        <v>3360200</v>
      </c>
      <c r="E3215" s="11">
        <v>10620276</v>
      </c>
      <c r="F3215" t="str">
        <f>VLOOKUP(A3215,[1]!Table1[#All],17,FALSE)</f>
        <v>UNITED STATES</v>
      </c>
      <c r="G3215" t="str">
        <f>VLOOKUP(A3215,[1]!Table1[#All],22,FALSE)</f>
        <v>Pan American Health Organization</v>
      </c>
      <c r="H3215" s="8">
        <f>VLOOKUP(A3215,[1]!Table1[#All],32,FALSE)</f>
        <v>43346</v>
      </c>
      <c r="I3215" s="8">
        <f>VLOOKUP(A3215,[1]!Table1[#All],33,FALSE)</f>
        <v>45171</v>
      </c>
      <c r="J3215" t="str">
        <f t="shared" ca="1" si="54"/>
        <v>UDO</v>
      </c>
    </row>
    <row r="3216" spans="1:10" x14ac:dyDescent="0.35">
      <c r="A3216" s="5" t="s">
        <v>103</v>
      </c>
      <c r="B3216" s="6">
        <v>44348</v>
      </c>
      <c r="C3216" s="7">
        <v>13980476</v>
      </c>
      <c r="D3216" s="7">
        <v>3700200</v>
      </c>
      <c r="E3216" s="7">
        <v>10280276</v>
      </c>
      <c r="F3216" t="str">
        <f>VLOOKUP(A3216,[1]!Table1[#All],17,FALSE)</f>
        <v>UNITED STATES</v>
      </c>
      <c r="G3216" t="str">
        <f>VLOOKUP(A3216,[1]!Table1[#All],22,FALSE)</f>
        <v>Pan American Health Organization</v>
      </c>
      <c r="H3216" s="8">
        <f>VLOOKUP(A3216,[1]!Table1[#All],32,FALSE)</f>
        <v>43346</v>
      </c>
      <c r="I3216" s="8">
        <f>VLOOKUP(A3216,[1]!Table1[#All],33,FALSE)</f>
        <v>45171</v>
      </c>
      <c r="J3216" t="str">
        <f t="shared" ca="1" si="54"/>
        <v>UDO</v>
      </c>
    </row>
    <row r="3217" spans="1:10" x14ac:dyDescent="0.35">
      <c r="A3217" s="9" t="s">
        <v>103</v>
      </c>
      <c r="B3217" s="10">
        <v>44378</v>
      </c>
      <c r="C3217" s="11">
        <v>13980476</v>
      </c>
      <c r="D3217" s="11">
        <v>4700200</v>
      </c>
      <c r="E3217" s="11">
        <v>9280276</v>
      </c>
      <c r="F3217" t="str">
        <f>VLOOKUP(A3217,[1]!Table1[#All],17,FALSE)</f>
        <v>UNITED STATES</v>
      </c>
      <c r="G3217" t="str">
        <f>VLOOKUP(A3217,[1]!Table1[#All],22,FALSE)</f>
        <v>Pan American Health Organization</v>
      </c>
      <c r="H3217" s="8">
        <f>VLOOKUP(A3217,[1]!Table1[#All],32,FALSE)</f>
        <v>43346</v>
      </c>
      <c r="I3217" s="8">
        <f>VLOOKUP(A3217,[1]!Table1[#All],33,FALSE)</f>
        <v>45171</v>
      </c>
      <c r="J3217" t="str">
        <f t="shared" ca="1" si="54"/>
        <v>UDO</v>
      </c>
    </row>
    <row r="3218" spans="1:10" x14ac:dyDescent="0.35">
      <c r="A3218" s="5" t="s">
        <v>103</v>
      </c>
      <c r="B3218" s="6">
        <v>44409</v>
      </c>
      <c r="C3218" s="7">
        <v>13980476</v>
      </c>
      <c r="D3218" s="7">
        <v>5070200</v>
      </c>
      <c r="E3218" s="7">
        <v>8910276</v>
      </c>
      <c r="F3218" t="str">
        <f>VLOOKUP(A3218,[1]!Table1[#All],17,FALSE)</f>
        <v>UNITED STATES</v>
      </c>
      <c r="G3218" t="str">
        <f>VLOOKUP(A3218,[1]!Table1[#All],22,FALSE)</f>
        <v>Pan American Health Organization</v>
      </c>
      <c r="H3218" s="8">
        <f>VLOOKUP(A3218,[1]!Table1[#All],32,FALSE)</f>
        <v>43346</v>
      </c>
      <c r="I3218" s="8">
        <f>VLOOKUP(A3218,[1]!Table1[#All],33,FALSE)</f>
        <v>45171</v>
      </c>
      <c r="J3218" t="str">
        <f t="shared" ca="1" si="54"/>
        <v>UDO</v>
      </c>
    </row>
    <row r="3219" spans="1:10" x14ac:dyDescent="0.35">
      <c r="A3219" s="9" t="s">
        <v>103</v>
      </c>
      <c r="B3219" s="10">
        <v>44440</v>
      </c>
      <c r="C3219" s="11">
        <v>13980476</v>
      </c>
      <c r="D3219" s="11">
        <v>7380200</v>
      </c>
      <c r="E3219" s="11">
        <v>6600276</v>
      </c>
      <c r="F3219" t="str">
        <f>VLOOKUP(A3219,[1]!Table1[#All],17,FALSE)</f>
        <v>UNITED STATES</v>
      </c>
      <c r="G3219" t="str">
        <f>VLOOKUP(A3219,[1]!Table1[#All],22,FALSE)</f>
        <v>Pan American Health Organization</v>
      </c>
      <c r="H3219" s="8">
        <f>VLOOKUP(A3219,[1]!Table1[#All],32,FALSE)</f>
        <v>43346</v>
      </c>
      <c r="I3219" s="8">
        <f>VLOOKUP(A3219,[1]!Table1[#All],33,FALSE)</f>
        <v>45171</v>
      </c>
      <c r="J3219" t="str">
        <f t="shared" ca="1" si="54"/>
        <v>UDO</v>
      </c>
    </row>
    <row r="3220" spans="1:10" x14ac:dyDescent="0.35">
      <c r="A3220" s="5" t="s">
        <v>103</v>
      </c>
      <c r="B3220" s="6">
        <v>44470</v>
      </c>
      <c r="C3220" s="7">
        <v>13980476</v>
      </c>
      <c r="D3220" s="7">
        <v>7775200</v>
      </c>
      <c r="E3220" s="7">
        <v>6205276</v>
      </c>
      <c r="F3220" t="str">
        <f>VLOOKUP(A3220,[1]!Table1[#All],17,FALSE)</f>
        <v>UNITED STATES</v>
      </c>
      <c r="G3220" t="str">
        <f>VLOOKUP(A3220,[1]!Table1[#All],22,FALSE)</f>
        <v>Pan American Health Organization</v>
      </c>
      <c r="H3220" s="8">
        <f>VLOOKUP(A3220,[1]!Table1[#All],32,FALSE)</f>
        <v>43346</v>
      </c>
      <c r="I3220" s="8">
        <f>VLOOKUP(A3220,[1]!Table1[#All],33,FALSE)</f>
        <v>45171</v>
      </c>
      <c r="J3220" t="str">
        <f t="shared" ca="1" si="54"/>
        <v>UDO</v>
      </c>
    </row>
    <row r="3221" spans="1:10" x14ac:dyDescent="0.35">
      <c r="A3221" s="9" t="s">
        <v>103</v>
      </c>
      <c r="B3221" s="10">
        <v>44501</v>
      </c>
      <c r="C3221" s="11">
        <v>13980476</v>
      </c>
      <c r="D3221" s="11">
        <v>8264700</v>
      </c>
      <c r="E3221" s="11">
        <v>5715776</v>
      </c>
      <c r="F3221" t="str">
        <f>VLOOKUP(A3221,[1]!Table1[#All],17,FALSE)</f>
        <v>UNITED STATES</v>
      </c>
      <c r="G3221" t="str">
        <f>VLOOKUP(A3221,[1]!Table1[#All],22,FALSE)</f>
        <v>Pan American Health Organization</v>
      </c>
      <c r="H3221" s="8">
        <f>VLOOKUP(A3221,[1]!Table1[#All],32,FALSE)</f>
        <v>43346</v>
      </c>
      <c r="I3221" s="8">
        <f>VLOOKUP(A3221,[1]!Table1[#All],33,FALSE)</f>
        <v>45171</v>
      </c>
      <c r="J3221" t="str">
        <f t="shared" ca="1" si="54"/>
        <v>UDO</v>
      </c>
    </row>
    <row r="3222" spans="1:10" x14ac:dyDescent="0.35">
      <c r="A3222" s="5" t="s">
        <v>103</v>
      </c>
      <c r="B3222" s="6">
        <v>44531</v>
      </c>
      <c r="C3222" s="7">
        <v>13980476</v>
      </c>
      <c r="D3222" s="7">
        <v>8275083.1299999999</v>
      </c>
      <c r="E3222" s="7">
        <v>5705392.8700000001</v>
      </c>
      <c r="F3222" t="str">
        <f>VLOOKUP(A3222,[1]!Table1[#All],17,FALSE)</f>
        <v>UNITED STATES</v>
      </c>
      <c r="G3222" t="str">
        <f>VLOOKUP(A3222,[1]!Table1[#All],22,FALSE)</f>
        <v>Pan American Health Organization</v>
      </c>
      <c r="H3222" s="8">
        <f>VLOOKUP(A3222,[1]!Table1[#All],32,FALSE)</f>
        <v>43346</v>
      </c>
      <c r="I3222" s="8">
        <f>VLOOKUP(A3222,[1]!Table1[#All],33,FALSE)</f>
        <v>45171</v>
      </c>
      <c r="J3222" t="str">
        <f t="shared" ca="1" si="54"/>
        <v>UDO</v>
      </c>
    </row>
    <row r="3223" spans="1:10" x14ac:dyDescent="0.35">
      <c r="A3223" s="9" t="s">
        <v>103</v>
      </c>
      <c r="B3223" s="10">
        <v>44562</v>
      </c>
      <c r="C3223" s="11">
        <v>13980476</v>
      </c>
      <c r="D3223" s="11">
        <v>8275083.1299999999</v>
      </c>
      <c r="E3223" s="11">
        <v>5705392.8700000001</v>
      </c>
      <c r="F3223" t="str">
        <f>VLOOKUP(A3223,[1]!Table1[#All],17,FALSE)</f>
        <v>UNITED STATES</v>
      </c>
      <c r="G3223" t="str">
        <f>VLOOKUP(A3223,[1]!Table1[#All],22,FALSE)</f>
        <v>Pan American Health Organization</v>
      </c>
      <c r="H3223" s="8">
        <f>VLOOKUP(A3223,[1]!Table1[#All],32,FALSE)</f>
        <v>43346</v>
      </c>
      <c r="I3223" s="8">
        <f>VLOOKUP(A3223,[1]!Table1[#All],33,FALSE)</f>
        <v>45171</v>
      </c>
      <c r="J3223" t="str">
        <f t="shared" ca="1" si="54"/>
        <v>UDO</v>
      </c>
    </row>
    <row r="3224" spans="1:10" x14ac:dyDescent="0.35">
      <c r="A3224" s="5" t="s">
        <v>103</v>
      </c>
      <c r="B3224" s="6">
        <v>44593</v>
      </c>
      <c r="C3224" s="7">
        <v>13980476</v>
      </c>
      <c r="D3224" s="7">
        <v>8275083.1299999999</v>
      </c>
      <c r="E3224" s="7">
        <v>5705392.8700000001</v>
      </c>
      <c r="F3224" t="str">
        <f>VLOOKUP(A3224,[1]!Table1[#All],17,FALSE)</f>
        <v>UNITED STATES</v>
      </c>
      <c r="G3224" t="str">
        <f>VLOOKUP(A3224,[1]!Table1[#All],22,FALSE)</f>
        <v>Pan American Health Organization</v>
      </c>
      <c r="H3224" s="8">
        <f>VLOOKUP(A3224,[1]!Table1[#All],32,FALSE)</f>
        <v>43346</v>
      </c>
      <c r="I3224" s="8">
        <f>VLOOKUP(A3224,[1]!Table1[#All],33,FALSE)</f>
        <v>45171</v>
      </c>
      <c r="J3224" t="str">
        <f t="shared" ca="1" si="54"/>
        <v>UDO</v>
      </c>
    </row>
    <row r="3225" spans="1:10" x14ac:dyDescent="0.35">
      <c r="A3225" s="9" t="s">
        <v>103</v>
      </c>
      <c r="B3225" s="10">
        <v>44621</v>
      </c>
      <c r="C3225" s="11">
        <v>13980476</v>
      </c>
      <c r="D3225" s="11">
        <v>8275083.1299999999</v>
      </c>
      <c r="E3225" s="11">
        <v>5705392.8700000001</v>
      </c>
      <c r="F3225" t="str">
        <f>VLOOKUP(A3225,[1]!Table1[#All],17,FALSE)</f>
        <v>UNITED STATES</v>
      </c>
      <c r="G3225" t="str">
        <f>VLOOKUP(A3225,[1]!Table1[#All],22,FALSE)</f>
        <v>Pan American Health Organization</v>
      </c>
      <c r="H3225" s="8">
        <f>VLOOKUP(A3225,[1]!Table1[#All],32,FALSE)</f>
        <v>43346</v>
      </c>
      <c r="I3225" s="8">
        <f>VLOOKUP(A3225,[1]!Table1[#All],33,FALSE)</f>
        <v>45171</v>
      </c>
      <c r="J3225" t="str">
        <f t="shared" ca="1" si="54"/>
        <v>UDO</v>
      </c>
    </row>
    <row r="3226" spans="1:10" x14ac:dyDescent="0.35">
      <c r="A3226" s="5" t="s">
        <v>103</v>
      </c>
      <c r="B3226" s="6">
        <v>44652</v>
      </c>
      <c r="C3226" s="7">
        <v>13980476</v>
      </c>
      <c r="D3226" s="7">
        <v>8275083.1299999999</v>
      </c>
      <c r="E3226" s="7">
        <v>5705392.8700000001</v>
      </c>
      <c r="F3226" t="str">
        <f>VLOOKUP(A3226,[1]!Table1[#All],17,FALSE)</f>
        <v>UNITED STATES</v>
      </c>
      <c r="G3226" t="str">
        <f>VLOOKUP(A3226,[1]!Table1[#All],22,FALSE)</f>
        <v>Pan American Health Organization</v>
      </c>
      <c r="H3226" s="8">
        <f>VLOOKUP(A3226,[1]!Table1[#All],32,FALSE)</f>
        <v>43346</v>
      </c>
      <c r="I3226" s="8">
        <f>VLOOKUP(A3226,[1]!Table1[#All],33,FALSE)</f>
        <v>45171</v>
      </c>
      <c r="J3226" t="str">
        <f t="shared" ca="1" si="54"/>
        <v>UDO</v>
      </c>
    </row>
    <row r="3227" spans="1:10" x14ac:dyDescent="0.35">
      <c r="A3227" s="9" t="s">
        <v>103</v>
      </c>
      <c r="B3227" s="10">
        <v>44682</v>
      </c>
      <c r="C3227" s="11">
        <v>13980476</v>
      </c>
      <c r="D3227" s="11">
        <v>8275083.1299999999</v>
      </c>
      <c r="E3227" s="11">
        <v>5705392.8700000001</v>
      </c>
      <c r="F3227" t="str">
        <f>VLOOKUP(A3227,[1]!Table1[#All],17,FALSE)</f>
        <v>UNITED STATES</v>
      </c>
      <c r="G3227" t="str">
        <f>VLOOKUP(A3227,[1]!Table1[#All],22,FALSE)</f>
        <v>Pan American Health Organization</v>
      </c>
      <c r="H3227" s="8">
        <f>VLOOKUP(A3227,[1]!Table1[#All],32,FALSE)</f>
        <v>43346</v>
      </c>
      <c r="I3227" s="8">
        <f>VLOOKUP(A3227,[1]!Table1[#All],33,FALSE)</f>
        <v>45171</v>
      </c>
      <c r="J3227" t="str">
        <f t="shared" ca="1" si="54"/>
        <v>UDO</v>
      </c>
    </row>
    <row r="3228" spans="1:10" x14ac:dyDescent="0.35">
      <c r="A3228" s="5" t="s">
        <v>103</v>
      </c>
      <c r="B3228" s="6">
        <v>44713</v>
      </c>
      <c r="C3228" s="7">
        <v>13980476</v>
      </c>
      <c r="D3228" s="7">
        <v>8395083.1300000008</v>
      </c>
      <c r="E3228" s="7">
        <v>5585392.8700000001</v>
      </c>
      <c r="F3228" t="str">
        <f>VLOOKUP(A3228,[1]!Table1[#All],17,FALSE)</f>
        <v>UNITED STATES</v>
      </c>
      <c r="G3228" t="str">
        <f>VLOOKUP(A3228,[1]!Table1[#All],22,FALSE)</f>
        <v>Pan American Health Organization</v>
      </c>
      <c r="H3228" s="8">
        <f>VLOOKUP(A3228,[1]!Table1[#All],32,FALSE)</f>
        <v>43346</v>
      </c>
      <c r="I3228" s="8">
        <f>VLOOKUP(A3228,[1]!Table1[#All],33,FALSE)</f>
        <v>45171</v>
      </c>
      <c r="J3228" t="str">
        <f t="shared" ca="1" si="54"/>
        <v>UDO</v>
      </c>
    </row>
    <row r="3229" spans="1:10" x14ac:dyDescent="0.35">
      <c r="A3229" s="9" t="s">
        <v>103</v>
      </c>
      <c r="B3229" s="10">
        <v>44743</v>
      </c>
      <c r="C3229" s="11">
        <v>13980476</v>
      </c>
      <c r="D3229" s="11">
        <v>8395083.1300000008</v>
      </c>
      <c r="E3229" s="11">
        <v>5585392.8700000001</v>
      </c>
      <c r="F3229" t="str">
        <f>VLOOKUP(A3229,[1]!Table1[#All],17,FALSE)</f>
        <v>UNITED STATES</v>
      </c>
      <c r="G3229" t="str">
        <f>VLOOKUP(A3229,[1]!Table1[#All],22,FALSE)</f>
        <v>Pan American Health Organization</v>
      </c>
      <c r="H3229" s="8">
        <f>VLOOKUP(A3229,[1]!Table1[#All],32,FALSE)</f>
        <v>43346</v>
      </c>
      <c r="I3229" s="8">
        <f>VLOOKUP(A3229,[1]!Table1[#All],33,FALSE)</f>
        <v>45171</v>
      </c>
      <c r="J3229" t="str">
        <f t="shared" ca="1" si="54"/>
        <v>UDO</v>
      </c>
    </row>
    <row r="3230" spans="1:10" x14ac:dyDescent="0.35">
      <c r="A3230" s="5" t="s">
        <v>103</v>
      </c>
      <c r="B3230" s="6">
        <v>44774</v>
      </c>
      <c r="C3230" s="7">
        <v>13980476</v>
      </c>
      <c r="D3230" s="7">
        <v>8727083.1300000008</v>
      </c>
      <c r="E3230" s="7">
        <v>5253392.87</v>
      </c>
      <c r="F3230" t="str">
        <f>VLOOKUP(A3230,[1]!Table1[#All],17,FALSE)</f>
        <v>UNITED STATES</v>
      </c>
      <c r="G3230" t="str">
        <f>VLOOKUP(A3230,[1]!Table1[#All],22,FALSE)</f>
        <v>Pan American Health Organization</v>
      </c>
      <c r="H3230" s="8">
        <f>VLOOKUP(A3230,[1]!Table1[#All],32,FALSE)</f>
        <v>43346</v>
      </c>
      <c r="I3230" s="8">
        <f>VLOOKUP(A3230,[1]!Table1[#All],33,FALSE)</f>
        <v>45171</v>
      </c>
      <c r="J3230" t="str">
        <f t="shared" ca="1" si="54"/>
        <v>UDO</v>
      </c>
    </row>
    <row r="3231" spans="1:10" x14ac:dyDescent="0.35">
      <c r="A3231" s="9" t="s">
        <v>103</v>
      </c>
      <c r="B3231" s="10">
        <v>44805</v>
      </c>
      <c r="C3231" s="11">
        <v>13980476</v>
      </c>
      <c r="D3231" s="11">
        <v>8733221.3399999999</v>
      </c>
      <c r="E3231" s="11">
        <v>5247254.66</v>
      </c>
      <c r="F3231" t="str">
        <f>VLOOKUP(A3231,[1]!Table1[#All],17,FALSE)</f>
        <v>UNITED STATES</v>
      </c>
      <c r="G3231" t="str">
        <f>VLOOKUP(A3231,[1]!Table1[#All],22,FALSE)</f>
        <v>Pan American Health Organization</v>
      </c>
      <c r="H3231" s="8">
        <f>VLOOKUP(A3231,[1]!Table1[#All],32,FALSE)</f>
        <v>43346</v>
      </c>
      <c r="I3231" s="8">
        <f>VLOOKUP(A3231,[1]!Table1[#All],33,FALSE)</f>
        <v>45171</v>
      </c>
      <c r="J3231" t="str">
        <f t="shared" ca="1" si="54"/>
        <v>UDO</v>
      </c>
    </row>
    <row r="3232" spans="1:10" x14ac:dyDescent="0.35">
      <c r="A3232" s="5" t="s">
        <v>103</v>
      </c>
      <c r="B3232" s="6">
        <v>44835</v>
      </c>
      <c r="C3232" s="7">
        <v>13980476</v>
      </c>
      <c r="D3232" s="7">
        <v>8733221.3399999999</v>
      </c>
      <c r="E3232" s="7">
        <v>5247254.66</v>
      </c>
      <c r="F3232" t="str">
        <f>VLOOKUP(A3232,[1]!Table1[#All],17,FALSE)</f>
        <v>UNITED STATES</v>
      </c>
      <c r="G3232" t="str">
        <f>VLOOKUP(A3232,[1]!Table1[#All],22,FALSE)</f>
        <v>Pan American Health Organization</v>
      </c>
      <c r="H3232" s="8">
        <f>VLOOKUP(A3232,[1]!Table1[#All],32,FALSE)</f>
        <v>43346</v>
      </c>
      <c r="I3232" s="8">
        <f>VLOOKUP(A3232,[1]!Table1[#All],33,FALSE)</f>
        <v>45171</v>
      </c>
      <c r="J3232" t="str">
        <f t="shared" ca="1" si="54"/>
        <v>UDO</v>
      </c>
    </row>
    <row r="3233" spans="1:10" x14ac:dyDescent="0.35">
      <c r="A3233" s="9" t="s">
        <v>103</v>
      </c>
      <c r="B3233" s="10">
        <v>44866</v>
      </c>
      <c r="C3233" s="11">
        <v>13980476</v>
      </c>
      <c r="D3233" s="11">
        <v>8733221.3399999999</v>
      </c>
      <c r="E3233" s="11">
        <v>5247254.66</v>
      </c>
      <c r="F3233" t="str">
        <f>VLOOKUP(A3233,[1]!Table1[#All],17,FALSE)</f>
        <v>UNITED STATES</v>
      </c>
      <c r="G3233" t="str">
        <f>VLOOKUP(A3233,[1]!Table1[#All],22,FALSE)</f>
        <v>Pan American Health Organization</v>
      </c>
      <c r="H3233" s="8">
        <f>VLOOKUP(A3233,[1]!Table1[#All],32,FALSE)</f>
        <v>43346</v>
      </c>
      <c r="I3233" s="8">
        <f>VLOOKUP(A3233,[1]!Table1[#All],33,FALSE)</f>
        <v>45171</v>
      </c>
      <c r="J3233" t="str">
        <f t="shared" ca="1" si="54"/>
        <v>UDO</v>
      </c>
    </row>
    <row r="3234" spans="1:10" x14ac:dyDescent="0.35">
      <c r="A3234" s="5" t="s">
        <v>103</v>
      </c>
      <c r="B3234" s="6">
        <v>44896</v>
      </c>
      <c r="C3234" s="7">
        <v>13980476</v>
      </c>
      <c r="D3234" s="7">
        <v>10327668.01</v>
      </c>
      <c r="E3234" s="7">
        <v>3652807.99</v>
      </c>
      <c r="F3234" t="str">
        <f>VLOOKUP(A3234,[1]!Table1[#All],17,FALSE)</f>
        <v>UNITED STATES</v>
      </c>
      <c r="G3234" t="str">
        <f>VLOOKUP(A3234,[1]!Table1[#All],22,FALSE)</f>
        <v>Pan American Health Organization</v>
      </c>
      <c r="H3234" s="8">
        <f>VLOOKUP(A3234,[1]!Table1[#All],32,FALSE)</f>
        <v>43346</v>
      </c>
      <c r="I3234" s="8">
        <f>VLOOKUP(A3234,[1]!Table1[#All],33,FALSE)</f>
        <v>45171</v>
      </c>
      <c r="J3234" t="str">
        <f t="shared" ca="1" si="54"/>
        <v>UDO</v>
      </c>
    </row>
    <row r="3235" spans="1:10" x14ac:dyDescent="0.35">
      <c r="A3235" s="9" t="s">
        <v>103</v>
      </c>
      <c r="B3235" s="10">
        <v>44927</v>
      </c>
      <c r="C3235" s="11">
        <v>13980476</v>
      </c>
      <c r="D3235" s="11">
        <v>10327668.01</v>
      </c>
      <c r="E3235" s="11">
        <v>3652807.99</v>
      </c>
      <c r="F3235" t="str">
        <f>VLOOKUP(A3235,[1]!Table1[#All],17,FALSE)</f>
        <v>UNITED STATES</v>
      </c>
      <c r="G3235" t="str">
        <f>VLOOKUP(A3235,[1]!Table1[#All],22,FALSE)</f>
        <v>Pan American Health Organization</v>
      </c>
      <c r="H3235" s="8">
        <f>VLOOKUP(A3235,[1]!Table1[#All],32,FALSE)</f>
        <v>43346</v>
      </c>
      <c r="I3235" s="8">
        <f>VLOOKUP(A3235,[1]!Table1[#All],33,FALSE)</f>
        <v>45171</v>
      </c>
      <c r="J3235" t="str">
        <f t="shared" ca="1" si="54"/>
        <v>UDO</v>
      </c>
    </row>
    <row r="3236" spans="1:10" x14ac:dyDescent="0.35">
      <c r="A3236" s="5" t="s">
        <v>103</v>
      </c>
      <c r="B3236" s="6">
        <v>44958</v>
      </c>
      <c r="C3236" s="7">
        <v>13980476</v>
      </c>
      <c r="D3236" s="7">
        <v>10667668.01</v>
      </c>
      <c r="E3236" s="7">
        <v>3312807.99</v>
      </c>
      <c r="F3236" t="str">
        <f>VLOOKUP(A3236,[1]!Table1[#All],17,FALSE)</f>
        <v>UNITED STATES</v>
      </c>
      <c r="G3236" t="str">
        <f>VLOOKUP(A3236,[1]!Table1[#All],22,FALSE)</f>
        <v>Pan American Health Organization</v>
      </c>
      <c r="H3236" s="8">
        <f>VLOOKUP(A3236,[1]!Table1[#All],32,FALSE)</f>
        <v>43346</v>
      </c>
      <c r="I3236" s="8">
        <f>VLOOKUP(A3236,[1]!Table1[#All],33,FALSE)</f>
        <v>45171</v>
      </c>
      <c r="J3236" t="str">
        <f t="shared" ca="1" si="54"/>
        <v>UDO</v>
      </c>
    </row>
    <row r="3237" spans="1:10" x14ac:dyDescent="0.35">
      <c r="A3237" s="9" t="s">
        <v>103</v>
      </c>
      <c r="B3237" s="10">
        <v>44986</v>
      </c>
      <c r="C3237" s="11">
        <v>13980476</v>
      </c>
      <c r="D3237" s="11">
        <v>10667668.01</v>
      </c>
      <c r="E3237" s="11">
        <v>3312807.99</v>
      </c>
      <c r="F3237" t="str">
        <f>VLOOKUP(A3237,[1]!Table1[#All],17,FALSE)</f>
        <v>UNITED STATES</v>
      </c>
      <c r="G3237" t="str">
        <f>VLOOKUP(A3237,[1]!Table1[#All],22,FALSE)</f>
        <v>Pan American Health Organization</v>
      </c>
      <c r="H3237" s="8">
        <f>VLOOKUP(A3237,[1]!Table1[#All],32,FALSE)</f>
        <v>43346</v>
      </c>
      <c r="I3237" s="8">
        <f>VLOOKUP(A3237,[1]!Table1[#All],33,FALSE)</f>
        <v>45171</v>
      </c>
      <c r="J3237" t="str">
        <f t="shared" ca="1" si="54"/>
        <v>UDO</v>
      </c>
    </row>
    <row r="3238" spans="1:10" x14ac:dyDescent="0.35">
      <c r="A3238" s="5" t="s">
        <v>103</v>
      </c>
      <c r="B3238" s="6">
        <v>45017</v>
      </c>
      <c r="C3238" s="7">
        <v>13980476</v>
      </c>
      <c r="D3238" s="7">
        <v>10667668.01</v>
      </c>
      <c r="E3238" s="7">
        <v>3312807.99</v>
      </c>
      <c r="F3238" t="str">
        <f>VLOOKUP(A3238,[1]!Table1[#All],17,FALSE)</f>
        <v>UNITED STATES</v>
      </c>
      <c r="G3238" t="str">
        <f>VLOOKUP(A3238,[1]!Table1[#All],22,FALSE)</f>
        <v>Pan American Health Organization</v>
      </c>
      <c r="H3238" s="8">
        <f>VLOOKUP(A3238,[1]!Table1[#All],32,FALSE)</f>
        <v>43346</v>
      </c>
      <c r="I3238" s="8">
        <f>VLOOKUP(A3238,[1]!Table1[#All],33,FALSE)</f>
        <v>45171</v>
      </c>
      <c r="J3238" t="str">
        <f t="shared" ca="1" si="54"/>
        <v>UDO</v>
      </c>
    </row>
    <row r="3239" spans="1:10" x14ac:dyDescent="0.35">
      <c r="A3239" s="9" t="s">
        <v>103</v>
      </c>
      <c r="B3239" s="10">
        <v>45047</v>
      </c>
      <c r="C3239" s="11">
        <v>13980476</v>
      </c>
      <c r="D3239" s="11">
        <v>11327668.01</v>
      </c>
      <c r="E3239" s="11">
        <v>2652807.9900000002</v>
      </c>
      <c r="F3239" t="str">
        <f>VLOOKUP(A3239,[1]!Table1[#All],17,FALSE)</f>
        <v>UNITED STATES</v>
      </c>
      <c r="G3239" t="str">
        <f>VLOOKUP(A3239,[1]!Table1[#All],22,FALSE)</f>
        <v>Pan American Health Organization</v>
      </c>
      <c r="H3239" s="8">
        <f>VLOOKUP(A3239,[1]!Table1[#All],32,FALSE)</f>
        <v>43346</v>
      </c>
      <c r="I3239" s="8">
        <f>VLOOKUP(A3239,[1]!Table1[#All],33,FALSE)</f>
        <v>45171</v>
      </c>
      <c r="J3239" t="str">
        <f t="shared" ca="1" si="54"/>
        <v>UDO</v>
      </c>
    </row>
    <row r="3240" spans="1:10" x14ac:dyDescent="0.35">
      <c r="A3240" s="5" t="s">
        <v>103</v>
      </c>
      <c r="B3240" s="6">
        <v>45078</v>
      </c>
      <c r="C3240" s="7">
        <v>13980476</v>
      </c>
      <c r="D3240" s="7">
        <v>11327668.01</v>
      </c>
      <c r="E3240" s="7">
        <v>2652807.9900000002</v>
      </c>
      <c r="F3240" t="str">
        <f>VLOOKUP(A3240,[1]!Table1[#All],17,FALSE)</f>
        <v>UNITED STATES</v>
      </c>
      <c r="G3240" t="str">
        <f>VLOOKUP(A3240,[1]!Table1[#All],22,FALSE)</f>
        <v>Pan American Health Organization</v>
      </c>
      <c r="H3240" s="8">
        <f>VLOOKUP(A3240,[1]!Table1[#All],32,FALSE)</f>
        <v>43346</v>
      </c>
      <c r="I3240" s="8">
        <f>VLOOKUP(A3240,[1]!Table1[#All],33,FALSE)</f>
        <v>45171</v>
      </c>
      <c r="J3240" t="str">
        <f t="shared" ca="1" si="54"/>
        <v>UDO</v>
      </c>
    </row>
    <row r="3241" spans="1:10" x14ac:dyDescent="0.35">
      <c r="A3241" s="9" t="s">
        <v>103</v>
      </c>
      <c r="B3241" s="10">
        <v>45108</v>
      </c>
      <c r="C3241" s="11">
        <v>13980476</v>
      </c>
      <c r="D3241" s="11">
        <v>11327668.01</v>
      </c>
      <c r="E3241" s="11">
        <v>2652807.9900000002</v>
      </c>
      <c r="F3241" t="str">
        <f>VLOOKUP(A3241,[1]!Table1[#All],17,FALSE)</f>
        <v>UNITED STATES</v>
      </c>
      <c r="G3241" t="str">
        <f>VLOOKUP(A3241,[1]!Table1[#All],22,FALSE)</f>
        <v>Pan American Health Organization</v>
      </c>
      <c r="H3241" s="8">
        <f>VLOOKUP(A3241,[1]!Table1[#All],32,FALSE)</f>
        <v>43346</v>
      </c>
      <c r="I3241" s="8">
        <f>VLOOKUP(A3241,[1]!Table1[#All],33,FALSE)</f>
        <v>45171</v>
      </c>
      <c r="J3241" t="str">
        <f t="shared" ca="1" si="54"/>
        <v>UDO</v>
      </c>
    </row>
    <row r="3242" spans="1:10" x14ac:dyDescent="0.35">
      <c r="A3242" s="5" t="s">
        <v>103</v>
      </c>
      <c r="B3242" s="6">
        <v>45139</v>
      </c>
      <c r="C3242" s="7">
        <v>13980476</v>
      </c>
      <c r="D3242" s="7">
        <v>11587668.01</v>
      </c>
      <c r="E3242" s="7">
        <v>2392807.9900000002</v>
      </c>
      <c r="F3242" t="str">
        <f>VLOOKUP(A3242,[1]!Table1[#All],17,FALSE)</f>
        <v>UNITED STATES</v>
      </c>
      <c r="G3242" t="str">
        <f>VLOOKUP(A3242,[1]!Table1[#All],22,FALSE)</f>
        <v>Pan American Health Organization</v>
      </c>
      <c r="H3242" s="8">
        <f>VLOOKUP(A3242,[1]!Table1[#All],32,FALSE)</f>
        <v>43346</v>
      </c>
      <c r="I3242" s="8">
        <f>VLOOKUP(A3242,[1]!Table1[#All],33,FALSE)</f>
        <v>45171</v>
      </c>
      <c r="J3242" t="str">
        <f t="shared" ca="1" si="54"/>
        <v>UDO</v>
      </c>
    </row>
    <row r="3243" spans="1:10" x14ac:dyDescent="0.35">
      <c r="A3243" s="9" t="s">
        <v>103</v>
      </c>
      <c r="B3243" s="10">
        <v>45170</v>
      </c>
      <c r="C3243" s="11">
        <v>13980476</v>
      </c>
      <c r="D3243" s="11">
        <v>12088668.01</v>
      </c>
      <c r="E3243" s="11">
        <v>1891807.99</v>
      </c>
      <c r="F3243" t="str">
        <f>VLOOKUP(A3243,[1]!Table1[#All],17,FALSE)</f>
        <v>UNITED STATES</v>
      </c>
      <c r="G3243" t="str">
        <f>VLOOKUP(A3243,[1]!Table1[#All],22,FALSE)</f>
        <v>Pan American Health Organization</v>
      </c>
      <c r="H3243" s="8">
        <f>VLOOKUP(A3243,[1]!Table1[#All],32,FALSE)</f>
        <v>43346</v>
      </c>
      <c r="I3243" s="8">
        <f>VLOOKUP(A3243,[1]!Table1[#All],33,FALSE)</f>
        <v>45171</v>
      </c>
      <c r="J3243" t="str">
        <f t="shared" ca="1" si="54"/>
        <v>UDO</v>
      </c>
    </row>
    <row r="3244" spans="1:10" x14ac:dyDescent="0.35">
      <c r="A3244" s="5" t="s">
        <v>104</v>
      </c>
      <c r="B3244" s="6">
        <v>44348</v>
      </c>
      <c r="C3244" s="7">
        <v>380351</v>
      </c>
      <c r="D3244" s="7">
        <v>62532</v>
      </c>
      <c r="E3244" s="7">
        <v>317819</v>
      </c>
      <c r="F3244" t="str">
        <f>VLOOKUP(A3244,[1]!Table1[#All],17,FALSE)</f>
        <v>UNITED STATES</v>
      </c>
      <c r="G3244" t="str">
        <f>VLOOKUP(A3244,[1]!Table1[#All],22,FALSE)</f>
        <v>INTERNATIONAL ORGANIZATION FOR MIGRATION</v>
      </c>
      <c r="H3244" s="8">
        <f>VLOOKUP(A3244,[1]!Table1[#All],32,FALSE)</f>
        <v>43373</v>
      </c>
      <c r="I3244" s="8">
        <f>VLOOKUP(A3244,[1]!Table1[#All],33,FALSE)</f>
        <v>45198</v>
      </c>
      <c r="J3244" t="str">
        <f t="shared" ca="1" si="54"/>
        <v>UDO</v>
      </c>
    </row>
    <row r="3245" spans="1:10" x14ac:dyDescent="0.35">
      <c r="A3245" s="9" t="s">
        <v>104</v>
      </c>
      <c r="B3245" s="10">
        <v>44378</v>
      </c>
      <c r="C3245" s="11">
        <v>380351</v>
      </c>
      <c r="D3245" s="11">
        <v>72943</v>
      </c>
      <c r="E3245" s="11">
        <v>307408</v>
      </c>
      <c r="F3245" t="str">
        <f>VLOOKUP(A3245,[1]!Table1[#All],17,FALSE)</f>
        <v>UNITED STATES</v>
      </c>
      <c r="G3245" t="str">
        <f>VLOOKUP(A3245,[1]!Table1[#All],22,FALSE)</f>
        <v>INTERNATIONAL ORGANIZATION FOR MIGRATION</v>
      </c>
      <c r="H3245" s="8">
        <f>VLOOKUP(A3245,[1]!Table1[#All],32,FALSE)</f>
        <v>43373</v>
      </c>
      <c r="I3245" s="8">
        <f>VLOOKUP(A3245,[1]!Table1[#All],33,FALSE)</f>
        <v>45198</v>
      </c>
      <c r="J3245" t="str">
        <f t="shared" ca="1" si="54"/>
        <v>UDO</v>
      </c>
    </row>
    <row r="3246" spans="1:10" x14ac:dyDescent="0.35">
      <c r="A3246" s="5" t="s">
        <v>104</v>
      </c>
      <c r="B3246" s="6">
        <v>44409</v>
      </c>
      <c r="C3246" s="7">
        <v>380351</v>
      </c>
      <c r="D3246" s="7">
        <v>102943</v>
      </c>
      <c r="E3246" s="7">
        <v>277408</v>
      </c>
      <c r="F3246" t="str">
        <f>VLOOKUP(A3246,[1]!Table1[#All],17,FALSE)</f>
        <v>UNITED STATES</v>
      </c>
      <c r="G3246" t="str">
        <f>VLOOKUP(A3246,[1]!Table1[#All],22,FALSE)</f>
        <v>INTERNATIONAL ORGANIZATION FOR MIGRATION</v>
      </c>
      <c r="H3246" s="8">
        <f>VLOOKUP(A3246,[1]!Table1[#All],32,FALSE)</f>
        <v>43373</v>
      </c>
      <c r="I3246" s="8">
        <f>VLOOKUP(A3246,[1]!Table1[#All],33,FALSE)</f>
        <v>45198</v>
      </c>
      <c r="J3246" t="str">
        <f t="shared" ca="1" si="54"/>
        <v>UDO</v>
      </c>
    </row>
    <row r="3247" spans="1:10" x14ac:dyDescent="0.35">
      <c r="A3247" s="9" t="s">
        <v>104</v>
      </c>
      <c r="B3247" s="10">
        <v>44440</v>
      </c>
      <c r="C3247" s="11">
        <v>380351</v>
      </c>
      <c r="D3247" s="11">
        <v>104838</v>
      </c>
      <c r="E3247" s="11">
        <v>275513</v>
      </c>
      <c r="F3247" t="str">
        <f>VLOOKUP(A3247,[1]!Table1[#All],17,FALSE)</f>
        <v>UNITED STATES</v>
      </c>
      <c r="G3247" t="str">
        <f>VLOOKUP(A3247,[1]!Table1[#All],22,FALSE)</f>
        <v>INTERNATIONAL ORGANIZATION FOR MIGRATION</v>
      </c>
      <c r="H3247" s="8">
        <f>VLOOKUP(A3247,[1]!Table1[#All],32,FALSE)</f>
        <v>43373</v>
      </c>
      <c r="I3247" s="8">
        <f>VLOOKUP(A3247,[1]!Table1[#All],33,FALSE)</f>
        <v>45198</v>
      </c>
      <c r="J3247" t="str">
        <f t="shared" ca="1" si="54"/>
        <v>UDO</v>
      </c>
    </row>
    <row r="3248" spans="1:10" x14ac:dyDescent="0.35">
      <c r="A3248" s="5" t="s">
        <v>104</v>
      </c>
      <c r="B3248" s="6">
        <v>44470</v>
      </c>
      <c r="C3248" s="7">
        <v>380351</v>
      </c>
      <c r="D3248" s="7">
        <v>104838</v>
      </c>
      <c r="E3248" s="7">
        <v>275513</v>
      </c>
      <c r="F3248" t="str">
        <f>VLOOKUP(A3248,[1]!Table1[#All],17,FALSE)</f>
        <v>UNITED STATES</v>
      </c>
      <c r="G3248" t="str">
        <f>VLOOKUP(A3248,[1]!Table1[#All],22,FALSE)</f>
        <v>INTERNATIONAL ORGANIZATION FOR MIGRATION</v>
      </c>
      <c r="H3248" s="8">
        <f>VLOOKUP(A3248,[1]!Table1[#All],32,FALSE)</f>
        <v>43373</v>
      </c>
      <c r="I3248" s="8">
        <f>VLOOKUP(A3248,[1]!Table1[#All],33,FALSE)</f>
        <v>45198</v>
      </c>
      <c r="J3248" t="str">
        <f t="shared" ca="1" si="54"/>
        <v>UDO</v>
      </c>
    </row>
    <row r="3249" spans="1:10" x14ac:dyDescent="0.35">
      <c r="A3249" s="9" t="s">
        <v>104</v>
      </c>
      <c r="B3249" s="10">
        <v>44501</v>
      </c>
      <c r="C3249" s="11">
        <v>380351</v>
      </c>
      <c r="D3249" s="11">
        <v>108676</v>
      </c>
      <c r="E3249" s="11">
        <v>271675</v>
      </c>
      <c r="F3249" t="str">
        <f>VLOOKUP(A3249,[1]!Table1[#All],17,FALSE)</f>
        <v>UNITED STATES</v>
      </c>
      <c r="G3249" t="str">
        <f>VLOOKUP(A3249,[1]!Table1[#All],22,FALSE)</f>
        <v>INTERNATIONAL ORGANIZATION FOR MIGRATION</v>
      </c>
      <c r="H3249" s="8">
        <f>VLOOKUP(A3249,[1]!Table1[#All],32,FALSE)</f>
        <v>43373</v>
      </c>
      <c r="I3249" s="8">
        <f>VLOOKUP(A3249,[1]!Table1[#All],33,FALSE)</f>
        <v>45198</v>
      </c>
      <c r="J3249" t="str">
        <f t="shared" ca="1" si="54"/>
        <v>UDO</v>
      </c>
    </row>
    <row r="3250" spans="1:10" x14ac:dyDescent="0.35">
      <c r="A3250" s="5" t="s">
        <v>104</v>
      </c>
      <c r="B3250" s="6">
        <v>44531</v>
      </c>
      <c r="C3250" s="7">
        <v>380351</v>
      </c>
      <c r="D3250" s="7">
        <v>126747</v>
      </c>
      <c r="E3250" s="7">
        <v>253604</v>
      </c>
      <c r="F3250" t="str">
        <f>VLOOKUP(A3250,[1]!Table1[#All],17,FALSE)</f>
        <v>UNITED STATES</v>
      </c>
      <c r="G3250" t="str">
        <f>VLOOKUP(A3250,[1]!Table1[#All],22,FALSE)</f>
        <v>INTERNATIONAL ORGANIZATION FOR MIGRATION</v>
      </c>
      <c r="H3250" s="8">
        <f>VLOOKUP(A3250,[1]!Table1[#All],32,FALSE)</f>
        <v>43373</v>
      </c>
      <c r="I3250" s="8">
        <f>VLOOKUP(A3250,[1]!Table1[#All],33,FALSE)</f>
        <v>45198</v>
      </c>
      <c r="J3250" t="str">
        <f t="shared" ca="1" si="54"/>
        <v>UDO</v>
      </c>
    </row>
    <row r="3251" spans="1:10" x14ac:dyDescent="0.35">
      <c r="A3251" s="9" t="s">
        <v>104</v>
      </c>
      <c r="B3251" s="10">
        <v>44562</v>
      </c>
      <c r="C3251" s="11">
        <v>380351</v>
      </c>
      <c r="D3251" s="11">
        <v>126797</v>
      </c>
      <c r="E3251" s="11">
        <v>253554</v>
      </c>
      <c r="F3251" t="str">
        <f>VLOOKUP(A3251,[1]!Table1[#All],17,FALSE)</f>
        <v>UNITED STATES</v>
      </c>
      <c r="G3251" t="str">
        <f>VLOOKUP(A3251,[1]!Table1[#All],22,FALSE)</f>
        <v>INTERNATIONAL ORGANIZATION FOR MIGRATION</v>
      </c>
      <c r="H3251" s="8">
        <f>VLOOKUP(A3251,[1]!Table1[#All],32,FALSE)</f>
        <v>43373</v>
      </c>
      <c r="I3251" s="8">
        <f>VLOOKUP(A3251,[1]!Table1[#All],33,FALSE)</f>
        <v>45198</v>
      </c>
      <c r="J3251" t="str">
        <f t="shared" ca="1" si="54"/>
        <v>UDO</v>
      </c>
    </row>
    <row r="3252" spans="1:10" x14ac:dyDescent="0.35">
      <c r="A3252" s="5" t="s">
        <v>104</v>
      </c>
      <c r="B3252" s="6">
        <v>44593</v>
      </c>
      <c r="C3252" s="7">
        <v>380351</v>
      </c>
      <c r="D3252" s="7">
        <v>126797</v>
      </c>
      <c r="E3252" s="7">
        <v>253554</v>
      </c>
      <c r="F3252" t="str">
        <f>VLOOKUP(A3252,[1]!Table1[#All],17,FALSE)</f>
        <v>UNITED STATES</v>
      </c>
      <c r="G3252" t="str">
        <f>VLOOKUP(A3252,[1]!Table1[#All],22,FALSE)</f>
        <v>INTERNATIONAL ORGANIZATION FOR MIGRATION</v>
      </c>
      <c r="H3252" s="8">
        <f>VLOOKUP(A3252,[1]!Table1[#All],32,FALSE)</f>
        <v>43373</v>
      </c>
      <c r="I3252" s="8">
        <f>VLOOKUP(A3252,[1]!Table1[#All],33,FALSE)</f>
        <v>45198</v>
      </c>
      <c r="J3252" t="str">
        <f t="shared" ca="1" si="54"/>
        <v>UDO</v>
      </c>
    </row>
    <row r="3253" spans="1:10" x14ac:dyDescent="0.35">
      <c r="A3253" s="9" t="s">
        <v>104</v>
      </c>
      <c r="B3253" s="10">
        <v>44621</v>
      </c>
      <c r="C3253" s="11">
        <v>380351</v>
      </c>
      <c r="D3253" s="11">
        <v>126797</v>
      </c>
      <c r="E3253" s="11">
        <v>253554</v>
      </c>
      <c r="F3253" t="str">
        <f>VLOOKUP(A3253,[1]!Table1[#All],17,FALSE)</f>
        <v>UNITED STATES</v>
      </c>
      <c r="G3253" t="str">
        <f>VLOOKUP(A3253,[1]!Table1[#All],22,FALSE)</f>
        <v>INTERNATIONAL ORGANIZATION FOR MIGRATION</v>
      </c>
      <c r="H3253" s="8">
        <f>VLOOKUP(A3253,[1]!Table1[#All],32,FALSE)</f>
        <v>43373</v>
      </c>
      <c r="I3253" s="8">
        <f>VLOOKUP(A3253,[1]!Table1[#All],33,FALSE)</f>
        <v>45198</v>
      </c>
      <c r="J3253" t="str">
        <f t="shared" ca="1" si="54"/>
        <v>UDO</v>
      </c>
    </row>
    <row r="3254" spans="1:10" x14ac:dyDescent="0.35">
      <c r="A3254" s="5" t="s">
        <v>104</v>
      </c>
      <c r="B3254" s="6">
        <v>44652</v>
      </c>
      <c r="C3254" s="7">
        <v>380351</v>
      </c>
      <c r="D3254" s="7">
        <v>126797</v>
      </c>
      <c r="E3254" s="7">
        <v>253554</v>
      </c>
      <c r="F3254" t="str">
        <f>VLOOKUP(A3254,[1]!Table1[#All],17,FALSE)</f>
        <v>UNITED STATES</v>
      </c>
      <c r="G3254" t="str">
        <f>VLOOKUP(A3254,[1]!Table1[#All],22,FALSE)</f>
        <v>INTERNATIONAL ORGANIZATION FOR MIGRATION</v>
      </c>
      <c r="H3254" s="8">
        <f>VLOOKUP(A3254,[1]!Table1[#All],32,FALSE)</f>
        <v>43373</v>
      </c>
      <c r="I3254" s="8">
        <f>VLOOKUP(A3254,[1]!Table1[#All],33,FALSE)</f>
        <v>45198</v>
      </c>
      <c r="J3254" t="str">
        <f t="shared" ca="1" si="54"/>
        <v>UDO</v>
      </c>
    </row>
    <row r="3255" spans="1:10" x14ac:dyDescent="0.35">
      <c r="A3255" s="9" t="s">
        <v>104</v>
      </c>
      <c r="B3255" s="10">
        <v>44682</v>
      </c>
      <c r="C3255" s="11">
        <v>380351</v>
      </c>
      <c r="D3255" s="11">
        <v>148044</v>
      </c>
      <c r="E3255" s="11">
        <v>232307</v>
      </c>
      <c r="F3255" t="str">
        <f>VLOOKUP(A3255,[1]!Table1[#All],17,FALSE)</f>
        <v>UNITED STATES</v>
      </c>
      <c r="G3255" t="str">
        <f>VLOOKUP(A3255,[1]!Table1[#All],22,FALSE)</f>
        <v>INTERNATIONAL ORGANIZATION FOR MIGRATION</v>
      </c>
      <c r="H3255" s="8">
        <f>VLOOKUP(A3255,[1]!Table1[#All],32,FALSE)</f>
        <v>43373</v>
      </c>
      <c r="I3255" s="8">
        <f>VLOOKUP(A3255,[1]!Table1[#All],33,FALSE)</f>
        <v>45198</v>
      </c>
      <c r="J3255" t="str">
        <f t="shared" ca="1" si="54"/>
        <v>UDO</v>
      </c>
    </row>
    <row r="3256" spans="1:10" x14ac:dyDescent="0.35">
      <c r="A3256" s="5" t="s">
        <v>104</v>
      </c>
      <c r="B3256" s="6">
        <v>44713</v>
      </c>
      <c r="C3256" s="7">
        <v>380351</v>
      </c>
      <c r="D3256" s="7">
        <v>148687</v>
      </c>
      <c r="E3256" s="7">
        <v>231664</v>
      </c>
      <c r="F3256" t="str">
        <f>VLOOKUP(A3256,[1]!Table1[#All],17,FALSE)</f>
        <v>UNITED STATES</v>
      </c>
      <c r="G3256" t="str">
        <f>VLOOKUP(A3256,[1]!Table1[#All],22,FALSE)</f>
        <v>INTERNATIONAL ORGANIZATION FOR MIGRATION</v>
      </c>
      <c r="H3256" s="8">
        <f>VLOOKUP(A3256,[1]!Table1[#All],32,FALSE)</f>
        <v>43373</v>
      </c>
      <c r="I3256" s="8">
        <f>VLOOKUP(A3256,[1]!Table1[#All],33,FALSE)</f>
        <v>45198</v>
      </c>
      <c r="J3256" t="str">
        <f t="shared" ca="1" si="54"/>
        <v>UDO</v>
      </c>
    </row>
    <row r="3257" spans="1:10" x14ac:dyDescent="0.35">
      <c r="A3257" s="9" t="s">
        <v>104</v>
      </c>
      <c r="B3257" s="10">
        <v>44743</v>
      </c>
      <c r="C3257" s="11">
        <v>380351</v>
      </c>
      <c r="D3257" s="11">
        <v>148738</v>
      </c>
      <c r="E3257" s="11">
        <v>231613</v>
      </c>
      <c r="F3257" t="str">
        <f>VLOOKUP(A3257,[1]!Table1[#All],17,FALSE)</f>
        <v>UNITED STATES</v>
      </c>
      <c r="G3257" t="str">
        <f>VLOOKUP(A3257,[1]!Table1[#All],22,FALSE)</f>
        <v>INTERNATIONAL ORGANIZATION FOR MIGRATION</v>
      </c>
      <c r="H3257" s="8">
        <f>VLOOKUP(A3257,[1]!Table1[#All],32,FALSE)</f>
        <v>43373</v>
      </c>
      <c r="I3257" s="8">
        <f>VLOOKUP(A3257,[1]!Table1[#All],33,FALSE)</f>
        <v>45198</v>
      </c>
      <c r="J3257" t="str">
        <f t="shared" ca="1" si="54"/>
        <v>UDO</v>
      </c>
    </row>
    <row r="3258" spans="1:10" x14ac:dyDescent="0.35">
      <c r="A3258" s="5" t="s">
        <v>104</v>
      </c>
      <c r="B3258" s="6">
        <v>44774</v>
      </c>
      <c r="C3258" s="7">
        <v>380351</v>
      </c>
      <c r="D3258" s="7">
        <v>153150</v>
      </c>
      <c r="E3258" s="7">
        <v>227201</v>
      </c>
      <c r="F3258" t="str">
        <f>VLOOKUP(A3258,[1]!Table1[#All],17,FALSE)</f>
        <v>UNITED STATES</v>
      </c>
      <c r="G3258" t="str">
        <f>VLOOKUP(A3258,[1]!Table1[#All],22,FALSE)</f>
        <v>INTERNATIONAL ORGANIZATION FOR MIGRATION</v>
      </c>
      <c r="H3258" s="8">
        <f>VLOOKUP(A3258,[1]!Table1[#All],32,FALSE)</f>
        <v>43373</v>
      </c>
      <c r="I3258" s="8">
        <f>VLOOKUP(A3258,[1]!Table1[#All],33,FALSE)</f>
        <v>45198</v>
      </c>
      <c r="J3258" t="str">
        <f t="shared" ca="1" si="54"/>
        <v>UDO</v>
      </c>
    </row>
    <row r="3259" spans="1:10" x14ac:dyDescent="0.35">
      <c r="A3259" s="9" t="s">
        <v>104</v>
      </c>
      <c r="B3259" s="10">
        <v>44805</v>
      </c>
      <c r="C3259" s="11">
        <v>380351</v>
      </c>
      <c r="D3259" s="11">
        <v>174647</v>
      </c>
      <c r="E3259" s="11">
        <v>205704</v>
      </c>
      <c r="F3259" t="str">
        <f>VLOOKUP(A3259,[1]!Table1[#All],17,FALSE)</f>
        <v>UNITED STATES</v>
      </c>
      <c r="G3259" t="str">
        <f>VLOOKUP(A3259,[1]!Table1[#All],22,FALSE)</f>
        <v>INTERNATIONAL ORGANIZATION FOR MIGRATION</v>
      </c>
      <c r="H3259" s="8">
        <f>VLOOKUP(A3259,[1]!Table1[#All],32,FALSE)</f>
        <v>43373</v>
      </c>
      <c r="I3259" s="8">
        <f>VLOOKUP(A3259,[1]!Table1[#All],33,FALSE)</f>
        <v>45198</v>
      </c>
      <c r="J3259" t="str">
        <f t="shared" ca="1" si="54"/>
        <v>UDO</v>
      </c>
    </row>
    <row r="3260" spans="1:10" x14ac:dyDescent="0.35">
      <c r="A3260" s="5" t="s">
        <v>104</v>
      </c>
      <c r="B3260" s="6">
        <v>44835</v>
      </c>
      <c r="C3260" s="7">
        <v>380351</v>
      </c>
      <c r="D3260" s="7">
        <v>201052</v>
      </c>
      <c r="E3260" s="7">
        <v>179299</v>
      </c>
      <c r="F3260" t="str">
        <f>VLOOKUP(A3260,[1]!Table1[#All],17,FALSE)</f>
        <v>UNITED STATES</v>
      </c>
      <c r="G3260" t="str">
        <f>VLOOKUP(A3260,[1]!Table1[#All],22,FALSE)</f>
        <v>INTERNATIONAL ORGANIZATION FOR MIGRATION</v>
      </c>
      <c r="H3260" s="8">
        <f>VLOOKUP(A3260,[1]!Table1[#All],32,FALSE)</f>
        <v>43373</v>
      </c>
      <c r="I3260" s="8">
        <f>VLOOKUP(A3260,[1]!Table1[#All],33,FALSE)</f>
        <v>45198</v>
      </c>
      <c r="J3260" t="str">
        <f t="shared" ca="1" si="54"/>
        <v>UDO</v>
      </c>
    </row>
    <row r="3261" spans="1:10" x14ac:dyDescent="0.35">
      <c r="A3261" s="9" t="s">
        <v>104</v>
      </c>
      <c r="B3261" s="10">
        <v>44866</v>
      </c>
      <c r="C3261" s="11">
        <v>380351</v>
      </c>
      <c r="D3261" s="11">
        <v>201052</v>
      </c>
      <c r="E3261" s="11">
        <v>179299</v>
      </c>
      <c r="F3261" t="str">
        <f>VLOOKUP(A3261,[1]!Table1[#All],17,FALSE)</f>
        <v>UNITED STATES</v>
      </c>
      <c r="G3261" t="str">
        <f>VLOOKUP(A3261,[1]!Table1[#All],22,FALSE)</f>
        <v>INTERNATIONAL ORGANIZATION FOR MIGRATION</v>
      </c>
      <c r="H3261" s="8">
        <f>VLOOKUP(A3261,[1]!Table1[#All],32,FALSE)</f>
        <v>43373</v>
      </c>
      <c r="I3261" s="8">
        <f>VLOOKUP(A3261,[1]!Table1[#All],33,FALSE)</f>
        <v>45198</v>
      </c>
      <c r="J3261" t="str">
        <f t="shared" ca="1" si="54"/>
        <v>UDO</v>
      </c>
    </row>
    <row r="3262" spans="1:10" x14ac:dyDescent="0.35">
      <c r="A3262" s="5" t="s">
        <v>104</v>
      </c>
      <c r="B3262" s="6">
        <v>44896</v>
      </c>
      <c r="C3262" s="7">
        <v>380351</v>
      </c>
      <c r="D3262" s="7">
        <v>238005</v>
      </c>
      <c r="E3262" s="7">
        <v>142346</v>
      </c>
      <c r="F3262" t="str">
        <f>VLOOKUP(A3262,[1]!Table1[#All],17,FALSE)</f>
        <v>UNITED STATES</v>
      </c>
      <c r="G3262" t="str">
        <f>VLOOKUP(A3262,[1]!Table1[#All],22,FALSE)</f>
        <v>INTERNATIONAL ORGANIZATION FOR MIGRATION</v>
      </c>
      <c r="H3262" s="8">
        <f>VLOOKUP(A3262,[1]!Table1[#All],32,FALSE)</f>
        <v>43373</v>
      </c>
      <c r="I3262" s="8">
        <f>VLOOKUP(A3262,[1]!Table1[#All],33,FALSE)</f>
        <v>45198</v>
      </c>
      <c r="J3262" t="str">
        <f t="shared" ca="1" si="54"/>
        <v>UDO</v>
      </c>
    </row>
    <row r="3263" spans="1:10" x14ac:dyDescent="0.35">
      <c r="A3263" s="9" t="s">
        <v>104</v>
      </c>
      <c r="B3263" s="10">
        <v>44927</v>
      </c>
      <c r="C3263" s="11">
        <v>380351</v>
      </c>
      <c r="D3263" s="11">
        <v>246103</v>
      </c>
      <c r="E3263" s="11">
        <v>134248</v>
      </c>
      <c r="F3263" t="str">
        <f>VLOOKUP(A3263,[1]!Table1[#All],17,FALSE)</f>
        <v>UNITED STATES</v>
      </c>
      <c r="G3263" t="str">
        <f>VLOOKUP(A3263,[1]!Table1[#All],22,FALSE)</f>
        <v>INTERNATIONAL ORGANIZATION FOR MIGRATION</v>
      </c>
      <c r="H3263" s="8">
        <f>VLOOKUP(A3263,[1]!Table1[#All],32,FALSE)</f>
        <v>43373</v>
      </c>
      <c r="I3263" s="8">
        <f>VLOOKUP(A3263,[1]!Table1[#All],33,FALSE)</f>
        <v>45198</v>
      </c>
      <c r="J3263" t="str">
        <f t="shared" ca="1" si="54"/>
        <v>UDO</v>
      </c>
    </row>
    <row r="3264" spans="1:10" x14ac:dyDescent="0.35">
      <c r="A3264" s="5" t="s">
        <v>104</v>
      </c>
      <c r="B3264" s="6">
        <v>44958</v>
      </c>
      <c r="C3264" s="7">
        <v>380351</v>
      </c>
      <c r="D3264" s="7">
        <v>246103</v>
      </c>
      <c r="E3264" s="7">
        <v>134248</v>
      </c>
      <c r="F3264" t="str">
        <f>VLOOKUP(A3264,[1]!Table1[#All],17,FALSE)</f>
        <v>UNITED STATES</v>
      </c>
      <c r="G3264" t="str">
        <f>VLOOKUP(A3264,[1]!Table1[#All],22,FALSE)</f>
        <v>INTERNATIONAL ORGANIZATION FOR MIGRATION</v>
      </c>
      <c r="H3264" s="8">
        <f>VLOOKUP(A3264,[1]!Table1[#All],32,FALSE)</f>
        <v>43373</v>
      </c>
      <c r="I3264" s="8">
        <f>VLOOKUP(A3264,[1]!Table1[#All],33,FALSE)</f>
        <v>45198</v>
      </c>
      <c r="J3264" t="str">
        <f t="shared" ca="1" si="54"/>
        <v>UDO</v>
      </c>
    </row>
    <row r="3265" spans="1:10" x14ac:dyDescent="0.35">
      <c r="A3265" s="9" t="s">
        <v>104</v>
      </c>
      <c r="B3265" s="10">
        <v>44986</v>
      </c>
      <c r="C3265" s="11">
        <v>380351</v>
      </c>
      <c r="D3265" s="11">
        <v>272476</v>
      </c>
      <c r="E3265" s="11">
        <v>107875</v>
      </c>
      <c r="F3265" t="str">
        <f>VLOOKUP(A3265,[1]!Table1[#All],17,FALSE)</f>
        <v>UNITED STATES</v>
      </c>
      <c r="G3265" t="str">
        <f>VLOOKUP(A3265,[1]!Table1[#All],22,FALSE)</f>
        <v>INTERNATIONAL ORGANIZATION FOR MIGRATION</v>
      </c>
      <c r="H3265" s="8">
        <f>VLOOKUP(A3265,[1]!Table1[#All],32,FALSE)</f>
        <v>43373</v>
      </c>
      <c r="I3265" s="8">
        <f>VLOOKUP(A3265,[1]!Table1[#All],33,FALSE)</f>
        <v>45198</v>
      </c>
      <c r="J3265" t="str">
        <f t="shared" ca="1" si="54"/>
        <v>UDO</v>
      </c>
    </row>
    <row r="3266" spans="1:10" x14ac:dyDescent="0.35">
      <c r="A3266" s="5" t="s">
        <v>104</v>
      </c>
      <c r="B3266" s="6">
        <v>45017</v>
      </c>
      <c r="C3266" s="7">
        <v>380351</v>
      </c>
      <c r="D3266" s="7">
        <v>300986</v>
      </c>
      <c r="E3266" s="7">
        <v>79365</v>
      </c>
      <c r="F3266" t="str">
        <f>VLOOKUP(A3266,[1]!Table1[#All],17,FALSE)</f>
        <v>UNITED STATES</v>
      </c>
      <c r="G3266" t="str">
        <f>VLOOKUP(A3266,[1]!Table1[#All],22,FALSE)</f>
        <v>INTERNATIONAL ORGANIZATION FOR MIGRATION</v>
      </c>
      <c r="H3266" s="8">
        <f>VLOOKUP(A3266,[1]!Table1[#All],32,FALSE)</f>
        <v>43373</v>
      </c>
      <c r="I3266" s="8">
        <f>VLOOKUP(A3266,[1]!Table1[#All],33,FALSE)</f>
        <v>45198</v>
      </c>
      <c r="J3266" t="str">
        <f t="shared" ca="1" si="54"/>
        <v>UDO</v>
      </c>
    </row>
    <row r="3267" spans="1:10" x14ac:dyDescent="0.35">
      <c r="A3267" s="9" t="s">
        <v>104</v>
      </c>
      <c r="B3267" s="10">
        <v>45047</v>
      </c>
      <c r="C3267" s="11">
        <v>380351</v>
      </c>
      <c r="D3267" s="11">
        <v>300986</v>
      </c>
      <c r="E3267" s="11">
        <v>79365</v>
      </c>
      <c r="F3267" t="str">
        <f>VLOOKUP(A3267,[1]!Table1[#All],17,FALSE)</f>
        <v>UNITED STATES</v>
      </c>
      <c r="G3267" t="str">
        <f>VLOOKUP(A3267,[1]!Table1[#All],22,FALSE)</f>
        <v>INTERNATIONAL ORGANIZATION FOR MIGRATION</v>
      </c>
      <c r="H3267" s="8">
        <f>VLOOKUP(A3267,[1]!Table1[#All],32,FALSE)</f>
        <v>43373</v>
      </c>
      <c r="I3267" s="8">
        <f>VLOOKUP(A3267,[1]!Table1[#All],33,FALSE)</f>
        <v>45198</v>
      </c>
      <c r="J3267" t="str">
        <f t="shared" ref="J3267:J3330" ca="1" si="55">IF(AND( E3267&gt;0,TODAY()&gt;I3267),"UDO","Non UDO")</f>
        <v>UDO</v>
      </c>
    </row>
    <row r="3268" spans="1:10" x14ac:dyDescent="0.35">
      <c r="A3268" s="5" t="s">
        <v>104</v>
      </c>
      <c r="B3268" s="6">
        <v>45078</v>
      </c>
      <c r="C3268" s="7">
        <v>380351</v>
      </c>
      <c r="D3268" s="7">
        <v>310946</v>
      </c>
      <c r="E3268" s="7">
        <v>69405</v>
      </c>
      <c r="F3268" t="str">
        <f>VLOOKUP(A3268,[1]!Table1[#All],17,FALSE)</f>
        <v>UNITED STATES</v>
      </c>
      <c r="G3268" t="str">
        <f>VLOOKUP(A3268,[1]!Table1[#All],22,FALSE)</f>
        <v>INTERNATIONAL ORGANIZATION FOR MIGRATION</v>
      </c>
      <c r="H3268" s="8">
        <f>VLOOKUP(A3268,[1]!Table1[#All],32,FALSE)</f>
        <v>43373</v>
      </c>
      <c r="I3268" s="8">
        <f>VLOOKUP(A3268,[1]!Table1[#All],33,FALSE)</f>
        <v>45198</v>
      </c>
      <c r="J3268" t="str">
        <f t="shared" ca="1" si="55"/>
        <v>UDO</v>
      </c>
    </row>
    <row r="3269" spans="1:10" x14ac:dyDescent="0.35">
      <c r="A3269" s="9" t="s">
        <v>104</v>
      </c>
      <c r="B3269" s="10">
        <v>45108</v>
      </c>
      <c r="C3269" s="11">
        <v>380351</v>
      </c>
      <c r="D3269" s="11">
        <v>378620</v>
      </c>
      <c r="E3269" s="11">
        <v>1731</v>
      </c>
      <c r="F3269" t="str">
        <f>VLOOKUP(A3269,[1]!Table1[#All],17,FALSE)</f>
        <v>UNITED STATES</v>
      </c>
      <c r="G3269" t="str">
        <f>VLOOKUP(A3269,[1]!Table1[#All],22,FALSE)</f>
        <v>INTERNATIONAL ORGANIZATION FOR MIGRATION</v>
      </c>
      <c r="H3269" s="8">
        <f>VLOOKUP(A3269,[1]!Table1[#All],32,FALSE)</f>
        <v>43373</v>
      </c>
      <c r="I3269" s="8">
        <f>VLOOKUP(A3269,[1]!Table1[#All],33,FALSE)</f>
        <v>45198</v>
      </c>
      <c r="J3269" t="str">
        <f t="shared" ca="1" si="55"/>
        <v>UDO</v>
      </c>
    </row>
    <row r="3270" spans="1:10" x14ac:dyDescent="0.35">
      <c r="A3270" s="5" t="s">
        <v>104</v>
      </c>
      <c r="B3270" s="6">
        <v>45139</v>
      </c>
      <c r="C3270" s="7">
        <v>380351</v>
      </c>
      <c r="D3270" s="7">
        <v>380351</v>
      </c>
      <c r="E3270" s="7">
        <v>0</v>
      </c>
      <c r="F3270" t="str">
        <f>VLOOKUP(A3270,[1]!Table1[#All],17,FALSE)</f>
        <v>UNITED STATES</v>
      </c>
      <c r="G3270" t="str">
        <f>VLOOKUP(A3270,[1]!Table1[#All],22,FALSE)</f>
        <v>INTERNATIONAL ORGANIZATION FOR MIGRATION</v>
      </c>
      <c r="H3270" s="8">
        <f>VLOOKUP(A3270,[1]!Table1[#All],32,FALSE)</f>
        <v>43373</v>
      </c>
      <c r="I3270" s="8">
        <f>VLOOKUP(A3270,[1]!Table1[#All],33,FALSE)</f>
        <v>45198</v>
      </c>
      <c r="J3270" t="str">
        <f t="shared" ca="1" si="55"/>
        <v>Non UDO</v>
      </c>
    </row>
    <row r="3271" spans="1:10" x14ac:dyDescent="0.35">
      <c r="A3271" s="9" t="s">
        <v>104</v>
      </c>
      <c r="B3271" s="10">
        <v>45170</v>
      </c>
      <c r="C3271" s="11">
        <v>380351</v>
      </c>
      <c r="D3271" s="11">
        <v>380351</v>
      </c>
      <c r="E3271" s="11">
        <v>0</v>
      </c>
      <c r="F3271" t="str">
        <f>VLOOKUP(A3271,[1]!Table1[#All],17,FALSE)</f>
        <v>UNITED STATES</v>
      </c>
      <c r="G3271" t="str">
        <f>VLOOKUP(A3271,[1]!Table1[#All],22,FALSE)</f>
        <v>INTERNATIONAL ORGANIZATION FOR MIGRATION</v>
      </c>
      <c r="H3271" s="8">
        <f>VLOOKUP(A3271,[1]!Table1[#All],32,FALSE)</f>
        <v>43373</v>
      </c>
      <c r="I3271" s="8">
        <f>VLOOKUP(A3271,[1]!Table1[#All],33,FALSE)</f>
        <v>45198</v>
      </c>
      <c r="J3271" t="str">
        <f t="shared" ca="1" si="55"/>
        <v>Non UDO</v>
      </c>
    </row>
    <row r="3272" spans="1:10" x14ac:dyDescent="0.35">
      <c r="A3272" s="5" t="s">
        <v>105</v>
      </c>
      <c r="B3272" s="6">
        <v>44105</v>
      </c>
      <c r="C3272" s="7">
        <v>2700</v>
      </c>
      <c r="D3272" s="7">
        <v>19.190000000000001</v>
      </c>
      <c r="E3272" s="7">
        <v>2680.81</v>
      </c>
      <c r="F3272" t="str">
        <f>VLOOKUP(A3272,[1]!Table1[#All],17,FALSE)</f>
        <v>UNITED STATES</v>
      </c>
      <c r="G3272" t="str">
        <f>VLOOKUP(A3272,[1]!Table1[#All],22,FALSE)</f>
        <v>MT ST Dept of PHHS, Addictive &amp; Mental Disorders D</v>
      </c>
      <c r="H3272" s="8">
        <f>VLOOKUP(A3272,[1]!Table1[#All],32,FALSE)</f>
        <v>43678</v>
      </c>
      <c r="I3272" s="8">
        <f>VLOOKUP(A3272,[1]!Table1[#All],33,FALSE)</f>
        <v>45504</v>
      </c>
      <c r="J3272" t="str">
        <f t="shared" ca="1" si="55"/>
        <v>UDO</v>
      </c>
    </row>
    <row r="3273" spans="1:10" x14ac:dyDescent="0.35">
      <c r="A3273" s="9" t="s">
        <v>105</v>
      </c>
      <c r="B3273" s="10">
        <v>44136</v>
      </c>
      <c r="C3273" s="11">
        <v>2700</v>
      </c>
      <c r="D3273" s="11">
        <v>0</v>
      </c>
      <c r="E3273" s="11">
        <v>2700</v>
      </c>
      <c r="F3273" t="str">
        <f>VLOOKUP(A3273,[1]!Table1[#All],17,FALSE)</f>
        <v>UNITED STATES</v>
      </c>
      <c r="G3273" t="str">
        <f>VLOOKUP(A3273,[1]!Table1[#All],22,FALSE)</f>
        <v>MT ST Dept of PHHS, Addictive &amp; Mental Disorders D</v>
      </c>
      <c r="H3273" s="8">
        <f>VLOOKUP(A3273,[1]!Table1[#All],32,FALSE)</f>
        <v>43678</v>
      </c>
      <c r="I3273" s="8">
        <f>VLOOKUP(A3273,[1]!Table1[#All],33,FALSE)</f>
        <v>45504</v>
      </c>
      <c r="J3273" t="str">
        <f t="shared" ca="1" si="55"/>
        <v>UDO</v>
      </c>
    </row>
    <row r="3274" spans="1:10" x14ac:dyDescent="0.35">
      <c r="A3274" s="5" t="s">
        <v>105</v>
      </c>
      <c r="B3274" s="6">
        <v>44166</v>
      </c>
      <c r="C3274" s="7">
        <v>2700</v>
      </c>
      <c r="D3274" s="7">
        <v>144.13</v>
      </c>
      <c r="E3274" s="7">
        <v>2555.87</v>
      </c>
      <c r="F3274" t="str">
        <f>VLOOKUP(A3274,[1]!Table1[#All],17,FALSE)</f>
        <v>UNITED STATES</v>
      </c>
      <c r="G3274" t="str">
        <f>VLOOKUP(A3274,[1]!Table1[#All],22,FALSE)</f>
        <v>MT ST Dept of PHHS, Addictive &amp; Mental Disorders D</v>
      </c>
      <c r="H3274" s="8">
        <f>VLOOKUP(A3274,[1]!Table1[#All],32,FALSE)</f>
        <v>43678</v>
      </c>
      <c r="I3274" s="8">
        <f>VLOOKUP(A3274,[1]!Table1[#All],33,FALSE)</f>
        <v>45504</v>
      </c>
      <c r="J3274" t="str">
        <f t="shared" ca="1" si="55"/>
        <v>UDO</v>
      </c>
    </row>
    <row r="3275" spans="1:10" x14ac:dyDescent="0.35">
      <c r="A3275" s="9" t="s">
        <v>105</v>
      </c>
      <c r="B3275" s="10">
        <v>44197</v>
      </c>
      <c r="C3275" s="11">
        <v>2700</v>
      </c>
      <c r="D3275" s="11">
        <v>584.99</v>
      </c>
      <c r="E3275" s="11">
        <v>2115.0100000000002</v>
      </c>
      <c r="F3275" t="str">
        <f>VLOOKUP(A3275,[1]!Table1[#All],17,FALSE)</f>
        <v>UNITED STATES</v>
      </c>
      <c r="G3275" t="str">
        <f>VLOOKUP(A3275,[1]!Table1[#All],22,FALSE)</f>
        <v>MT ST Dept of PHHS, Addictive &amp; Mental Disorders D</v>
      </c>
      <c r="H3275" s="8">
        <f>VLOOKUP(A3275,[1]!Table1[#All],32,FALSE)</f>
        <v>43678</v>
      </c>
      <c r="I3275" s="8">
        <f>VLOOKUP(A3275,[1]!Table1[#All],33,FALSE)</f>
        <v>45504</v>
      </c>
      <c r="J3275" t="str">
        <f t="shared" ca="1" si="55"/>
        <v>UDO</v>
      </c>
    </row>
    <row r="3276" spans="1:10" x14ac:dyDescent="0.35">
      <c r="A3276" s="5" t="s">
        <v>105</v>
      </c>
      <c r="B3276" s="6">
        <v>44228</v>
      </c>
      <c r="C3276" s="7">
        <v>2700</v>
      </c>
      <c r="D3276" s="7">
        <v>868.09</v>
      </c>
      <c r="E3276" s="7">
        <v>1831.91</v>
      </c>
      <c r="F3276" t="str">
        <f>VLOOKUP(A3276,[1]!Table1[#All],17,FALSE)</f>
        <v>UNITED STATES</v>
      </c>
      <c r="G3276" t="str">
        <f>VLOOKUP(A3276,[1]!Table1[#All],22,FALSE)</f>
        <v>MT ST Dept of PHHS, Addictive &amp; Mental Disorders D</v>
      </c>
      <c r="H3276" s="8">
        <f>VLOOKUP(A3276,[1]!Table1[#All],32,FALSE)</f>
        <v>43678</v>
      </c>
      <c r="I3276" s="8">
        <f>VLOOKUP(A3276,[1]!Table1[#All],33,FALSE)</f>
        <v>45504</v>
      </c>
      <c r="J3276" t="str">
        <f t="shared" ca="1" si="55"/>
        <v>UDO</v>
      </c>
    </row>
    <row r="3277" spans="1:10" x14ac:dyDescent="0.35">
      <c r="A3277" s="9" t="s">
        <v>105</v>
      </c>
      <c r="B3277" s="10">
        <v>44256</v>
      </c>
      <c r="C3277" s="11">
        <v>2700</v>
      </c>
      <c r="D3277" s="11">
        <v>1104.3499999999999</v>
      </c>
      <c r="E3277" s="11">
        <v>1595.65</v>
      </c>
      <c r="F3277" t="str">
        <f>VLOOKUP(A3277,[1]!Table1[#All],17,FALSE)</f>
        <v>UNITED STATES</v>
      </c>
      <c r="G3277" t="str">
        <f>VLOOKUP(A3277,[1]!Table1[#All],22,FALSE)</f>
        <v>MT ST Dept of PHHS, Addictive &amp; Mental Disorders D</v>
      </c>
      <c r="H3277" s="8">
        <f>VLOOKUP(A3277,[1]!Table1[#All],32,FALSE)</f>
        <v>43678</v>
      </c>
      <c r="I3277" s="8">
        <f>VLOOKUP(A3277,[1]!Table1[#All],33,FALSE)</f>
        <v>45504</v>
      </c>
      <c r="J3277" t="str">
        <f t="shared" ca="1" si="55"/>
        <v>UDO</v>
      </c>
    </row>
    <row r="3278" spans="1:10" x14ac:dyDescent="0.35">
      <c r="A3278" s="5" t="s">
        <v>105</v>
      </c>
      <c r="B3278" s="6">
        <v>44317</v>
      </c>
      <c r="C3278" s="7">
        <v>2700</v>
      </c>
      <c r="D3278" s="7">
        <v>1444.52</v>
      </c>
      <c r="E3278" s="7">
        <v>1255.48</v>
      </c>
      <c r="F3278" t="str">
        <f>VLOOKUP(A3278,[1]!Table1[#All],17,FALSE)</f>
        <v>UNITED STATES</v>
      </c>
      <c r="G3278" t="str">
        <f>VLOOKUP(A3278,[1]!Table1[#All],22,FALSE)</f>
        <v>MT ST Dept of PHHS, Addictive &amp; Mental Disorders D</v>
      </c>
      <c r="H3278" s="8">
        <f>VLOOKUP(A3278,[1]!Table1[#All],32,FALSE)</f>
        <v>43678</v>
      </c>
      <c r="I3278" s="8">
        <f>VLOOKUP(A3278,[1]!Table1[#All],33,FALSE)</f>
        <v>45504</v>
      </c>
      <c r="J3278" t="str">
        <f t="shared" ca="1" si="55"/>
        <v>UDO</v>
      </c>
    </row>
    <row r="3279" spans="1:10" x14ac:dyDescent="0.35">
      <c r="A3279" s="9" t="s">
        <v>105</v>
      </c>
      <c r="B3279" s="10">
        <v>44348</v>
      </c>
      <c r="C3279" s="11">
        <v>2700</v>
      </c>
      <c r="D3279" s="11">
        <v>1675.88</v>
      </c>
      <c r="E3279" s="11">
        <v>1024.1199999999999</v>
      </c>
      <c r="F3279" t="str">
        <f>VLOOKUP(A3279,[1]!Table1[#All],17,FALSE)</f>
        <v>UNITED STATES</v>
      </c>
      <c r="G3279" t="str">
        <f>VLOOKUP(A3279,[1]!Table1[#All],22,FALSE)</f>
        <v>MT ST Dept of PHHS, Addictive &amp; Mental Disorders D</v>
      </c>
      <c r="H3279" s="8">
        <f>VLOOKUP(A3279,[1]!Table1[#All],32,FALSE)</f>
        <v>43678</v>
      </c>
      <c r="I3279" s="8">
        <f>VLOOKUP(A3279,[1]!Table1[#All],33,FALSE)</f>
        <v>45504</v>
      </c>
      <c r="J3279" t="str">
        <f t="shared" ca="1" si="55"/>
        <v>UDO</v>
      </c>
    </row>
    <row r="3280" spans="1:10" x14ac:dyDescent="0.35">
      <c r="A3280" s="5" t="s">
        <v>105</v>
      </c>
      <c r="B3280" s="6">
        <v>44378</v>
      </c>
      <c r="C3280" s="7">
        <v>2700</v>
      </c>
      <c r="D3280" s="7">
        <v>1925.15</v>
      </c>
      <c r="E3280" s="7">
        <v>774.85</v>
      </c>
      <c r="F3280" t="str">
        <f>VLOOKUP(A3280,[1]!Table1[#All],17,FALSE)</f>
        <v>UNITED STATES</v>
      </c>
      <c r="G3280" t="str">
        <f>VLOOKUP(A3280,[1]!Table1[#All],22,FALSE)</f>
        <v>MT ST Dept of PHHS, Addictive &amp; Mental Disorders D</v>
      </c>
      <c r="H3280" s="8">
        <f>VLOOKUP(A3280,[1]!Table1[#All],32,FALSE)</f>
        <v>43678</v>
      </c>
      <c r="I3280" s="8">
        <f>VLOOKUP(A3280,[1]!Table1[#All],33,FALSE)</f>
        <v>45504</v>
      </c>
      <c r="J3280" t="str">
        <f t="shared" ca="1" si="55"/>
        <v>UDO</v>
      </c>
    </row>
    <row r="3281" spans="1:10" x14ac:dyDescent="0.35">
      <c r="A3281" s="9" t="s">
        <v>105</v>
      </c>
      <c r="B3281" s="10">
        <v>44409</v>
      </c>
      <c r="C3281" s="11">
        <v>2700</v>
      </c>
      <c r="D3281" s="11">
        <v>2154.59</v>
      </c>
      <c r="E3281" s="11">
        <v>545.41</v>
      </c>
      <c r="F3281" t="str">
        <f>VLOOKUP(A3281,[1]!Table1[#All],17,FALSE)</f>
        <v>UNITED STATES</v>
      </c>
      <c r="G3281" t="str">
        <f>VLOOKUP(A3281,[1]!Table1[#All],22,FALSE)</f>
        <v>MT ST Dept of PHHS, Addictive &amp; Mental Disorders D</v>
      </c>
      <c r="H3281" s="8">
        <f>VLOOKUP(A3281,[1]!Table1[#All],32,FALSE)</f>
        <v>43678</v>
      </c>
      <c r="I3281" s="8">
        <f>VLOOKUP(A3281,[1]!Table1[#All],33,FALSE)</f>
        <v>45504</v>
      </c>
      <c r="J3281" t="str">
        <f t="shared" ca="1" si="55"/>
        <v>UDO</v>
      </c>
    </row>
    <row r="3282" spans="1:10" x14ac:dyDescent="0.35">
      <c r="A3282" s="5" t="s">
        <v>105</v>
      </c>
      <c r="B3282" s="6">
        <v>44440</v>
      </c>
      <c r="C3282" s="7">
        <v>2700</v>
      </c>
      <c r="D3282" s="7">
        <v>2329.94</v>
      </c>
      <c r="E3282" s="7">
        <v>370.06</v>
      </c>
      <c r="F3282" t="str">
        <f>VLOOKUP(A3282,[1]!Table1[#All],17,FALSE)</f>
        <v>UNITED STATES</v>
      </c>
      <c r="G3282" t="str">
        <f>VLOOKUP(A3282,[1]!Table1[#All],22,FALSE)</f>
        <v>MT ST Dept of PHHS, Addictive &amp; Mental Disorders D</v>
      </c>
      <c r="H3282" s="8">
        <f>VLOOKUP(A3282,[1]!Table1[#All],32,FALSE)</f>
        <v>43678</v>
      </c>
      <c r="I3282" s="8">
        <f>VLOOKUP(A3282,[1]!Table1[#All],33,FALSE)</f>
        <v>45504</v>
      </c>
      <c r="J3282" t="str">
        <f t="shared" ca="1" si="55"/>
        <v>UDO</v>
      </c>
    </row>
    <row r="3283" spans="1:10" x14ac:dyDescent="0.35">
      <c r="A3283" s="9" t="s">
        <v>105</v>
      </c>
      <c r="B3283" s="10">
        <v>44470</v>
      </c>
      <c r="C3283" s="11">
        <v>2700</v>
      </c>
      <c r="D3283" s="11">
        <v>2467.29</v>
      </c>
      <c r="E3283" s="11">
        <v>232.71</v>
      </c>
      <c r="F3283" t="str">
        <f>VLOOKUP(A3283,[1]!Table1[#All],17,FALSE)</f>
        <v>UNITED STATES</v>
      </c>
      <c r="G3283" t="str">
        <f>VLOOKUP(A3283,[1]!Table1[#All],22,FALSE)</f>
        <v>MT ST Dept of PHHS, Addictive &amp; Mental Disorders D</v>
      </c>
      <c r="H3283" s="8">
        <f>VLOOKUP(A3283,[1]!Table1[#All],32,FALSE)</f>
        <v>43678</v>
      </c>
      <c r="I3283" s="8">
        <f>VLOOKUP(A3283,[1]!Table1[#All],33,FALSE)</f>
        <v>45504</v>
      </c>
      <c r="J3283" t="str">
        <f t="shared" ca="1" si="55"/>
        <v>UDO</v>
      </c>
    </row>
    <row r="3284" spans="1:10" x14ac:dyDescent="0.35">
      <c r="A3284" s="5" t="s">
        <v>105</v>
      </c>
      <c r="B3284" s="6">
        <v>44501</v>
      </c>
      <c r="C3284" s="7">
        <v>2700</v>
      </c>
      <c r="D3284" s="7">
        <v>2700</v>
      </c>
      <c r="E3284" s="7">
        <v>0</v>
      </c>
      <c r="F3284" t="str">
        <f>VLOOKUP(A3284,[1]!Table1[#All],17,FALSE)</f>
        <v>UNITED STATES</v>
      </c>
      <c r="G3284" t="str">
        <f>VLOOKUP(A3284,[1]!Table1[#All],22,FALSE)</f>
        <v>MT ST Dept of PHHS, Addictive &amp; Mental Disorders D</v>
      </c>
      <c r="H3284" s="8">
        <f>VLOOKUP(A3284,[1]!Table1[#All],32,FALSE)</f>
        <v>43678</v>
      </c>
      <c r="I3284" s="8">
        <f>VLOOKUP(A3284,[1]!Table1[#All],33,FALSE)</f>
        <v>45504</v>
      </c>
      <c r="J3284" t="str">
        <f t="shared" ca="1" si="55"/>
        <v>Non UDO</v>
      </c>
    </row>
    <row r="3285" spans="1:10" x14ac:dyDescent="0.35">
      <c r="A3285" s="9" t="s">
        <v>105</v>
      </c>
      <c r="B3285" s="10">
        <v>44531</v>
      </c>
      <c r="C3285" s="11">
        <v>2700</v>
      </c>
      <c r="D3285" s="11">
        <v>2700</v>
      </c>
      <c r="E3285" s="11">
        <v>0</v>
      </c>
      <c r="F3285" t="str">
        <f>VLOOKUP(A3285,[1]!Table1[#All],17,FALSE)</f>
        <v>UNITED STATES</v>
      </c>
      <c r="G3285" t="str">
        <f>VLOOKUP(A3285,[1]!Table1[#All],22,FALSE)</f>
        <v>MT ST Dept of PHHS, Addictive &amp; Mental Disorders D</v>
      </c>
      <c r="H3285" s="8">
        <f>VLOOKUP(A3285,[1]!Table1[#All],32,FALSE)</f>
        <v>43678</v>
      </c>
      <c r="I3285" s="8">
        <f>VLOOKUP(A3285,[1]!Table1[#All],33,FALSE)</f>
        <v>45504</v>
      </c>
      <c r="J3285" t="str">
        <f t="shared" ca="1" si="55"/>
        <v>Non UDO</v>
      </c>
    </row>
    <row r="3286" spans="1:10" x14ac:dyDescent="0.35">
      <c r="A3286" s="5" t="s">
        <v>105</v>
      </c>
      <c r="B3286" s="6">
        <v>44562</v>
      </c>
      <c r="C3286" s="7">
        <v>2700</v>
      </c>
      <c r="D3286" s="7">
        <v>2700</v>
      </c>
      <c r="E3286" s="7">
        <v>0</v>
      </c>
      <c r="F3286" t="str">
        <f>VLOOKUP(A3286,[1]!Table1[#All],17,FALSE)</f>
        <v>UNITED STATES</v>
      </c>
      <c r="G3286" t="str">
        <f>VLOOKUP(A3286,[1]!Table1[#All],22,FALSE)</f>
        <v>MT ST Dept of PHHS, Addictive &amp; Mental Disorders D</v>
      </c>
      <c r="H3286" s="8">
        <f>VLOOKUP(A3286,[1]!Table1[#All],32,FALSE)</f>
        <v>43678</v>
      </c>
      <c r="I3286" s="8">
        <f>VLOOKUP(A3286,[1]!Table1[#All],33,FALSE)</f>
        <v>45504</v>
      </c>
      <c r="J3286" t="str">
        <f t="shared" ca="1" si="55"/>
        <v>Non UDO</v>
      </c>
    </row>
    <row r="3287" spans="1:10" x14ac:dyDescent="0.35">
      <c r="A3287" s="9" t="s">
        <v>105</v>
      </c>
      <c r="B3287" s="10">
        <v>44593</v>
      </c>
      <c r="C3287" s="11">
        <v>2700</v>
      </c>
      <c r="D3287" s="11">
        <v>2700</v>
      </c>
      <c r="E3287" s="11">
        <v>0</v>
      </c>
      <c r="F3287" t="str">
        <f>VLOOKUP(A3287,[1]!Table1[#All],17,FALSE)</f>
        <v>UNITED STATES</v>
      </c>
      <c r="G3287" t="str">
        <f>VLOOKUP(A3287,[1]!Table1[#All],22,FALSE)</f>
        <v>MT ST Dept of PHHS, Addictive &amp; Mental Disorders D</v>
      </c>
      <c r="H3287" s="8">
        <f>VLOOKUP(A3287,[1]!Table1[#All],32,FALSE)</f>
        <v>43678</v>
      </c>
      <c r="I3287" s="8">
        <f>VLOOKUP(A3287,[1]!Table1[#All],33,FALSE)</f>
        <v>45504</v>
      </c>
      <c r="J3287" t="str">
        <f t="shared" ca="1" si="55"/>
        <v>Non UDO</v>
      </c>
    </row>
    <row r="3288" spans="1:10" x14ac:dyDescent="0.35">
      <c r="A3288" s="5" t="s">
        <v>105</v>
      </c>
      <c r="B3288" s="6">
        <v>44621</v>
      </c>
      <c r="C3288" s="7">
        <v>2700</v>
      </c>
      <c r="D3288" s="7">
        <v>2700</v>
      </c>
      <c r="E3288" s="7">
        <v>0</v>
      </c>
      <c r="F3288" t="str">
        <f>VLOOKUP(A3288,[1]!Table1[#All],17,FALSE)</f>
        <v>UNITED STATES</v>
      </c>
      <c r="G3288" t="str">
        <f>VLOOKUP(A3288,[1]!Table1[#All],22,FALSE)</f>
        <v>MT ST Dept of PHHS, Addictive &amp; Mental Disorders D</v>
      </c>
      <c r="H3288" s="8">
        <f>VLOOKUP(A3288,[1]!Table1[#All],32,FALSE)</f>
        <v>43678</v>
      </c>
      <c r="I3288" s="8">
        <f>VLOOKUP(A3288,[1]!Table1[#All],33,FALSE)</f>
        <v>45504</v>
      </c>
      <c r="J3288" t="str">
        <f t="shared" ca="1" si="55"/>
        <v>Non UDO</v>
      </c>
    </row>
    <row r="3289" spans="1:10" x14ac:dyDescent="0.35">
      <c r="A3289" s="9" t="s">
        <v>105</v>
      </c>
      <c r="B3289" s="10">
        <v>44652</v>
      </c>
      <c r="C3289" s="11">
        <v>2700</v>
      </c>
      <c r="D3289" s="11">
        <v>2700</v>
      </c>
      <c r="E3289" s="11">
        <v>0</v>
      </c>
      <c r="F3289" t="str">
        <f>VLOOKUP(A3289,[1]!Table1[#All],17,FALSE)</f>
        <v>UNITED STATES</v>
      </c>
      <c r="G3289" t="str">
        <f>VLOOKUP(A3289,[1]!Table1[#All],22,FALSE)</f>
        <v>MT ST Dept of PHHS, Addictive &amp; Mental Disorders D</v>
      </c>
      <c r="H3289" s="8">
        <f>VLOOKUP(A3289,[1]!Table1[#All],32,FALSE)</f>
        <v>43678</v>
      </c>
      <c r="I3289" s="8">
        <f>VLOOKUP(A3289,[1]!Table1[#All],33,FALSE)</f>
        <v>45504</v>
      </c>
      <c r="J3289" t="str">
        <f t="shared" ca="1" si="55"/>
        <v>Non UDO</v>
      </c>
    </row>
    <row r="3290" spans="1:10" x14ac:dyDescent="0.35">
      <c r="A3290" s="5" t="s">
        <v>105</v>
      </c>
      <c r="B3290" s="6">
        <v>44682</v>
      </c>
      <c r="C3290" s="7">
        <v>2700</v>
      </c>
      <c r="D3290" s="7">
        <v>2700</v>
      </c>
      <c r="E3290" s="7">
        <v>0</v>
      </c>
      <c r="F3290" t="str">
        <f>VLOOKUP(A3290,[1]!Table1[#All],17,FALSE)</f>
        <v>UNITED STATES</v>
      </c>
      <c r="G3290" t="str">
        <f>VLOOKUP(A3290,[1]!Table1[#All],22,FALSE)</f>
        <v>MT ST Dept of PHHS, Addictive &amp; Mental Disorders D</v>
      </c>
      <c r="H3290" s="8">
        <f>VLOOKUP(A3290,[1]!Table1[#All],32,FALSE)</f>
        <v>43678</v>
      </c>
      <c r="I3290" s="8">
        <f>VLOOKUP(A3290,[1]!Table1[#All],33,FALSE)</f>
        <v>45504</v>
      </c>
      <c r="J3290" t="str">
        <f t="shared" ca="1" si="55"/>
        <v>Non UDO</v>
      </c>
    </row>
    <row r="3291" spans="1:10" x14ac:dyDescent="0.35">
      <c r="A3291" s="9" t="s">
        <v>105</v>
      </c>
      <c r="B3291" s="10">
        <v>44713</v>
      </c>
      <c r="C3291" s="11">
        <v>2700</v>
      </c>
      <c r="D3291" s="11">
        <v>2700</v>
      </c>
      <c r="E3291" s="11">
        <v>0</v>
      </c>
      <c r="F3291" t="str">
        <f>VLOOKUP(A3291,[1]!Table1[#All],17,FALSE)</f>
        <v>UNITED STATES</v>
      </c>
      <c r="G3291" t="str">
        <f>VLOOKUP(A3291,[1]!Table1[#All],22,FALSE)</f>
        <v>MT ST Dept of PHHS, Addictive &amp; Mental Disorders D</v>
      </c>
      <c r="H3291" s="8">
        <f>VLOOKUP(A3291,[1]!Table1[#All],32,FALSE)</f>
        <v>43678</v>
      </c>
      <c r="I3291" s="8">
        <f>VLOOKUP(A3291,[1]!Table1[#All],33,FALSE)</f>
        <v>45504</v>
      </c>
      <c r="J3291" t="str">
        <f t="shared" ca="1" si="55"/>
        <v>Non UDO</v>
      </c>
    </row>
    <row r="3292" spans="1:10" x14ac:dyDescent="0.35">
      <c r="A3292" s="5" t="s">
        <v>105</v>
      </c>
      <c r="B3292" s="6">
        <v>44743</v>
      </c>
      <c r="C3292" s="7">
        <v>2700</v>
      </c>
      <c r="D3292" s="7">
        <v>2700</v>
      </c>
      <c r="E3292" s="7">
        <v>0</v>
      </c>
      <c r="F3292" t="str">
        <f>VLOOKUP(A3292,[1]!Table1[#All],17,FALSE)</f>
        <v>UNITED STATES</v>
      </c>
      <c r="G3292" t="str">
        <f>VLOOKUP(A3292,[1]!Table1[#All],22,FALSE)</f>
        <v>MT ST Dept of PHHS, Addictive &amp; Mental Disorders D</v>
      </c>
      <c r="H3292" s="8">
        <f>VLOOKUP(A3292,[1]!Table1[#All],32,FALSE)</f>
        <v>43678</v>
      </c>
      <c r="I3292" s="8">
        <f>VLOOKUP(A3292,[1]!Table1[#All],33,FALSE)</f>
        <v>45504</v>
      </c>
      <c r="J3292" t="str">
        <f t="shared" ca="1" si="55"/>
        <v>Non UDO</v>
      </c>
    </row>
    <row r="3293" spans="1:10" x14ac:dyDescent="0.35">
      <c r="A3293" s="9" t="s">
        <v>105</v>
      </c>
      <c r="B3293" s="10">
        <v>44774</v>
      </c>
      <c r="C3293" s="11">
        <v>2700</v>
      </c>
      <c r="D3293" s="11">
        <v>2700</v>
      </c>
      <c r="E3293" s="11">
        <v>0</v>
      </c>
      <c r="F3293" t="str">
        <f>VLOOKUP(A3293,[1]!Table1[#All],17,FALSE)</f>
        <v>UNITED STATES</v>
      </c>
      <c r="G3293" t="str">
        <f>VLOOKUP(A3293,[1]!Table1[#All],22,FALSE)</f>
        <v>MT ST Dept of PHHS, Addictive &amp; Mental Disorders D</v>
      </c>
      <c r="H3293" s="8">
        <f>VLOOKUP(A3293,[1]!Table1[#All],32,FALSE)</f>
        <v>43678</v>
      </c>
      <c r="I3293" s="8">
        <f>VLOOKUP(A3293,[1]!Table1[#All],33,FALSE)</f>
        <v>45504</v>
      </c>
      <c r="J3293" t="str">
        <f t="shared" ca="1" si="55"/>
        <v>Non UDO</v>
      </c>
    </row>
    <row r="3294" spans="1:10" x14ac:dyDescent="0.35">
      <c r="A3294" s="5" t="s">
        <v>105</v>
      </c>
      <c r="B3294" s="6">
        <v>44805</v>
      </c>
      <c r="C3294" s="7">
        <v>2700</v>
      </c>
      <c r="D3294" s="7">
        <v>2700</v>
      </c>
      <c r="E3294" s="7">
        <v>0</v>
      </c>
      <c r="F3294" t="str">
        <f>VLOOKUP(A3294,[1]!Table1[#All],17,FALSE)</f>
        <v>UNITED STATES</v>
      </c>
      <c r="G3294" t="str">
        <f>VLOOKUP(A3294,[1]!Table1[#All],22,FALSE)</f>
        <v>MT ST Dept of PHHS, Addictive &amp; Mental Disorders D</v>
      </c>
      <c r="H3294" s="8">
        <f>VLOOKUP(A3294,[1]!Table1[#All],32,FALSE)</f>
        <v>43678</v>
      </c>
      <c r="I3294" s="8">
        <f>VLOOKUP(A3294,[1]!Table1[#All],33,FALSE)</f>
        <v>45504</v>
      </c>
      <c r="J3294" t="str">
        <f t="shared" ca="1" si="55"/>
        <v>Non UDO</v>
      </c>
    </row>
    <row r="3295" spans="1:10" x14ac:dyDescent="0.35">
      <c r="A3295" s="9" t="s">
        <v>105</v>
      </c>
      <c r="B3295" s="10">
        <v>44835</v>
      </c>
      <c r="C3295" s="11">
        <v>2700</v>
      </c>
      <c r="D3295" s="11">
        <v>2700</v>
      </c>
      <c r="E3295" s="11">
        <v>0</v>
      </c>
      <c r="F3295" t="str">
        <f>VLOOKUP(A3295,[1]!Table1[#All],17,FALSE)</f>
        <v>UNITED STATES</v>
      </c>
      <c r="G3295" t="str">
        <f>VLOOKUP(A3295,[1]!Table1[#All],22,FALSE)</f>
        <v>MT ST Dept of PHHS, Addictive &amp; Mental Disorders D</v>
      </c>
      <c r="H3295" s="8">
        <f>VLOOKUP(A3295,[1]!Table1[#All],32,FALSE)</f>
        <v>43678</v>
      </c>
      <c r="I3295" s="8">
        <f>VLOOKUP(A3295,[1]!Table1[#All],33,FALSE)</f>
        <v>45504</v>
      </c>
      <c r="J3295" t="str">
        <f t="shared" ca="1" si="55"/>
        <v>Non UDO</v>
      </c>
    </row>
    <row r="3296" spans="1:10" x14ac:dyDescent="0.35">
      <c r="A3296" s="5" t="s">
        <v>105</v>
      </c>
      <c r="B3296" s="6">
        <v>44866</v>
      </c>
      <c r="C3296" s="7">
        <v>2700</v>
      </c>
      <c r="D3296" s="7">
        <v>2700</v>
      </c>
      <c r="E3296" s="7">
        <v>0</v>
      </c>
      <c r="F3296" t="str">
        <f>VLOOKUP(A3296,[1]!Table1[#All],17,FALSE)</f>
        <v>UNITED STATES</v>
      </c>
      <c r="G3296" t="str">
        <f>VLOOKUP(A3296,[1]!Table1[#All],22,FALSE)</f>
        <v>MT ST Dept of PHHS, Addictive &amp; Mental Disorders D</v>
      </c>
      <c r="H3296" s="8">
        <f>VLOOKUP(A3296,[1]!Table1[#All],32,FALSE)</f>
        <v>43678</v>
      </c>
      <c r="I3296" s="8">
        <f>VLOOKUP(A3296,[1]!Table1[#All],33,FALSE)</f>
        <v>45504</v>
      </c>
      <c r="J3296" t="str">
        <f t="shared" ca="1" si="55"/>
        <v>Non UDO</v>
      </c>
    </row>
    <row r="3297" spans="1:10" x14ac:dyDescent="0.35">
      <c r="A3297" s="9" t="s">
        <v>105</v>
      </c>
      <c r="B3297" s="10">
        <v>44896</v>
      </c>
      <c r="C3297" s="11">
        <v>2700</v>
      </c>
      <c r="D3297" s="11">
        <v>2700</v>
      </c>
      <c r="E3297" s="11">
        <v>0</v>
      </c>
      <c r="F3297" t="str">
        <f>VLOOKUP(A3297,[1]!Table1[#All],17,FALSE)</f>
        <v>UNITED STATES</v>
      </c>
      <c r="G3297" t="str">
        <f>VLOOKUP(A3297,[1]!Table1[#All],22,FALSE)</f>
        <v>MT ST Dept of PHHS, Addictive &amp; Mental Disorders D</v>
      </c>
      <c r="H3297" s="8">
        <f>VLOOKUP(A3297,[1]!Table1[#All],32,FALSE)</f>
        <v>43678</v>
      </c>
      <c r="I3297" s="8">
        <f>VLOOKUP(A3297,[1]!Table1[#All],33,FALSE)</f>
        <v>45504</v>
      </c>
      <c r="J3297" t="str">
        <f t="shared" ca="1" si="55"/>
        <v>Non UDO</v>
      </c>
    </row>
    <row r="3298" spans="1:10" x14ac:dyDescent="0.35">
      <c r="A3298" s="5" t="s">
        <v>105</v>
      </c>
      <c r="B3298" s="6">
        <v>44927</v>
      </c>
      <c r="C3298" s="7">
        <v>2700</v>
      </c>
      <c r="D3298" s="7">
        <v>2700</v>
      </c>
      <c r="E3298" s="7">
        <v>0</v>
      </c>
      <c r="F3298" t="str">
        <f>VLOOKUP(A3298,[1]!Table1[#All],17,FALSE)</f>
        <v>UNITED STATES</v>
      </c>
      <c r="G3298" t="str">
        <f>VLOOKUP(A3298,[1]!Table1[#All],22,FALSE)</f>
        <v>MT ST Dept of PHHS, Addictive &amp; Mental Disorders D</v>
      </c>
      <c r="H3298" s="8">
        <f>VLOOKUP(A3298,[1]!Table1[#All],32,FALSE)</f>
        <v>43678</v>
      </c>
      <c r="I3298" s="8">
        <f>VLOOKUP(A3298,[1]!Table1[#All],33,FALSE)</f>
        <v>45504</v>
      </c>
      <c r="J3298" t="str">
        <f t="shared" ca="1" si="55"/>
        <v>Non UDO</v>
      </c>
    </row>
    <row r="3299" spans="1:10" x14ac:dyDescent="0.35">
      <c r="A3299" s="9" t="s">
        <v>105</v>
      </c>
      <c r="B3299" s="10">
        <v>44958</v>
      </c>
      <c r="C3299" s="11">
        <v>2700</v>
      </c>
      <c r="D3299" s="11">
        <v>2700</v>
      </c>
      <c r="E3299" s="11">
        <v>0</v>
      </c>
      <c r="F3299" t="str">
        <f>VLOOKUP(A3299,[1]!Table1[#All],17,FALSE)</f>
        <v>UNITED STATES</v>
      </c>
      <c r="G3299" t="str">
        <f>VLOOKUP(A3299,[1]!Table1[#All],22,FALSE)</f>
        <v>MT ST Dept of PHHS, Addictive &amp; Mental Disorders D</v>
      </c>
      <c r="H3299" s="8">
        <f>VLOOKUP(A3299,[1]!Table1[#All],32,FALSE)</f>
        <v>43678</v>
      </c>
      <c r="I3299" s="8">
        <f>VLOOKUP(A3299,[1]!Table1[#All],33,FALSE)</f>
        <v>45504</v>
      </c>
      <c r="J3299" t="str">
        <f t="shared" ca="1" si="55"/>
        <v>Non UDO</v>
      </c>
    </row>
    <row r="3300" spans="1:10" x14ac:dyDescent="0.35">
      <c r="A3300" s="5" t="s">
        <v>105</v>
      </c>
      <c r="B3300" s="6">
        <v>44986</v>
      </c>
      <c r="C3300" s="7">
        <v>2700</v>
      </c>
      <c r="D3300" s="7">
        <v>2700</v>
      </c>
      <c r="E3300" s="7">
        <v>0</v>
      </c>
      <c r="F3300" t="str">
        <f>VLOOKUP(A3300,[1]!Table1[#All],17,FALSE)</f>
        <v>UNITED STATES</v>
      </c>
      <c r="G3300" t="str">
        <f>VLOOKUP(A3300,[1]!Table1[#All],22,FALSE)</f>
        <v>MT ST Dept of PHHS, Addictive &amp; Mental Disorders D</v>
      </c>
      <c r="H3300" s="8">
        <f>VLOOKUP(A3300,[1]!Table1[#All],32,FALSE)</f>
        <v>43678</v>
      </c>
      <c r="I3300" s="8">
        <f>VLOOKUP(A3300,[1]!Table1[#All],33,FALSE)</f>
        <v>45504</v>
      </c>
      <c r="J3300" t="str">
        <f t="shared" ca="1" si="55"/>
        <v>Non UDO</v>
      </c>
    </row>
    <row r="3301" spans="1:10" x14ac:dyDescent="0.35">
      <c r="A3301" s="9" t="s">
        <v>105</v>
      </c>
      <c r="B3301" s="10">
        <v>45017</v>
      </c>
      <c r="C3301" s="11">
        <v>2700</v>
      </c>
      <c r="D3301" s="11">
        <v>2700</v>
      </c>
      <c r="E3301" s="11">
        <v>0</v>
      </c>
      <c r="F3301" t="str">
        <f>VLOOKUP(A3301,[1]!Table1[#All],17,FALSE)</f>
        <v>UNITED STATES</v>
      </c>
      <c r="G3301" t="str">
        <f>VLOOKUP(A3301,[1]!Table1[#All],22,FALSE)</f>
        <v>MT ST Dept of PHHS, Addictive &amp; Mental Disorders D</v>
      </c>
      <c r="H3301" s="8">
        <f>VLOOKUP(A3301,[1]!Table1[#All],32,FALSE)</f>
        <v>43678</v>
      </c>
      <c r="I3301" s="8">
        <f>VLOOKUP(A3301,[1]!Table1[#All],33,FALSE)</f>
        <v>45504</v>
      </c>
      <c r="J3301" t="str">
        <f t="shared" ca="1" si="55"/>
        <v>Non UDO</v>
      </c>
    </row>
    <row r="3302" spans="1:10" x14ac:dyDescent="0.35">
      <c r="A3302" s="5" t="s">
        <v>105</v>
      </c>
      <c r="B3302" s="6">
        <v>45047</v>
      </c>
      <c r="C3302" s="7">
        <v>2700</v>
      </c>
      <c r="D3302" s="7">
        <v>2700</v>
      </c>
      <c r="E3302" s="7">
        <v>0</v>
      </c>
      <c r="F3302" t="str">
        <f>VLOOKUP(A3302,[1]!Table1[#All],17,FALSE)</f>
        <v>UNITED STATES</v>
      </c>
      <c r="G3302" t="str">
        <f>VLOOKUP(A3302,[1]!Table1[#All],22,FALSE)</f>
        <v>MT ST Dept of PHHS, Addictive &amp; Mental Disorders D</v>
      </c>
      <c r="H3302" s="8">
        <f>VLOOKUP(A3302,[1]!Table1[#All],32,FALSE)</f>
        <v>43678</v>
      </c>
      <c r="I3302" s="8">
        <f>VLOOKUP(A3302,[1]!Table1[#All],33,FALSE)</f>
        <v>45504</v>
      </c>
      <c r="J3302" t="str">
        <f t="shared" ca="1" si="55"/>
        <v>Non UDO</v>
      </c>
    </row>
    <row r="3303" spans="1:10" x14ac:dyDescent="0.35">
      <c r="A3303" s="9" t="s">
        <v>105</v>
      </c>
      <c r="B3303" s="10">
        <v>45078</v>
      </c>
      <c r="C3303" s="11">
        <v>2700</v>
      </c>
      <c r="D3303" s="11">
        <v>2700</v>
      </c>
      <c r="E3303" s="11">
        <v>0</v>
      </c>
      <c r="F3303" t="str">
        <f>VLOOKUP(A3303,[1]!Table1[#All],17,FALSE)</f>
        <v>UNITED STATES</v>
      </c>
      <c r="G3303" t="str">
        <f>VLOOKUP(A3303,[1]!Table1[#All],22,FALSE)</f>
        <v>MT ST Dept of PHHS, Addictive &amp; Mental Disorders D</v>
      </c>
      <c r="H3303" s="8">
        <f>VLOOKUP(A3303,[1]!Table1[#All],32,FALSE)</f>
        <v>43678</v>
      </c>
      <c r="I3303" s="8">
        <f>VLOOKUP(A3303,[1]!Table1[#All],33,FALSE)</f>
        <v>45504</v>
      </c>
      <c r="J3303" t="str">
        <f t="shared" ca="1" si="55"/>
        <v>Non UDO</v>
      </c>
    </row>
    <row r="3304" spans="1:10" x14ac:dyDescent="0.35">
      <c r="A3304" s="5" t="s">
        <v>105</v>
      </c>
      <c r="B3304" s="6">
        <v>45108</v>
      </c>
      <c r="C3304" s="7">
        <v>2700</v>
      </c>
      <c r="D3304" s="7">
        <v>2700</v>
      </c>
      <c r="E3304" s="7">
        <v>0</v>
      </c>
      <c r="F3304" t="str">
        <f>VLOOKUP(A3304,[1]!Table1[#All],17,FALSE)</f>
        <v>UNITED STATES</v>
      </c>
      <c r="G3304" t="str">
        <f>VLOOKUP(A3304,[1]!Table1[#All],22,FALSE)</f>
        <v>MT ST Dept of PHHS, Addictive &amp; Mental Disorders D</v>
      </c>
      <c r="H3304" s="8">
        <f>VLOOKUP(A3304,[1]!Table1[#All],32,FALSE)</f>
        <v>43678</v>
      </c>
      <c r="I3304" s="8">
        <f>VLOOKUP(A3304,[1]!Table1[#All],33,FALSE)</f>
        <v>45504</v>
      </c>
      <c r="J3304" t="str">
        <f t="shared" ca="1" si="55"/>
        <v>Non UDO</v>
      </c>
    </row>
    <row r="3305" spans="1:10" x14ac:dyDescent="0.35">
      <c r="A3305" s="9" t="s">
        <v>105</v>
      </c>
      <c r="B3305" s="10">
        <v>45139</v>
      </c>
      <c r="C3305" s="11">
        <v>2700</v>
      </c>
      <c r="D3305" s="11">
        <v>2700</v>
      </c>
      <c r="E3305" s="11">
        <v>0</v>
      </c>
      <c r="F3305" t="str">
        <f>VLOOKUP(A3305,[1]!Table1[#All],17,FALSE)</f>
        <v>UNITED STATES</v>
      </c>
      <c r="G3305" t="str">
        <f>VLOOKUP(A3305,[1]!Table1[#All],22,FALSE)</f>
        <v>MT ST Dept of PHHS, Addictive &amp; Mental Disorders D</v>
      </c>
      <c r="H3305" s="8">
        <f>VLOOKUP(A3305,[1]!Table1[#All],32,FALSE)</f>
        <v>43678</v>
      </c>
      <c r="I3305" s="8">
        <f>VLOOKUP(A3305,[1]!Table1[#All],33,FALSE)</f>
        <v>45504</v>
      </c>
      <c r="J3305" t="str">
        <f t="shared" ca="1" si="55"/>
        <v>Non UDO</v>
      </c>
    </row>
    <row r="3306" spans="1:10" x14ac:dyDescent="0.35">
      <c r="A3306" s="5" t="s">
        <v>105</v>
      </c>
      <c r="B3306" s="6">
        <v>45170</v>
      </c>
      <c r="C3306" s="7">
        <v>2700</v>
      </c>
      <c r="D3306" s="7">
        <v>2700</v>
      </c>
      <c r="E3306" s="7">
        <v>0</v>
      </c>
      <c r="F3306" t="str">
        <f>VLOOKUP(A3306,[1]!Table1[#All],17,FALSE)</f>
        <v>UNITED STATES</v>
      </c>
      <c r="G3306" t="str">
        <f>VLOOKUP(A3306,[1]!Table1[#All],22,FALSE)</f>
        <v>MT ST Dept of PHHS, Addictive &amp; Mental Disorders D</v>
      </c>
      <c r="H3306" s="8">
        <f>VLOOKUP(A3306,[1]!Table1[#All],32,FALSE)</f>
        <v>43678</v>
      </c>
      <c r="I3306" s="8">
        <f>VLOOKUP(A3306,[1]!Table1[#All],33,FALSE)</f>
        <v>45504</v>
      </c>
      <c r="J3306" t="str">
        <f t="shared" ca="1" si="55"/>
        <v>Non UDO</v>
      </c>
    </row>
    <row r="3307" spans="1:10" x14ac:dyDescent="0.35">
      <c r="A3307" s="9" t="s">
        <v>106</v>
      </c>
      <c r="B3307" s="10">
        <v>44409</v>
      </c>
      <c r="C3307" s="11">
        <v>2697</v>
      </c>
      <c r="D3307" s="11">
        <v>0</v>
      </c>
      <c r="E3307" s="11">
        <v>2697</v>
      </c>
      <c r="F3307" t="str">
        <f>VLOOKUP(A3307,[1]!Table1[#All],17,FALSE)</f>
        <v>UNITED STATES</v>
      </c>
      <c r="G3307" t="str">
        <f>VLOOKUP(A3307,[1]!Table1[#All],22,FALSE)</f>
        <v>MT ST Dept of PHHS, Addictive &amp; Mental Disorders Div</v>
      </c>
      <c r="H3307" s="8">
        <f>VLOOKUP(A3307,[1]!Table1[#All],32,FALSE)</f>
        <v>43678</v>
      </c>
      <c r="I3307" s="8">
        <f>VLOOKUP(A3307,[1]!Table1[#All],33,FALSE)</f>
        <v>45504</v>
      </c>
      <c r="J3307" t="str">
        <f t="shared" ca="1" si="55"/>
        <v>UDO</v>
      </c>
    </row>
    <row r="3308" spans="1:10" x14ac:dyDescent="0.35">
      <c r="A3308" s="5" t="s">
        <v>106</v>
      </c>
      <c r="B3308" s="6">
        <v>44440</v>
      </c>
      <c r="C3308" s="7">
        <v>2697</v>
      </c>
      <c r="D3308" s="7">
        <v>0</v>
      </c>
      <c r="E3308" s="7">
        <v>2697</v>
      </c>
      <c r="F3308" t="str">
        <f>VLOOKUP(A3308,[1]!Table1[#All],17,FALSE)</f>
        <v>UNITED STATES</v>
      </c>
      <c r="G3308" t="str">
        <f>VLOOKUP(A3308,[1]!Table1[#All],22,FALSE)</f>
        <v>MT ST Dept of PHHS, Addictive &amp; Mental Disorders Div</v>
      </c>
      <c r="H3308" s="8">
        <f>VLOOKUP(A3308,[1]!Table1[#All],32,FALSE)</f>
        <v>43678</v>
      </c>
      <c r="I3308" s="8">
        <f>VLOOKUP(A3308,[1]!Table1[#All],33,FALSE)</f>
        <v>45504</v>
      </c>
      <c r="J3308" t="str">
        <f t="shared" ca="1" si="55"/>
        <v>UDO</v>
      </c>
    </row>
    <row r="3309" spans="1:10" x14ac:dyDescent="0.35">
      <c r="A3309" s="9" t="s">
        <v>106</v>
      </c>
      <c r="B3309" s="10">
        <v>44470</v>
      </c>
      <c r="C3309" s="11">
        <v>2697</v>
      </c>
      <c r="D3309" s="11">
        <v>0</v>
      </c>
      <c r="E3309" s="11">
        <v>2697</v>
      </c>
      <c r="F3309" t="str">
        <f>VLOOKUP(A3309,[1]!Table1[#All],17,FALSE)</f>
        <v>UNITED STATES</v>
      </c>
      <c r="G3309" t="str">
        <f>VLOOKUP(A3309,[1]!Table1[#All],22,FALSE)</f>
        <v>MT ST Dept of PHHS, Addictive &amp; Mental Disorders Div</v>
      </c>
      <c r="H3309" s="8">
        <f>VLOOKUP(A3309,[1]!Table1[#All],32,FALSE)</f>
        <v>43678</v>
      </c>
      <c r="I3309" s="8">
        <f>VLOOKUP(A3309,[1]!Table1[#All],33,FALSE)</f>
        <v>45504</v>
      </c>
      <c r="J3309" t="str">
        <f t="shared" ca="1" si="55"/>
        <v>UDO</v>
      </c>
    </row>
    <row r="3310" spans="1:10" x14ac:dyDescent="0.35">
      <c r="A3310" s="5" t="s">
        <v>106</v>
      </c>
      <c r="B3310" s="6">
        <v>44501</v>
      </c>
      <c r="C3310" s="7">
        <v>2697</v>
      </c>
      <c r="D3310" s="7">
        <v>9.35</v>
      </c>
      <c r="E3310" s="7">
        <v>2687.65</v>
      </c>
      <c r="F3310" t="str">
        <f>VLOOKUP(A3310,[1]!Table1[#All],17,FALSE)</f>
        <v>UNITED STATES</v>
      </c>
      <c r="G3310" t="str">
        <f>VLOOKUP(A3310,[1]!Table1[#All],22,FALSE)</f>
        <v>MT ST Dept of PHHS, Addictive &amp; Mental Disorders Div</v>
      </c>
      <c r="H3310" s="8">
        <f>VLOOKUP(A3310,[1]!Table1[#All],32,FALSE)</f>
        <v>43678</v>
      </c>
      <c r="I3310" s="8">
        <f>VLOOKUP(A3310,[1]!Table1[#All],33,FALSE)</f>
        <v>45504</v>
      </c>
      <c r="J3310" t="str">
        <f t="shared" ca="1" si="55"/>
        <v>UDO</v>
      </c>
    </row>
    <row r="3311" spans="1:10" x14ac:dyDescent="0.35">
      <c r="A3311" s="9" t="s">
        <v>106</v>
      </c>
      <c r="B3311" s="10">
        <v>44531</v>
      </c>
      <c r="C3311" s="11">
        <v>2697</v>
      </c>
      <c r="D3311" s="11">
        <v>229.44</v>
      </c>
      <c r="E3311" s="11">
        <v>2467.56</v>
      </c>
      <c r="F3311" t="str">
        <f>VLOOKUP(A3311,[1]!Table1[#All],17,FALSE)</f>
        <v>UNITED STATES</v>
      </c>
      <c r="G3311" t="str">
        <f>VLOOKUP(A3311,[1]!Table1[#All],22,FALSE)</f>
        <v>MT ST Dept of PHHS, Addictive &amp; Mental Disorders Div</v>
      </c>
      <c r="H3311" s="8">
        <f>VLOOKUP(A3311,[1]!Table1[#All],32,FALSE)</f>
        <v>43678</v>
      </c>
      <c r="I3311" s="8">
        <f>VLOOKUP(A3311,[1]!Table1[#All],33,FALSE)</f>
        <v>45504</v>
      </c>
      <c r="J3311" t="str">
        <f t="shared" ca="1" si="55"/>
        <v>UDO</v>
      </c>
    </row>
    <row r="3312" spans="1:10" x14ac:dyDescent="0.35">
      <c r="A3312" s="5" t="s">
        <v>106</v>
      </c>
      <c r="B3312" s="6">
        <v>44562</v>
      </c>
      <c r="C3312" s="7">
        <v>2697</v>
      </c>
      <c r="D3312" s="7">
        <v>447.65</v>
      </c>
      <c r="E3312" s="7">
        <v>2249.35</v>
      </c>
      <c r="F3312" t="str">
        <f>VLOOKUP(A3312,[1]!Table1[#All],17,FALSE)</f>
        <v>UNITED STATES</v>
      </c>
      <c r="G3312" t="str">
        <f>VLOOKUP(A3312,[1]!Table1[#All],22,FALSE)</f>
        <v>MT ST Dept of PHHS, Addictive &amp; Mental Disorders Div</v>
      </c>
      <c r="H3312" s="8">
        <f>VLOOKUP(A3312,[1]!Table1[#All],32,FALSE)</f>
        <v>43678</v>
      </c>
      <c r="I3312" s="8">
        <f>VLOOKUP(A3312,[1]!Table1[#All],33,FALSE)</f>
        <v>45504</v>
      </c>
      <c r="J3312" t="str">
        <f t="shared" ca="1" si="55"/>
        <v>UDO</v>
      </c>
    </row>
    <row r="3313" spans="1:10" x14ac:dyDescent="0.35">
      <c r="A3313" s="9" t="s">
        <v>106</v>
      </c>
      <c r="B3313" s="10">
        <v>44593</v>
      </c>
      <c r="C3313" s="11">
        <v>2697</v>
      </c>
      <c r="D3313" s="11">
        <v>672.59</v>
      </c>
      <c r="E3313" s="11">
        <v>2024.41</v>
      </c>
      <c r="F3313" t="str">
        <f>VLOOKUP(A3313,[1]!Table1[#All],17,FALSE)</f>
        <v>UNITED STATES</v>
      </c>
      <c r="G3313" t="str">
        <f>VLOOKUP(A3313,[1]!Table1[#All],22,FALSE)</f>
        <v>MT ST Dept of PHHS, Addictive &amp; Mental Disorders Div</v>
      </c>
      <c r="H3313" s="8">
        <f>VLOOKUP(A3313,[1]!Table1[#All],32,FALSE)</f>
        <v>43678</v>
      </c>
      <c r="I3313" s="8">
        <f>VLOOKUP(A3313,[1]!Table1[#All],33,FALSE)</f>
        <v>45504</v>
      </c>
      <c r="J3313" t="str">
        <f t="shared" ca="1" si="55"/>
        <v>UDO</v>
      </c>
    </row>
    <row r="3314" spans="1:10" x14ac:dyDescent="0.35">
      <c r="A3314" s="5" t="s">
        <v>106</v>
      </c>
      <c r="B3314" s="6">
        <v>44621</v>
      </c>
      <c r="C3314" s="7">
        <v>2697</v>
      </c>
      <c r="D3314" s="7">
        <v>824.01</v>
      </c>
      <c r="E3314" s="7">
        <v>1872.99</v>
      </c>
      <c r="F3314" t="str">
        <f>VLOOKUP(A3314,[1]!Table1[#All],17,FALSE)</f>
        <v>UNITED STATES</v>
      </c>
      <c r="G3314" t="str">
        <f>VLOOKUP(A3314,[1]!Table1[#All],22,FALSE)</f>
        <v>MT ST Dept of PHHS, Addictive &amp; Mental Disorders Div</v>
      </c>
      <c r="H3314" s="8">
        <f>VLOOKUP(A3314,[1]!Table1[#All],32,FALSE)</f>
        <v>43678</v>
      </c>
      <c r="I3314" s="8">
        <f>VLOOKUP(A3314,[1]!Table1[#All],33,FALSE)</f>
        <v>45504</v>
      </c>
      <c r="J3314" t="str">
        <f t="shared" ca="1" si="55"/>
        <v>UDO</v>
      </c>
    </row>
    <row r="3315" spans="1:10" x14ac:dyDescent="0.35">
      <c r="A3315" s="9" t="s">
        <v>106</v>
      </c>
      <c r="B3315" s="10">
        <v>44652</v>
      </c>
      <c r="C3315" s="11">
        <v>2697</v>
      </c>
      <c r="D3315" s="11">
        <v>1056.5999999999999</v>
      </c>
      <c r="E3315" s="11">
        <v>1640.4</v>
      </c>
      <c r="F3315" t="str">
        <f>VLOOKUP(A3315,[1]!Table1[#All],17,FALSE)</f>
        <v>UNITED STATES</v>
      </c>
      <c r="G3315" t="str">
        <f>VLOOKUP(A3315,[1]!Table1[#All],22,FALSE)</f>
        <v>MT ST Dept of PHHS, Addictive &amp; Mental Disorders Div</v>
      </c>
      <c r="H3315" s="8">
        <f>VLOOKUP(A3315,[1]!Table1[#All],32,FALSE)</f>
        <v>43678</v>
      </c>
      <c r="I3315" s="8">
        <f>VLOOKUP(A3315,[1]!Table1[#All],33,FALSE)</f>
        <v>45504</v>
      </c>
      <c r="J3315" t="str">
        <f t="shared" ca="1" si="55"/>
        <v>UDO</v>
      </c>
    </row>
    <row r="3316" spans="1:10" x14ac:dyDescent="0.35">
      <c r="A3316" s="5" t="s">
        <v>106</v>
      </c>
      <c r="B3316" s="6">
        <v>44682</v>
      </c>
      <c r="C3316" s="7">
        <v>2697</v>
      </c>
      <c r="D3316" s="7">
        <v>1125.4100000000001</v>
      </c>
      <c r="E3316" s="7">
        <v>1571.59</v>
      </c>
      <c r="F3316" t="str">
        <f>VLOOKUP(A3316,[1]!Table1[#All],17,FALSE)</f>
        <v>UNITED STATES</v>
      </c>
      <c r="G3316" t="str">
        <f>VLOOKUP(A3316,[1]!Table1[#All],22,FALSE)</f>
        <v>MT ST Dept of PHHS, Addictive &amp; Mental Disorders Div</v>
      </c>
      <c r="H3316" s="8">
        <f>VLOOKUP(A3316,[1]!Table1[#All],32,FALSE)</f>
        <v>43678</v>
      </c>
      <c r="I3316" s="8">
        <f>VLOOKUP(A3316,[1]!Table1[#All],33,FALSE)</f>
        <v>45504</v>
      </c>
      <c r="J3316" t="str">
        <f t="shared" ca="1" si="55"/>
        <v>UDO</v>
      </c>
    </row>
    <row r="3317" spans="1:10" x14ac:dyDescent="0.35">
      <c r="A3317" s="9" t="s">
        <v>106</v>
      </c>
      <c r="B3317" s="10">
        <v>44713</v>
      </c>
      <c r="C3317" s="11">
        <v>2697</v>
      </c>
      <c r="D3317" s="11">
        <v>1501.57</v>
      </c>
      <c r="E3317" s="11">
        <v>1195.43</v>
      </c>
      <c r="F3317" t="str">
        <f>VLOOKUP(A3317,[1]!Table1[#All],17,FALSE)</f>
        <v>UNITED STATES</v>
      </c>
      <c r="G3317" t="str">
        <f>VLOOKUP(A3317,[1]!Table1[#All],22,FALSE)</f>
        <v>MT ST Dept of PHHS, Addictive &amp; Mental Disorders Div</v>
      </c>
      <c r="H3317" s="8">
        <f>VLOOKUP(A3317,[1]!Table1[#All],32,FALSE)</f>
        <v>43678</v>
      </c>
      <c r="I3317" s="8">
        <f>VLOOKUP(A3317,[1]!Table1[#All],33,FALSE)</f>
        <v>45504</v>
      </c>
      <c r="J3317" t="str">
        <f t="shared" ca="1" si="55"/>
        <v>UDO</v>
      </c>
    </row>
    <row r="3318" spans="1:10" x14ac:dyDescent="0.35">
      <c r="A3318" s="5" t="s">
        <v>106</v>
      </c>
      <c r="B3318" s="6">
        <v>44743</v>
      </c>
      <c r="C3318" s="7">
        <v>2697</v>
      </c>
      <c r="D3318" s="7">
        <v>1622</v>
      </c>
      <c r="E3318" s="7">
        <v>1075</v>
      </c>
      <c r="F3318" t="str">
        <f>VLOOKUP(A3318,[1]!Table1[#All],17,FALSE)</f>
        <v>UNITED STATES</v>
      </c>
      <c r="G3318" t="str">
        <f>VLOOKUP(A3318,[1]!Table1[#All],22,FALSE)</f>
        <v>MT ST Dept of PHHS, Addictive &amp; Mental Disorders Div</v>
      </c>
      <c r="H3318" s="8">
        <f>VLOOKUP(A3318,[1]!Table1[#All],32,FALSE)</f>
        <v>43678</v>
      </c>
      <c r="I3318" s="8">
        <f>VLOOKUP(A3318,[1]!Table1[#All],33,FALSE)</f>
        <v>45504</v>
      </c>
      <c r="J3318" t="str">
        <f t="shared" ca="1" si="55"/>
        <v>UDO</v>
      </c>
    </row>
    <row r="3319" spans="1:10" x14ac:dyDescent="0.35">
      <c r="A3319" s="9" t="s">
        <v>106</v>
      </c>
      <c r="B3319" s="10">
        <v>44774</v>
      </c>
      <c r="C3319" s="11">
        <v>2697</v>
      </c>
      <c r="D3319" s="11">
        <v>1937.92</v>
      </c>
      <c r="E3319" s="11">
        <v>759.08</v>
      </c>
      <c r="F3319" t="str">
        <f>VLOOKUP(A3319,[1]!Table1[#All],17,FALSE)</f>
        <v>UNITED STATES</v>
      </c>
      <c r="G3319" t="str">
        <f>VLOOKUP(A3319,[1]!Table1[#All],22,FALSE)</f>
        <v>MT ST Dept of PHHS, Addictive &amp; Mental Disorders Div</v>
      </c>
      <c r="H3319" s="8">
        <f>VLOOKUP(A3319,[1]!Table1[#All],32,FALSE)</f>
        <v>43678</v>
      </c>
      <c r="I3319" s="8">
        <f>VLOOKUP(A3319,[1]!Table1[#All],33,FALSE)</f>
        <v>45504</v>
      </c>
      <c r="J3319" t="str">
        <f t="shared" ca="1" si="55"/>
        <v>UDO</v>
      </c>
    </row>
    <row r="3320" spans="1:10" x14ac:dyDescent="0.35">
      <c r="A3320" s="5" t="s">
        <v>106</v>
      </c>
      <c r="B3320" s="6">
        <v>44805</v>
      </c>
      <c r="C3320" s="7">
        <v>2697</v>
      </c>
      <c r="D3320" s="7">
        <v>2149.7399999999998</v>
      </c>
      <c r="E3320" s="7">
        <v>547.26</v>
      </c>
      <c r="F3320" t="str">
        <f>VLOOKUP(A3320,[1]!Table1[#All],17,FALSE)</f>
        <v>UNITED STATES</v>
      </c>
      <c r="G3320" t="str">
        <f>VLOOKUP(A3320,[1]!Table1[#All],22,FALSE)</f>
        <v>MT ST Dept of PHHS, Addictive &amp; Mental Disorders Div</v>
      </c>
      <c r="H3320" s="8">
        <f>VLOOKUP(A3320,[1]!Table1[#All],32,FALSE)</f>
        <v>43678</v>
      </c>
      <c r="I3320" s="8">
        <f>VLOOKUP(A3320,[1]!Table1[#All],33,FALSE)</f>
        <v>45504</v>
      </c>
      <c r="J3320" t="str">
        <f t="shared" ca="1" si="55"/>
        <v>UDO</v>
      </c>
    </row>
    <row r="3321" spans="1:10" x14ac:dyDescent="0.35">
      <c r="A3321" s="9" t="s">
        <v>106</v>
      </c>
      <c r="B3321" s="10">
        <v>44835</v>
      </c>
      <c r="C3321" s="11">
        <v>2697</v>
      </c>
      <c r="D3321" s="11">
        <v>2449.0500000000002</v>
      </c>
      <c r="E3321" s="11">
        <v>247.95</v>
      </c>
      <c r="F3321" t="str">
        <f>VLOOKUP(A3321,[1]!Table1[#All],17,FALSE)</f>
        <v>UNITED STATES</v>
      </c>
      <c r="G3321" t="str">
        <f>VLOOKUP(A3321,[1]!Table1[#All],22,FALSE)</f>
        <v>MT ST Dept of PHHS, Addictive &amp; Mental Disorders Div</v>
      </c>
      <c r="H3321" s="8">
        <f>VLOOKUP(A3321,[1]!Table1[#All],32,FALSE)</f>
        <v>43678</v>
      </c>
      <c r="I3321" s="8">
        <f>VLOOKUP(A3321,[1]!Table1[#All],33,FALSE)</f>
        <v>45504</v>
      </c>
      <c r="J3321" t="str">
        <f t="shared" ca="1" si="55"/>
        <v>UDO</v>
      </c>
    </row>
    <row r="3322" spans="1:10" x14ac:dyDescent="0.35">
      <c r="A3322" s="5" t="s">
        <v>106</v>
      </c>
      <c r="B3322" s="6">
        <v>44866</v>
      </c>
      <c r="C3322" s="7">
        <v>2697</v>
      </c>
      <c r="D3322" s="7">
        <v>2671.2</v>
      </c>
      <c r="E3322" s="7">
        <v>25.8</v>
      </c>
      <c r="F3322" t="str">
        <f>VLOOKUP(A3322,[1]!Table1[#All],17,FALSE)</f>
        <v>UNITED STATES</v>
      </c>
      <c r="G3322" t="str">
        <f>VLOOKUP(A3322,[1]!Table1[#All],22,FALSE)</f>
        <v>MT ST Dept of PHHS, Addictive &amp; Mental Disorders Div</v>
      </c>
      <c r="H3322" s="8">
        <f>VLOOKUP(A3322,[1]!Table1[#All],32,FALSE)</f>
        <v>43678</v>
      </c>
      <c r="I3322" s="8">
        <f>VLOOKUP(A3322,[1]!Table1[#All],33,FALSE)</f>
        <v>45504</v>
      </c>
      <c r="J3322" t="str">
        <f t="shared" ca="1" si="55"/>
        <v>UDO</v>
      </c>
    </row>
    <row r="3323" spans="1:10" x14ac:dyDescent="0.35">
      <c r="A3323" s="9" t="s">
        <v>106</v>
      </c>
      <c r="B3323" s="10">
        <v>44896</v>
      </c>
      <c r="C3323" s="11">
        <v>2697</v>
      </c>
      <c r="D3323" s="11">
        <v>2697</v>
      </c>
      <c r="E3323" s="11">
        <v>0</v>
      </c>
      <c r="F3323" t="str">
        <f>VLOOKUP(A3323,[1]!Table1[#All],17,FALSE)</f>
        <v>UNITED STATES</v>
      </c>
      <c r="G3323" t="str">
        <f>VLOOKUP(A3323,[1]!Table1[#All],22,FALSE)</f>
        <v>MT ST Dept of PHHS, Addictive &amp; Mental Disorders Div</v>
      </c>
      <c r="H3323" s="8">
        <f>VLOOKUP(A3323,[1]!Table1[#All],32,FALSE)</f>
        <v>43678</v>
      </c>
      <c r="I3323" s="8">
        <f>VLOOKUP(A3323,[1]!Table1[#All],33,FALSE)</f>
        <v>45504</v>
      </c>
      <c r="J3323" t="str">
        <f t="shared" ca="1" si="55"/>
        <v>Non UDO</v>
      </c>
    </row>
    <row r="3324" spans="1:10" x14ac:dyDescent="0.35">
      <c r="A3324" s="5" t="s">
        <v>106</v>
      </c>
      <c r="B3324" s="6">
        <v>44927</v>
      </c>
      <c r="C3324" s="7">
        <v>2697</v>
      </c>
      <c r="D3324" s="7">
        <v>2697</v>
      </c>
      <c r="E3324" s="7">
        <v>0</v>
      </c>
      <c r="F3324" t="str">
        <f>VLOOKUP(A3324,[1]!Table1[#All],17,FALSE)</f>
        <v>UNITED STATES</v>
      </c>
      <c r="G3324" t="str">
        <f>VLOOKUP(A3324,[1]!Table1[#All],22,FALSE)</f>
        <v>MT ST Dept of PHHS, Addictive &amp; Mental Disorders Div</v>
      </c>
      <c r="H3324" s="8">
        <f>VLOOKUP(A3324,[1]!Table1[#All],32,FALSE)</f>
        <v>43678</v>
      </c>
      <c r="I3324" s="8">
        <f>VLOOKUP(A3324,[1]!Table1[#All],33,FALSE)</f>
        <v>45504</v>
      </c>
      <c r="J3324" t="str">
        <f t="shared" ca="1" si="55"/>
        <v>Non UDO</v>
      </c>
    </row>
    <row r="3325" spans="1:10" x14ac:dyDescent="0.35">
      <c r="A3325" s="9" t="s">
        <v>106</v>
      </c>
      <c r="B3325" s="10">
        <v>44958</v>
      </c>
      <c r="C3325" s="11">
        <v>2697</v>
      </c>
      <c r="D3325" s="11">
        <v>2697</v>
      </c>
      <c r="E3325" s="11">
        <v>0</v>
      </c>
      <c r="F3325" t="str">
        <f>VLOOKUP(A3325,[1]!Table1[#All],17,FALSE)</f>
        <v>UNITED STATES</v>
      </c>
      <c r="G3325" t="str">
        <f>VLOOKUP(A3325,[1]!Table1[#All],22,FALSE)</f>
        <v>MT ST Dept of PHHS, Addictive &amp; Mental Disorders Div</v>
      </c>
      <c r="H3325" s="8">
        <f>VLOOKUP(A3325,[1]!Table1[#All],32,FALSE)</f>
        <v>43678</v>
      </c>
      <c r="I3325" s="8">
        <f>VLOOKUP(A3325,[1]!Table1[#All],33,FALSE)</f>
        <v>45504</v>
      </c>
      <c r="J3325" t="str">
        <f t="shared" ca="1" si="55"/>
        <v>Non UDO</v>
      </c>
    </row>
    <row r="3326" spans="1:10" x14ac:dyDescent="0.35">
      <c r="A3326" s="5" t="s">
        <v>106</v>
      </c>
      <c r="B3326" s="6">
        <v>44986</v>
      </c>
      <c r="C3326" s="7">
        <v>2697</v>
      </c>
      <c r="D3326" s="7">
        <v>2697</v>
      </c>
      <c r="E3326" s="7">
        <v>0</v>
      </c>
      <c r="F3326" t="str">
        <f>VLOOKUP(A3326,[1]!Table1[#All],17,FALSE)</f>
        <v>UNITED STATES</v>
      </c>
      <c r="G3326" t="str">
        <f>VLOOKUP(A3326,[1]!Table1[#All],22,FALSE)</f>
        <v>MT ST Dept of PHHS, Addictive &amp; Mental Disorders Div</v>
      </c>
      <c r="H3326" s="8">
        <f>VLOOKUP(A3326,[1]!Table1[#All],32,FALSE)</f>
        <v>43678</v>
      </c>
      <c r="I3326" s="8">
        <f>VLOOKUP(A3326,[1]!Table1[#All],33,FALSE)</f>
        <v>45504</v>
      </c>
      <c r="J3326" t="str">
        <f t="shared" ca="1" si="55"/>
        <v>Non UDO</v>
      </c>
    </row>
    <row r="3327" spans="1:10" x14ac:dyDescent="0.35">
      <c r="A3327" s="9" t="s">
        <v>106</v>
      </c>
      <c r="B3327" s="10">
        <v>45017</v>
      </c>
      <c r="C3327" s="11">
        <v>2697</v>
      </c>
      <c r="D3327" s="11">
        <v>2697</v>
      </c>
      <c r="E3327" s="11">
        <v>0</v>
      </c>
      <c r="F3327" t="str">
        <f>VLOOKUP(A3327,[1]!Table1[#All],17,FALSE)</f>
        <v>UNITED STATES</v>
      </c>
      <c r="G3327" t="str">
        <f>VLOOKUP(A3327,[1]!Table1[#All],22,FALSE)</f>
        <v>MT ST Dept of PHHS, Addictive &amp; Mental Disorders Div</v>
      </c>
      <c r="H3327" s="8">
        <f>VLOOKUP(A3327,[1]!Table1[#All],32,FALSE)</f>
        <v>43678</v>
      </c>
      <c r="I3327" s="8">
        <f>VLOOKUP(A3327,[1]!Table1[#All],33,FALSE)</f>
        <v>45504</v>
      </c>
      <c r="J3327" t="str">
        <f t="shared" ca="1" si="55"/>
        <v>Non UDO</v>
      </c>
    </row>
    <row r="3328" spans="1:10" x14ac:dyDescent="0.35">
      <c r="A3328" s="5" t="s">
        <v>106</v>
      </c>
      <c r="B3328" s="6">
        <v>45047</v>
      </c>
      <c r="C3328" s="7">
        <v>2697</v>
      </c>
      <c r="D3328" s="7">
        <v>2697</v>
      </c>
      <c r="E3328" s="7">
        <v>0</v>
      </c>
      <c r="F3328" t="str">
        <f>VLOOKUP(A3328,[1]!Table1[#All],17,FALSE)</f>
        <v>UNITED STATES</v>
      </c>
      <c r="G3328" t="str">
        <f>VLOOKUP(A3328,[1]!Table1[#All],22,FALSE)</f>
        <v>MT ST Dept of PHHS, Addictive &amp; Mental Disorders Div</v>
      </c>
      <c r="H3328" s="8">
        <f>VLOOKUP(A3328,[1]!Table1[#All],32,FALSE)</f>
        <v>43678</v>
      </c>
      <c r="I3328" s="8">
        <f>VLOOKUP(A3328,[1]!Table1[#All],33,FALSE)</f>
        <v>45504</v>
      </c>
      <c r="J3328" t="str">
        <f t="shared" ca="1" si="55"/>
        <v>Non UDO</v>
      </c>
    </row>
    <row r="3329" spans="1:10" x14ac:dyDescent="0.35">
      <c r="A3329" s="9" t="s">
        <v>106</v>
      </c>
      <c r="B3329" s="10">
        <v>45078</v>
      </c>
      <c r="C3329" s="11">
        <v>2697</v>
      </c>
      <c r="D3329" s="11">
        <v>2697</v>
      </c>
      <c r="E3329" s="11">
        <v>0</v>
      </c>
      <c r="F3329" t="str">
        <f>VLOOKUP(A3329,[1]!Table1[#All],17,FALSE)</f>
        <v>UNITED STATES</v>
      </c>
      <c r="G3329" t="str">
        <f>VLOOKUP(A3329,[1]!Table1[#All],22,FALSE)</f>
        <v>MT ST Dept of PHHS, Addictive &amp; Mental Disorders Div</v>
      </c>
      <c r="H3329" s="8">
        <f>VLOOKUP(A3329,[1]!Table1[#All],32,FALSE)</f>
        <v>43678</v>
      </c>
      <c r="I3329" s="8">
        <f>VLOOKUP(A3329,[1]!Table1[#All],33,FALSE)</f>
        <v>45504</v>
      </c>
      <c r="J3329" t="str">
        <f t="shared" ca="1" si="55"/>
        <v>Non UDO</v>
      </c>
    </row>
    <row r="3330" spans="1:10" x14ac:dyDescent="0.35">
      <c r="A3330" s="5" t="s">
        <v>106</v>
      </c>
      <c r="B3330" s="6">
        <v>45108</v>
      </c>
      <c r="C3330" s="7">
        <v>2697</v>
      </c>
      <c r="D3330" s="7">
        <v>2697</v>
      </c>
      <c r="E3330" s="7">
        <v>0</v>
      </c>
      <c r="F3330" t="str">
        <f>VLOOKUP(A3330,[1]!Table1[#All],17,FALSE)</f>
        <v>UNITED STATES</v>
      </c>
      <c r="G3330" t="str">
        <f>VLOOKUP(A3330,[1]!Table1[#All],22,FALSE)</f>
        <v>MT ST Dept of PHHS, Addictive &amp; Mental Disorders Div</v>
      </c>
      <c r="H3330" s="8">
        <f>VLOOKUP(A3330,[1]!Table1[#All],32,FALSE)</f>
        <v>43678</v>
      </c>
      <c r="I3330" s="8">
        <f>VLOOKUP(A3330,[1]!Table1[#All],33,FALSE)</f>
        <v>45504</v>
      </c>
      <c r="J3330" t="str">
        <f t="shared" ca="1" si="55"/>
        <v>Non UDO</v>
      </c>
    </row>
    <row r="3331" spans="1:10" x14ac:dyDescent="0.35">
      <c r="A3331" s="9" t="s">
        <v>106</v>
      </c>
      <c r="B3331" s="10">
        <v>45139</v>
      </c>
      <c r="C3331" s="11">
        <v>2697</v>
      </c>
      <c r="D3331" s="11">
        <v>2697</v>
      </c>
      <c r="E3331" s="11">
        <v>0</v>
      </c>
      <c r="F3331" t="str">
        <f>VLOOKUP(A3331,[1]!Table1[#All],17,FALSE)</f>
        <v>UNITED STATES</v>
      </c>
      <c r="G3331" t="str">
        <f>VLOOKUP(A3331,[1]!Table1[#All],22,FALSE)</f>
        <v>MT ST Dept of PHHS, Addictive &amp; Mental Disorders Div</v>
      </c>
      <c r="H3331" s="8">
        <f>VLOOKUP(A3331,[1]!Table1[#All],32,FALSE)</f>
        <v>43678</v>
      </c>
      <c r="I3331" s="8">
        <f>VLOOKUP(A3331,[1]!Table1[#All],33,FALSE)</f>
        <v>45504</v>
      </c>
      <c r="J3331" t="str">
        <f t="shared" ref="J3331:J3394" ca="1" si="56">IF(AND( E3331&gt;0,TODAY()&gt;I3331),"UDO","Non UDO")</f>
        <v>Non UDO</v>
      </c>
    </row>
    <row r="3332" spans="1:10" x14ac:dyDescent="0.35">
      <c r="A3332" s="5" t="s">
        <v>106</v>
      </c>
      <c r="B3332" s="6">
        <v>45170</v>
      </c>
      <c r="C3332" s="7">
        <v>2697</v>
      </c>
      <c r="D3332" s="7">
        <v>2697</v>
      </c>
      <c r="E3332" s="7">
        <v>0</v>
      </c>
      <c r="F3332" t="str">
        <f>VLOOKUP(A3332,[1]!Table1[#All],17,FALSE)</f>
        <v>UNITED STATES</v>
      </c>
      <c r="G3332" t="str">
        <f>VLOOKUP(A3332,[1]!Table1[#All],22,FALSE)</f>
        <v>MT ST Dept of PHHS, Addictive &amp; Mental Disorders Div</v>
      </c>
      <c r="H3332" s="8">
        <f>VLOOKUP(A3332,[1]!Table1[#All],32,FALSE)</f>
        <v>43678</v>
      </c>
      <c r="I3332" s="8">
        <f>VLOOKUP(A3332,[1]!Table1[#All],33,FALSE)</f>
        <v>45504</v>
      </c>
      <c r="J3332" t="str">
        <f t="shared" ca="1" si="56"/>
        <v>Non UDO</v>
      </c>
    </row>
    <row r="3333" spans="1:10" x14ac:dyDescent="0.35">
      <c r="A3333" s="9" t="s">
        <v>107</v>
      </c>
      <c r="B3333" s="10">
        <v>44105</v>
      </c>
      <c r="C3333" s="11">
        <v>8000</v>
      </c>
      <c r="D3333" s="11">
        <v>0</v>
      </c>
      <c r="E3333" s="11">
        <v>8000</v>
      </c>
      <c r="F3333" t="str">
        <f>VLOOKUP(A3333,[1]!Table1[#All],17,FALSE)</f>
        <v>UNITED STATES</v>
      </c>
      <c r="G3333" t="str">
        <f>VLOOKUP(A3333,[1]!Table1[#All],22,FALSE)</f>
        <v>TX DEPT OF STATE HEALTH SERVICES</v>
      </c>
      <c r="H3333" s="8">
        <f>VLOOKUP(A3333,[1]!Table1[#All],32,FALSE)</f>
        <v>43678</v>
      </c>
      <c r="I3333" s="8">
        <f>VLOOKUP(A3333,[1]!Table1[#All],33,FALSE)</f>
        <v>45504</v>
      </c>
      <c r="J3333" t="str">
        <f t="shared" ca="1" si="56"/>
        <v>UDO</v>
      </c>
    </row>
    <row r="3334" spans="1:10" x14ac:dyDescent="0.35">
      <c r="A3334" s="5" t="s">
        <v>107</v>
      </c>
      <c r="B3334" s="6">
        <v>44136</v>
      </c>
      <c r="C3334" s="7">
        <v>8000</v>
      </c>
      <c r="D3334" s="7">
        <v>0</v>
      </c>
      <c r="E3334" s="7">
        <v>8000</v>
      </c>
      <c r="F3334" t="str">
        <f>VLOOKUP(A3334,[1]!Table1[#All],17,FALSE)</f>
        <v>UNITED STATES</v>
      </c>
      <c r="G3334" t="str">
        <f>VLOOKUP(A3334,[1]!Table1[#All],22,FALSE)</f>
        <v>TX DEPT OF STATE HEALTH SERVICES</v>
      </c>
      <c r="H3334" s="8">
        <f>VLOOKUP(A3334,[1]!Table1[#All],32,FALSE)</f>
        <v>43678</v>
      </c>
      <c r="I3334" s="8">
        <f>VLOOKUP(A3334,[1]!Table1[#All],33,FALSE)</f>
        <v>45504</v>
      </c>
      <c r="J3334" t="str">
        <f t="shared" ca="1" si="56"/>
        <v>UDO</v>
      </c>
    </row>
    <row r="3335" spans="1:10" x14ac:dyDescent="0.35">
      <c r="A3335" s="9" t="s">
        <v>107</v>
      </c>
      <c r="B3335" s="10">
        <v>44166</v>
      </c>
      <c r="C3335" s="11">
        <v>8000</v>
      </c>
      <c r="D3335" s="11">
        <v>0</v>
      </c>
      <c r="E3335" s="11">
        <v>8000</v>
      </c>
      <c r="F3335" t="str">
        <f>VLOOKUP(A3335,[1]!Table1[#All],17,FALSE)</f>
        <v>UNITED STATES</v>
      </c>
      <c r="G3335" t="str">
        <f>VLOOKUP(A3335,[1]!Table1[#All],22,FALSE)</f>
        <v>TX DEPT OF STATE HEALTH SERVICES</v>
      </c>
      <c r="H3335" s="8">
        <f>VLOOKUP(A3335,[1]!Table1[#All],32,FALSE)</f>
        <v>43678</v>
      </c>
      <c r="I3335" s="8">
        <f>VLOOKUP(A3335,[1]!Table1[#All],33,FALSE)</f>
        <v>45504</v>
      </c>
      <c r="J3335" t="str">
        <f t="shared" ca="1" si="56"/>
        <v>UDO</v>
      </c>
    </row>
    <row r="3336" spans="1:10" x14ac:dyDescent="0.35">
      <c r="A3336" s="5" t="s">
        <v>107</v>
      </c>
      <c r="B3336" s="6">
        <v>44197</v>
      </c>
      <c r="C3336" s="7">
        <v>8000</v>
      </c>
      <c r="D3336" s="7">
        <v>0</v>
      </c>
      <c r="E3336" s="7">
        <v>8000</v>
      </c>
      <c r="F3336" t="str">
        <f>VLOOKUP(A3336,[1]!Table1[#All],17,FALSE)</f>
        <v>UNITED STATES</v>
      </c>
      <c r="G3336" t="str">
        <f>VLOOKUP(A3336,[1]!Table1[#All],22,FALSE)</f>
        <v>TX DEPT OF STATE HEALTH SERVICES</v>
      </c>
      <c r="H3336" s="8">
        <f>VLOOKUP(A3336,[1]!Table1[#All],32,FALSE)</f>
        <v>43678</v>
      </c>
      <c r="I3336" s="8">
        <f>VLOOKUP(A3336,[1]!Table1[#All],33,FALSE)</f>
        <v>45504</v>
      </c>
      <c r="J3336" t="str">
        <f t="shared" ca="1" si="56"/>
        <v>UDO</v>
      </c>
    </row>
    <row r="3337" spans="1:10" x14ac:dyDescent="0.35">
      <c r="A3337" s="9" t="s">
        <v>107</v>
      </c>
      <c r="B3337" s="10">
        <v>44228</v>
      </c>
      <c r="C3337" s="11">
        <v>8000</v>
      </c>
      <c r="D3337" s="11">
        <v>0</v>
      </c>
      <c r="E3337" s="11">
        <v>8000</v>
      </c>
      <c r="F3337" t="str">
        <f>VLOOKUP(A3337,[1]!Table1[#All],17,FALSE)</f>
        <v>UNITED STATES</v>
      </c>
      <c r="G3337" t="str">
        <f>VLOOKUP(A3337,[1]!Table1[#All],22,FALSE)</f>
        <v>TX DEPT OF STATE HEALTH SERVICES</v>
      </c>
      <c r="H3337" s="8">
        <f>VLOOKUP(A3337,[1]!Table1[#All],32,FALSE)</f>
        <v>43678</v>
      </c>
      <c r="I3337" s="8">
        <f>VLOOKUP(A3337,[1]!Table1[#All],33,FALSE)</f>
        <v>45504</v>
      </c>
      <c r="J3337" t="str">
        <f t="shared" ca="1" si="56"/>
        <v>UDO</v>
      </c>
    </row>
    <row r="3338" spans="1:10" x14ac:dyDescent="0.35">
      <c r="A3338" s="5" t="s">
        <v>107</v>
      </c>
      <c r="B3338" s="6">
        <v>44256</v>
      </c>
      <c r="C3338" s="7">
        <v>8000</v>
      </c>
      <c r="D3338" s="7">
        <v>0</v>
      </c>
      <c r="E3338" s="7">
        <v>8000</v>
      </c>
      <c r="F3338" t="str">
        <f>VLOOKUP(A3338,[1]!Table1[#All],17,FALSE)</f>
        <v>UNITED STATES</v>
      </c>
      <c r="G3338" t="str">
        <f>VLOOKUP(A3338,[1]!Table1[#All],22,FALSE)</f>
        <v>TX DEPT OF STATE HEALTH SERVICES</v>
      </c>
      <c r="H3338" s="8">
        <f>VLOOKUP(A3338,[1]!Table1[#All],32,FALSE)</f>
        <v>43678</v>
      </c>
      <c r="I3338" s="8">
        <f>VLOOKUP(A3338,[1]!Table1[#All],33,FALSE)</f>
        <v>45504</v>
      </c>
      <c r="J3338" t="str">
        <f t="shared" ca="1" si="56"/>
        <v>UDO</v>
      </c>
    </row>
    <row r="3339" spans="1:10" x14ac:dyDescent="0.35">
      <c r="A3339" s="9" t="s">
        <v>107</v>
      </c>
      <c r="B3339" s="10">
        <v>44317</v>
      </c>
      <c r="C3339" s="11">
        <v>8000</v>
      </c>
      <c r="D3339" s="11">
        <v>0</v>
      </c>
      <c r="E3339" s="11">
        <v>8000</v>
      </c>
      <c r="F3339" t="str">
        <f>VLOOKUP(A3339,[1]!Table1[#All],17,FALSE)</f>
        <v>UNITED STATES</v>
      </c>
      <c r="G3339" t="str">
        <f>VLOOKUP(A3339,[1]!Table1[#All],22,FALSE)</f>
        <v>TX DEPT OF STATE HEALTH SERVICES</v>
      </c>
      <c r="H3339" s="8">
        <f>VLOOKUP(A3339,[1]!Table1[#All],32,FALSE)</f>
        <v>43678</v>
      </c>
      <c r="I3339" s="8">
        <f>VLOOKUP(A3339,[1]!Table1[#All],33,FALSE)</f>
        <v>45504</v>
      </c>
      <c r="J3339" t="str">
        <f t="shared" ca="1" si="56"/>
        <v>UDO</v>
      </c>
    </row>
    <row r="3340" spans="1:10" x14ac:dyDescent="0.35">
      <c r="A3340" s="5" t="s">
        <v>107</v>
      </c>
      <c r="B3340" s="6">
        <v>44348</v>
      </c>
      <c r="C3340" s="7">
        <v>8000</v>
      </c>
      <c r="D3340" s="7">
        <v>0</v>
      </c>
      <c r="E3340" s="7">
        <v>8000</v>
      </c>
      <c r="F3340" t="str">
        <f>VLOOKUP(A3340,[1]!Table1[#All],17,FALSE)</f>
        <v>UNITED STATES</v>
      </c>
      <c r="G3340" t="str">
        <f>VLOOKUP(A3340,[1]!Table1[#All],22,FALSE)</f>
        <v>TX DEPT OF STATE HEALTH SERVICES</v>
      </c>
      <c r="H3340" s="8">
        <f>VLOOKUP(A3340,[1]!Table1[#All],32,FALSE)</f>
        <v>43678</v>
      </c>
      <c r="I3340" s="8">
        <f>VLOOKUP(A3340,[1]!Table1[#All],33,FALSE)</f>
        <v>45504</v>
      </c>
      <c r="J3340" t="str">
        <f t="shared" ca="1" si="56"/>
        <v>UDO</v>
      </c>
    </row>
    <row r="3341" spans="1:10" x14ac:dyDescent="0.35">
      <c r="A3341" s="9" t="s">
        <v>107</v>
      </c>
      <c r="B3341" s="10">
        <v>44378</v>
      </c>
      <c r="C3341" s="11">
        <v>8000</v>
      </c>
      <c r="D3341" s="11">
        <v>551.34</v>
      </c>
      <c r="E3341" s="11">
        <v>7448.66</v>
      </c>
      <c r="F3341" t="str">
        <f>VLOOKUP(A3341,[1]!Table1[#All],17,FALSE)</f>
        <v>UNITED STATES</v>
      </c>
      <c r="G3341" t="str">
        <f>VLOOKUP(A3341,[1]!Table1[#All],22,FALSE)</f>
        <v>TX DEPT OF STATE HEALTH SERVICES</v>
      </c>
      <c r="H3341" s="8">
        <f>VLOOKUP(A3341,[1]!Table1[#All],32,FALSE)</f>
        <v>43678</v>
      </c>
      <c r="I3341" s="8">
        <f>VLOOKUP(A3341,[1]!Table1[#All],33,FALSE)</f>
        <v>45504</v>
      </c>
      <c r="J3341" t="str">
        <f t="shared" ca="1" si="56"/>
        <v>UDO</v>
      </c>
    </row>
    <row r="3342" spans="1:10" x14ac:dyDescent="0.35">
      <c r="A3342" s="5" t="s">
        <v>107</v>
      </c>
      <c r="B3342" s="6">
        <v>44409</v>
      </c>
      <c r="C3342" s="7">
        <v>8000</v>
      </c>
      <c r="D3342" s="7">
        <v>1197.2</v>
      </c>
      <c r="E3342" s="7">
        <v>6802.8</v>
      </c>
      <c r="F3342" t="str">
        <f>VLOOKUP(A3342,[1]!Table1[#All],17,FALSE)</f>
        <v>UNITED STATES</v>
      </c>
      <c r="G3342" t="str">
        <f>VLOOKUP(A3342,[1]!Table1[#All],22,FALSE)</f>
        <v>TX DEPT OF STATE HEALTH SERVICES</v>
      </c>
      <c r="H3342" s="8">
        <f>VLOOKUP(A3342,[1]!Table1[#All],32,FALSE)</f>
        <v>43678</v>
      </c>
      <c r="I3342" s="8">
        <f>VLOOKUP(A3342,[1]!Table1[#All],33,FALSE)</f>
        <v>45504</v>
      </c>
      <c r="J3342" t="str">
        <f t="shared" ca="1" si="56"/>
        <v>UDO</v>
      </c>
    </row>
    <row r="3343" spans="1:10" x14ac:dyDescent="0.35">
      <c r="A3343" s="9" t="s">
        <v>107</v>
      </c>
      <c r="B3343" s="10">
        <v>44440</v>
      </c>
      <c r="C3343" s="11">
        <v>8000</v>
      </c>
      <c r="D3343" s="11">
        <v>1478.24</v>
      </c>
      <c r="E3343" s="11">
        <v>6521.76</v>
      </c>
      <c r="F3343" t="str">
        <f>VLOOKUP(A3343,[1]!Table1[#All],17,FALSE)</f>
        <v>UNITED STATES</v>
      </c>
      <c r="G3343" t="str">
        <f>VLOOKUP(A3343,[1]!Table1[#All],22,FALSE)</f>
        <v>TX DEPT OF STATE HEALTH SERVICES</v>
      </c>
      <c r="H3343" s="8">
        <f>VLOOKUP(A3343,[1]!Table1[#All],32,FALSE)</f>
        <v>43678</v>
      </c>
      <c r="I3343" s="8">
        <f>VLOOKUP(A3343,[1]!Table1[#All],33,FALSE)</f>
        <v>45504</v>
      </c>
      <c r="J3343" t="str">
        <f t="shared" ca="1" si="56"/>
        <v>UDO</v>
      </c>
    </row>
    <row r="3344" spans="1:10" x14ac:dyDescent="0.35">
      <c r="A3344" s="5" t="s">
        <v>107</v>
      </c>
      <c r="B3344" s="6">
        <v>44470</v>
      </c>
      <c r="C3344" s="7">
        <v>8000</v>
      </c>
      <c r="D3344" s="7">
        <v>2194.16</v>
      </c>
      <c r="E3344" s="7">
        <v>5805.84</v>
      </c>
      <c r="F3344" t="str">
        <f>VLOOKUP(A3344,[1]!Table1[#All],17,FALSE)</f>
        <v>UNITED STATES</v>
      </c>
      <c r="G3344" t="str">
        <f>VLOOKUP(A3344,[1]!Table1[#All],22,FALSE)</f>
        <v>TX DEPT OF STATE HEALTH SERVICES</v>
      </c>
      <c r="H3344" s="8">
        <f>VLOOKUP(A3344,[1]!Table1[#All],32,FALSE)</f>
        <v>43678</v>
      </c>
      <c r="I3344" s="8">
        <f>VLOOKUP(A3344,[1]!Table1[#All],33,FALSE)</f>
        <v>45504</v>
      </c>
      <c r="J3344" t="str">
        <f t="shared" ca="1" si="56"/>
        <v>UDO</v>
      </c>
    </row>
    <row r="3345" spans="1:10" x14ac:dyDescent="0.35">
      <c r="A3345" s="9" t="s">
        <v>107</v>
      </c>
      <c r="B3345" s="10">
        <v>44501</v>
      </c>
      <c r="C3345" s="11">
        <v>8000</v>
      </c>
      <c r="D3345" s="11">
        <v>2525.2399999999998</v>
      </c>
      <c r="E3345" s="11">
        <v>5474.76</v>
      </c>
      <c r="F3345" t="str">
        <f>VLOOKUP(A3345,[1]!Table1[#All],17,FALSE)</f>
        <v>UNITED STATES</v>
      </c>
      <c r="G3345" t="str">
        <f>VLOOKUP(A3345,[1]!Table1[#All],22,FALSE)</f>
        <v>TX DEPT OF STATE HEALTH SERVICES</v>
      </c>
      <c r="H3345" s="8">
        <f>VLOOKUP(A3345,[1]!Table1[#All],32,FALSE)</f>
        <v>43678</v>
      </c>
      <c r="I3345" s="8">
        <f>VLOOKUP(A3345,[1]!Table1[#All],33,FALSE)</f>
        <v>45504</v>
      </c>
      <c r="J3345" t="str">
        <f t="shared" ca="1" si="56"/>
        <v>UDO</v>
      </c>
    </row>
    <row r="3346" spans="1:10" x14ac:dyDescent="0.35">
      <c r="A3346" s="5" t="s">
        <v>107</v>
      </c>
      <c r="B3346" s="6">
        <v>44531</v>
      </c>
      <c r="C3346" s="7">
        <v>8000</v>
      </c>
      <c r="D3346" s="7">
        <v>3190.55</v>
      </c>
      <c r="E3346" s="7">
        <v>4809.45</v>
      </c>
      <c r="F3346" t="str">
        <f>VLOOKUP(A3346,[1]!Table1[#All],17,FALSE)</f>
        <v>UNITED STATES</v>
      </c>
      <c r="G3346" t="str">
        <f>VLOOKUP(A3346,[1]!Table1[#All],22,FALSE)</f>
        <v>TX DEPT OF STATE HEALTH SERVICES</v>
      </c>
      <c r="H3346" s="8">
        <f>VLOOKUP(A3346,[1]!Table1[#All],32,FALSE)</f>
        <v>43678</v>
      </c>
      <c r="I3346" s="8">
        <f>VLOOKUP(A3346,[1]!Table1[#All],33,FALSE)</f>
        <v>45504</v>
      </c>
      <c r="J3346" t="str">
        <f t="shared" ca="1" si="56"/>
        <v>UDO</v>
      </c>
    </row>
    <row r="3347" spans="1:10" x14ac:dyDescent="0.35">
      <c r="A3347" s="9" t="s">
        <v>107</v>
      </c>
      <c r="B3347" s="10">
        <v>44562</v>
      </c>
      <c r="C3347" s="11">
        <v>8000</v>
      </c>
      <c r="D3347" s="11">
        <v>3765.78</v>
      </c>
      <c r="E3347" s="11">
        <v>4234.22</v>
      </c>
      <c r="F3347" t="str">
        <f>VLOOKUP(A3347,[1]!Table1[#All],17,FALSE)</f>
        <v>UNITED STATES</v>
      </c>
      <c r="G3347" t="str">
        <f>VLOOKUP(A3347,[1]!Table1[#All],22,FALSE)</f>
        <v>TX DEPT OF STATE HEALTH SERVICES</v>
      </c>
      <c r="H3347" s="8">
        <f>VLOOKUP(A3347,[1]!Table1[#All],32,FALSE)</f>
        <v>43678</v>
      </c>
      <c r="I3347" s="8">
        <f>VLOOKUP(A3347,[1]!Table1[#All],33,FALSE)</f>
        <v>45504</v>
      </c>
      <c r="J3347" t="str">
        <f t="shared" ca="1" si="56"/>
        <v>UDO</v>
      </c>
    </row>
    <row r="3348" spans="1:10" x14ac:dyDescent="0.35">
      <c r="A3348" s="5" t="s">
        <v>107</v>
      </c>
      <c r="B3348" s="6">
        <v>44593</v>
      </c>
      <c r="C3348" s="7">
        <v>8000</v>
      </c>
      <c r="D3348" s="7">
        <v>4103.88</v>
      </c>
      <c r="E3348" s="7">
        <v>3896.12</v>
      </c>
      <c r="F3348" t="str">
        <f>VLOOKUP(A3348,[1]!Table1[#All],17,FALSE)</f>
        <v>UNITED STATES</v>
      </c>
      <c r="G3348" t="str">
        <f>VLOOKUP(A3348,[1]!Table1[#All],22,FALSE)</f>
        <v>TX DEPT OF STATE HEALTH SERVICES</v>
      </c>
      <c r="H3348" s="8">
        <f>VLOOKUP(A3348,[1]!Table1[#All],32,FALSE)</f>
        <v>43678</v>
      </c>
      <c r="I3348" s="8">
        <f>VLOOKUP(A3348,[1]!Table1[#All],33,FALSE)</f>
        <v>45504</v>
      </c>
      <c r="J3348" t="str">
        <f t="shared" ca="1" si="56"/>
        <v>UDO</v>
      </c>
    </row>
    <row r="3349" spans="1:10" x14ac:dyDescent="0.35">
      <c r="A3349" s="9" t="s">
        <v>107</v>
      </c>
      <c r="B3349" s="10">
        <v>44621</v>
      </c>
      <c r="C3349" s="11">
        <v>8000</v>
      </c>
      <c r="D3349" s="11">
        <v>4450.2700000000004</v>
      </c>
      <c r="E3349" s="11">
        <v>3549.73</v>
      </c>
      <c r="F3349" t="str">
        <f>VLOOKUP(A3349,[1]!Table1[#All],17,FALSE)</f>
        <v>UNITED STATES</v>
      </c>
      <c r="G3349" t="str">
        <f>VLOOKUP(A3349,[1]!Table1[#All],22,FALSE)</f>
        <v>TX DEPT OF STATE HEALTH SERVICES</v>
      </c>
      <c r="H3349" s="8">
        <f>VLOOKUP(A3349,[1]!Table1[#All],32,FALSE)</f>
        <v>43678</v>
      </c>
      <c r="I3349" s="8">
        <f>VLOOKUP(A3349,[1]!Table1[#All],33,FALSE)</f>
        <v>45504</v>
      </c>
      <c r="J3349" t="str">
        <f t="shared" ca="1" si="56"/>
        <v>UDO</v>
      </c>
    </row>
    <row r="3350" spans="1:10" x14ac:dyDescent="0.35">
      <c r="A3350" s="5" t="s">
        <v>107</v>
      </c>
      <c r="B3350" s="6">
        <v>44652</v>
      </c>
      <c r="C3350" s="7">
        <v>8000</v>
      </c>
      <c r="D3350" s="7">
        <v>4903.04</v>
      </c>
      <c r="E3350" s="7">
        <v>3096.96</v>
      </c>
      <c r="F3350" t="str">
        <f>VLOOKUP(A3350,[1]!Table1[#All],17,FALSE)</f>
        <v>UNITED STATES</v>
      </c>
      <c r="G3350" t="str">
        <f>VLOOKUP(A3350,[1]!Table1[#All],22,FALSE)</f>
        <v>TX DEPT OF STATE HEALTH SERVICES</v>
      </c>
      <c r="H3350" s="8">
        <f>VLOOKUP(A3350,[1]!Table1[#All],32,FALSE)</f>
        <v>43678</v>
      </c>
      <c r="I3350" s="8">
        <f>VLOOKUP(A3350,[1]!Table1[#All],33,FALSE)</f>
        <v>45504</v>
      </c>
      <c r="J3350" t="str">
        <f t="shared" ca="1" si="56"/>
        <v>UDO</v>
      </c>
    </row>
    <row r="3351" spans="1:10" x14ac:dyDescent="0.35">
      <c r="A3351" s="9" t="s">
        <v>107</v>
      </c>
      <c r="B3351" s="10">
        <v>44682</v>
      </c>
      <c r="C3351" s="11">
        <v>8000</v>
      </c>
      <c r="D3351" s="11">
        <v>5213.88</v>
      </c>
      <c r="E3351" s="11">
        <v>2786.12</v>
      </c>
      <c r="F3351" t="str">
        <f>VLOOKUP(A3351,[1]!Table1[#All],17,FALSE)</f>
        <v>UNITED STATES</v>
      </c>
      <c r="G3351" t="str">
        <f>VLOOKUP(A3351,[1]!Table1[#All],22,FALSE)</f>
        <v>TX DEPT OF STATE HEALTH SERVICES</v>
      </c>
      <c r="H3351" s="8">
        <f>VLOOKUP(A3351,[1]!Table1[#All],32,FALSE)</f>
        <v>43678</v>
      </c>
      <c r="I3351" s="8">
        <f>VLOOKUP(A3351,[1]!Table1[#All],33,FALSE)</f>
        <v>45504</v>
      </c>
      <c r="J3351" t="str">
        <f t="shared" ca="1" si="56"/>
        <v>UDO</v>
      </c>
    </row>
    <row r="3352" spans="1:10" x14ac:dyDescent="0.35">
      <c r="A3352" s="5" t="s">
        <v>107</v>
      </c>
      <c r="B3352" s="6">
        <v>44713</v>
      </c>
      <c r="C3352" s="7">
        <v>8000</v>
      </c>
      <c r="D3352" s="7">
        <v>6351.34</v>
      </c>
      <c r="E3352" s="7">
        <v>1648.66</v>
      </c>
      <c r="F3352" t="str">
        <f>VLOOKUP(A3352,[1]!Table1[#All],17,FALSE)</f>
        <v>UNITED STATES</v>
      </c>
      <c r="G3352" t="str">
        <f>VLOOKUP(A3352,[1]!Table1[#All],22,FALSE)</f>
        <v>TX DEPT OF STATE HEALTH SERVICES</v>
      </c>
      <c r="H3352" s="8">
        <f>VLOOKUP(A3352,[1]!Table1[#All],32,FALSE)</f>
        <v>43678</v>
      </c>
      <c r="I3352" s="8">
        <f>VLOOKUP(A3352,[1]!Table1[#All],33,FALSE)</f>
        <v>45504</v>
      </c>
      <c r="J3352" t="str">
        <f t="shared" ca="1" si="56"/>
        <v>UDO</v>
      </c>
    </row>
    <row r="3353" spans="1:10" x14ac:dyDescent="0.35">
      <c r="A3353" s="9" t="s">
        <v>107</v>
      </c>
      <c r="B3353" s="10">
        <v>44743</v>
      </c>
      <c r="C3353" s="11">
        <v>8000</v>
      </c>
      <c r="D3353" s="11">
        <v>6598.81</v>
      </c>
      <c r="E3353" s="11">
        <v>1401.19</v>
      </c>
      <c r="F3353" t="str">
        <f>VLOOKUP(A3353,[1]!Table1[#All],17,FALSE)</f>
        <v>UNITED STATES</v>
      </c>
      <c r="G3353" t="str">
        <f>VLOOKUP(A3353,[1]!Table1[#All],22,FALSE)</f>
        <v>TX DEPT OF STATE HEALTH SERVICES</v>
      </c>
      <c r="H3353" s="8">
        <f>VLOOKUP(A3353,[1]!Table1[#All],32,FALSE)</f>
        <v>43678</v>
      </c>
      <c r="I3353" s="8">
        <f>VLOOKUP(A3353,[1]!Table1[#All],33,FALSE)</f>
        <v>45504</v>
      </c>
      <c r="J3353" t="str">
        <f t="shared" ca="1" si="56"/>
        <v>UDO</v>
      </c>
    </row>
    <row r="3354" spans="1:10" x14ac:dyDescent="0.35">
      <c r="A3354" s="5" t="s">
        <v>107</v>
      </c>
      <c r="B3354" s="6">
        <v>44774</v>
      </c>
      <c r="C3354" s="7">
        <v>8000</v>
      </c>
      <c r="D3354" s="7">
        <v>6790.4</v>
      </c>
      <c r="E3354" s="7">
        <v>1209.5999999999999</v>
      </c>
      <c r="F3354" t="str">
        <f>VLOOKUP(A3354,[1]!Table1[#All],17,FALSE)</f>
        <v>UNITED STATES</v>
      </c>
      <c r="G3354" t="str">
        <f>VLOOKUP(A3354,[1]!Table1[#All],22,FALSE)</f>
        <v>TX DEPT OF STATE HEALTH SERVICES</v>
      </c>
      <c r="H3354" s="8">
        <f>VLOOKUP(A3354,[1]!Table1[#All],32,FALSE)</f>
        <v>43678</v>
      </c>
      <c r="I3354" s="8">
        <f>VLOOKUP(A3354,[1]!Table1[#All],33,FALSE)</f>
        <v>45504</v>
      </c>
      <c r="J3354" t="str">
        <f t="shared" ca="1" si="56"/>
        <v>UDO</v>
      </c>
    </row>
    <row r="3355" spans="1:10" x14ac:dyDescent="0.35">
      <c r="A3355" s="9" t="s">
        <v>107</v>
      </c>
      <c r="B3355" s="10">
        <v>44805</v>
      </c>
      <c r="C3355" s="11">
        <v>8000</v>
      </c>
      <c r="D3355" s="11">
        <v>7317.75</v>
      </c>
      <c r="E3355" s="11">
        <v>682.25</v>
      </c>
      <c r="F3355" t="str">
        <f>VLOOKUP(A3355,[1]!Table1[#All],17,FALSE)</f>
        <v>UNITED STATES</v>
      </c>
      <c r="G3355" t="str">
        <f>VLOOKUP(A3355,[1]!Table1[#All],22,FALSE)</f>
        <v>TX DEPT OF STATE HEALTH SERVICES</v>
      </c>
      <c r="H3355" s="8">
        <f>VLOOKUP(A3355,[1]!Table1[#All],32,FALSE)</f>
        <v>43678</v>
      </c>
      <c r="I3355" s="8">
        <f>VLOOKUP(A3355,[1]!Table1[#All],33,FALSE)</f>
        <v>45504</v>
      </c>
      <c r="J3355" t="str">
        <f t="shared" ca="1" si="56"/>
        <v>UDO</v>
      </c>
    </row>
    <row r="3356" spans="1:10" x14ac:dyDescent="0.35">
      <c r="A3356" s="5" t="s">
        <v>107</v>
      </c>
      <c r="B3356" s="6">
        <v>44835</v>
      </c>
      <c r="C3356" s="7">
        <v>8000</v>
      </c>
      <c r="D3356" s="7">
        <v>7867.03</v>
      </c>
      <c r="E3356" s="7">
        <v>132.97</v>
      </c>
      <c r="F3356" t="str">
        <f>VLOOKUP(A3356,[1]!Table1[#All],17,FALSE)</f>
        <v>UNITED STATES</v>
      </c>
      <c r="G3356" t="str">
        <f>VLOOKUP(A3356,[1]!Table1[#All],22,FALSE)</f>
        <v>TX DEPT OF STATE HEALTH SERVICES</v>
      </c>
      <c r="H3356" s="8">
        <f>VLOOKUP(A3356,[1]!Table1[#All],32,FALSE)</f>
        <v>43678</v>
      </c>
      <c r="I3356" s="8">
        <f>VLOOKUP(A3356,[1]!Table1[#All],33,FALSE)</f>
        <v>45504</v>
      </c>
      <c r="J3356" t="str">
        <f t="shared" ca="1" si="56"/>
        <v>UDO</v>
      </c>
    </row>
    <row r="3357" spans="1:10" x14ac:dyDescent="0.35">
      <c r="A3357" s="9" t="s">
        <v>107</v>
      </c>
      <c r="B3357" s="10">
        <v>44866</v>
      </c>
      <c r="C3357" s="11">
        <v>8000</v>
      </c>
      <c r="D3357" s="11">
        <v>8000</v>
      </c>
      <c r="E3357" s="11">
        <v>0</v>
      </c>
      <c r="F3357" t="str">
        <f>VLOOKUP(A3357,[1]!Table1[#All],17,FALSE)</f>
        <v>UNITED STATES</v>
      </c>
      <c r="G3357" t="str">
        <f>VLOOKUP(A3357,[1]!Table1[#All],22,FALSE)</f>
        <v>TX DEPT OF STATE HEALTH SERVICES</v>
      </c>
      <c r="H3357" s="8">
        <f>VLOOKUP(A3357,[1]!Table1[#All],32,FALSE)</f>
        <v>43678</v>
      </c>
      <c r="I3357" s="8">
        <f>VLOOKUP(A3357,[1]!Table1[#All],33,FALSE)</f>
        <v>45504</v>
      </c>
      <c r="J3357" t="str">
        <f t="shared" ca="1" si="56"/>
        <v>Non UDO</v>
      </c>
    </row>
    <row r="3358" spans="1:10" x14ac:dyDescent="0.35">
      <c r="A3358" s="5" t="s">
        <v>107</v>
      </c>
      <c r="B3358" s="6">
        <v>44896</v>
      </c>
      <c r="C3358" s="7">
        <v>8000</v>
      </c>
      <c r="D3358" s="7">
        <v>8000</v>
      </c>
      <c r="E3358" s="7">
        <v>0</v>
      </c>
      <c r="F3358" t="str">
        <f>VLOOKUP(A3358,[1]!Table1[#All],17,FALSE)</f>
        <v>UNITED STATES</v>
      </c>
      <c r="G3358" t="str">
        <f>VLOOKUP(A3358,[1]!Table1[#All],22,FALSE)</f>
        <v>TX DEPT OF STATE HEALTH SERVICES</v>
      </c>
      <c r="H3358" s="8">
        <f>VLOOKUP(A3358,[1]!Table1[#All],32,FALSE)</f>
        <v>43678</v>
      </c>
      <c r="I3358" s="8">
        <f>VLOOKUP(A3358,[1]!Table1[#All],33,FALSE)</f>
        <v>45504</v>
      </c>
      <c r="J3358" t="str">
        <f t="shared" ca="1" si="56"/>
        <v>Non UDO</v>
      </c>
    </row>
    <row r="3359" spans="1:10" x14ac:dyDescent="0.35">
      <c r="A3359" s="9" t="s">
        <v>107</v>
      </c>
      <c r="B3359" s="10">
        <v>44927</v>
      </c>
      <c r="C3359" s="11">
        <v>8000</v>
      </c>
      <c r="D3359" s="11">
        <v>8000</v>
      </c>
      <c r="E3359" s="11">
        <v>0</v>
      </c>
      <c r="F3359" t="str">
        <f>VLOOKUP(A3359,[1]!Table1[#All],17,FALSE)</f>
        <v>UNITED STATES</v>
      </c>
      <c r="G3359" t="str">
        <f>VLOOKUP(A3359,[1]!Table1[#All],22,FALSE)</f>
        <v>TX DEPT OF STATE HEALTH SERVICES</v>
      </c>
      <c r="H3359" s="8">
        <f>VLOOKUP(A3359,[1]!Table1[#All],32,FALSE)</f>
        <v>43678</v>
      </c>
      <c r="I3359" s="8">
        <f>VLOOKUP(A3359,[1]!Table1[#All],33,FALSE)</f>
        <v>45504</v>
      </c>
      <c r="J3359" t="str">
        <f t="shared" ca="1" si="56"/>
        <v>Non UDO</v>
      </c>
    </row>
    <row r="3360" spans="1:10" x14ac:dyDescent="0.35">
      <c r="A3360" s="5" t="s">
        <v>107</v>
      </c>
      <c r="B3360" s="6">
        <v>44958</v>
      </c>
      <c r="C3360" s="7">
        <v>8000</v>
      </c>
      <c r="D3360" s="7">
        <v>8000</v>
      </c>
      <c r="E3360" s="7">
        <v>0</v>
      </c>
      <c r="F3360" t="str">
        <f>VLOOKUP(A3360,[1]!Table1[#All],17,FALSE)</f>
        <v>UNITED STATES</v>
      </c>
      <c r="G3360" t="str">
        <f>VLOOKUP(A3360,[1]!Table1[#All],22,FALSE)</f>
        <v>TX DEPT OF STATE HEALTH SERVICES</v>
      </c>
      <c r="H3360" s="8">
        <f>VLOOKUP(A3360,[1]!Table1[#All],32,FALSE)</f>
        <v>43678</v>
      </c>
      <c r="I3360" s="8">
        <f>VLOOKUP(A3360,[1]!Table1[#All],33,FALSE)</f>
        <v>45504</v>
      </c>
      <c r="J3360" t="str">
        <f t="shared" ca="1" si="56"/>
        <v>Non UDO</v>
      </c>
    </row>
    <row r="3361" spans="1:10" x14ac:dyDescent="0.35">
      <c r="A3361" s="9" t="s">
        <v>107</v>
      </c>
      <c r="B3361" s="10">
        <v>44986</v>
      </c>
      <c r="C3361" s="11">
        <v>8000</v>
      </c>
      <c r="D3361" s="11">
        <v>8000</v>
      </c>
      <c r="E3361" s="11">
        <v>0</v>
      </c>
      <c r="F3361" t="str">
        <f>VLOOKUP(A3361,[1]!Table1[#All],17,FALSE)</f>
        <v>UNITED STATES</v>
      </c>
      <c r="G3361" t="str">
        <f>VLOOKUP(A3361,[1]!Table1[#All],22,FALSE)</f>
        <v>TX DEPT OF STATE HEALTH SERVICES</v>
      </c>
      <c r="H3361" s="8">
        <f>VLOOKUP(A3361,[1]!Table1[#All],32,FALSE)</f>
        <v>43678</v>
      </c>
      <c r="I3361" s="8">
        <f>VLOOKUP(A3361,[1]!Table1[#All],33,FALSE)</f>
        <v>45504</v>
      </c>
      <c r="J3361" t="str">
        <f t="shared" ca="1" si="56"/>
        <v>Non UDO</v>
      </c>
    </row>
    <row r="3362" spans="1:10" x14ac:dyDescent="0.35">
      <c r="A3362" s="5" t="s">
        <v>107</v>
      </c>
      <c r="B3362" s="6">
        <v>45017</v>
      </c>
      <c r="C3362" s="7">
        <v>8000</v>
      </c>
      <c r="D3362" s="7">
        <v>8000</v>
      </c>
      <c r="E3362" s="7">
        <v>0</v>
      </c>
      <c r="F3362" t="str">
        <f>VLOOKUP(A3362,[1]!Table1[#All],17,FALSE)</f>
        <v>UNITED STATES</v>
      </c>
      <c r="G3362" t="str">
        <f>VLOOKUP(A3362,[1]!Table1[#All],22,FALSE)</f>
        <v>TX DEPT OF STATE HEALTH SERVICES</v>
      </c>
      <c r="H3362" s="8">
        <f>VLOOKUP(A3362,[1]!Table1[#All],32,FALSE)</f>
        <v>43678</v>
      </c>
      <c r="I3362" s="8">
        <f>VLOOKUP(A3362,[1]!Table1[#All],33,FALSE)</f>
        <v>45504</v>
      </c>
      <c r="J3362" t="str">
        <f t="shared" ca="1" si="56"/>
        <v>Non UDO</v>
      </c>
    </row>
    <row r="3363" spans="1:10" x14ac:dyDescent="0.35">
      <c r="A3363" s="9" t="s">
        <v>107</v>
      </c>
      <c r="B3363" s="10">
        <v>45047</v>
      </c>
      <c r="C3363" s="11">
        <v>8000</v>
      </c>
      <c r="D3363" s="11">
        <v>8000</v>
      </c>
      <c r="E3363" s="11">
        <v>0</v>
      </c>
      <c r="F3363" t="str">
        <f>VLOOKUP(A3363,[1]!Table1[#All],17,FALSE)</f>
        <v>UNITED STATES</v>
      </c>
      <c r="G3363" t="str">
        <f>VLOOKUP(A3363,[1]!Table1[#All],22,FALSE)</f>
        <v>TX DEPT OF STATE HEALTH SERVICES</v>
      </c>
      <c r="H3363" s="8">
        <f>VLOOKUP(A3363,[1]!Table1[#All],32,FALSE)</f>
        <v>43678</v>
      </c>
      <c r="I3363" s="8">
        <f>VLOOKUP(A3363,[1]!Table1[#All],33,FALSE)</f>
        <v>45504</v>
      </c>
      <c r="J3363" t="str">
        <f t="shared" ca="1" si="56"/>
        <v>Non UDO</v>
      </c>
    </row>
    <row r="3364" spans="1:10" x14ac:dyDescent="0.35">
      <c r="A3364" s="5" t="s">
        <v>107</v>
      </c>
      <c r="B3364" s="6">
        <v>45078</v>
      </c>
      <c r="C3364" s="7">
        <v>8000</v>
      </c>
      <c r="D3364" s="7">
        <v>8000</v>
      </c>
      <c r="E3364" s="7">
        <v>0</v>
      </c>
      <c r="F3364" t="str">
        <f>VLOOKUP(A3364,[1]!Table1[#All],17,FALSE)</f>
        <v>UNITED STATES</v>
      </c>
      <c r="G3364" t="str">
        <f>VLOOKUP(A3364,[1]!Table1[#All],22,FALSE)</f>
        <v>TX DEPT OF STATE HEALTH SERVICES</v>
      </c>
      <c r="H3364" s="8">
        <f>VLOOKUP(A3364,[1]!Table1[#All],32,FALSE)</f>
        <v>43678</v>
      </c>
      <c r="I3364" s="8">
        <f>VLOOKUP(A3364,[1]!Table1[#All],33,FALSE)</f>
        <v>45504</v>
      </c>
      <c r="J3364" t="str">
        <f t="shared" ca="1" si="56"/>
        <v>Non UDO</v>
      </c>
    </row>
    <row r="3365" spans="1:10" x14ac:dyDescent="0.35">
      <c r="A3365" s="9" t="s">
        <v>107</v>
      </c>
      <c r="B3365" s="10">
        <v>45108</v>
      </c>
      <c r="C3365" s="11">
        <v>8000</v>
      </c>
      <c r="D3365" s="11">
        <v>8000</v>
      </c>
      <c r="E3365" s="11">
        <v>0</v>
      </c>
      <c r="F3365" t="str">
        <f>VLOOKUP(A3365,[1]!Table1[#All],17,FALSE)</f>
        <v>UNITED STATES</v>
      </c>
      <c r="G3365" t="str">
        <f>VLOOKUP(A3365,[1]!Table1[#All],22,FALSE)</f>
        <v>TX DEPT OF STATE HEALTH SERVICES</v>
      </c>
      <c r="H3365" s="8">
        <f>VLOOKUP(A3365,[1]!Table1[#All],32,FALSE)</f>
        <v>43678</v>
      </c>
      <c r="I3365" s="8">
        <f>VLOOKUP(A3365,[1]!Table1[#All],33,FALSE)</f>
        <v>45504</v>
      </c>
      <c r="J3365" t="str">
        <f t="shared" ca="1" si="56"/>
        <v>Non UDO</v>
      </c>
    </row>
    <row r="3366" spans="1:10" x14ac:dyDescent="0.35">
      <c r="A3366" s="5" t="s">
        <v>107</v>
      </c>
      <c r="B3366" s="6">
        <v>45139</v>
      </c>
      <c r="C3366" s="7">
        <v>8000</v>
      </c>
      <c r="D3366" s="7">
        <v>8000</v>
      </c>
      <c r="E3366" s="7">
        <v>0</v>
      </c>
      <c r="F3366" t="str">
        <f>VLOOKUP(A3366,[1]!Table1[#All],17,FALSE)</f>
        <v>UNITED STATES</v>
      </c>
      <c r="G3366" t="str">
        <f>VLOOKUP(A3366,[1]!Table1[#All],22,FALSE)</f>
        <v>TX DEPT OF STATE HEALTH SERVICES</v>
      </c>
      <c r="H3366" s="8">
        <f>VLOOKUP(A3366,[1]!Table1[#All],32,FALSE)</f>
        <v>43678</v>
      </c>
      <c r="I3366" s="8">
        <f>VLOOKUP(A3366,[1]!Table1[#All],33,FALSE)</f>
        <v>45504</v>
      </c>
      <c r="J3366" t="str">
        <f t="shared" ca="1" si="56"/>
        <v>Non UDO</v>
      </c>
    </row>
    <row r="3367" spans="1:10" x14ac:dyDescent="0.35">
      <c r="A3367" s="9" t="s">
        <v>107</v>
      </c>
      <c r="B3367" s="10">
        <v>45170</v>
      </c>
      <c r="C3367" s="11">
        <v>8000</v>
      </c>
      <c r="D3367" s="11">
        <v>8000</v>
      </c>
      <c r="E3367" s="11">
        <v>0</v>
      </c>
      <c r="F3367" t="str">
        <f>VLOOKUP(A3367,[1]!Table1[#All],17,FALSE)</f>
        <v>UNITED STATES</v>
      </c>
      <c r="G3367" t="str">
        <f>VLOOKUP(A3367,[1]!Table1[#All],22,FALSE)</f>
        <v>TX DEPT OF STATE HEALTH SERVICES</v>
      </c>
      <c r="H3367" s="8">
        <f>VLOOKUP(A3367,[1]!Table1[#All],32,FALSE)</f>
        <v>43678</v>
      </c>
      <c r="I3367" s="8">
        <f>VLOOKUP(A3367,[1]!Table1[#All],33,FALSE)</f>
        <v>45504</v>
      </c>
      <c r="J3367" t="str">
        <f t="shared" ca="1" si="56"/>
        <v>Non UDO</v>
      </c>
    </row>
    <row r="3368" spans="1:10" x14ac:dyDescent="0.35">
      <c r="A3368" s="5" t="s">
        <v>108</v>
      </c>
      <c r="B3368" s="6">
        <v>44105</v>
      </c>
      <c r="C3368" s="7">
        <v>6000</v>
      </c>
      <c r="D3368" s="7">
        <v>0</v>
      </c>
      <c r="E3368" s="7">
        <v>6000</v>
      </c>
      <c r="F3368" t="str">
        <f>VLOOKUP(A3368,[1]!Table1[#All],17,FALSE)</f>
        <v>UNITED STATES</v>
      </c>
      <c r="G3368" t="str">
        <f>VLOOKUP(A3368,[1]!Table1[#All],22,FALSE)</f>
        <v>IA ST DEPARTMENT OF PUBLIC HEALTH</v>
      </c>
      <c r="H3368" s="8">
        <f>VLOOKUP(A3368,[1]!Table1[#All],32,FALSE)</f>
        <v>43678</v>
      </c>
      <c r="I3368" s="8">
        <f>VLOOKUP(A3368,[1]!Table1[#All],33,FALSE)</f>
        <v>45504</v>
      </c>
      <c r="J3368" t="str">
        <f t="shared" ca="1" si="56"/>
        <v>UDO</v>
      </c>
    </row>
    <row r="3369" spans="1:10" x14ac:dyDescent="0.35">
      <c r="A3369" s="9" t="s">
        <v>108</v>
      </c>
      <c r="B3369" s="10">
        <v>44136</v>
      </c>
      <c r="C3369" s="11">
        <v>6000</v>
      </c>
      <c r="D3369" s="11">
        <v>404.74</v>
      </c>
      <c r="E3369" s="11">
        <v>5595.26</v>
      </c>
      <c r="F3369" t="str">
        <f>VLOOKUP(A3369,[1]!Table1[#All],17,FALSE)</f>
        <v>UNITED STATES</v>
      </c>
      <c r="G3369" t="str">
        <f>VLOOKUP(A3369,[1]!Table1[#All],22,FALSE)</f>
        <v>IA ST DEPARTMENT OF PUBLIC HEALTH</v>
      </c>
      <c r="H3369" s="8">
        <f>VLOOKUP(A3369,[1]!Table1[#All],32,FALSE)</f>
        <v>43678</v>
      </c>
      <c r="I3369" s="8">
        <f>VLOOKUP(A3369,[1]!Table1[#All],33,FALSE)</f>
        <v>45504</v>
      </c>
      <c r="J3369" t="str">
        <f t="shared" ca="1" si="56"/>
        <v>UDO</v>
      </c>
    </row>
    <row r="3370" spans="1:10" x14ac:dyDescent="0.35">
      <c r="A3370" s="5" t="s">
        <v>108</v>
      </c>
      <c r="B3370" s="6">
        <v>44166</v>
      </c>
      <c r="C3370" s="7">
        <v>6000</v>
      </c>
      <c r="D3370" s="7">
        <v>832.02</v>
      </c>
      <c r="E3370" s="7">
        <v>5167.9799999999996</v>
      </c>
      <c r="F3370" t="str">
        <f>VLOOKUP(A3370,[1]!Table1[#All],17,FALSE)</f>
        <v>UNITED STATES</v>
      </c>
      <c r="G3370" t="str">
        <f>VLOOKUP(A3370,[1]!Table1[#All],22,FALSE)</f>
        <v>IA ST DEPARTMENT OF PUBLIC HEALTH</v>
      </c>
      <c r="H3370" s="8">
        <f>VLOOKUP(A3370,[1]!Table1[#All],32,FALSE)</f>
        <v>43678</v>
      </c>
      <c r="I3370" s="8">
        <f>VLOOKUP(A3370,[1]!Table1[#All],33,FALSE)</f>
        <v>45504</v>
      </c>
      <c r="J3370" t="str">
        <f t="shared" ca="1" si="56"/>
        <v>UDO</v>
      </c>
    </row>
    <row r="3371" spans="1:10" x14ac:dyDescent="0.35">
      <c r="A3371" s="9" t="s">
        <v>108</v>
      </c>
      <c r="B3371" s="10">
        <v>44197</v>
      </c>
      <c r="C3371" s="11">
        <v>6000</v>
      </c>
      <c r="D3371" s="11">
        <v>938.59</v>
      </c>
      <c r="E3371" s="11">
        <v>5061.41</v>
      </c>
      <c r="F3371" t="str">
        <f>VLOOKUP(A3371,[1]!Table1[#All],17,FALSE)</f>
        <v>UNITED STATES</v>
      </c>
      <c r="G3371" t="str">
        <f>VLOOKUP(A3371,[1]!Table1[#All],22,FALSE)</f>
        <v>IA ST DEPARTMENT OF PUBLIC HEALTH</v>
      </c>
      <c r="H3371" s="8">
        <f>VLOOKUP(A3371,[1]!Table1[#All],32,FALSE)</f>
        <v>43678</v>
      </c>
      <c r="I3371" s="8">
        <f>VLOOKUP(A3371,[1]!Table1[#All],33,FALSE)</f>
        <v>45504</v>
      </c>
      <c r="J3371" t="str">
        <f t="shared" ca="1" si="56"/>
        <v>UDO</v>
      </c>
    </row>
    <row r="3372" spans="1:10" x14ac:dyDescent="0.35">
      <c r="A3372" s="5" t="s">
        <v>108</v>
      </c>
      <c r="B3372" s="6">
        <v>44228</v>
      </c>
      <c r="C3372" s="7">
        <v>6000</v>
      </c>
      <c r="D3372" s="7">
        <v>1731.67</v>
      </c>
      <c r="E3372" s="7">
        <v>4268.33</v>
      </c>
      <c r="F3372" t="str">
        <f>VLOOKUP(A3372,[1]!Table1[#All],17,FALSE)</f>
        <v>UNITED STATES</v>
      </c>
      <c r="G3372" t="str">
        <f>VLOOKUP(A3372,[1]!Table1[#All],22,FALSE)</f>
        <v>IA ST DEPARTMENT OF PUBLIC HEALTH</v>
      </c>
      <c r="H3372" s="8">
        <f>VLOOKUP(A3372,[1]!Table1[#All],32,FALSE)</f>
        <v>43678</v>
      </c>
      <c r="I3372" s="8">
        <f>VLOOKUP(A3372,[1]!Table1[#All],33,FALSE)</f>
        <v>45504</v>
      </c>
      <c r="J3372" t="str">
        <f t="shared" ca="1" si="56"/>
        <v>UDO</v>
      </c>
    </row>
    <row r="3373" spans="1:10" x14ac:dyDescent="0.35">
      <c r="A3373" s="9" t="s">
        <v>108</v>
      </c>
      <c r="B3373" s="10">
        <v>44256</v>
      </c>
      <c r="C3373" s="11">
        <v>6000</v>
      </c>
      <c r="D3373" s="11">
        <v>1750.25</v>
      </c>
      <c r="E3373" s="11">
        <v>4249.75</v>
      </c>
      <c r="F3373" t="str">
        <f>VLOOKUP(A3373,[1]!Table1[#All],17,FALSE)</f>
        <v>UNITED STATES</v>
      </c>
      <c r="G3373" t="str">
        <f>VLOOKUP(A3373,[1]!Table1[#All],22,FALSE)</f>
        <v>IA ST DEPARTMENT OF PUBLIC HEALTH</v>
      </c>
      <c r="H3373" s="8">
        <f>VLOOKUP(A3373,[1]!Table1[#All],32,FALSE)</f>
        <v>43678</v>
      </c>
      <c r="I3373" s="8">
        <f>VLOOKUP(A3373,[1]!Table1[#All],33,FALSE)</f>
        <v>45504</v>
      </c>
      <c r="J3373" t="str">
        <f t="shared" ca="1" si="56"/>
        <v>UDO</v>
      </c>
    </row>
    <row r="3374" spans="1:10" x14ac:dyDescent="0.35">
      <c r="A3374" s="5" t="s">
        <v>108</v>
      </c>
      <c r="B3374" s="6">
        <v>44317</v>
      </c>
      <c r="C3374" s="7">
        <v>6000</v>
      </c>
      <c r="D3374" s="7">
        <v>2375.12</v>
      </c>
      <c r="E3374" s="7">
        <v>3624.88</v>
      </c>
      <c r="F3374" t="str">
        <f>VLOOKUP(A3374,[1]!Table1[#All],17,FALSE)</f>
        <v>UNITED STATES</v>
      </c>
      <c r="G3374" t="str">
        <f>VLOOKUP(A3374,[1]!Table1[#All],22,FALSE)</f>
        <v>IA ST DEPARTMENT OF PUBLIC HEALTH</v>
      </c>
      <c r="H3374" s="8">
        <f>VLOOKUP(A3374,[1]!Table1[#All],32,FALSE)</f>
        <v>43678</v>
      </c>
      <c r="I3374" s="8">
        <f>VLOOKUP(A3374,[1]!Table1[#All],33,FALSE)</f>
        <v>45504</v>
      </c>
      <c r="J3374" t="str">
        <f t="shared" ca="1" si="56"/>
        <v>UDO</v>
      </c>
    </row>
    <row r="3375" spans="1:10" x14ac:dyDescent="0.35">
      <c r="A3375" s="9" t="s">
        <v>108</v>
      </c>
      <c r="B3375" s="10">
        <v>44348</v>
      </c>
      <c r="C3375" s="11">
        <v>6000</v>
      </c>
      <c r="D3375" s="11">
        <v>2624.73</v>
      </c>
      <c r="E3375" s="11">
        <v>3375.27</v>
      </c>
      <c r="F3375" t="str">
        <f>VLOOKUP(A3375,[1]!Table1[#All],17,FALSE)</f>
        <v>UNITED STATES</v>
      </c>
      <c r="G3375" t="str">
        <f>VLOOKUP(A3375,[1]!Table1[#All],22,FALSE)</f>
        <v>IA ST DEPARTMENT OF PUBLIC HEALTH</v>
      </c>
      <c r="H3375" s="8">
        <f>VLOOKUP(A3375,[1]!Table1[#All],32,FALSE)</f>
        <v>43678</v>
      </c>
      <c r="I3375" s="8">
        <f>VLOOKUP(A3375,[1]!Table1[#All],33,FALSE)</f>
        <v>45504</v>
      </c>
      <c r="J3375" t="str">
        <f t="shared" ca="1" si="56"/>
        <v>UDO</v>
      </c>
    </row>
    <row r="3376" spans="1:10" x14ac:dyDescent="0.35">
      <c r="A3376" s="5" t="s">
        <v>108</v>
      </c>
      <c r="B3376" s="6">
        <v>44378</v>
      </c>
      <c r="C3376" s="7">
        <v>6000</v>
      </c>
      <c r="D3376" s="7">
        <v>3125.6</v>
      </c>
      <c r="E3376" s="7">
        <v>2874.4</v>
      </c>
      <c r="F3376" t="str">
        <f>VLOOKUP(A3376,[1]!Table1[#All],17,FALSE)</f>
        <v>UNITED STATES</v>
      </c>
      <c r="G3376" t="str">
        <f>VLOOKUP(A3376,[1]!Table1[#All],22,FALSE)</f>
        <v>IA ST DEPARTMENT OF PUBLIC HEALTH</v>
      </c>
      <c r="H3376" s="8">
        <f>VLOOKUP(A3376,[1]!Table1[#All],32,FALSE)</f>
        <v>43678</v>
      </c>
      <c r="I3376" s="8">
        <f>VLOOKUP(A3376,[1]!Table1[#All],33,FALSE)</f>
        <v>45504</v>
      </c>
      <c r="J3376" t="str">
        <f t="shared" ca="1" si="56"/>
        <v>UDO</v>
      </c>
    </row>
    <row r="3377" spans="1:10" x14ac:dyDescent="0.35">
      <c r="A3377" s="9" t="s">
        <v>108</v>
      </c>
      <c r="B3377" s="10">
        <v>44409</v>
      </c>
      <c r="C3377" s="11">
        <v>6000</v>
      </c>
      <c r="D3377" s="11">
        <v>2754.45</v>
      </c>
      <c r="E3377" s="11">
        <v>3245.55</v>
      </c>
      <c r="F3377" t="str">
        <f>VLOOKUP(A3377,[1]!Table1[#All],17,FALSE)</f>
        <v>UNITED STATES</v>
      </c>
      <c r="G3377" t="str">
        <f>VLOOKUP(A3377,[1]!Table1[#All],22,FALSE)</f>
        <v>IA ST DEPARTMENT OF PUBLIC HEALTH</v>
      </c>
      <c r="H3377" s="8">
        <f>VLOOKUP(A3377,[1]!Table1[#All],32,FALSE)</f>
        <v>43678</v>
      </c>
      <c r="I3377" s="8">
        <f>VLOOKUP(A3377,[1]!Table1[#All],33,FALSE)</f>
        <v>45504</v>
      </c>
      <c r="J3377" t="str">
        <f t="shared" ca="1" si="56"/>
        <v>UDO</v>
      </c>
    </row>
    <row r="3378" spans="1:10" x14ac:dyDescent="0.35">
      <c r="A3378" s="5" t="s">
        <v>108</v>
      </c>
      <c r="B3378" s="6">
        <v>44440</v>
      </c>
      <c r="C3378" s="7">
        <v>6000</v>
      </c>
      <c r="D3378" s="7">
        <v>2974.19</v>
      </c>
      <c r="E3378" s="7">
        <v>3025.81</v>
      </c>
      <c r="F3378" t="str">
        <f>VLOOKUP(A3378,[1]!Table1[#All],17,FALSE)</f>
        <v>UNITED STATES</v>
      </c>
      <c r="G3378" t="str">
        <f>VLOOKUP(A3378,[1]!Table1[#All],22,FALSE)</f>
        <v>IA ST DEPARTMENT OF PUBLIC HEALTH</v>
      </c>
      <c r="H3378" s="8">
        <f>VLOOKUP(A3378,[1]!Table1[#All],32,FALSE)</f>
        <v>43678</v>
      </c>
      <c r="I3378" s="8">
        <f>VLOOKUP(A3378,[1]!Table1[#All],33,FALSE)</f>
        <v>45504</v>
      </c>
      <c r="J3378" t="str">
        <f t="shared" ca="1" si="56"/>
        <v>UDO</v>
      </c>
    </row>
    <row r="3379" spans="1:10" x14ac:dyDescent="0.35">
      <c r="A3379" s="9" t="s">
        <v>108</v>
      </c>
      <c r="B3379" s="10">
        <v>44470</v>
      </c>
      <c r="C3379" s="11">
        <v>6000</v>
      </c>
      <c r="D3379" s="11">
        <v>2819.65</v>
      </c>
      <c r="E3379" s="11">
        <v>3180.35</v>
      </c>
      <c r="F3379" t="str">
        <f>VLOOKUP(A3379,[1]!Table1[#All],17,FALSE)</f>
        <v>UNITED STATES</v>
      </c>
      <c r="G3379" t="str">
        <f>VLOOKUP(A3379,[1]!Table1[#All],22,FALSE)</f>
        <v>IA ST DEPARTMENT OF PUBLIC HEALTH</v>
      </c>
      <c r="H3379" s="8">
        <f>VLOOKUP(A3379,[1]!Table1[#All],32,FALSE)</f>
        <v>43678</v>
      </c>
      <c r="I3379" s="8">
        <f>VLOOKUP(A3379,[1]!Table1[#All],33,FALSE)</f>
        <v>45504</v>
      </c>
      <c r="J3379" t="str">
        <f t="shared" ca="1" si="56"/>
        <v>UDO</v>
      </c>
    </row>
    <row r="3380" spans="1:10" x14ac:dyDescent="0.35">
      <c r="A3380" s="5" t="s">
        <v>108</v>
      </c>
      <c r="B3380" s="6">
        <v>44501</v>
      </c>
      <c r="C3380" s="7">
        <v>6000</v>
      </c>
      <c r="D3380" s="7">
        <v>2861.87</v>
      </c>
      <c r="E3380" s="7">
        <v>3138.13</v>
      </c>
      <c r="F3380" t="str">
        <f>VLOOKUP(A3380,[1]!Table1[#All],17,FALSE)</f>
        <v>UNITED STATES</v>
      </c>
      <c r="G3380" t="str">
        <f>VLOOKUP(A3380,[1]!Table1[#All],22,FALSE)</f>
        <v>IA ST DEPARTMENT OF PUBLIC HEALTH</v>
      </c>
      <c r="H3380" s="8">
        <f>VLOOKUP(A3380,[1]!Table1[#All],32,FALSE)</f>
        <v>43678</v>
      </c>
      <c r="I3380" s="8">
        <f>VLOOKUP(A3380,[1]!Table1[#All],33,FALSE)</f>
        <v>45504</v>
      </c>
      <c r="J3380" t="str">
        <f t="shared" ca="1" si="56"/>
        <v>UDO</v>
      </c>
    </row>
    <row r="3381" spans="1:10" x14ac:dyDescent="0.35">
      <c r="A3381" s="9" t="s">
        <v>108</v>
      </c>
      <c r="B3381" s="10">
        <v>44531</v>
      </c>
      <c r="C3381" s="11">
        <v>6000</v>
      </c>
      <c r="D3381" s="11">
        <v>2916.08</v>
      </c>
      <c r="E3381" s="11">
        <v>3083.92</v>
      </c>
      <c r="F3381" t="str">
        <f>VLOOKUP(A3381,[1]!Table1[#All],17,FALSE)</f>
        <v>UNITED STATES</v>
      </c>
      <c r="G3381" t="str">
        <f>VLOOKUP(A3381,[1]!Table1[#All],22,FALSE)</f>
        <v>IA ST DEPARTMENT OF PUBLIC HEALTH</v>
      </c>
      <c r="H3381" s="8">
        <f>VLOOKUP(A3381,[1]!Table1[#All],32,FALSE)</f>
        <v>43678</v>
      </c>
      <c r="I3381" s="8">
        <f>VLOOKUP(A3381,[1]!Table1[#All],33,FALSE)</f>
        <v>45504</v>
      </c>
      <c r="J3381" t="str">
        <f t="shared" ca="1" si="56"/>
        <v>UDO</v>
      </c>
    </row>
    <row r="3382" spans="1:10" x14ac:dyDescent="0.35">
      <c r="A3382" s="5" t="s">
        <v>108</v>
      </c>
      <c r="B3382" s="6">
        <v>44562</v>
      </c>
      <c r="C3382" s="7">
        <v>6000</v>
      </c>
      <c r="D3382" s="7">
        <v>3041.17</v>
      </c>
      <c r="E3382" s="7">
        <v>2958.83</v>
      </c>
      <c r="F3382" t="str">
        <f>VLOOKUP(A3382,[1]!Table1[#All],17,FALSE)</f>
        <v>UNITED STATES</v>
      </c>
      <c r="G3382" t="str">
        <f>VLOOKUP(A3382,[1]!Table1[#All],22,FALSE)</f>
        <v>IA ST DEPARTMENT OF PUBLIC HEALTH</v>
      </c>
      <c r="H3382" s="8">
        <f>VLOOKUP(A3382,[1]!Table1[#All],32,FALSE)</f>
        <v>43678</v>
      </c>
      <c r="I3382" s="8">
        <f>VLOOKUP(A3382,[1]!Table1[#All],33,FALSE)</f>
        <v>45504</v>
      </c>
      <c r="J3382" t="str">
        <f t="shared" ca="1" si="56"/>
        <v>UDO</v>
      </c>
    </row>
    <row r="3383" spans="1:10" x14ac:dyDescent="0.35">
      <c r="A3383" s="9" t="s">
        <v>108</v>
      </c>
      <c r="B3383" s="10">
        <v>44593</v>
      </c>
      <c r="C3383" s="11">
        <v>6000</v>
      </c>
      <c r="D3383" s="11">
        <v>3080.18</v>
      </c>
      <c r="E3383" s="11">
        <v>2919.82</v>
      </c>
      <c r="F3383" t="str">
        <f>VLOOKUP(A3383,[1]!Table1[#All],17,FALSE)</f>
        <v>UNITED STATES</v>
      </c>
      <c r="G3383" t="str">
        <f>VLOOKUP(A3383,[1]!Table1[#All],22,FALSE)</f>
        <v>IA ST DEPARTMENT OF PUBLIC HEALTH</v>
      </c>
      <c r="H3383" s="8">
        <f>VLOOKUP(A3383,[1]!Table1[#All],32,FALSE)</f>
        <v>43678</v>
      </c>
      <c r="I3383" s="8">
        <f>VLOOKUP(A3383,[1]!Table1[#All],33,FALSE)</f>
        <v>45504</v>
      </c>
      <c r="J3383" t="str">
        <f t="shared" ca="1" si="56"/>
        <v>UDO</v>
      </c>
    </row>
    <row r="3384" spans="1:10" x14ac:dyDescent="0.35">
      <c r="A3384" s="5" t="s">
        <v>108</v>
      </c>
      <c r="B3384" s="6">
        <v>44621</v>
      </c>
      <c r="C3384" s="7">
        <v>6000</v>
      </c>
      <c r="D3384" s="7">
        <v>4087.59</v>
      </c>
      <c r="E3384" s="7">
        <v>1912.41</v>
      </c>
      <c r="F3384" t="str">
        <f>VLOOKUP(A3384,[1]!Table1[#All],17,FALSE)</f>
        <v>UNITED STATES</v>
      </c>
      <c r="G3384" t="str">
        <f>VLOOKUP(A3384,[1]!Table1[#All],22,FALSE)</f>
        <v>IA ST DEPARTMENT OF PUBLIC HEALTH</v>
      </c>
      <c r="H3384" s="8">
        <f>VLOOKUP(A3384,[1]!Table1[#All],32,FALSE)</f>
        <v>43678</v>
      </c>
      <c r="I3384" s="8">
        <f>VLOOKUP(A3384,[1]!Table1[#All],33,FALSE)</f>
        <v>45504</v>
      </c>
      <c r="J3384" t="str">
        <f t="shared" ca="1" si="56"/>
        <v>UDO</v>
      </c>
    </row>
    <row r="3385" spans="1:10" x14ac:dyDescent="0.35">
      <c r="A3385" s="9" t="s">
        <v>108</v>
      </c>
      <c r="B3385" s="10">
        <v>44652</v>
      </c>
      <c r="C3385" s="11">
        <v>6000</v>
      </c>
      <c r="D3385" s="11">
        <v>4103.12</v>
      </c>
      <c r="E3385" s="11">
        <v>1896.88</v>
      </c>
      <c r="F3385" t="str">
        <f>VLOOKUP(A3385,[1]!Table1[#All],17,FALSE)</f>
        <v>UNITED STATES</v>
      </c>
      <c r="G3385" t="str">
        <f>VLOOKUP(A3385,[1]!Table1[#All],22,FALSE)</f>
        <v>IA ST DEPARTMENT OF PUBLIC HEALTH</v>
      </c>
      <c r="H3385" s="8">
        <f>VLOOKUP(A3385,[1]!Table1[#All],32,FALSE)</f>
        <v>43678</v>
      </c>
      <c r="I3385" s="8">
        <f>VLOOKUP(A3385,[1]!Table1[#All],33,FALSE)</f>
        <v>45504</v>
      </c>
      <c r="J3385" t="str">
        <f t="shared" ca="1" si="56"/>
        <v>UDO</v>
      </c>
    </row>
    <row r="3386" spans="1:10" x14ac:dyDescent="0.35">
      <c r="A3386" s="5" t="s">
        <v>108</v>
      </c>
      <c r="B3386" s="6">
        <v>44682</v>
      </c>
      <c r="C3386" s="7">
        <v>6000</v>
      </c>
      <c r="D3386" s="7">
        <v>4704.3599999999997</v>
      </c>
      <c r="E3386" s="7">
        <v>1295.6400000000001</v>
      </c>
      <c r="F3386" t="str">
        <f>VLOOKUP(A3386,[1]!Table1[#All],17,FALSE)</f>
        <v>UNITED STATES</v>
      </c>
      <c r="G3386" t="str">
        <f>VLOOKUP(A3386,[1]!Table1[#All],22,FALSE)</f>
        <v>IA ST DEPARTMENT OF PUBLIC HEALTH</v>
      </c>
      <c r="H3386" s="8">
        <f>VLOOKUP(A3386,[1]!Table1[#All],32,FALSE)</f>
        <v>43678</v>
      </c>
      <c r="I3386" s="8">
        <f>VLOOKUP(A3386,[1]!Table1[#All],33,FALSE)</f>
        <v>45504</v>
      </c>
      <c r="J3386" t="str">
        <f t="shared" ca="1" si="56"/>
        <v>UDO</v>
      </c>
    </row>
    <row r="3387" spans="1:10" x14ac:dyDescent="0.35">
      <c r="A3387" s="9" t="s">
        <v>108</v>
      </c>
      <c r="B3387" s="10">
        <v>44713</v>
      </c>
      <c r="C3387" s="11">
        <v>6000</v>
      </c>
      <c r="D3387" s="11">
        <v>5114.24</v>
      </c>
      <c r="E3387" s="11">
        <v>885.76</v>
      </c>
      <c r="F3387" t="str">
        <f>VLOOKUP(A3387,[1]!Table1[#All],17,FALSE)</f>
        <v>UNITED STATES</v>
      </c>
      <c r="G3387" t="str">
        <f>VLOOKUP(A3387,[1]!Table1[#All],22,FALSE)</f>
        <v>IA ST DEPARTMENT OF PUBLIC HEALTH</v>
      </c>
      <c r="H3387" s="8">
        <f>VLOOKUP(A3387,[1]!Table1[#All],32,FALSE)</f>
        <v>43678</v>
      </c>
      <c r="I3387" s="8">
        <f>VLOOKUP(A3387,[1]!Table1[#All],33,FALSE)</f>
        <v>45504</v>
      </c>
      <c r="J3387" t="str">
        <f t="shared" ca="1" si="56"/>
        <v>UDO</v>
      </c>
    </row>
    <row r="3388" spans="1:10" x14ac:dyDescent="0.35">
      <c r="A3388" s="5" t="s">
        <v>108</v>
      </c>
      <c r="B3388" s="6">
        <v>44743</v>
      </c>
      <c r="C3388" s="7">
        <v>6000</v>
      </c>
      <c r="D3388" s="7">
        <v>5130.12</v>
      </c>
      <c r="E3388" s="7">
        <v>869.88</v>
      </c>
      <c r="F3388" t="str">
        <f>VLOOKUP(A3388,[1]!Table1[#All],17,FALSE)</f>
        <v>UNITED STATES</v>
      </c>
      <c r="G3388" t="str">
        <f>VLOOKUP(A3388,[1]!Table1[#All],22,FALSE)</f>
        <v>IA ST DEPARTMENT OF PUBLIC HEALTH</v>
      </c>
      <c r="H3388" s="8">
        <f>VLOOKUP(A3388,[1]!Table1[#All],32,FALSE)</f>
        <v>43678</v>
      </c>
      <c r="I3388" s="8">
        <f>VLOOKUP(A3388,[1]!Table1[#All],33,FALSE)</f>
        <v>45504</v>
      </c>
      <c r="J3388" t="str">
        <f t="shared" ca="1" si="56"/>
        <v>UDO</v>
      </c>
    </row>
    <row r="3389" spans="1:10" x14ac:dyDescent="0.35">
      <c r="A3389" s="9" t="s">
        <v>108</v>
      </c>
      <c r="B3389" s="10">
        <v>44774</v>
      </c>
      <c r="C3389" s="11">
        <v>6000</v>
      </c>
      <c r="D3389" s="11">
        <v>5447.79</v>
      </c>
      <c r="E3389" s="11">
        <v>552.21</v>
      </c>
      <c r="F3389" t="str">
        <f>VLOOKUP(A3389,[1]!Table1[#All],17,FALSE)</f>
        <v>UNITED STATES</v>
      </c>
      <c r="G3389" t="str">
        <f>VLOOKUP(A3389,[1]!Table1[#All],22,FALSE)</f>
        <v>IA ST DEPARTMENT OF PUBLIC HEALTH</v>
      </c>
      <c r="H3389" s="8">
        <f>VLOOKUP(A3389,[1]!Table1[#All],32,FALSE)</f>
        <v>43678</v>
      </c>
      <c r="I3389" s="8">
        <f>VLOOKUP(A3389,[1]!Table1[#All],33,FALSE)</f>
        <v>45504</v>
      </c>
      <c r="J3389" t="str">
        <f t="shared" ca="1" si="56"/>
        <v>UDO</v>
      </c>
    </row>
    <row r="3390" spans="1:10" x14ac:dyDescent="0.35">
      <c r="A3390" s="5" t="s">
        <v>108</v>
      </c>
      <c r="B3390" s="6">
        <v>44805</v>
      </c>
      <c r="C3390" s="7">
        <v>6000</v>
      </c>
      <c r="D3390" s="7">
        <v>5492.92</v>
      </c>
      <c r="E3390" s="7">
        <v>507.08</v>
      </c>
      <c r="F3390" t="str">
        <f>VLOOKUP(A3390,[1]!Table1[#All],17,FALSE)</f>
        <v>UNITED STATES</v>
      </c>
      <c r="G3390" t="str">
        <f>VLOOKUP(A3390,[1]!Table1[#All],22,FALSE)</f>
        <v>IA ST DEPARTMENT OF PUBLIC HEALTH</v>
      </c>
      <c r="H3390" s="8">
        <f>VLOOKUP(A3390,[1]!Table1[#All],32,FALSE)</f>
        <v>43678</v>
      </c>
      <c r="I3390" s="8">
        <f>VLOOKUP(A3390,[1]!Table1[#All],33,FALSE)</f>
        <v>45504</v>
      </c>
      <c r="J3390" t="str">
        <f t="shared" ca="1" si="56"/>
        <v>UDO</v>
      </c>
    </row>
    <row r="3391" spans="1:10" x14ac:dyDescent="0.35">
      <c r="A3391" s="9" t="s">
        <v>108</v>
      </c>
      <c r="B3391" s="10">
        <v>44835</v>
      </c>
      <c r="C3391" s="11">
        <v>6000</v>
      </c>
      <c r="D3391" s="11">
        <v>5896.78</v>
      </c>
      <c r="E3391" s="11">
        <v>103.22</v>
      </c>
      <c r="F3391" t="str">
        <f>VLOOKUP(A3391,[1]!Table1[#All],17,FALSE)</f>
        <v>UNITED STATES</v>
      </c>
      <c r="G3391" t="str">
        <f>VLOOKUP(A3391,[1]!Table1[#All],22,FALSE)</f>
        <v>IA ST DEPARTMENT OF PUBLIC HEALTH</v>
      </c>
      <c r="H3391" s="8">
        <f>VLOOKUP(A3391,[1]!Table1[#All],32,FALSE)</f>
        <v>43678</v>
      </c>
      <c r="I3391" s="8">
        <f>VLOOKUP(A3391,[1]!Table1[#All],33,FALSE)</f>
        <v>45504</v>
      </c>
      <c r="J3391" t="str">
        <f t="shared" ca="1" si="56"/>
        <v>UDO</v>
      </c>
    </row>
    <row r="3392" spans="1:10" x14ac:dyDescent="0.35">
      <c r="A3392" s="5" t="s">
        <v>108</v>
      </c>
      <c r="B3392" s="6">
        <v>44866</v>
      </c>
      <c r="C3392" s="7">
        <v>6000</v>
      </c>
      <c r="D3392" s="7">
        <v>6000</v>
      </c>
      <c r="E3392" s="7">
        <v>0</v>
      </c>
      <c r="F3392" t="str">
        <f>VLOOKUP(A3392,[1]!Table1[#All],17,FALSE)</f>
        <v>UNITED STATES</v>
      </c>
      <c r="G3392" t="str">
        <f>VLOOKUP(A3392,[1]!Table1[#All],22,FALSE)</f>
        <v>IA ST DEPARTMENT OF PUBLIC HEALTH</v>
      </c>
      <c r="H3392" s="8">
        <f>VLOOKUP(A3392,[1]!Table1[#All],32,FALSE)</f>
        <v>43678</v>
      </c>
      <c r="I3392" s="8">
        <f>VLOOKUP(A3392,[1]!Table1[#All],33,FALSE)</f>
        <v>45504</v>
      </c>
      <c r="J3392" t="str">
        <f t="shared" ca="1" si="56"/>
        <v>Non UDO</v>
      </c>
    </row>
    <row r="3393" spans="1:10" x14ac:dyDescent="0.35">
      <c r="A3393" s="9" t="s">
        <v>108</v>
      </c>
      <c r="B3393" s="10">
        <v>44896</v>
      </c>
      <c r="C3393" s="11">
        <v>6000</v>
      </c>
      <c r="D3393" s="11">
        <v>6000</v>
      </c>
      <c r="E3393" s="11">
        <v>0</v>
      </c>
      <c r="F3393" t="str">
        <f>VLOOKUP(A3393,[1]!Table1[#All],17,FALSE)</f>
        <v>UNITED STATES</v>
      </c>
      <c r="G3393" t="str">
        <f>VLOOKUP(A3393,[1]!Table1[#All],22,FALSE)</f>
        <v>IA ST DEPARTMENT OF PUBLIC HEALTH</v>
      </c>
      <c r="H3393" s="8">
        <f>VLOOKUP(A3393,[1]!Table1[#All],32,FALSE)</f>
        <v>43678</v>
      </c>
      <c r="I3393" s="8">
        <f>VLOOKUP(A3393,[1]!Table1[#All],33,FALSE)</f>
        <v>45504</v>
      </c>
      <c r="J3393" t="str">
        <f t="shared" ca="1" si="56"/>
        <v>Non UDO</v>
      </c>
    </row>
    <row r="3394" spans="1:10" x14ac:dyDescent="0.35">
      <c r="A3394" s="5" t="s">
        <v>108</v>
      </c>
      <c r="B3394" s="6">
        <v>44927</v>
      </c>
      <c r="C3394" s="7">
        <v>6000</v>
      </c>
      <c r="D3394" s="7">
        <v>6000</v>
      </c>
      <c r="E3394" s="7">
        <v>0</v>
      </c>
      <c r="F3394" t="str">
        <f>VLOOKUP(A3394,[1]!Table1[#All],17,FALSE)</f>
        <v>UNITED STATES</v>
      </c>
      <c r="G3394" t="str">
        <f>VLOOKUP(A3394,[1]!Table1[#All],22,FALSE)</f>
        <v>IA ST DEPARTMENT OF PUBLIC HEALTH</v>
      </c>
      <c r="H3394" s="8">
        <f>VLOOKUP(A3394,[1]!Table1[#All],32,FALSE)</f>
        <v>43678</v>
      </c>
      <c r="I3394" s="8">
        <f>VLOOKUP(A3394,[1]!Table1[#All],33,FALSE)</f>
        <v>45504</v>
      </c>
      <c r="J3394" t="str">
        <f t="shared" ca="1" si="56"/>
        <v>Non UDO</v>
      </c>
    </row>
    <row r="3395" spans="1:10" x14ac:dyDescent="0.35">
      <c r="A3395" s="9" t="s">
        <v>108</v>
      </c>
      <c r="B3395" s="10">
        <v>44958</v>
      </c>
      <c r="C3395" s="11">
        <v>6000</v>
      </c>
      <c r="D3395" s="11">
        <v>6000</v>
      </c>
      <c r="E3395" s="11">
        <v>0</v>
      </c>
      <c r="F3395" t="str">
        <f>VLOOKUP(A3395,[1]!Table1[#All],17,FALSE)</f>
        <v>UNITED STATES</v>
      </c>
      <c r="G3395" t="str">
        <f>VLOOKUP(A3395,[1]!Table1[#All],22,FALSE)</f>
        <v>IA ST DEPARTMENT OF PUBLIC HEALTH</v>
      </c>
      <c r="H3395" s="8">
        <f>VLOOKUP(A3395,[1]!Table1[#All],32,FALSE)</f>
        <v>43678</v>
      </c>
      <c r="I3395" s="8">
        <f>VLOOKUP(A3395,[1]!Table1[#All],33,FALSE)</f>
        <v>45504</v>
      </c>
      <c r="J3395" t="str">
        <f t="shared" ref="J3395:J3458" ca="1" si="57">IF(AND( E3395&gt;0,TODAY()&gt;I3395),"UDO","Non UDO")</f>
        <v>Non UDO</v>
      </c>
    </row>
    <row r="3396" spans="1:10" x14ac:dyDescent="0.35">
      <c r="A3396" s="5" t="s">
        <v>108</v>
      </c>
      <c r="B3396" s="6">
        <v>44986</v>
      </c>
      <c r="C3396" s="7">
        <v>6000</v>
      </c>
      <c r="D3396" s="7">
        <v>6000</v>
      </c>
      <c r="E3396" s="7">
        <v>0</v>
      </c>
      <c r="F3396" t="str">
        <f>VLOOKUP(A3396,[1]!Table1[#All],17,FALSE)</f>
        <v>UNITED STATES</v>
      </c>
      <c r="G3396" t="str">
        <f>VLOOKUP(A3396,[1]!Table1[#All],22,FALSE)</f>
        <v>IA ST DEPARTMENT OF PUBLIC HEALTH</v>
      </c>
      <c r="H3396" s="8">
        <f>VLOOKUP(A3396,[1]!Table1[#All],32,FALSE)</f>
        <v>43678</v>
      </c>
      <c r="I3396" s="8">
        <f>VLOOKUP(A3396,[1]!Table1[#All],33,FALSE)</f>
        <v>45504</v>
      </c>
      <c r="J3396" t="str">
        <f t="shared" ca="1" si="57"/>
        <v>Non UDO</v>
      </c>
    </row>
    <row r="3397" spans="1:10" x14ac:dyDescent="0.35">
      <c r="A3397" s="9" t="s">
        <v>108</v>
      </c>
      <c r="B3397" s="10">
        <v>45017</v>
      </c>
      <c r="C3397" s="11">
        <v>6000</v>
      </c>
      <c r="D3397" s="11">
        <v>6000</v>
      </c>
      <c r="E3397" s="11">
        <v>0</v>
      </c>
      <c r="F3397" t="str">
        <f>VLOOKUP(A3397,[1]!Table1[#All],17,FALSE)</f>
        <v>UNITED STATES</v>
      </c>
      <c r="G3397" t="str">
        <f>VLOOKUP(A3397,[1]!Table1[#All],22,FALSE)</f>
        <v>IA ST DEPARTMENT OF PUBLIC HEALTH</v>
      </c>
      <c r="H3397" s="8">
        <f>VLOOKUP(A3397,[1]!Table1[#All],32,FALSE)</f>
        <v>43678</v>
      </c>
      <c r="I3397" s="8">
        <f>VLOOKUP(A3397,[1]!Table1[#All],33,FALSE)</f>
        <v>45504</v>
      </c>
      <c r="J3397" t="str">
        <f t="shared" ca="1" si="57"/>
        <v>Non UDO</v>
      </c>
    </row>
    <row r="3398" spans="1:10" x14ac:dyDescent="0.35">
      <c r="A3398" s="5" t="s">
        <v>108</v>
      </c>
      <c r="B3398" s="6">
        <v>45047</v>
      </c>
      <c r="C3398" s="7">
        <v>6000</v>
      </c>
      <c r="D3398" s="7">
        <v>6000</v>
      </c>
      <c r="E3398" s="7">
        <v>0</v>
      </c>
      <c r="F3398" t="str">
        <f>VLOOKUP(A3398,[1]!Table1[#All],17,FALSE)</f>
        <v>UNITED STATES</v>
      </c>
      <c r="G3398" t="str">
        <f>VLOOKUP(A3398,[1]!Table1[#All],22,FALSE)</f>
        <v>IA ST DEPARTMENT OF PUBLIC HEALTH</v>
      </c>
      <c r="H3398" s="8">
        <f>VLOOKUP(A3398,[1]!Table1[#All],32,FALSE)</f>
        <v>43678</v>
      </c>
      <c r="I3398" s="8">
        <f>VLOOKUP(A3398,[1]!Table1[#All],33,FALSE)</f>
        <v>45504</v>
      </c>
      <c r="J3398" t="str">
        <f t="shared" ca="1" si="57"/>
        <v>Non UDO</v>
      </c>
    </row>
    <row r="3399" spans="1:10" x14ac:dyDescent="0.35">
      <c r="A3399" s="9" t="s">
        <v>108</v>
      </c>
      <c r="B3399" s="10">
        <v>45078</v>
      </c>
      <c r="C3399" s="11">
        <v>6000</v>
      </c>
      <c r="D3399" s="11">
        <v>6000</v>
      </c>
      <c r="E3399" s="11">
        <v>0</v>
      </c>
      <c r="F3399" t="str">
        <f>VLOOKUP(A3399,[1]!Table1[#All],17,FALSE)</f>
        <v>UNITED STATES</v>
      </c>
      <c r="G3399" t="str">
        <f>VLOOKUP(A3399,[1]!Table1[#All],22,FALSE)</f>
        <v>IA ST DEPARTMENT OF PUBLIC HEALTH</v>
      </c>
      <c r="H3399" s="8">
        <f>VLOOKUP(A3399,[1]!Table1[#All],32,FALSE)</f>
        <v>43678</v>
      </c>
      <c r="I3399" s="8">
        <f>VLOOKUP(A3399,[1]!Table1[#All],33,FALSE)</f>
        <v>45504</v>
      </c>
      <c r="J3399" t="str">
        <f t="shared" ca="1" si="57"/>
        <v>Non UDO</v>
      </c>
    </row>
    <row r="3400" spans="1:10" x14ac:dyDescent="0.35">
      <c r="A3400" s="5" t="s">
        <v>108</v>
      </c>
      <c r="B3400" s="6">
        <v>45108</v>
      </c>
      <c r="C3400" s="7">
        <v>6000</v>
      </c>
      <c r="D3400" s="7">
        <v>6000</v>
      </c>
      <c r="E3400" s="7">
        <v>0</v>
      </c>
      <c r="F3400" t="str">
        <f>VLOOKUP(A3400,[1]!Table1[#All],17,FALSE)</f>
        <v>UNITED STATES</v>
      </c>
      <c r="G3400" t="str">
        <f>VLOOKUP(A3400,[1]!Table1[#All],22,FALSE)</f>
        <v>IA ST DEPARTMENT OF PUBLIC HEALTH</v>
      </c>
      <c r="H3400" s="8">
        <f>VLOOKUP(A3400,[1]!Table1[#All],32,FALSE)</f>
        <v>43678</v>
      </c>
      <c r="I3400" s="8">
        <f>VLOOKUP(A3400,[1]!Table1[#All],33,FALSE)</f>
        <v>45504</v>
      </c>
      <c r="J3400" t="str">
        <f t="shared" ca="1" si="57"/>
        <v>Non UDO</v>
      </c>
    </row>
    <row r="3401" spans="1:10" x14ac:dyDescent="0.35">
      <c r="A3401" s="9" t="s">
        <v>108</v>
      </c>
      <c r="B3401" s="10">
        <v>45139</v>
      </c>
      <c r="C3401" s="11">
        <v>6000</v>
      </c>
      <c r="D3401" s="11">
        <v>6000</v>
      </c>
      <c r="E3401" s="11">
        <v>0</v>
      </c>
      <c r="F3401" t="str">
        <f>VLOOKUP(A3401,[1]!Table1[#All],17,FALSE)</f>
        <v>UNITED STATES</v>
      </c>
      <c r="G3401" t="str">
        <f>VLOOKUP(A3401,[1]!Table1[#All],22,FALSE)</f>
        <v>IA ST DEPARTMENT OF PUBLIC HEALTH</v>
      </c>
      <c r="H3401" s="8">
        <f>VLOOKUP(A3401,[1]!Table1[#All],32,FALSE)</f>
        <v>43678</v>
      </c>
      <c r="I3401" s="8">
        <f>VLOOKUP(A3401,[1]!Table1[#All],33,FALSE)</f>
        <v>45504</v>
      </c>
      <c r="J3401" t="str">
        <f t="shared" ca="1" si="57"/>
        <v>Non UDO</v>
      </c>
    </row>
    <row r="3402" spans="1:10" x14ac:dyDescent="0.35">
      <c r="A3402" s="5" t="s">
        <v>108</v>
      </c>
      <c r="B3402" s="6">
        <v>45170</v>
      </c>
      <c r="C3402" s="7">
        <v>6000</v>
      </c>
      <c r="D3402" s="7">
        <v>6000</v>
      </c>
      <c r="E3402" s="7">
        <v>0</v>
      </c>
      <c r="F3402" t="str">
        <f>VLOOKUP(A3402,[1]!Table1[#All],17,FALSE)</f>
        <v>UNITED STATES</v>
      </c>
      <c r="G3402" t="str">
        <f>VLOOKUP(A3402,[1]!Table1[#All],22,FALSE)</f>
        <v>IA ST DEPARTMENT OF PUBLIC HEALTH</v>
      </c>
      <c r="H3402" s="8">
        <f>VLOOKUP(A3402,[1]!Table1[#All],32,FALSE)</f>
        <v>43678</v>
      </c>
      <c r="I3402" s="8">
        <f>VLOOKUP(A3402,[1]!Table1[#All],33,FALSE)</f>
        <v>45504</v>
      </c>
      <c r="J3402" t="str">
        <f t="shared" ca="1" si="57"/>
        <v>Non UDO</v>
      </c>
    </row>
    <row r="3403" spans="1:10" x14ac:dyDescent="0.35">
      <c r="A3403" s="9" t="s">
        <v>109</v>
      </c>
      <c r="B3403" s="10">
        <v>44105</v>
      </c>
      <c r="C3403" s="11">
        <v>3970</v>
      </c>
      <c r="D3403" s="11">
        <v>163.13999999999999</v>
      </c>
      <c r="E3403" s="11">
        <v>3806.86</v>
      </c>
      <c r="F3403" t="str">
        <f>VLOOKUP(A3403,[1]!Table1[#All],17,FALSE)</f>
        <v>UNITED STATES</v>
      </c>
      <c r="G3403" t="str">
        <f>VLOOKUP(A3403,[1]!Table1[#All],22,FALSE)</f>
        <v>MICHIGAN DEPARTMENT OF HEALTH AND HUMAN SERVICES</v>
      </c>
      <c r="H3403" s="8">
        <f>VLOOKUP(A3403,[1]!Table1[#All],32,FALSE)</f>
        <v>43678</v>
      </c>
      <c r="I3403" s="8">
        <f>VLOOKUP(A3403,[1]!Table1[#All],33,FALSE)</f>
        <v>45504</v>
      </c>
      <c r="J3403" t="str">
        <f t="shared" ca="1" si="57"/>
        <v>UDO</v>
      </c>
    </row>
    <row r="3404" spans="1:10" x14ac:dyDescent="0.35">
      <c r="A3404" s="5" t="s">
        <v>109</v>
      </c>
      <c r="B3404" s="6">
        <v>44136</v>
      </c>
      <c r="C3404" s="7">
        <v>3970</v>
      </c>
      <c r="D3404" s="7">
        <v>430.19</v>
      </c>
      <c r="E3404" s="7">
        <v>3539.81</v>
      </c>
      <c r="F3404" t="str">
        <f>VLOOKUP(A3404,[1]!Table1[#All],17,FALSE)</f>
        <v>UNITED STATES</v>
      </c>
      <c r="G3404" t="str">
        <f>VLOOKUP(A3404,[1]!Table1[#All],22,FALSE)</f>
        <v>MICHIGAN DEPARTMENT OF HEALTH AND HUMAN SERVICES</v>
      </c>
      <c r="H3404" s="8">
        <f>VLOOKUP(A3404,[1]!Table1[#All],32,FALSE)</f>
        <v>43678</v>
      </c>
      <c r="I3404" s="8">
        <f>VLOOKUP(A3404,[1]!Table1[#All],33,FALSE)</f>
        <v>45504</v>
      </c>
      <c r="J3404" t="str">
        <f t="shared" ca="1" si="57"/>
        <v>UDO</v>
      </c>
    </row>
    <row r="3405" spans="1:10" x14ac:dyDescent="0.35">
      <c r="A3405" s="9" t="s">
        <v>109</v>
      </c>
      <c r="B3405" s="10">
        <v>44166</v>
      </c>
      <c r="C3405" s="11">
        <v>3970</v>
      </c>
      <c r="D3405" s="11">
        <v>665.21</v>
      </c>
      <c r="E3405" s="11">
        <v>3304.79</v>
      </c>
      <c r="F3405" t="str">
        <f>VLOOKUP(A3405,[1]!Table1[#All],17,FALSE)</f>
        <v>UNITED STATES</v>
      </c>
      <c r="G3405" t="str">
        <f>VLOOKUP(A3405,[1]!Table1[#All],22,FALSE)</f>
        <v>MICHIGAN DEPARTMENT OF HEALTH AND HUMAN SERVICES</v>
      </c>
      <c r="H3405" s="8">
        <f>VLOOKUP(A3405,[1]!Table1[#All],32,FALSE)</f>
        <v>43678</v>
      </c>
      <c r="I3405" s="8">
        <f>VLOOKUP(A3405,[1]!Table1[#All],33,FALSE)</f>
        <v>45504</v>
      </c>
      <c r="J3405" t="str">
        <f t="shared" ca="1" si="57"/>
        <v>UDO</v>
      </c>
    </row>
    <row r="3406" spans="1:10" x14ac:dyDescent="0.35">
      <c r="A3406" s="5" t="s">
        <v>109</v>
      </c>
      <c r="B3406" s="6">
        <v>44197</v>
      </c>
      <c r="C3406" s="7">
        <v>3970</v>
      </c>
      <c r="D3406" s="7">
        <v>1408.85</v>
      </c>
      <c r="E3406" s="7">
        <v>2561.15</v>
      </c>
      <c r="F3406" t="str">
        <f>VLOOKUP(A3406,[1]!Table1[#All],17,FALSE)</f>
        <v>UNITED STATES</v>
      </c>
      <c r="G3406" t="str">
        <f>VLOOKUP(A3406,[1]!Table1[#All],22,FALSE)</f>
        <v>MICHIGAN DEPARTMENT OF HEALTH AND HUMAN SERVICES</v>
      </c>
      <c r="H3406" s="8">
        <f>VLOOKUP(A3406,[1]!Table1[#All],32,FALSE)</f>
        <v>43678</v>
      </c>
      <c r="I3406" s="8">
        <f>VLOOKUP(A3406,[1]!Table1[#All],33,FALSE)</f>
        <v>45504</v>
      </c>
      <c r="J3406" t="str">
        <f t="shared" ca="1" si="57"/>
        <v>UDO</v>
      </c>
    </row>
    <row r="3407" spans="1:10" x14ac:dyDescent="0.35">
      <c r="A3407" s="9" t="s">
        <v>109</v>
      </c>
      <c r="B3407" s="10">
        <v>44228</v>
      </c>
      <c r="C3407" s="11">
        <v>3970</v>
      </c>
      <c r="D3407" s="11">
        <v>1747.01</v>
      </c>
      <c r="E3407" s="11">
        <v>2222.9899999999998</v>
      </c>
      <c r="F3407" t="str">
        <f>VLOOKUP(A3407,[1]!Table1[#All],17,FALSE)</f>
        <v>UNITED STATES</v>
      </c>
      <c r="G3407" t="str">
        <f>VLOOKUP(A3407,[1]!Table1[#All],22,FALSE)</f>
        <v>MICHIGAN DEPARTMENT OF HEALTH AND HUMAN SERVICES</v>
      </c>
      <c r="H3407" s="8">
        <f>VLOOKUP(A3407,[1]!Table1[#All],32,FALSE)</f>
        <v>43678</v>
      </c>
      <c r="I3407" s="8">
        <f>VLOOKUP(A3407,[1]!Table1[#All],33,FALSE)</f>
        <v>45504</v>
      </c>
      <c r="J3407" t="str">
        <f t="shared" ca="1" si="57"/>
        <v>UDO</v>
      </c>
    </row>
    <row r="3408" spans="1:10" x14ac:dyDescent="0.35">
      <c r="A3408" s="5" t="s">
        <v>109</v>
      </c>
      <c r="B3408" s="6">
        <v>44256</v>
      </c>
      <c r="C3408" s="7">
        <v>3970</v>
      </c>
      <c r="D3408" s="7">
        <v>2093.37</v>
      </c>
      <c r="E3408" s="7">
        <v>1876.63</v>
      </c>
      <c r="F3408" t="str">
        <f>VLOOKUP(A3408,[1]!Table1[#All],17,FALSE)</f>
        <v>UNITED STATES</v>
      </c>
      <c r="G3408" t="str">
        <f>VLOOKUP(A3408,[1]!Table1[#All],22,FALSE)</f>
        <v>MICHIGAN DEPARTMENT OF HEALTH AND HUMAN SERVICES</v>
      </c>
      <c r="H3408" s="8">
        <f>VLOOKUP(A3408,[1]!Table1[#All],32,FALSE)</f>
        <v>43678</v>
      </c>
      <c r="I3408" s="8">
        <f>VLOOKUP(A3408,[1]!Table1[#All],33,FALSE)</f>
        <v>45504</v>
      </c>
      <c r="J3408" t="str">
        <f t="shared" ca="1" si="57"/>
        <v>UDO</v>
      </c>
    </row>
    <row r="3409" spans="1:10" x14ac:dyDescent="0.35">
      <c r="A3409" s="9" t="s">
        <v>109</v>
      </c>
      <c r="B3409" s="10">
        <v>44317</v>
      </c>
      <c r="C3409" s="11">
        <v>3970</v>
      </c>
      <c r="D3409" s="11">
        <v>2823.49</v>
      </c>
      <c r="E3409" s="11">
        <v>1146.51</v>
      </c>
      <c r="F3409" t="str">
        <f>VLOOKUP(A3409,[1]!Table1[#All],17,FALSE)</f>
        <v>UNITED STATES</v>
      </c>
      <c r="G3409" t="str">
        <f>VLOOKUP(A3409,[1]!Table1[#All],22,FALSE)</f>
        <v>MICHIGAN DEPARTMENT OF HEALTH AND HUMAN SERVICES</v>
      </c>
      <c r="H3409" s="8">
        <f>VLOOKUP(A3409,[1]!Table1[#All],32,FALSE)</f>
        <v>43678</v>
      </c>
      <c r="I3409" s="8">
        <f>VLOOKUP(A3409,[1]!Table1[#All],33,FALSE)</f>
        <v>45504</v>
      </c>
      <c r="J3409" t="str">
        <f t="shared" ca="1" si="57"/>
        <v>UDO</v>
      </c>
    </row>
    <row r="3410" spans="1:10" x14ac:dyDescent="0.35">
      <c r="A3410" s="5" t="s">
        <v>109</v>
      </c>
      <c r="B3410" s="6">
        <v>44348</v>
      </c>
      <c r="C3410" s="7">
        <v>3970</v>
      </c>
      <c r="D3410" s="7">
        <v>3178.68</v>
      </c>
      <c r="E3410" s="7">
        <v>791.32</v>
      </c>
      <c r="F3410" t="str">
        <f>VLOOKUP(A3410,[1]!Table1[#All],17,FALSE)</f>
        <v>UNITED STATES</v>
      </c>
      <c r="G3410" t="str">
        <f>VLOOKUP(A3410,[1]!Table1[#All],22,FALSE)</f>
        <v>MICHIGAN DEPARTMENT OF HEALTH AND HUMAN SERVICES</v>
      </c>
      <c r="H3410" s="8">
        <f>VLOOKUP(A3410,[1]!Table1[#All],32,FALSE)</f>
        <v>43678</v>
      </c>
      <c r="I3410" s="8">
        <f>VLOOKUP(A3410,[1]!Table1[#All],33,FALSE)</f>
        <v>45504</v>
      </c>
      <c r="J3410" t="str">
        <f t="shared" ca="1" si="57"/>
        <v>UDO</v>
      </c>
    </row>
    <row r="3411" spans="1:10" x14ac:dyDescent="0.35">
      <c r="A3411" s="9" t="s">
        <v>109</v>
      </c>
      <c r="B3411" s="10">
        <v>44378</v>
      </c>
      <c r="C3411" s="11">
        <v>3970</v>
      </c>
      <c r="D3411" s="11">
        <v>3580.76</v>
      </c>
      <c r="E3411" s="11">
        <v>389.24</v>
      </c>
      <c r="F3411" t="str">
        <f>VLOOKUP(A3411,[1]!Table1[#All],17,FALSE)</f>
        <v>UNITED STATES</v>
      </c>
      <c r="G3411" t="str">
        <f>VLOOKUP(A3411,[1]!Table1[#All],22,FALSE)</f>
        <v>MICHIGAN DEPARTMENT OF HEALTH AND HUMAN SERVICES</v>
      </c>
      <c r="H3411" s="8">
        <f>VLOOKUP(A3411,[1]!Table1[#All],32,FALSE)</f>
        <v>43678</v>
      </c>
      <c r="I3411" s="8">
        <f>VLOOKUP(A3411,[1]!Table1[#All],33,FALSE)</f>
        <v>45504</v>
      </c>
      <c r="J3411" t="str">
        <f t="shared" ca="1" si="57"/>
        <v>UDO</v>
      </c>
    </row>
    <row r="3412" spans="1:10" x14ac:dyDescent="0.35">
      <c r="A3412" s="5" t="s">
        <v>109</v>
      </c>
      <c r="B3412" s="6">
        <v>44409</v>
      </c>
      <c r="C3412" s="7">
        <v>3970</v>
      </c>
      <c r="D3412" s="7">
        <v>3787.23</v>
      </c>
      <c r="E3412" s="7">
        <v>182.77</v>
      </c>
      <c r="F3412" t="str">
        <f>VLOOKUP(A3412,[1]!Table1[#All],17,FALSE)</f>
        <v>UNITED STATES</v>
      </c>
      <c r="G3412" t="str">
        <f>VLOOKUP(A3412,[1]!Table1[#All],22,FALSE)</f>
        <v>MICHIGAN DEPARTMENT OF HEALTH AND HUMAN SERVICES</v>
      </c>
      <c r="H3412" s="8">
        <f>VLOOKUP(A3412,[1]!Table1[#All],32,FALSE)</f>
        <v>43678</v>
      </c>
      <c r="I3412" s="8">
        <f>VLOOKUP(A3412,[1]!Table1[#All],33,FALSE)</f>
        <v>45504</v>
      </c>
      <c r="J3412" t="str">
        <f t="shared" ca="1" si="57"/>
        <v>UDO</v>
      </c>
    </row>
    <row r="3413" spans="1:10" x14ac:dyDescent="0.35">
      <c r="A3413" s="9" t="s">
        <v>109</v>
      </c>
      <c r="B3413" s="10">
        <v>44440</v>
      </c>
      <c r="C3413" s="11">
        <v>3970</v>
      </c>
      <c r="D3413" s="11">
        <v>3797.55</v>
      </c>
      <c r="E3413" s="11">
        <v>172.45</v>
      </c>
      <c r="F3413" t="str">
        <f>VLOOKUP(A3413,[1]!Table1[#All],17,FALSE)</f>
        <v>UNITED STATES</v>
      </c>
      <c r="G3413" t="str">
        <f>VLOOKUP(A3413,[1]!Table1[#All],22,FALSE)</f>
        <v>MICHIGAN DEPARTMENT OF HEALTH AND HUMAN SERVICES</v>
      </c>
      <c r="H3413" s="8">
        <f>VLOOKUP(A3413,[1]!Table1[#All],32,FALSE)</f>
        <v>43678</v>
      </c>
      <c r="I3413" s="8">
        <f>VLOOKUP(A3413,[1]!Table1[#All],33,FALSE)</f>
        <v>45504</v>
      </c>
      <c r="J3413" t="str">
        <f t="shared" ca="1" si="57"/>
        <v>UDO</v>
      </c>
    </row>
    <row r="3414" spans="1:10" x14ac:dyDescent="0.35">
      <c r="A3414" s="5" t="s">
        <v>109</v>
      </c>
      <c r="B3414" s="6">
        <v>44470</v>
      </c>
      <c r="C3414" s="7">
        <v>3970</v>
      </c>
      <c r="D3414" s="7">
        <v>3970</v>
      </c>
      <c r="E3414" s="7">
        <v>0</v>
      </c>
      <c r="F3414" t="str">
        <f>VLOOKUP(A3414,[1]!Table1[#All],17,FALSE)</f>
        <v>UNITED STATES</v>
      </c>
      <c r="G3414" t="str">
        <f>VLOOKUP(A3414,[1]!Table1[#All],22,FALSE)</f>
        <v>MICHIGAN DEPARTMENT OF HEALTH AND HUMAN SERVICES</v>
      </c>
      <c r="H3414" s="8">
        <f>VLOOKUP(A3414,[1]!Table1[#All],32,FALSE)</f>
        <v>43678</v>
      </c>
      <c r="I3414" s="8">
        <f>VLOOKUP(A3414,[1]!Table1[#All],33,FALSE)</f>
        <v>45504</v>
      </c>
      <c r="J3414" t="str">
        <f t="shared" ca="1" si="57"/>
        <v>Non UDO</v>
      </c>
    </row>
    <row r="3415" spans="1:10" x14ac:dyDescent="0.35">
      <c r="A3415" s="9" t="s">
        <v>109</v>
      </c>
      <c r="B3415" s="10">
        <v>44501</v>
      </c>
      <c r="C3415" s="11">
        <v>3970</v>
      </c>
      <c r="D3415" s="11">
        <v>3970</v>
      </c>
      <c r="E3415" s="11">
        <v>0</v>
      </c>
      <c r="F3415" t="str">
        <f>VLOOKUP(A3415,[1]!Table1[#All],17,FALSE)</f>
        <v>UNITED STATES</v>
      </c>
      <c r="G3415" t="str">
        <f>VLOOKUP(A3415,[1]!Table1[#All],22,FALSE)</f>
        <v>MICHIGAN DEPARTMENT OF HEALTH AND HUMAN SERVICES</v>
      </c>
      <c r="H3415" s="8">
        <f>VLOOKUP(A3415,[1]!Table1[#All],32,FALSE)</f>
        <v>43678</v>
      </c>
      <c r="I3415" s="8">
        <f>VLOOKUP(A3415,[1]!Table1[#All],33,FALSE)</f>
        <v>45504</v>
      </c>
      <c r="J3415" t="str">
        <f t="shared" ca="1" si="57"/>
        <v>Non UDO</v>
      </c>
    </row>
    <row r="3416" spans="1:10" x14ac:dyDescent="0.35">
      <c r="A3416" s="5" t="s">
        <v>109</v>
      </c>
      <c r="B3416" s="6">
        <v>44531</v>
      </c>
      <c r="C3416" s="7">
        <v>3970</v>
      </c>
      <c r="D3416" s="7">
        <v>3970</v>
      </c>
      <c r="E3416" s="7">
        <v>0</v>
      </c>
      <c r="F3416" t="str">
        <f>VLOOKUP(A3416,[1]!Table1[#All],17,FALSE)</f>
        <v>UNITED STATES</v>
      </c>
      <c r="G3416" t="str">
        <f>VLOOKUP(A3416,[1]!Table1[#All],22,FALSE)</f>
        <v>MICHIGAN DEPARTMENT OF HEALTH AND HUMAN SERVICES</v>
      </c>
      <c r="H3416" s="8">
        <f>VLOOKUP(A3416,[1]!Table1[#All],32,FALSE)</f>
        <v>43678</v>
      </c>
      <c r="I3416" s="8">
        <f>VLOOKUP(A3416,[1]!Table1[#All],33,FALSE)</f>
        <v>45504</v>
      </c>
      <c r="J3416" t="str">
        <f t="shared" ca="1" si="57"/>
        <v>Non UDO</v>
      </c>
    </row>
    <row r="3417" spans="1:10" x14ac:dyDescent="0.35">
      <c r="A3417" s="9" t="s">
        <v>109</v>
      </c>
      <c r="B3417" s="10">
        <v>44562</v>
      </c>
      <c r="C3417" s="11">
        <v>3970</v>
      </c>
      <c r="D3417" s="11">
        <v>3970</v>
      </c>
      <c r="E3417" s="11">
        <v>0</v>
      </c>
      <c r="F3417" t="str">
        <f>VLOOKUP(A3417,[1]!Table1[#All],17,FALSE)</f>
        <v>UNITED STATES</v>
      </c>
      <c r="G3417" t="str">
        <f>VLOOKUP(A3417,[1]!Table1[#All],22,FALSE)</f>
        <v>MICHIGAN DEPARTMENT OF HEALTH AND HUMAN SERVICES</v>
      </c>
      <c r="H3417" s="8">
        <f>VLOOKUP(A3417,[1]!Table1[#All],32,FALSE)</f>
        <v>43678</v>
      </c>
      <c r="I3417" s="8">
        <f>VLOOKUP(A3417,[1]!Table1[#All],33,FALSE)</f>
        <v>45504</v>
      </c>
      <c r="J3417" t="str">
        <f t="shared" ca="1" si="57"/>
        <v>Non UDO</v>
      </c>
    </row>
    <row r="3418" spans="1:10" x14ac:dyDescent="0.35">
      <c r="A3418" s="5" t="s">
        <v>109</v>
      </c>
      <c r="B3418" s="6">
        <v>44593</v>
      </c>
      <c r="C3418" s="7">
        <v>3970</v>
      </c>
      <c r="D3418" s="7">
        <v>3970</v>
      </c>
      <c r="E3418" s="7">
        <v>0</v>
      </c>
      <c r="F3418" t="str">
        <f>VLOOKUP(A3418,[1]!Table1[#All],17,FALSE)</f>
        <v>UNITED STATES</v>
      </c>
      <c r="G3418" t="str">
        <f>VLOOKUP(A3418,[1]!Table1[#All],22,FALSE)</f>
        <v>MICHIGAN DEPARTMENT OF HEALTH AND HUMAN SERVICES</v>
      </c>
      <c r="H3418" s="8">
        <f>VLOOKUP(A3418,[1]!Table1[#All],32,FALSE)</f>
        <v>43678</v>
      </c>
      <c r="I3418" s="8">
        <f>VLOOKUP(A3418,[1]!Table1[#All],33,FALSE)</f>
        <v>45504</v>
      </c>
      <c r="J3418" t="str">
        <f t="shared" ca="1" si="57"/>
        <v>Non UDO</v>
      </c>
    </row>
    <row r="3419" spans="1:10" x14ac:dyDescent="0.35">
      <c r="A3419" s="9" t="s">
        <v>109</v>
      </c>
      <c r="B3419" s="10">
        <v>44621</v>
      </c>
      <c r="C3419" s="11">
        <v>3970</v>
      </c>
      <c r="D3419" s="11">
        <v>3970</v>
      </c>
      <c r="E3419" s="11">
        <v>0</v>
      </c>
      <c r="F3419" t="str">
        <f>VLOOKUP(A3419,[1]!Table1[#All],17,FALSE)</f>
        <v>UNITED STATES</v>
      </c>
      <c r="G3419" t="str">
        <f>VLOOKUP(A3419,[1]!Table1[#All],22,FALSE)</f>
        <v>MICHIGAN DEPARTMENT OF HEALTH AND HUMAN SERVICES</v>
      </c>
      <c r="H3419" s="8">
        <f>VLOOKUP(A3419,[1]!Table1[#All],32,FALSE)</f>
        <v>43678</v>
      </c>
      <c r="I3419" s="8">
        <f>VLOOKUP(A3419,[1]!Table1[#All],33,FALSE)</f>
        <v>45504</v>
      </c>
      <c r="J3419" t="str">
        <f t="shared" ca="1" si="57"/>
        <v>Non UDO</v>
      </c>
    </row>
    <row r="3420" spans="1:10" x14ac:dyDescent="0.35">
      <c r="A3420" s="5" t="s">
        <v>109</v>
      </c>
      <c r="B3420" s="6">
        <v>44652</v>
      </c>
      <c r="C3420" s="7">
        <v>3970</v>
      </c>
      <c r="D3420" s="7">
        <v>3970</v>
      </c>
      <c r="E3420" s="7">
        <v>0</v>
      </c>
      <c r="F3420" t="str">
        <f>VLOOKUP(A3420,[1]!Table1[#All],17,FALSE)</f>
        <v>UNITED STATES</v>
      </c>
      <c r="G3420" t="str">
        <f>VLOOKUP(A3420,[1]!Table1[#All],22,FALSE)</f>
        <v>MICHIGAN DEPARTMENT OF HEALTH AND HUMAN SERVICES</v>
      </c>
      <c r="H3420" s="8">
        <f>VLOOKUP(A3420,[1]!Table1[#All],32,FALSE)</f>
        <v>43678</v>
      </c>
      <c r="I3420" s="8">
        <f>VLOOKUP(A3420,[1]!Table1[#All],33,FALSE)</f>
        <v>45504</v>
      </c>
      <c r="J3420" t="str">
        <f t="shared" ca="1" si="57"/>
        <v>Non UDO</v>
      </c>
    </row>
    <row r="3421" spans="1:10" x14ac:dyDescent="0.35">
      <c r="A3421" s="9" t="s">
        <v>109</v>
      </c>
      <c r="B3421" s="10">
        <v>44682</v>
      </c>
      <c r="C3421" s="11">
        <v>3970</v>
      </c>
      <c r="D3421" s="11">
        <v>3970</v>
      </c>
      <c r="E3421" s="11">
        <v>0</v>
      </c>
      <c r="F3421" t="str">
        <f>VLOOKUP(A3421,[1]!Table1[#All],17,FALSE)</f>
        <v>UNITED STATES</v>
      </c>
      <c r="G3421" t="str">
        <f>VLOOKUP(A3421,[1]!Table1[#All],22,FALSE)</f>
        <v>MICHIGAN DEPARTMENT OF HEALTH AND HUMAN SERVICES</v>
      </c>
      <c r="H3421" s="8">
        <f>VLOOKUP(A3421,[1]!Table1[#All],32,FALSE)</f>
        <v>43678</v>
      </c>
      <c r="I3421" s="8">
        <f>VLOOKUP(A3421,[1]!Table1[#All],33,FALSE)</f>
        <v>45504</v>
      </c>
      <c r="J3421" t="str">
        <f t="shared" ca="1" si="57"/>
        <v>Non UDO</v>
      </c>
    </row>
    <row r="3422" spans="1:10" x14ac:dyDescent="0.35">
      <c r="A3422" s="5" t="s">
        <v>109</v>
      </c>
      <c r="B3422" s="6">
        <v>44713</v>
      </c>
      <c r="C3422" s="7">
        <v>3970</v>
      </c>
      <c r="D3422" s="7">
        <v>3970</v>
      </c>
      <c r="E3422" s="7">
        <v>0</v>
      </c>
      <c r="F3422" t="str">
        <f>VLOOKUP(A3422,[1]!Table1[#All],17,FALSE)</f>
        <v>UNITED STATES</v>
      </c>
      <c r="G3422" t="str">
        <f>VLOOKUP(A3422,[1]!Table1[#All],22,FALSE)</f>
        <v>MICHIGAN DEPARTMENT OF HEALTH AND HUMAN SERVICES</v>
      </c>
      <c r="H3422" s="8">
        <f>VLOOKUP(A3422,[1]!Table1[#All],32,FALSE)</f>
        <v>43678</v>
      </c>
      <c r="I3422" s="8">
        <f>VLOOKUP(A3422,[1]!Table1[#All],33,FALSE)</f>
        <v>45504</v>
      </c>
      <c r="J3422" t="str">
        <f t="shared" ca="1" si="57"/>
        <v>Non UDO</v>
      </c>
    </row>
    <row r="3423" spans="1:10" x14ac:dyDescent="0.35">
      <c r="A3423" s="9" t="s">
        <v>109</v>
      </c>
      <c r="B3423" s="10">
        <v>44743</v>
      </c>
      <c r="C3423" s="11">
        <v>3970</v>
      </c>
      <c r="D3423" s="11">
        <v>3970</v>
      </c>
      <c r="E3423" s="11">
        <v>0</v>
      </c>
      <c r="F3423" t="str">
        <f>VLOOKUP(A3423,[1]!Table1[#All],17,FALSE)</f>
        <v>UNITED STATES</v>
      </c>
      <c r="G3423" t="str">
        <f>VLOOKUP(A3423,[1]!Table1[#All],22,FALSE)</f>
        <v>MICHIGAN DEPARTMENT OF HEALTH AND HUMAN SERVICES</v>
      </c>
      <c r="H3423" s="8">
        <f>VLOOKUP(A3423,[1]!Table1[#All],32,FALSE)</f>
        <v>43678</v>
      </c>
      <c r="I3423" s="8">
        <f>VLOOKUP(A3423,[1]!Table1[#All],33,FALSE)</f>
        <v>45504</v>
      </c>
      <c r="J3423" t="str">
        <f t="shared" ca="1" si="57"/>
        <v>Non UDO</v>
      </c>
    </row>
    <row r="3424" spans="1:10" x14ac:dyDescent="0.35">
      <c r="A3424" s="5" t="s">
        <v>109</v>
      </c>
      <c r="B3424" s="6">
        <v>44774</v>
      </c>
      <c r="C3424" s="7">
        <v>3970</v>
      </c>
      <c r="D3424" s="7">
        <v>3970</v>
      </c>
      <c r="E3424" s="7">
        <v>0</v>
      </c>
      <c r="F3424" t="str">
        <f>VLOOKUP(A3424,[1]!Table1[#All],17,FALSE)</f>
        <v>UNITED STATES</v>
      </c>
      <c r="G3424" t="str">
        <f>VLOOKUP(A3424,[1]!Table1[#All],22,FALSE)</f>
        <v>MICHIGAN DEPARTMENT OF HEALTH AND HUMAN SERVICES</v>
      </c>
      <c r="H3424" s="8">
        <f>VLOOKUP(A3424,[1]!Table1[#All],32,FALSE)</f>
        <v>43678</v>
      </c>
      <c r="I3424" s="8">
        <f>VLOOKUP(A3424,[1]!Table1[#All],33,FALSE)</f>
        <v>45504</v>
      </c>
      <c r="J3424" t="str">
        <f t="shared" ca="1" si="57"/>
        <v>Non UDO</v>
      </c>
    </row>
    <row r="3425" spans="1:10" x14ac:dyDescent="0.35">
      <c r="A3425" s="9" t="s">
        <v>109</v>
      </c>
      <c r="B3425" s="10">
        <v>44805</v>
      </c>
      <c r="C3425" s="11">
        <v>3970</v>
      </c>
      <c r="D3425" s="11">
        <v>3970</v>
      </c>
      <c r="E3425" s="11">
        <v>0</v>
      </c>
      <c r="F3425" t="str">
        <f>VLOOKUP(A3425,[1]!Table1[#All],17,FALSE)</f>
        <v>UNITED STATES</v>
      </c>
      <c r="G3425" t="str">
        <f>VLOOKUP(A3425,[1]!Table1[#All],22,FALSE)</f>
        <v>MICHIGAN DEPARTMENT OF HEALTH AND HUMAN SERVICES</v>
      </c>
      <c r="H3425" s="8">
        <f>VLOOKUP(A3425,[1]!Table1[#All],32,FALSE)</f>
        <v>43678</v>
      </c>
      <c r="I3425" s="8">
        <f>VLOOKUP(A3425,[1]!Table1[#All],33,FALSE)</f>
        <v>45504</v>
      </c>
      <c r="J3425" t="str">
        <f t="shared" ca="1" si="57"/>
        <v>Non UDO</v>
      </c>
    </row>
    <row r="3426" spans="1:10" x14ac:dyDescent="0.35">
      <c r="A3426" s="5" t="s">
        <v>109</v>
      </c>
      <c r="B3426" s="6">
        <v>44835</v>
      </c>
      <c r="C3426" s="7">
        <v>3970</v>
      </c>
      <c r="D3426" s="7">
        <v>3970</v>
      </c>
      <c r="E3426" s="7">
        <v>0</v>
      </c>
      <c r="F3426" t="str">
        <f>VLOOKUP(A3426,[1]!Table1[#All],17,FALSE)</f>
        <v>UNITED STATES</v>
      </c>
      <c r="G3426" t="str">
        <f>VLOOKUP(A3426,[1]!Table1[#All],22,FALSE)</f>
        <v>MICHIGAN DEPARTMENT OF HEALTH AND HUMAN SERVICES</v>
      </c>
      <c r="H3426" s="8">
        <f>VLOOKUP(A3426,[1]!Table1[#All],32,FALSE)</f>
        <v>43678</v>
      </c>
      <c r="I3426" s="8">
        <f>VLOOKUP(A3426,[1]!Table1[#All],33,FALSE)</f>
        <v>45504</v>
      </c>
      <c r="J3426" t="str">
        <f t="shared" ca="1" si="57"/>
        <v>Non UDO</v>
      </c>
    </row>
    <row r="3427" spans="1:10" x14ac:dyDescent="0.35">
      <c r="A3427" s="9" t="s">
        <v>109</v>
      </c>
      <c r="B3427" s="10">
        <v>44866</v>
      </c>
      <c r="C3427" s="11">
        <v>3970</v>
      </c>
      <c r="D3427" s="11">
        <v>3970</v>
      </c>
      <c r="E3427" s="11">
        <v>0</v>
      </c>
      <c r="F3427" t="str">
        <f>VLOOKUP(A3427,[1]!Table1[#All],17,FALSE)</f>
        <v>UNITED STATES</v>
      </c>
      <c r="G3427" t="str">
        <f>VLOOKUP(A3427,[1]!Table1[#All],22,FALSE)</f>
        <v>MICHIGAN DEPARTMENT OF HEALTH AND HUMAN SERVICES</v>
      </c>
      <c r="H3427" s="8">
        <f>VLOOKUP(A3427,[1]!Table1[#All],32,FALSE)</f>
        <v>43678</v>
      </c>
      <c r="I3427" s="8">
        <f>VLOOKUP(A3427,[1]!Table1[#All],33,FALSE)</f>
        <v>45504</v>
      </c>
      <c r="J3427" t="str">
        <f t="shared" ca="1" si="57"/>
        <v>Non UDO</v>
      </c>
    </row>
    <row r="3428" spans="1:10" x14ac:dyDescent="0.35">
      <c r="A3428" s="5" t="s">
        <v>109</v>
      </c>
      <c r="B3428" s="6">
        <v>44896</v>
      </c>
      <c r="C3428" s="7">
        <v>3970</v>
      </c>
      <c r="D3428" s="7">
        <v>3970</v>
      </c>
      <c r="E3428" s="7">
        <v>0</v>
      </c>
      <c r="F3428" t="str">
        <f>VLOOKUP(A3428,[1]!Table1[#All],17,FALSE)</f>
        <v>UNITED STATES</v>
      </c>
      <c r="G3428" t="str">
        <f>VLOOKUP(A3428,[1]!Table1[#All],22,FALSE)</f>
        <v>MICHIGAN DEPARTMENT OF HEALTH AND HUMAN SERVICES</v>
      </c>
      <c r="H3428" s="8">
        <f>VLOOKUP(A3428,[1]!Table1[#All],32,FALSE)</f>
        <v>43678</v>
      </c>
      <c r="I3428" s="8">
        <f>VLOOKUP(A3428,[1]!Table1[#All],33,FALSE)</f>
        <v>45504</v>
      </c>
      <c r="J3428" t="str">
        <f t="shared" ca="1" si="57"/>
        <v>Non UDO</v>
      </c>
    </row>
    <row r="3429" spans="1:10" x14ac:dyDescent="0.35">
      <c r="A3429" s="9" t="s">
        <v>109</v>
      </c>
      <c r="B3429" s="10">
        <v>44927</v>
      </c>
      <c r="C3429" s="11">
        <v>3970</v>
      </c>
      <c r="D3429" s="11">
        <v>3970</v>
      </c>
      <c r="E3429" s="11">
        <v>0</v>
      </c>
      <c r="F3429" t="str">
        <f>VLOOKUP(A3429,[1]!Table1[#All],17,FALSE)</f>
        <v>UNITED STATES</v>
      </c>
      <c r="G3429" t="str">
        <f>VLOOKUP(A3429,[1]!Table1[#All],22,FALSE)</f>
        <v>MICHIGAN DEPARTMENT OF HEALTH AND HUMAN SERVICES</v>
      </c>
      <c r="H3429" s="8">
        <f>VLOOKUP(A3429,[1]!Table1[#All],32,FALSE)</f>
        <v>43678</v>
      </c>
      <c r="I3429" s="8">
        <f>VLOOKUP(A3429,[1]!Table1[#All],33,FALSE)</f>
        <v>45504</v>
      </c>
      <c r="J3429" t="str">
        <f t="shared" ca="1" si="57"/>
        <v>Non UDO</v>
      </c>
    </row>
    <row r="3430" spans="1:10" x14ac:dyDescent="0.35">
      <c r="A3430" s="5" t="s">
        <v>109</v>
      </c>
      <c r="B3430" s="6">
        <v>44958</v>
      </c>
      <c r="C3430" s="7">
        <v>3970</v>
      </c>
      <c r="D3430" s="7">
        <v>3970</v>
      </c>
      <c r="E3430" s="7">
        <v>0</v>
      </c>
      <c r="F3430" t="str">
        <f>VLOOKUP(A3430,[1]!Table1[#All],17,FALSE)</f>
        <v>UNITED STATES</v>
      </c>
      <c r="G3430" t="str">
        <f>VLOOKUP(A3430,[1]!Table1[#All],22,FALSE)</f>
        <v>MICHIGAN DEPARTMENT OF HEALTH AND HUMAN SERVICES</v>
      </c>
      <c r="H3430" s="8">
        <f>VLOOKUP(A3430,[1]!Table1[#All],32,FALSE)</f>
        <v>43678</v>
      </c>
      <c r="I3430" s="8">
        <f>VLOOKUP(A3430,[1]!Table1[#All],33,FALSE)</f>
        <v>45504</v>
      </c>
      <c r="J3430" t="str">
        <f t="shared" ca="1" si="57"/>
        <v>Non UDO</v>
      </c>
    </row>
    <row r="3431" spans="1:10" x14ac:dyDescent="0.35">
      <c r="A3431" s="9" t="s">
        <v>109</v>
      </c>
      <c r="B3431" s="10">
        <v>44986</v>
      </c>
      <c r="C3431" s="11">
        <v>3970</v>
      </c>
      <c r="D3431" s="11">
        <v>3970</v>
      </c>
      <c r="E3431" s="11">
        <v>0</v>
      </c>
      <c r="F3431" t="str">
        <f>VLOOKUP(A3431,[1]!Table1[#All],17,FALSE)</f>
        <v>UNITED STATES</v>
      </c>
      <c r="G3431" t="str">
        <f>VLOOKUP(A3431,[1]!Table1[#All],22,FALSE)</f>
        <v>MICHIGAN DEPARTMENT OF HEALTH AND HUMAN SERVICES</v>
      </c>
      <c r="H3431" s="8">
        <f>VLOOKUP(A3431,[1]!Table1[#All],32,FALSE)</f>
        <v>43678</v>
      </c>
      <c r="I3431" s="8">
        <f>VLOOKUP(A3431,[1]!Table1[#All],33,FALSE)</f>
        <v>45504</v>
      </c>
      <c r="J3431" t="str">
        <f t="shared" ca="1" si="57"/>
        <v>Non UDO</v>
      </c>
    </row>
    <row r="3432" spans="1:10" x14ac:dyDescent="0.35">
      <c r="A3432" s="5" t="s">
        <v>109</v>
      </c>
      <c r="B3432" s="6">
        <v>45017</v>
      </c>
      <c r="C3432" s="7">
        <v>3970</v>
      </c>
      <c r="D3432" s="7">
        <v>3970</v>
      </c>
      <c r="E3432" s="7">
        <v>0</v>
      </c>
      <c r="F3432" t="str">
        <f>VLOOKUP(A3432,[1]!Table1[#All],17,FALSE)</f>
        <v>UNITED STATES</v>
      </c>
      <c r="G3432" t="str">
        <f>VLOOKUP(A3432,[1]!Table1[#All],22,FALSE)</f>
        <v>MICHIGAN DEPARTMENT OF HEALTH AND HUMAN SERVICES</v>
      </c>
      <c r="H3432" s="8">
        <f>VLOOKUP(A3432,[1]!Table1[#All],32,FALSE)</f>
        <v>43678</v>
      </c>
      <c r="I3432" s="8">
        <f>VLOOKUP(A3432,[1]!Table1[#All],33,FALSE)</f>
        <v>45504</v>
      </c>
      <c r="J3432" t="str">
        <f t="shared" ca="1" si="57"/>
        <v>Non UDO</v>
      </c>
    </row>
    <row r="3433" spans="1:10" x14ac:dyDescent="0.35">
      <c r="A3433" s="9" t="s">
        <v>109</v>
      </c>
      <c r="B3433" s="10">
        <v>45047</v>
      </c>
      <c r="C3433" s="11">
        <v>3970</v>
      </c>
      <c r="D3433" s="11">
        <v>3970</v>
      </c>
      <c r="E3433" s="11">
        <v>0</v>
      </c>
      <c r="F3433" t="str">
        <f>VLOOKUP(A3433,[1]!Table1[#All],17,FALSE)</f>
        <v>UNITED STATES</v>
      </c>
      <c r="G3433" t="str">
        <f>VLOOKUP(A3433,[1]!Table1[#All],22,FALSE)</f>
        <v>MICHIGAN DEPARTMENT OF HEALTH AND HUMAN SERVICES</v>
      </c>
      <c r="H3433" s="8">
        <f>VLOOKUP(A3433,[1]!Table1[#All],32,FALSE)</f>
        <v>43678</v>
      </c>
      <c r="I3433" s="8">
        <f>VLOOKUP(A3433,[1]!Table1[#All],33,FALSE)</f>
        <v>45504</v>
      </c>
      <c r="J3433" t="str">
        <f t="shared" ca="1" si="57"/>
        <v>Non UDO</v>
      </c>
    </row>
    <row r="3434" spans="1:10" x14ac:dyDescent="0.35">
      <c r="A3434" s="5" t="s">
        <v>109</v>
      </c>
      <c r="B3434" s="6">
        <v>45078</v>
      </c>
      <c r="C3434" s="7">
        <v>3970</v>
      </c>
      <c r="D3434" s="7">
        <v>3970</v>
      </c>
      <c r="E3434" s="7">
        <v>0</v>
      </c>
      <c r="F3434" t="str">
        <f>VLOOKUP(A3434,[1]!Table1[#All],17,FALSE)</f>
        <v>UNITED STATES</v>
      </c>
      <c r="G3434" t="str">
        <f>VLOOKUP(A3434,[1]!Table1[#All],22,FALSE)</f>
        <v>MICHIGAN DEPARTMENT OF HEALTH AND HUMAN SERVICES</v>
      </c>
      <c r="H3434" s="8">
        <f>VLOOKUP(A3434,[1]!Table1[#All],32,FALSE)</f>
        <v>43678</v>
      </c>
      <c r="I3434" s="8">
        <f>VLOOKUP(A3434,[1]!Table1[#All],33,FALSE)</f>
        <v>45504</v>
      </c>
      <c r="J3434" t="str">
        <f t="shared" ca="1" si="57"/>
        <v>Non UDO</v>
      </c>
    </row>
    <row r="3435" spans="1:10" x14ac:dyDescent="0.35">
      <c r="A3435" s="9" t="s">
        <v>109</v>
      </c>
      <c r="B3435" s="10">
        <v>45108</v>
      </c>
      <c r="C3435" s="11">
        <v>3970</v>
      </c>
      <c r="D3435" s="11">
        <v>3970</v>
      </c>
      <c r="E3435" s="11">
        <v>0</v>
      </c>
      <c r="F3435" t="str">
        <f>VLOOKUP(A3435,[1]!Table1[#All],17,FALSE)</f>
        <v>UNITED STATES</v>
      </c>
      <c r="G3435" t="str">
        <f>VLOOKUP(A3435,[1]!Table1[#All],22,FALSE)</f>
        <v>MICHIGAN DEPARTMENT OF HEALTH AND HUMAN SERVICES</v>
      </c>
      <c r="H3435" s="8">
        <f>VLOOKUP(A3435,[1]!Table1[#All],32,FALSE)</f>
        <v>43678</v>
      </c>
      <c r="I3435" s="8">
        <f>VLOOKUP(A3435,[1]!Table1[#All],33,FALSE)</f>
        <v>45504</v>
      </c>
      <c r="J3435" t="str">
        <f t="shared" ca="1" si="57"/>
        <v>Non UDO</v>
      </c>
    </row>
    <row r="3436" spans="1:10" x14ac:dyDescent="0.35">
      <c r="A3436" s="5" t="s">
        <v>109</v>
      </c>
      <c r="B3436" s="6">
        <v>45139</v>
      </c>
      <c r="C3436" s="7">
        <v>3970</v>
      </c>
      <c r="D3436" s="7">
        <v>3970</v>
      </c>
      <c r="E3436" s="7">
        <v>0</v>
      </c>
      <c r="F3436" t="str">
        <f>VLOOKUP(A3436,[1]!Table1[#All],17,FALSE)</f>
        <v>UNITED STATES</v>
      </c>
      <c r="G3436" t="str">
        <f>VLOOKUP(A3436,[1]!Table1[#All],22,FALSE)</f>
        <v>MICHIGAN DEPARTMENT OF HEALTH AND HUMAN SERVICES</v>
      </c>
      <c r="H3436" s="8">
        <f>VLOOKUP(A3436,[1]!Table1[#All],32,FALSE)</f>
        <v>43678</v>
      </c>
      <c r="I3436" s="8">
        <f>VLOOKUP(A3436,[1]!Table1[#All],33,FALSE)</f>
        <v>45504</v>
      </c>
      <c r="J3436" t="str">
        <f t="shared" ca="1" si="57"/>
        <v>Non UDO</v>
      </c>
    </row>
    <row r="3437" spans="1:10" x14ac:dyDescent="0.35">
      <c r="A3437" s="9" t="s">
        <v>109</v>
      </c>
      <c r="B3437" s="10">
        <v>45170</v>
      </c>
      <c r="C3437" s="11">
        <v>3970</v>
      </c>
      <c r="D3437" s="11">
        <v>3970</v>
      </c>
      <c r="E3437" s="11">
        <v>0</v>
      </c>
      <c r="F3437" t="str">
        <f>VLOOKUP(A3437,[1]!Table1[#All],17,FALSE)</f>
        <v>UNITED STATES</v>
      </c>
      <c r="G3437" t="str">
        <f>VLOOKUP(A3437,[1]!Table1[#All],22,FALSE)</f>
        <v>MICHIGAN DEPARTMENT OF HEALTH AND HUMAN SERVICES</v>
      </c>
      <c r="H3437" s="8">
        <f>VLOOKUP(A3437,[1]!Table1[#All],32,FALSE)</f>
        <v>43678</v>
      </c>
      <c r="I3437" s="8">
        <f>VLOOKUP(A3437,[1]!Table1[#All],33,FALSE)</f>
        <v>45504</v>
      </c>
      <c r="J3437" t="str">
        <f t="shared" ca="1" si="57"/>
        <v>Non UDO</v>
      </c>
    </row>
    <row r="3438" spans="1:10" x14ac:dyDescent="0.35">
      <c r="A3438" s="5" t="s">
        <v>110</v>
      </c>
      <c r="B3438" s="6">
        <v>44774</v>
      </c>
      <c r="C3438" s="7">
        <v>6000</v>
      </c>
      <c r="D3438" s="7">
        <v>0</v>
      </c>
      <c r="E3438" s="7">
        <v>6000</v>
      </c>
      <c r="F3438" t="str">
        <f>VLOOKUP(A3438,[1]!Table1[#All],17,FALSE)</f>
        <v>UNITED STATES</v>
      </c>
      <c r="G3438" t="str">
        <f>VLOOKUP(A3438,[1]!Table1[#All],22,FALSE)</f>
        <v>MICHIGAN DEPARTMENT OF HEALTH AND HUMAN SERVICES</v>
      </c>
      <c r="H3438" s="8">
        <f>VLOOKUP(A3438,[1]!Table1[#All],32,FALSE)</f>
        <v>43678</v>
      </c>
      <c r="I3438" s="8">
        <f>VLOOKUP(A3438,[1]!Table1[#All],33,FALSE)</f>
        <v>45504</v>
      </c>
      <c r="J3438" t="str">
        <f t="shared" ca="1" si="57"/>
        <v>UDO</v>
      </c>
    </row>
    <row r="3439" spans="1:10" x14ac:dyDescent="0.35">
      <c r="A3439" s="9" t="s">
        <v>110</v>
      </c>
      <c r="B3439" s="10">
        <v>44805</v>
      </c>
      <c r="C3439" s="11">
        <v>6000</v>
      </c>
      <c r="D3439" s="11">
        <v>0</v>
      </c>
      <c r="E3439" s="11">
        <v>6000</v>
      </c>
      <c r="F3439" t="str">
        <f>VLOOKUP(A3439,[1]!Table1[#All],17,FALSE)</f>
        <v>UNITED STATES</v>
      </c>
      <c r="G3439" t="str">
        <f>VLOOKUP(A3439,[1]!Table1[#All],22,FALSE)</f>
        <v>MICHIGAN DEPARTMENT OF HEALTH AND HUMAN SERVICES</v>
      </c>
      <c r="H3439" s="8">
        <f>VLOOKUP(A3439,[1]!Table1[#All],32,FALSE)</f>
        <v>43678</v>
      </c>
      <c r="I3439" s="8">
        <f>VLOOKUP(A3439,[1]!Table1[#All],33,FALSE)</f>
        <v>45504</v>
      </c>
      <c r="J3439" t="str">
        <f t="shared" ca="1" si="57"/>
        <v>UDO</v>
      </c>
    </row>
    <row r="3440" spans="1:10" x14ac:dyDescent="0.35">
      <c r="A3440" s="5" t="s">
        <v>110</v>
      </c>
      <c r="B3440" s="6">
        <v>44835</v>
      </c>
      <c r="C3440" s="7">
        <v>6000</v>
      </c>
      <c r="D3440" s="7">
        <v>324.39</v>
      </c>
      <c r="E3440" s="7">
        <v>5675.61</v>
      </c>
      <c r="F3440" t="str">
        <f>VLOOKUP(A3440,[1]!Table1[#All],17,FALSE)</f>
        <v>UNITED STATES</v>
      </c>
      <c r="G3440" t="str">
        <f>VLOOKUP(A3440,[1]!Table1[#All],22,FALSE)</f>
        <v>MICHIGAN DEPARTMENT OF HEALTH AND HUMAN SERVICES</v>
      </c>
      <c r="H3440" s="8">
        <f>VLOOKUP(A3440,[1]!Table1[#All],32,FALSE)</f>
        <v>43678</v>
      </c>
      <c r="I3440" s="8">
        <f>VLOOKUP(A3440,[1]!Table1[#All],33,FALSE)</f>
        <v>45504</v>
      </c>
      <c r="J3440" t="str">
        <f t="shared" ca="1" si="57"/>
        <v>UDO</v>
      </c>
    </row>
    <row r="3441" spans="1:10" x14ac:dyDescent="0.35">
      <c r="A3441" s="9" t="s">
        <v>110</v>
      </c>
      <c r="B3441" s="10">
        <v>44866</v>
      </c>
      <c r="C3441" s="11">
        <v>6000</v>
      </c>
      <c r="D3441" s="11">
        <v>583.05999999999995</v>
      </c>
      <c r="E3441" s="11">
        <v>5416.94</v>
      </c>
      <c r="F3441" t="str">
        <f>VLOOKUP(A3441,[1]!Table1[#All],17,FALSE)</f>
        <v>UNITED STATES</v>
      </c>
      <c r="G3441" t="str">
        <f>VLOOKUP(A3441,[1]!Table1[#All],22,FALSE)</f>
        <v>MICHIGAN DEPARTMENT OF HEALTH AND HUMAN SERVICES</v>
      </c>
      <c r="H3441" s="8">
        <f>VLOOKUP(A3441,[1]!Table1[#All],32,FALSE)</f>
        <v>43678</v>
      </c>
      <c r="I3441" s="8">
        <f>VLOOKUP(A3441,[1]!Table1[#All],33,FALSE)</f>
        <v>45504</v>
      </c>
      <c r="J3441" t="str">
        <f t="shared" ca="1" si="57"/>
        <v>UDO</v>
      </c>
    </row>
    <row r="3442" spans="1:10" x14ac:dyDescent="0.35">
      <c r="A3442" s="5" t="s">
        <v>110</v>
      </c>
      <c r="B3442" s="6">
        <v>44896</v>
      </c>
      <c r="C3442" s="7">
        <v>6000</v>
      </c>
      <c r="D3442" s="7">
        <v>1192.23</v>
      </c>
      <c r="E3442" s="7">
        <v>4807.7700000000004</v>
      </c>
      <c r="F3442" t="str">
        <f>VLOOKUP(A3442,[1]!Table1[#All],17,FALSE)</f>
        <v>UNITED STATES</v>
      </c>
      <c r="G3442" t="str">
        <f>VLOOKUP(A3442,[1]!Table1[#All],22,FALSE)</f>
        <v>MICHIGAN DEPARTMENT OF HEALTH AND HUMAN SERVICES</v>
      </c>
      <c r="H3442" s="8">
        <f>VLOOKUP(A3442,[1]!Table1[#All],32,FALSE)</f>
        <v>43678</v>
      </c>
      <c r="I3442" s="8">
        <f>VLOOKUP(A3442,[1]!Table1[#All],33,FALSE)</f>
        <v>45504</v>
      </c>
      <c r="J3442" t="str">
        <f t="shared" ca="1" si="57"/>
        <v>UDO</v>
      </c>
    </row>
    <row r="3443" spans="1:10" x14ac:dyDescent="0.35">
      <c r="A3443" s="9" t="s">
        <v>110</v>
      </c>
      <c r="B3443" s="10">
        <v>44927</v>
      </c>
      <c r="C3443" s="11">
        <v>6000</v>
      </c>
      <c r="D3443" s="11">
        <v>1521.35</v>
      </c>
      <c r="E3443" s="11">
        <v>4478.6499999999996</v>
      </c>
      <c r="F3443" t="str">
        <f>VLOOKUP(A3443,[1]!Table1[#All],17,FALSE)</f>
        <v>UNITED STATES</v>
      </c>
      <c r="G3443" t="str">
        <f>VLOOKUP(A3443,[1]!Table1[#All],22,FALSE)</f>
        <v>MICHIGAN DEPARTMENT OF HEALTH AND HUMAN SERVICES</v>
      </c>
      <c r="H3443" s="8">
        <f>VLOOKUP(A3443,[1]!Table1[#All],32,FALSE)</f>
        <v>43678</v>
      </c>
      <c r="I3443" s="8">
        <f>VLOOKUP(A3443,[1]!Table1[#All],33,FALSE)</f>
        <v>45504</v>
      </c>
      <c r="J3443" t="str">
        <f t="shared" ca="1" si="57"/>
        <v>UDO</v>
      </c>
    </row>
    <row r="3444" spans="1:10" x14ac:dyDescent="0.35">
      <c r="A3444" s="5" t="s">
        <v>110</v>
      </c>
      <c r="B3444" s="6">
        <v>44958</v>
      </c>
      <c r="C3444" s="7">
        <v>6000</v>
      </c>
      <c r="D3444" s="7">
        <v>1796.68</v>
      </c>
      <c r="E3444" s="7">
        <v>4203.32</v>
      </c>
      <c r="F3444" t="str">
        <f>VLOOKUP(A3444,[1]!Table1[#All],17,FALSE)</f>
        <v>UNITED STATES</v>
      </c>
      <c r="G3444" t="str">
        <f>VLOOKUP(A3444,[1]!Table1[#All],22,FALSE)</f>
        <v>MICHIGAN DEPARTMENT OF HEALTH AND HUMAN SERVICES</v>
      </c>
      <c r="H3444" s="8">
        <f>VLOOKUP(A3444,[1]!Table1[#All],32,FALSE)</f>
        <v>43678</v>
      </c>
      <c r="I3444" s="8">
        <f>VLOOKUP(A3444,[1]!Table1[#All],33,FALSE)</f>
        <v>45504</v>
      </c>
      <c r="J3444" t="str">
        <f t="shared" ca="1" si="57"/>
        <v>UDO</v>
      </c>
    </row>
    <row r="3445" spans="1:10" x14ac:dyDescent="0.35">
      <c r="A3445" s="9" t="s">
        <v>110</v>
      </c>
      <c r="B3445" s="10">
        <v>44986</v>
      </c>
      <c r="C3445" s="11">
        <v>6000</v>
      </c>
      <c r="D3445" s="11">
        <v>2322.08</v>
      </c>
      <c r="E3445" s="11">
        <v>3677.92</v>
      </c>
      <c r="F3445" t="str">
        <f>VLOOKUP(A3445,[1]!Table1[#All],17,FALSE)</f>
        <v>UNITED STATES</v>
      </c>
      <c r="G3445" t="str">
        <f>VLOOKUP(A3445,[1]!Table1[#All],22,FALSE)</f>
        <v>MICHIGAN DEPARTMENT OF HEALTH AND HUMAN SERVICES</v>
      </c>
      <c r="H3445" s="8">
        <f>VLOOKUP(A3445,[1]!Table1[#All],32,FALSE)</f>
        <v>43678</v>
      </c>
      <c r="I3445" s="8">
        <f>VLOOKUP(A3445,[1]!Table1[#All],33,FALSE)</f>
        <v>45504</v>
      </c>
      <c r="J3445" t="str">
        <f t="shared" ca="1" si="57"/>
        <v>UDO</v>
      </c>
    </row>
    <row r="3446" spans="1:10" x14ac:dyDescent="0.35">
      <c r="A3446" s="5" t="s">
        <v>110</v>
      </c>
      <c r="B3446" s="6">
        <v>45017</v>
      </c>
      <c r="C3446" s="7">
        <v>6000</v>
      </c>
      <c r="D3446" s="7">
        <v>2637.66</v>
      </c>
      <c r="E3446" s="7">
        <v>3362.34</v>
      </c>
      <c r="F3446" t="str">
        <f>VLOOKUP(A3446,[1]!Table1[#All],17,FALSE)</f>
        <v>UNITED STATES</v>
      </c>
      <c r="G3446" t="str">
        <f>VLOOKUP(A3446,[1]!Table1[#All],22,FALSE)</f>
        <v>MICHIGAN DEPARTMENT OF HEALTH AND HUMAN SERVICES</v>
      </c>
      <c r="H3446" s="8">
        <f>VLOOKUP(A3446,[1]!Table1[#All],32,FALSE)</f>
        <v>43678</v>
      </c>
      <c r="I3446" s="8">
        <f>VLOOKUP(A3446,[1]!Table1[#All],33,FALSE)</f>
        <v>45504</v>
      </c>
      <c r="J3446" t="str">
        <f t="shared" ca="1" si="57"/>
        <v>UDO</v>
      </c>
    </row>
    <row r="3447" spans="1:10" x14ac:dyDescent="0.35">
      <c r="A3447" s="9" t="s">
        <v>110</v>
      </c>
      <c r="B3447" s="10">
        <v>45047</v>
      </c>
      <c r="C3447" s="11">
        <v>6000</v>
      </c>
      <c r="D3447" s="11">
        <v>3127.35</v>
      </c>
      <c r="E3447" s="11">
        <v>2872.65</v>
      </c>
      <c r="F3447" t="str">
        <f>VLOOKUP(A3447,[1]!Table1[#All],17,FALSE)</f>
        <v>UNITED STATES</v>
      </c>
      <c r="G3447" t="str">
        <f>VLOOKUP(A3447,[1]!Table1[#All],22,FALSE)</f>
        <v>MICHIGAN DEPARTMENT OF HEALTH AND HUMAN SERVICES</v>
      </c>
      <c r="H3447" s="8">
        <f>VLOOKUP(A3447,[1]!Table1[#All],32,FALSE)</f>
        <v>43678</v>
      </c>
      <c r="I3447" s="8">
        <f>VLOOKUP(A3447,[1]!Table1[#All],33,FALSE)</f>
        <v>45504</v>
      </c>
      <c r="J3447" t="str">
        <f t="shared" ca="1" si="57"/>
        <v>UDO</v>
      </c>
    </row>
    <row r="3448" spans="1:10" x14ac:dyDescent="0.35">
      <c r="A3448" s="5" t="s">
        <v>110</v>
      </c>
      <c r="B3448" s="6">
        <v>45078</v>
      </c>
      <c r="C3448" s="7">
        <v>6000</v>
      </c>
      <c r="D3448" s="7">
        <v>3594.42</v>
      </c>
      <c r="E3448" s="7">
        <v>2405.58</v>
      </c>
      <c r="F3448" t="str">
        <f>VLOOKUP(A3448,[1]!Table1[#All],17,FALSE)</f>
        <v>UNITED STATES</v>
      </c>
      <c r="G3448" t="str">
        <f>VLOOKUP(A3448,[1]!Table1[#All],22,FALSE)</f>
        <v>MICHIGAN DEPARTMENT OF HEALTH AND HUMAN SERVICES</v>
      </c>
      <c r="H3448" s="8">
        <f>VLOOKUP(A3448,[1]!Table1[#All],32,FALSE)</f>
        <v>43678</v>
      </c>
      <c r="I3448" s="8">
        <f>VLOOKUP(A3448,[1]!Table1[#All],33,FALSE)</f>
        <v>45504</v>
      </c>
      <c r="J3448" t="str">
        <f t="shared" ca="1" si="57"/>
        <v>UDO</v>
      </c>
    </row>
    <row r="3449" spans="1:10" x14ac:dyDescent="0.35">
      <c r="A3449" s="9" t="s">
        <v>110</v>
      </c>
      <c r="B3449" s="10">
        <v>45108</v>
      </c>
      <c r="C3449" s="11">
        <v>6000</v>
      </c>
      <c r="D3449" s="11">
        <v>4086.3</v>
      </c>
      <c r="E3449" s="11">
        <v>1913.7</v>
      </c>
      <c r="F3449" t="str">
        <f>VLOOKUP(A3449,[1]!Table1[#All],17,FALSE)</f>
        <v>UNITED STATES</v>
      </c>
      <c r="G3449" t="str">
        <f>VLOOKUP(A3449,[1]!Table1[#All],22,FALSE)</f>
        <v>MICHIGAN DEPARTMENT OF HEALTH AND HUMAN SERVICES</v>
      </c>
      <c r="H3449" s="8">
        <f>VLOOKUP(A3449,[1]!Table1[#All],32,FALSE)</f>
        <v>43678</v>
      </c>
      <c r="I3449" s="8">
        <f>VLOOKUP(A3449,[1]!Table1[#All],33,FALSE)</f>
        <v>45504</v>
      </c>
      <c r="J3449" t="str">
        <f t="shared" ca="1" si="57"/>
        <v>UDO</v>
      </c>
    </row>
    <row r="3450" spans="1:10" x14ac:dyDescent="0.35">
      <c r="A3450" s="5" t="s">
        <v>110</v>
      </c>
      <c r="B3450" s="6">
        <v>45139</v>
      </c>
      <c r="C3450" s="7">
        <v>6000</v>
      </c>
      <c r="D3450" s="7">
        <v>4500.38</v>
      </c>
      <c r="E3450" s="7">
        <v>1499.62</v>
      </c>
      <c r="F3450" t="str">
        <f>VLOOKUP(A3450,[1]!Table1[#All],17,FALSE)</f>
        <v>UNITED STATES</v>
      </c>
      <c r="G3450" t="str">
        <f>VLOOKUP(A3450,[1]!Table1[#All],22,FALSE)</f>
        <v>MICHIGAN DEPARTMENT OF HEALTH AND HUMAN SERVICES</v>
      </c>
      <c r="H3450" s="8">
        <f>VLOOKUP(A3450,[1]!Table1[#All],32,FALSE)</f>
        <v>43678</v>
      </c>
      <c r="I3450" s="8">
        <f>VLOOKUP(A3450,[1]!Table1[#All],33,FALSE)</f>
        <v>45504</v>
      </c>
      <c r="J3450" t="str">
        <f t="shared" ca="1" si="57"/>
        <v>UDO</v>
      </c>
    </row>
    <row r="3451" spans="1:10" x14ac:dyDescent="0.35">
      <c r="A3451" s="9" t="s">
        <v>110</v>
      </c>
      <c r="B3451" s="10">
        <v>45170</v>
      </c>
      <c r="C3451" s="11">
        <v>6000</v>
      </c>
      <c r="D3451" s="11">
        <v>5072.54</v>
      </c>
      <c r="E3451" s="11">
        <v>927.46</v>
      </c>
      <c r="F3451" t="str">
        <f>VLOOKUP(A3451,[1]!Table1[#All],17,FALSE)</f>
        <v>UNITED STATES</v>
      </c>
      <c r="G3451" t="str">
        <f>VLOOKUP(A3451,[1]!Table1[#All],22,FALSE)</f>
        <v>MICHIGAN DEPARTMENT OF HEALTH AND HUMAN SERVICES</v>
      </c>
      <c r="H3451" s="8">
        <f>VLOOKUP(A3451,[1]!Table1[#All],32,FALSE)</f>
        <v>43678</v>
      </c>
      <c r="I3451" s="8">
        <f>VLOOKUP(A3451,[1]!Table1[#All],33,FALSE)</f>
        <v>45504</v>
      </c>
      <c r="J3451" t="str">
        <f t="shared" ca="1" si="57"/>
        <v>UDO</v>
      </c>
    </row>
    <row r="3452" spans="1:10" x14ac:dyDescent="0.35">
      <c r="A3452" s="5" t="s">
        <v>111</v>
      </c>
      <c r="B3452" s="6">
        <v>44105</v>
      </c>
      <c r="C3452" s="7">
        <v>1650</v>
      </c>
      <c r="D3452" s="7">
        <v>0</v>
      </c>
      <c r="E3452" s="7">
        <v>1650</v>
      </c>
      <c r="F3452" t="str">
        <f>VLOOKUP(A3452,[1]!Table1[#All],17,FALSE)</f>
        <v>UNITED STATES</v>
      </c>
      <c r="G3452" t="str">
        <f>VLOOKUP(A3452,[1]!Table1[#All],22,FALSE)</f>
        <v>WA ST DEPARTMENT OF HEALTH</v>
      </c>
      <c r="H3452" s="8">
        <f>VLOOKUP(A3452,[1]!Table1[#All],32,FALSE)</f>
        <v>43678</v>
      </c>
      <c r="I3452" s="8">
        <f>VLOOKUP(A3452,[1]!Table1[#All],33,FALSE)</f>
        <v>45504</v>
      </c>
      <c r="J3452" t="str">
        <f t="shared" ca="1" si="57"/>
        <v>UDO</v>
      </c>
    </row>
    <row r="3453" spans="1:10" x14ac:dyDescent="0.35">
      <c r="A3453" s="9" t="s">
        <v>111</v>
      </c>
      <c r="B3453" s="10">
        <v>44136</v>
      </c>
      <c r="C3453" s="11">
        <v>1650</v>
      </c>
      <c r="D3453" s="11">
        <v>0</v>
      </c>
      <c r="E3453" s="11">
        <v>1650</v>
      </c>
      <c r="F3453" t="str">
        <f>VLOOKUP(A3453,[1]!Table1[#All],17,FALSE)</f>
        <v>UNITED STATES</v>
      </c>
      <c r="G3453" t="str">
        <f>VLOOKUP(A3453,[1]!Table1[#All],22,FALSE)</f>
        <v>WA ST DEPARTMENT OF HEALTH</v>
      </c>
      <c r="H3453" s="8">
        <f>VLOOKUP(A3453,[1]!Table1[#All],32,FALSE)</f>
        <v>43678</v>
      </c>
      <c r="I3453" s="8">
        <f>VLOOKUP(A3453,[1]!Table1[#All],33,FALSE)</f>
        <v>45504</v>
      </c>
      <c r="J3453" t="str">
        <f t="shared" ca="1" si="57"/>
        <v>UDO</v>
      </c>
    </row>
    <row r="3454" spans="1:10" x14ac:dyDescent="0.35">
      <c r="A3454" s="5" t="s">
        <v>111</v>
      </c>
      <c r="B3454" s="6">
        <v>44166</v>
      </c>
      <c r="C3454" s="7">
        <v>1650</v>
      </c>
      <c r="D3454" s="7">
        <v>0</v>
      </c>
      <c r="E3454" s="7">
        <v>1650</v>
      </c>
      <c r="F3454" t="str">
        <f>VLOOKUP(A3454,[1]!Table1[#All],17,FALSE)</f>
        <v>UNITED STATES</v>
      </c>
      <c r="G3454" t="str">
        <f>VLOOKUP(A3454,[1]!Table1[#All],22,FALSE)</f>
        <v>WA ST DEPARTMENT OF HEALTH</v>
      </c>
      <c r="H3454" s="8">
        <f>VLOOKUP(A3454,[1]!Table1[#All],32,FALSE)</f>
        <v>43678</v>
      </c>
      <c r="I3454" s="8">
        <f>VLOOKUP(A3454,[1]!Table1[#All],33,FALSE)</f>
        <v>45504</v>
      </c>
      <c r="J3454" t="str">
        <f t="shared" ca="1" si="57"/>
        <v>UDO</v>
      </c>
    </row>
    <row r="3455" spans="1:10" x14ac:dyDescent="0.35">
      <c r="A3455" s="9" t="s">
        <v>111</v>
      </c>
      <c r="B3455" s="10">
        <v>44197</v>
      </c>
      <c r="C3455" s="11">
        <v>1650</v>
      </c>
      <c r="D3455" s="11">
        <v>70.37</v>
      </c>
      <c r="E3455" s="11">
        <v>1579.63</v>
      </c>
      <c r="F3455" t="str">
        <f>VLOOKUP(A3455,[1]!Table1[#All],17,FALSE)</f>
        <v>UNITED STATES</v>
      </c>
      <c r="G3455" t="str">
        <f>VLOOKUP(A3455,[1]!Table1[#All],22,FALSE)</f>
        <v>WA ST DEPARTMENT OF HEALTH</v>
      </c>
      <c r="H3455" s="8">
        <f>VLOOKUP(A3455,[1]!Table1[#All],32,FALSE)</f>
        <v>43678</v>
      </c>
      <c r="I3455" s="8">
        <f>VLOOKUP(A3455,[1]!Table1[#All],33,FALSE)</f>
        <v>45504</v>
      </c>
      <c r="J3455" t="str">
        <f t="shared" ca="1" si="57"/>
        <v>UDO</v>
      </c>
    </row>
    <row r="3456" spans="1:10" x14ac:dyDescent="0.35">
      <c r="A3456" s="5" t="s">
        <v>111</v>
      </c>
      <c r="B3456" s="6">
        <v>44228</v>
      </c>
      <c r="C3456" s="7">
        <v>1650</v>
      </c>
      <c r="D3456" s="7">
        <v>189.28</v>
      </c>
      <c r="E3456" s="7">
        <v>1460.72</v>
      </c>
      <c r="F3456" t="str">
        <f>VLOOKUP(A3456,[1]!Table1[#All],17,FALSE)</f>
        <v>UNITED STATES</v>
      </c>
      <c r="G3456" t="str">
        <f>VLOOKUP(A3456,[1]!Table1[#All],22,FALSE)</f>
        <v>WA ST DEPARTMENT OF HEALTH</v>
      </c>
      <c r="H3456" s="8">
        <f>VLOOKUP(A3456,[1]!Table1[#All],32,FALSE)</f>
        <v>43678</v>
      </c>
      <c r="I3456" s="8">
        <f>VLOOKUP(A3456,[1]!Table1[#All],33,FALSE)</f>
        <v>45504</v>
      </c>
      <c r="J3456" t="str">
        <f t="shared" ca="1" si="57"/>
        <v>UDO</v>
      </c>
    </row>
    <row r="3457" spans="1:10" x14ac:dyDescent="0.35">
      <c r="A3457" s="9" t="s">
        <v>111</v>
      </c>
      <c r="B3457" s="10">
        <v>44256</v>
      </c>
      <c r="C3457" s="11">
        <v>1650</v>
      </c>
      <c r="D3457" s="11">
        <v>285.27999999999997</v>
      </c>
      <c r="E3457" s="11">
        <v>1364.72</v>
      </c>
      <c r="F3457" t="str">
        <f>VLOOKUP(A3457,[1]!Table1[#All],17,FALSE)</f>
        <v>UNITED STATES</v>
      </c>
      <c r="G3457" t="str">
        <f>VLOOKUP(A3457,[1]!Table1[#All],22,FALSE)</f>
        <v>WA ST DEPARTMENT OF HEALTH</v>
      </c>
      <c r="H3457" s="8">
        <f>VLOOKUP(A3457,[1]!Table1[#All],32,FALSE)</f>
        <v>43678</v>
      </c>
      <c r="I3457" s="8">
        <f>VLOOKUP(A3457,[1]!Table1[#All],33,FALSE)</f>
        <v>45504</v>
      </c>
      <c r="J3457" t="str">
        <f t="shared" ca="1" si="57"/>
        <v>UDO</v>
      </c>
    </row>
    <row r="3458" spans="1:10" x14ac:dyDescent="0.35">
      <c r="A3458" s="5" t="s">
        <v>111</v>
      </c>
      <c r="B3458" s="6">
        <v>44317</v>
      </c>
      <c r="C3458" s="7">
        <v>1650</v>
      </c>
      <c r="D3458" s="7">
        <v>584.24</v>
      </c>
      <c r="E3458" s="7">
        <v>1065.76</v>
      </c>
      <c r="F3458" t="str">
        <f>VLOOKUP(A3458,[1]!Table1[#All],17,FALSE)</f>
        <v>UNITED STATES</v>
      </c>
      <c r="G3458" t="str">
        <f>VLOOKUP(A3458,[1]!Table1[#All],22,FALSE)</f>
        <v>WA ST DEPARTMENT OF HEALTH</v>
      </c>
      <c r="H3458" s="8">
        <f>VLOOKUP(A3458,[1]!Table1[#All],32,FALSE)</f>
        <v>43678</v>
      </c>
      <c r="I3458" s="8">
        <f>VLOOKUP(A3458,[1]!Table1[#All],33,FALSE)</f>
        <v>45504</v>
      </c>
      <c r="J3458" t="str">
        <f t="shared" ca="1" si="57"/>
        <v>UDO</v>
      </c>
    </row>
    <row r="3459" spans="1:10" x14ac:dyDescent="0.35">
      <c r="A3459" s="9" t="s">
        <v>111</v>
      </c>
      <c r="B3459" s="10">
        <v>44348</v>
      </c>
      <c r="C3459" s="11">
        <v>1650</v>
      </c>
      <c r="D3459" s="11">
        <v>657.05</v>
      </c>
      <c r="E3459" s="11">
        <v>992.95</v>
      </c>
      <c r="F3459" t="str">
        <f>VLOOKUP(A3459,[1]!Table1[#All],17,FALSE)</f>
        <v>UNITED STATES</v>
      </c>
      <c r="G3459" t="str">
        <f>VLOOKUP(A3459,[1]!Table1[#All],22,FALSE)</f>
        <v>WA ST DEPARTMENT OF HEALTH</v>
      </c>
      <c r="H3459" s="8">
        <f>VLOOKUP(A3459,[1]!Table1[#All],32,FALSE)</f>
        <v>43678</v>
      </c>
      <c r="I3459" s="8">
        <f>VLOOKUP(A3459,[1]!Table1[#All],33,FALSE)</f>
        <v>45504</v>
      </c>
      <c r="J3459" t="str">
        <f t="shared" ref="J3459:J3522" ca="1" si="58">IF(AND( E3459&gt;0,TODAY()&gt;I3459),"UDO","Non UDO")</f>
        <v>UDO</v>
      </c>
    </row>
    <row r="3460" spans="1:10" x14ac:dyDescent="0.35">
      <c r="A3460" s="5" t="s">
        <v>111</v>
      </c>
      <c r="B3460" s="6">
        <v>44378</v>
      </c>
      <c r="C3460" s="7">
        <v>1650</v>
      </c>
      <c r="D3460" s="7">
        <v>804.23</v>
      </c>
      <c r="E3460" s="7">
        <v>845.77</v>
      </c>
      <c r="F3460" t="str">
        <f>VLOOKUP(A3460,[1]!Table1[#All],17,FALSE)</f>
        <v>UNITED STATES</v>
      </c>
      <c r="G3460" t="str">
        <f>VLOOKUP(A3460,[1]!Table1[#All],22,FALSE)</f>
        <v>WA ST DEPARTMENT OF HEALTH</v>
      </c>
      <c r="H3460" s="8">
        <f>VLOOKUP(A3460,[1]!Table1[#All],32,FALSE)</f>
        <v>43678</v>
      </c>
      <c r="I3460" s="8">
        <f>VLOOKUP(A3460,[1]!Table1[#All],33,FALSE)</f>
        <v>45504</v>
      </c>
      <c r="J3460" t="str">
        <f t="shared" ca="1" si="58"/>
        <v>UDO</v>
      </c>
    </row>
    <row r="3461" spans="1:10" x14ac:dyDescent="0.35">
      <c r="A3461" s="9" t="s">
        <v>111</v>
      </c>
      <c r="B3461" s="10">
        <v>44409</v>
      </c>
      <c r="C3461" s="11">
        <v>1650</v>
      </c>
      <c r="D3461" s="11">
        <v>861.55</v>
      </c>
      <c r="E3461" s="11">
        <v>788.45</v>
      </c>
      <c r="F3461" t="str">
        <f>VLOOKUP(A3461,[1]!Table1[#All],17,FALSE)</f>
        <v>UNITED STATES</v>
      </c>
      <c r="G3461" t="str">
        <f>VLOOKUP(A3461,[1]!Table1[#All],22,FALSE)</f>
        <v>WA ST DEPARTMENT OF HEALTH</v>
      </c>
      <c r="H3461" s="8">
        <f>VLOOKUP(A3461,[1]!Table1[#All],32,FALSE)</f>
        <v>43678</v>
      </c>
      <c r="I3461" s="8">
        <f>VLOOKUP(A3461,[1]!Table1[#All],33,FALSE)</f>
        <v>45504</v>
      </c>
      <c r="J3461" t="str">
        <f t="shared" ca="1" si="58"/>
        <v>UDO</v>
      </c>
    </row>
    <row r="3462" spans="1:10" x14ac:dyDescent="0.35">
      <c r="A3462" s="5" t="s">
        <v>111</v>
      </c>
      <c r="B3462" s="6">
        <v>44440</v>
      </c>
      <c r="C3462" s="7">
        <v>1650</v>
      </c>
      <c r="D3462" s="7">
        <v>1030.94</v>
      </c>
      <c r="E3462" s="7">
        <v>619.05999999999995</v>
      </c>
      <c r="F3462" t="str">
        <f>VLOOKUP(A3462,[1]!Table1[#All],17,FALSE)</f>
        <v>UNITED STATES</v>
      </c>
      <c r="G3462" t="str">
        <f>VLOOKUP(A3462,[1]!Table1[#All],22,FALSE)</f>
        <v>WA ST DEPARTMENT OF HEALTH</v>
      </c>
      <c r="H3462" s="8">
        <f>VLOOKUP(A3462,[1]!Table1[#All],32,FALSE)</f>
        <v>43678</v>
      </c>
      <c r="I3462" s="8">
        <f>VLOOKUP(A3462,[1]!Table1[#All],33,FALSE)</f>
        <v>45504</v>
      </c>
      <c r="J3462" t="str">
        <f t="shared" ca="1" si="58"/>
        <v>UDO</v>
      </c>
    </row>
    <row r="3463" spans="1:10" x14ac:dyDescent="0.35">
      <c r="A3463" s="9" t="s">
        <v>111</v>
      </c>
      <c r="B3463" s="10">
        <v>44470</v>
      </c>
      <c r="C3463" s="11">
        <v>1650</v>
      </c>
      <c r="D3463" s="11">
        <v>1104.75</v>
      </c>
      <c r="E3463" s="11">
        <v>545.25</v>
      </c>
      <c r="F3463" t="str">
        <f>VLOOKUP(A3463,[1]!Table1[#All],17,FALSE)</f>
        <v>UNITED STATES</v>
      </c>
      <c r="G3463" t="str">
        <f>VLOOKUP(A3463,[1]!Table1[#All],22,FALSE)</f>
        <v>WA ST DEPARTMENT OF HEALTH</v>
      </c>
      <c r="H3463" s="8">
        <f>VLOOKUP(A3463,[1]!Table1[#All],32,FALSE)</f>
        <v>43678</v>
      </c>
      <c r="I3463" s="8">
        <f>VLOOKUP(A3463,[1]!Table1[#All],33,FALSE)</f>
        <v>45504</v>
      </c>
      <c r="J3463" t="str">
        <f t="shared" ca="1" si="58"/>
        <v>UDO</v>
      </c>
    </row>
    <row r="3464" spans="1:10" x14ac:dyDescent="0.35">
      <c r="A3464" s="5" t="s">
        <v>111</v>
      </c>
      <c r="B3464" s="6">
        <v>44501</v>
      </c>
      <c r="C3464" s="7">
        <v>1650</v>
      </c>
      <c r="D3464" s="7">
        <v>1193.94</v>
      </c>
      <c r="E3464" s="7">
        <v>456.06</v>
      </c>
      <c r="F3464" t="str">
        <f>VLOOKUP(A3464,[1]!Table1[#All],17,FALSE)</f>
        <v>UNITED STATES</v>
      </c>
      <c r="G3464" t="str">
        <f>VLOOKUP(A3464,[1]!Table1[#All],22,FALSE)</f>
        <v>WA ST DEPARTMENT OF HEALTH</v>
      </c>
      <c r="H3464" s="8">
        <f>VLOOKUP(A3464,[1]!Table1[#All],32,FALSE)</f>
        <v>43678</v>
      </c>
      <c r="I3464" s="8">
        <f>VLOOKUP(A3464,[1]!Table1[#All],33,FALSE)</f>
        <v>45504</v>
      </c>
      <c r="J3464" t="str">
        <f t="shared" ca="1" si="58"/>
        <v>UDO</v>
      </c>
    </row>
    <row r="3465" spans="1:10" x14ac:dyDescent="0.35">
      <c r="A3465" s="9" t="s">
        <v>111</v>
      </c>
      <c r="B3465" s="10">
        <v>44531</v>
      </c>
      <c r="C3465" s="11">
        <v>1650</v>
      </c>
      <c r="D3465" s="11">
        <v>1309.3900000000001</v>
      </c>
      <c r="E3465" s="11">
        <v>340.61</v>
      </c>
      <c r="F3465" t="str">
        <f>VLOOKUP(A3465,[1]!Table1[#All],17,FALSE)</f>
        <v>UNITED STATES</v>
      </c>
      <c r="G3465" t="str">
        <f>VLOOKUP(A3465,[1]!Table1[#All],22,FALSE)</f>
        <v>WA ST DEPARTMENT OF HEALTH</v>
      </c>
      <c r="H3465" s="8">
        <f>VLOOKUP(A3465,[1]!Table1[#All],32,FALSE)</f>
        <v>43678</v>
      </c>
      <c r="I3465" s="8">
        <f>VLOOKUP(A3465,[1]!Table1[#All],33,FALSE)</f>
        <v>45504</v>
      </c>
      <c r="J3465" t="str">
        <f t="shared" ca="1" si="58"/>
        <v>UDO</v>
      </c>
    </row>
    <row r="3466" spans="1:10" x14ac:dyDescent="0.35">
      <c r="A3466" s="5" t="s">
        <v>111</v>
      </c>
      <c r="B3466" s="6">
        <v>44562</v>
      </c>
      <c r="C3466" s="7">
        <v>1650</v>
      </c>
      <c r="D3466" s="7">
        <v>1410.5</v>
      </c>
      <c r="E3466" s="7">
        <v>239.5</v>
      </c>
      <c r="F3466" t="str">
        <f>VLOOKUP(A3466,[1]!Table1[#All],17,FALSE)</f>
        <v>UNITED STATES</v>
      </c>
      <c r="G3466" t="str">
        <f>VLOOKUP(A3466,[1]!Table1[#All],22,FALSE)</f>
        <v>WA ST DEPARTMENT OF HEALTH</v>
      </c>
      <c r="H3466" s="8">
        <f>VLOOKUP(A3466,[1]!Table1[#All],32,FALSE)</f>
        <v>43678</v>
      </c>
      <c r="I3466" s="8">
        <f>VLOOKUP(A3466,[1]!Table1[#All],33,FALSE)</f>
        <v>45504</v>
      </c>
      <c r="J3466" t="str">
        <f t="shared" ca="1" si="58"/>
        <v>UDO</v>
      </c>
    </row>
    <row r="3467" spans="1:10" x14ac:dyDescent="0.35">
      <c r="A3467" s="9" t="s">
        <v>111</v>
      </c>
      <c r="B3467" s="10">
        <v>44593</v>
      </c>
      <c r="C3467" s="11">
        <v>1650</v>
      </c>
      <c r="D3467" s="11">
        <v>1564.75</v>
      </c>
      <c r="E3467" s="11">
        <v>85.25</v>
      </c>
      <c r="F3467" t="str">
        <f>VLOOKUP(A3467,[1]!Table1[#All],17,FALSE)</f>
        <v>UNITED STATES</v>
      </c>
      <c r="G3467" t="str">
        <f>VLOOKUP(A3467,[1]!Table1[#All],22,FALSE)</f>
        <v>WA ST DEPARTMENT OF HEALTH</v>
      </c>
      <c r="H3467" s="8">
        <f>VLOOKUP(A3467,[1]!Table1[#All],32,FALSE)</f>
        <v>43678</v>
      </c>
      <c r="I3467" s="8">
        <f>VLOOKUP(A3467,[1]!Table1[#All],33,FALSE)</f>
        <v>45504</v>
      </c>
      <c r="J3467" t="str">
        <f t="shared" ca="1" si="58"/>
        <v>UDO</v>
      </c>
    </row>
    <row r="3468" spans="1:10" x14ac:dyDescent="0.35">
      <c r="A3468" s="5" t="s">
        <v>111</v>
      </c>
      <c r="B3468" s="6">
        <v>44621</v>
      </c>
      <c r="C3468" s="7">
        <v>1650</v>
      </c>
      <c r="D3468" s="7">
        <v>1609.02</v>
      </c>
      <c r="E3468" s="7">
        <v>40.98</v>
      </c>
      <c r="F3468" t="str">
        <f>VLOOKUP(A3468,[1]!Table1[#All],17,FALSE)</f>
        <v>UNITED STATES</v>
      </c>
      <c r="G3468" t="str">
        <f>VLOOKUP(A3468,[1]!Table1[#All],22,FALSE)</f>
        <v>WA ST DEPARTMENT OF HEALTH</v>
      </c>
      <c r="H3468" s="8">
        <f>VLOOKUP(A3468,[1]!Table1[#All],32,FALSE)</f>
        <v>43678</v>
      </c>
      <c r="I3468" s="8">
        <f>VLOOKUP(A3468,[1]!Table1[#All],33,FALSE)</f>
        <v>45504</v>
      </c>
      <c r="J3468" t="str">
        <f t="shared" ca="1" si="58"/>
        <v>UDO</v>
      </c>
    </row>
    <row r="3469" spans="1:10" x14ac:dyDescent="0.35">
      <c r="A3469" s="9" t="s">
        <v>111</v>
      </c>
      <c r="B3469" s="10">
        <v>44652</v>
      </c>
      <c r="C3469" s="11">
        <v>1650</v>
      </c>
      <c r="D3469" s="11">
        <v>1650</v>
      </c>
      <c r="E3469" s="11">
        <v>0</v>
      </c>
      <c r="F3469" t="str">
        <f>VLOOKUP(A3469,[1]!Table1[#All],17,FALSE)</f>
        <v>UNITED STATES</v>
      </c>
      <c r="G3469" t="str">
        <f>VLOOKUP(A3469,[1]!Table1[#All],22,FALSE)</f>
        <v>WA ST DEPARTMENT OF HEALTH</v>
      </c>
      <c r="H3469" s="8">
        <f>VLOOKUP(A3469,[1]!Table1[#All],32,FALSE)</f>
        <v>43678</v>
      </c>
      <c r="I3469" s="8">
        <f>VLOOKUP(A3469,[1]!Table1[#All],33,FALSE)</f>
        <v>45504</v>
      </c>
      <c r="J3469" t="str">
        <f t="shared" ca="1" si="58"/>
        <v>Non UDO</v>
      </c>
    </row>
    <row r="3470" spans="1:10" x14ac:dyDescent="0.35">
      <c r="A3470" s="5" t="s">
        <v>111</v>
      </c>
      <c r="B3470" s="6">
        <v>44682</v>
      </c>
      <c r="C3470" s="7">
        <v>1650</v>
      </c>
      <c r="D3470" s="7">
        <v>1650</v>
      </c>
      <c r="E3470" s="7">
        <v>0</v>
      </c>
      <c r="F3470" t="str">
        <f>VLOOKUP(A3470,[1]!Table1[#All],17,FALSE)</f>
        <v>UNITED STATES</v>
      </c>
      <c r="G3470" t="str">
        <f>VLOOKUP(A3470,[1]!Table1[#All],22,FALSE)</f>
        <v>WA ST DEPARTMENT OF HEALTH</v>
      </c>
      <c r="H3470" s="8">
        <f>VLOOKUP(A3470,[1]!Table1[#All],32,FALSE)</f>
        <v>43678</v>
      </c>
      <c r="I3470" s="8">
        <f>VLOOKUP(A3470,[1]!Table1[#All],33,FALSE)</f>
        <v>45504</v>
      </c>
      <c r="J3470" t="str">
        <f t="shared" ca="1" si="58"/>
        <v>Non UDO</v>
      </c>
    </row>
    <row r="3471" spans="1:10" x14ac:dyDescent="0.35">
      <c r="A3471" s="9" t="s">
        <v>111</v>
      </c>
      <c r="B3471" s="10">
        <v>44713</v>
      </c>
      <c r="C3471" s="11">
        <v>1650</v>
      </c>
      <c r="D3471" s="11">
        <v>1650</v>
      </c>
      <c r="E3471" s="11">
        <v>0</v>
      </c>
      <c r="F3471" t="str">
        <f>VLOOKUP(A3471,[1]!Table1[#All],17,FALSE)</f>
        <v>UNITED STATES</v>
      </c>
      <c r="G3471" t="str">
        <f>VLOOKUP(A3471,[1]!Table1[#All],22,FALSE)</f>
        <v>WA ST DEPARTMENT OF HEALTH</v>
      </c>
      <c r="H3471" s="8">
        <f>VLOOKUP(A3471,[1]!Table1[#All],32,FALSE)</f>
        <v>43678</v>
      </c>
      <c r="I3471" s="8">
        <f>VLOOKUP(A3471,[1]!Table1[#All],33,FALSE)</f>
        <v>45504</v>
      </c>
      <c r="J3471" t="str">
        <f t="shared" ca="1" si="58"/>
        <v>Non UDO</v>
      </c>
    </row>
    <row r="3472" spans="1:10" x14ac:dyDescent="0.35">
      <c r="A3472" s="5" t="s">
        <v>111</v>
      </c>
      <c r="B3472" s="6">
        <v>44743</v>
      </c>
      <c r="C3472" s="7">
        <v>1650</v>
      </c>
      <c r="D3472" s="7">
        <v>1650</v>
      </c>
      <c r="E3472" s="7">
        <v>0</v>
      </c>
      <c r="F3472" t="str">
        <f>VLOOKUP(A3472,[1]!Table1[#All],17,FALSE)</f>
        <v>UNITED STATES</v>
      </c>
      <c r="G3472" t="str">
        <f>VLOOKUP(A3472,[1]!Table1[#All],22,FALSE)</f>
        <v>WA ST DEPARTMENT OF HEALTH</v>
      </c>
      <c r="H3472" s="8">
        <f>VLOOKUP(A3472,[1]!Table1[#All],32,FALSE)</f>
        <v>43678</v>
      </c>
      <c r="I3472" s="8">
        <f>VLOOKUP(A3472,[1]!Table1[#All],33,FALSE)</f>
        <v>45504</v>
      </c>
      <c r="J3472" t="str">
        <f t="shared" ca="1" si="58"/>
        <v>Non UDO</v>
      </c>
    </row>
    <row r="3473" spans="1:10" x14ac:dyDescent="0.35">
      <c r="A3473" s="9" t="s">
        <v>111</v>
      </c>
      <c r="B3473" s="10">
        <v>44774</v>
      </c>
      <c r="C3473" s="11">
        <v>1650</v>
      </c>
      <c r="D3473" s="11">
        <v>1650</v>
      </c>
      <c r="E3473" s="11">
        <v>0</v>
      </c>
      <c r="F3473" t="str">
        <f>VLOOKUP(A3473,[1]!Table1[#All],17,FALSE)</f>
        <v>UNITED STATES</v>
      </c>
      <c r="G3473" t="str">
        <f>VLOOKUP(A3473,[1]!Table1[#All],22,FALSE)</f>
        <v>WA ST DEPARTMENT OF HEALTH</v>
      </c>
      <c r="H3473" s="8">
        <f>VLOOKUP(A3473,[1]!Table1[#All],32,FALSE)</f>
        <v>43678</v>
      </c>
      <c r="I3473" s="8">
        <f>VLOOKUP(A3473,[1]!Table1[#All],33,FALSE)</f>
        <v>45504</v>
      </c>
      <c r="J3473" t="str">
        <f t="shared" ca="1" si="58"/>
        <v>Non UDO</v>
      </c>
    </row>
    <row r="3474" spans="1:10" x14ac:dyDescent="0.35">
      <c r="A3474" s="5" t="s">
        <v>111</v>
      </c>
      <c r="B3474" s="6">
        <v>44805</v>
      </c>
      <c r="C3474" s="7">
        <v>1650</v>
      </c>
      <c r="D3474" s="7">
        <v>1650</v>
      </c>
      <c r="E3474" s="7">
        <v>0</v>
      </c>
      <c r="F3474" t="str">
        <f>VLOOKUP(A3474,[1]!Table1[#All],17,FALSE)</f>
        <v>UNITED STATES</v>
      </c>
      <c r="G3474" t="str">
        <f>VLOOKUP(A3474,[1]!Table1[#All],22,FALSE)</f>
        <v>WA ST DEPARTMENT OF HEALTH</v>
      </c>
      <c r="H3474" s="8">
        <f>VLOOKUP(A3474,[1]!Table1[#All],32,FALSE)</f>
        <v>43678</v>
      </c>
      <c r="I3474" s="8">
        <f>VLOOKUP(A3474,[1]!Table1[#All],33,FALSE)</f>
        <v>45504</v>
      </c>
      <c r="J3474" t="str">
        <f t="shared" ca="1" si="58"/>
        <v>Non UDO</v>
      </c>
    </row>
    <row r="3475" spans="1:10" x14ac:dyDescent="0.35">
      <c r="A3475" s="9" t="s">
        <v>111</v>
      </c>
      <c r="B3475" s="10">
        <v>44835</v>
      </c>
      <c r="C3475" s="11">
        <v>1650</v>
      </c>
      <c r="D3475" s="11">
        <v>1650</v>
      </c>
      <c r="E3475" s="11">
        <v>0</v>
      </c>
      <c r="F3475" t="str">
        <f>VLOOKUP(A3475,[1]!Table1[#All],17,FALSE)</f>
        <v>UNITED STATES</v>
      </c>
      <c r="G3475" t="str">
        <f>VLOOKUP(A3475,[1]!Table1[#All],22,FALSE)</f>
        <v>WA ST DEPARTMENT OF HEALTH</v>
      </c>
      <c r="H3475" s="8">
        <f>VLOOKUP(A3475,[1]!Table1[#All],32,FALSE)</f>
        <v>43678</v>
      </c>
      <c r="I3475" s="8">
        <f>VLOOKUP(A3475,[1]!Table1[#All],33,FALSE)</f>
        <v>45504</v>
      </c>
      <c r="J3475" t="str">
        <f t="shared" ca="1" si="58"/>
        <v>Non UDO</v>
      </c>
    </row>
    <row r="3476" spans="1:10" x14ac:dyDescent="0.35">
      <c r="A3476" s="5" t="s">
        <v>111</v>
      </c>
      <c r="B3476" s="6">
        <v>44866</v>
      </c>
      <c r="C3476" s="7">
        <v>1650</v>
      </c>
      <c r="D3476" s="7">
        <v>1650</v>
      </c>
      <c r="E3476" s="7">
        <v>0</v>
      </c>
      <c r="F3476" t="str">
        <f>VLOOKUP(A3476,[1]!Table1[#All],17,FALSE)</f>
        <v>UNITED STATES</v>
      </c>
      <c r="G3476" t="str">
        <f>VLOOKUP(A3476,[1]!Table1[#All],22,FALSE)</f>
        <v>WA ST DEPARTMENT OF HEALTH</v>
      </c>
      <c r="H3476" s="8">
        <f>VLOOKUP(A3476,[1]!Table1[#All],32,FALSE)</f>
        <v>43678</v>
      </c>
      <c r="I3476" s="8">
        <f>VLOOKUP(A3476,[1]!Table1[#All],33,FALSE)</f>
        <v>45504</v>
      </c>
      <c r="J3476" t="str">
        <f t="shared" ca="1" si="58"/>
        <v>Non UDO</v>
      </c>
    </row>
    <row r="3477" spans="1:10" x14ac:dyDescent="0.35">
      <c r="A3477" s="9" t="s">
        <v>111</v>
      </c>
      <c r="B3477" s="10">
        <v>44896</v>
      </c>
      <c r="C3477" s="11">
        <v>1650</v>
      </c>
      <c r="D3477" s="11">
        <v>1650</v>
      </c>
      <c r="E3477" s="11">
        <v>0</v>
      </c>
      <c r="F3477" t="str">
        <f>VLOOKUP(A3477,[1]!Table1[#All],17,FALSE)</f>
        <v>UNITED STATES</v>
      </c>
      <c r="G3477" t="str">
        <f>VLOOKUP(A3477,[1]!Table1[#All],22,FALSE)</f>
        <v>WA ST DEPARTMENT OF HEALTH</v>
      </c>
      <c r="H3477" s="8">
        <f>VLOOKUP(A3477,[1]!Table1[#All],32,FALSE)</f>
        <v>43678</v>
      </c>
      <c r="I3477" s="8">
        <f>VLOOKUP(A3477,[1]!Table1[#All],33,FALSE)</f>
        <v>45504</v>
      </c>
      <c r="J3477" t="str">
        <f t="shared" ca="1" si="58"/>
        <v>Non UDO</v>
      </c>
    </row>
    <row r="3478" spans="1:10" x14ac:dyDescent="0.35">
      <c r="A3478" s="5" t="s">
        <v>111</v>
      </c>
      <c r="B3478" s="6">
        <v>44927</v>
      </c>
      <c r="C3478" s="7">
        <v>1650</v>
      </c>
      <c r="D3478" s="7">
        <v>1650</v>
      </c>
      <c r="E3478" s="7">
        <v>0</v>
      </c>
      <c r="F3478" t="str">
        <f>VLOOKUP(A3478,[1]!Table1[#All],17,FALSE)</f>
        <v>UNITED STATES</v>
      </c>
      <c r="G3478" t="str">
        <f>VLOOKUP(A3478,[1]!Table1[#All],22,FALSE)</f>
        <v>WA ST DEPARTMENT OF HEALTH</v>
      </c>
      <c r="H3478" s="8">
        <f>VLOOKUP(A3478,[1]!Table1[#All],32,FALSE)</f>
        <v>43678</v>
      </c>
      <c r="I3478" s="8">
        <f>VLOOKUP(A3478,[1]!Table1[#All],33,FALSE)</f>
        <v>45504</v>
      </c>
      <c r="J3478" t="str">
        <f t="shared" ca="1" si="58"/>
        <v>Non UDO</v>
      </c>
    </row>
    <row r="3479" spans="1:10" x14ac:dyDescent="0.35">
      <c r="A3479" s="9" t="s">
        <v>111</v>
      </c>
      <c r="B3479" s="10">
        <v>44958</v>
      </c>
      <c r="C3479" s="11">
        <v>1650</v>
      </c>
      <c r="D3479" s="11">
        <v>1650</v>
      </c>
      <c r="E3479" s="11">
        <v>0</v>
      </c>
      <c r="F3479" t="str">
        <f>VLOOKUP(A3479,[1]!Table1[#All],17,FALSE)</f>
        <v>UNITED STATES</v>
      </c>
      <c r="G3479" t="str">
        <f>VLOOKUP(A3479,[1]!Table1[#All],22,FALSE)</f>
        <v>WA ST DEPARTMENT OF HEALTH</v>
      </c>
      <c r="H3479" s="8">
        <f>VLOOKUP(A3479,[1]!Table1[#All],32,FALSE)</f>
        <v>43678</v>
      </c>
      <c r="I3479" s="8">
        <f>VLOOKUP(A3479,[1]!Table1[#All],33,FALSE)</f>
        <v>45504</v>
      </c>
      <c r="J3479" t="str">
        <f t="shared" ca="1" si="58"/>
        <v>Non UDO</v>
      </c>
    </row>
    <row r="3480" spans="1:10" x14ac:dyDescent="0.35">
      <c r="A3480" s="5" t="s">
        <v>111</v>
      </c>
      <c r="B3480" s="6">
        <v>44986</v>
      </c>
      <c r="C3480" s="7">
        <v>1650</v>
      </c>
      <c r="D3480" s="7">
        <v>1650</v>
      </c>
      <c r="E3480" s="7">
        <v>0</v>
      </c>
      <c r="F3480" t="str">
        <f>VLOOKUP(A3480,[1]!Table1[#All],17,FALSE)</f>
        <v>UNITED STATES</v>
      </c>
      <c r="G3480" t="str">
        <f>VLOOKUP(A3480,[1]!Table1[#All],22,FALSE)</f>
        <v>WA ST DEPARTMENT OF HEALTH</v>
      </c>
      <c r="H3480" s="8">
        <f>VLOOKUP(A3480,[1]!Table1[#All],32,FALSE)</f>
        <v>43678</v>
      </c>
      <c r="I3480" s="8">
        <f>VLOOKUP(A3480,[1]!Table1[#All],33,FALSE)</f>
        <v>45504</v>
      </c>
      <c r="J3480" t="str">
        <f t="shared" ca="1" si="58"/>
        <v>Non UDO</v>
      </c>
    </row>
    <row r="3481" spans="1:10" x14ac:dyDescent="0.35">
      <c r="A3481" s="9" t="s">
        <v>111</v>
      </c>
      <c r="B3481" s="10">
        <v>45017</v>
      </c>
      <c r="C3481" s="11">
        <v>1650</v>
      </c>
      <c r="D3481" s="11">
        <v>1650</v>
      </c>
      <c r="E3481" s="11">
        <v>0</v>
      </c>
      <c r="F3481" t="str">
        <f>VLOOKUP(A3481,[1]!Table1[#All],17,FALSE)</f>
        <v>UNITED STATES</v>
      </c>
      <c r="G3481" t="str">
        <f>VLOOKUP(A3481,[1]!Table1[#All],22,FALSE)</f>
        <v>WA ST DEPARTMENT OF HEALTH</v>
      </c>
      <c r="H3481" s="8">
        <f>VLOOKUP(A3481,[1]!Table1[#All],32,FALSE)</f>
        <v>43678</v>
      </c>
      <c r="I3481" s="8">
        <f>VLOOKUP(A3481,[1]!Table1[#All],33,FALSE)</f>
        <v>45504</v>
      </c>
      <c r="J3481" t="str">
        <f t="shared" ca="1" si="58"/>
        <v>Non UDO</v>
      </c>
    </row>
    <row r="3482" spans="1:10" x14ac:dyDescent="0.35">
      <c r="A3482" s="5" t="s">
        <v>111</v>
      </c>
      <c r="B3482" s="6">
        <v>45047</v>
      </c>
      <c r="C3482" s="7">
        <v>1650</v>
      </c>
      <c r="D3482" s="7">
        <v>1650</v>
      </c>
      <c r="E3482" s="7">
        <v>0</v>
      </c>
      <c r="F3482" t="str">
        <f>VLOOKUP(A3482,[1]!Table1[#All],17,FALSE)</f>
        <v>UNITED STATES</v>
      </c>
      <c r="G3482" t="str">
        <f>VLOOKUP(A3482,[1]!Table1[#All],22,FALSE)</f>
        <v>WA ST DEPARTMENT OF HEALTH</v>
      </c>
      <c r="H3482" s="8">
        <f>VLOOKUP(A3482,[1]!Table1[#All],32,FALSE)</f>
        <v>43678</v>
      </c>
      <c r="I3482" s="8">
        <f>VLOOKUP(A3482,[1]!Table1[#All],33,FALSE)</f>
        <v>45504</v>
      </c>
      <c r="J3482" t="str">
        <f t="shared" ca="1" si="58"/>
        <v>Non UDO</v>
      </c>
    </row>
    <row r="3483" spans="1:10" x14ac:dyDescent="0.35">
      <c r="A3483" s="9" t="s">
        <v>111</v>
      </c>
      <c r="B3483" s="10">
        <v>45078</v>
      </c>
      <c r="C3483" s="11">
        <v>1650</v>
      </c>
      <c r="D3483" s="11">
        <v>1650</v>
      </c>
      <c r="E3483" s="11">
        <v>0</v>
      </c>
      <c r="F3483" t="str">
        <f>VLOOKUP(A3483,[1]!Table1[#All],17,FALSE)</f>
        <v>UNITED STATES</v>
      </c>
      <c r="G3483" t="str">
        <f>VLOOKUP(A3483,[1]!Table1[#All],22,FALSE)</f>
        <v>WA ST DEPARTMENT OF HEALTH</v>
      </c>
      <c r="H3483" s="8">
        <f>VLOOKUP(A3483,[1]!Table1[#All],32,FALSE)</f>
        <v>43678</v>
      </c>
      <c r="I3483" s="8">
        <f>VLOOKUP(A3483,[1]!Table1[#All],33,FALSE)</f>
        <v>45504</v>
      </c>
      <c r="J3483" t="str">
        <f t="shared" ca="1" si="58"/>
        <v>Non UDO</v>
      </c>
    </row>
    <row r="3484" spans="1:10" x14ac:dyDescent="0.35">
      <c r="A3484" s="5" t="s">
        <v>111</v>
      </c>
      <c r="B3484" s="6">
        <v>45108</v>
      </c>
      <c r="C3484" s="7">
        <v>1650</v>
      </c>
      <c r="D3484" s="7">
        <v>1650</v>
      </c>
      <c r="E3484" s="7">
        <v>0</v>
      </c>
      <c r="F3484" t="str">
        <f>VLOOKUP(A3484,[1]!Table1[#All],17,FALSE)</f>
        <v>UNITED STATES</v>
      </c>
      <c r="G3484" t="str">
        <f>VLOOKUP(A3484,[1]!Table1[#All],22,FALSE)</f>
        <v>WA ST DEPARTMENT OF HEALTH</v>
      </c>
      <c r="H3484" s="8">
        <f>VLOOKUP(A3484,[1]!Table1[#All],32,FALSE)</f>
        <v>43678</v>
      </c>
      <c r="I3484" s="8">
        <f>VLOOKUP(A3484,[1]!Table1[#All],33,FALSE)</f>
        <v>45504</v>
      </c>
      <c r="J3484" t="str">
        <f t="shared" ca="1" si="58"/>
        <v>Non UDO</v>
      </c>
    </row>
    <row r="3485" spans="1:10" x14ac:dyDescent="0.35">
      <c r="A3485" s="9" t="s">
        <v>111</v>
      </c>
      <c r="B3485" s="10">
        <v>45139</v>
      </c>
      <c r="C3485" s="11">
        <v>1650</v>
      </c>
      <c r="D3485" s="11">
        <v>1650</v>
      </c>
      <c r="E3485" s="11">
        <v>0</v>
      </c>
      <c r="F3485" t="str">
        <f>VLOOKUP(A3485,[1]!Table1[#All],17,FALSE)</f>
        <v>UNITED STATES</v>
      </c>
      <c r="G3485" t="str">
        <f>VLOOKUP(A3485,[1]!Table1[#All],22,FALSE)</f>
        <v>WA ST DEPARTMENT OF HEALTH</v>
      </c>
      <c r="H3485" s="8">
        <f>VLOOKUP(A3485,[1]!Table1[#All],32,FALSE)</f>
        <v>43678</v>
      </c>
      <c r="I3485" s="8">
        <f>VLOOKUP(A3485,[1]!Table1[#All],33,FALSE)</f>
        <v>45504</v>
      </c>
      <c r="J3485" t="str">
        <f t="shared" ca="1" si="58"/>
        <v>Non UDO</v>
      </c>
    </row>
    <row r="3486" spans="1:10" x14ac:dyDescent="0.35">
      <c r="A3486" s="5" t="s">
        <v>111</v>
      </c>
      <c r="B3486" s="6">
        <v>45170</v>
      </c>
      <c r="C3486" s="7">
        <v>1650</v>
      </c>
      <c r="D3486" s="7">
        <v>1650</v>
      </c>
      <c r="E3486" s="7">
        <v>0</v>
      </c>
      <c r="F3486" t="str">
        <f>VLOOKUP(A3486,[1]!Table1[#All],17,FALSE)</f>
        <v>UNITED STATES</v>
      </c>
      <c r="G3486" t="str">
        <f>VLOOKUP(A3486,[1]!Table1[#All],22,FALSE)</f>
        <v>WA ST DEPARTMENT OF HEALTH</v>
      </c>
      <c r="H3486" s="8">
        <f>VLOOKUP(A3486,[1]!Table1[#All],32,FALSE)</f>
        <v>43678</v>
      </c>
      <c r="I3486" s="8">
        <f>VLOOKUP(A3486,[1]!Table1[#All],33,FALSE)</f>
        <v>45504</v>
      </c>
      <c r="J3486" t="str">
        <f t="shared" ca="1" si="58"/>
        <v>Non UDO</v>
      </c>
    </row>
    <row r="3487" spans="1:10" x14ac:dyDescent="0.35">
      <c r="A3487" s="9" t="s">
        <v>112</v>
      </c>
      <c r="B3487" s="10">
        <v>44409</v>
      </c>
      <c r="C3487" s="11">
        <v>4418</v>
      </c>
      <c r="D3487" s="11">
        <v>0</v>
      </c>
      <c r="E3487" s="11">
        <v>4418</v>
      </c>
      <c r="F3487" t="str">
        <f>VLOOKUP(A3487,[1]!Table1[#All],17,FALSE)</f>
        <v>UNITED STATES</v>
      </c>
      <c r="G3487" t="str">
        <f>VLOOKUP(A3487,[1]!Table1[#All],22,FALSE)</f>
        <v>WA ST DEPARTMENT OF HEALTH</v>
      </c>
      <c r="H3487" s="8">
        <f>VLOOKUP(A3487,[1]!Table1[#All],32,FALSE)</f>
        <v>43678</v>
      </c>
      <c r="I3487" s="8">
        <f>VLOOKUP(A3487,[1]!Table1[#All],33,FALSE)</f>
        <v>45504</v>
      </c>
      <c r="J3487" t="str">
        <f t="shared" ca="1" si="58"/>
        <v>UDO</v>
      </c>
    </row>
    <row r="3488" spans="1:10" x14ac:dyDescent="0.35">
      <c r="A3488" s="5" t="s">
        <v>112</v>
      </c>
      <c r="B3488" s="6">
        <v>44440</v>
      </c>
      <c r="C3488" s="7">
        <v>4418</v>
      </c>
      <c r="D3488" s="7">
        <v>0</v>
      </c>
      <c r="E3488" s="7">
        <v>4418</v>
      </c>
      <c r="F3488" t="str">
        <f>VLOOKUP(A3488,[1]!Table1[#All],17,FALSE)</f>
        <v>UNITED STATES</v>
      </c>
      <c r="G3488" t="str">
        <f>VLOOKUP(A3488,[1]!Table1[#All],22,FALSE)</f>
        <v>WA ST DEPARTMENT OF HEALTH</v>
      </c>
      <c r="H3488" s="8">
        <f>VLOOKUP(A3488,[1]!Table1[#All],32,FALSE)</f>
        <v>43678</v>
      </c>
      <c r="I3488" s="8">
        <f>VLOOKUP(A3488,[1]!Table1[#All],33,FALSE)</f>
        <v>45504</v>
      </c>
      <c r="J3488" t="str">
        <f t="shared" ca="1" si="58"/>
        <v>UDO</v>
      </c>
    </row>
    <row r="3489" spans="1:10" x14ac:dyDescent="0.35">
      <c r="A3489" s="9" t="s">
        <v>112</v>
      </c>
      <c r="B3489" s="10">
        <v>44470</v>
      </c>
      <c r="C3489" s="11">
        <v>4418</v>
      </c>
      <c r="D3489" s="11">
        <v>0</v>
      </c>
      <c r="E3489" s="11">
        <v>4418</v>
      </c>
      <c r="F3489" t="str">
        <f>VLOOKUP(A3489,[1]!Table1[#All],17,FALSE)</f>
        <v>UNITED STATES</v>
      </c>
      <c r="G3489" t="str">
        <f>VLOOKUP(A3489,[1]!Table1[#All],22,FALSE)</f>
        <v>WA ST DEPARTMENT OF HEALTH</v>
      </c>
      <c r="H3489" s="8">
        <f>VLOOKUP(A3489,[1]!Table1[#All],32,FALSE)</f>
        <v>43678</v>
      </c>
      <c r="I3489" s="8">
        <f>VLOOKUP(A3489,[1]!Table1[#All],33,FALSE)</f>
        <v>45504</v>
      </c>
      <c r="J3489" t="str">
        <f t="shared" ca="1" si="58"/>
        <v>UDO</v>
      </c>
    </row>
    <row r="3490" spans="1:10" x14ac:dyDescent="0.35">
      <c r="A3490" s="5" t="s">
        <v>112</v>
      </c>
      <c r="B3490" s="6">
        <v>44501</v>
      </c>
      <c r="C3490" s="7">
        <v>4418</v>
      </c>
      <c r="D3490" s="7">
        <v>0</v>
      </c>
      <c r="E3490" s="7">
        <v>4418</v>
      </c>
      <c r="F3490" t="str">
        <f>VLOOKUP(A3490,[1]!Table1[#All],17,FALSE)</f>
        <v>UNITED STATES</v>
      </c>
      <c r="G3490" t="str">
        <f>VLOOKUP(A3490,[1]!Table1[#All],22,FALSE)</f>
        <v>WA ST DEPARTMENT OF HEALTH</v>
      </c>
      <c r="H3490" s="8">
        <f>VLOOKUP(A3490,[1]!Table1[#All],32,FALSE)</f>
        <v>43678</v>
      </c>
      <c r="I3490" s="8">
        <f>VLOOKUP(A3490,[1]!Table1[#All],33,FALSE)</f>
        <v>45504</v>
      </c>
      <c r="J3490" t="str">
        <f t="shared" ca="1" si="58"/>
        <v>UDO</v>
      </c>
    </row>
    <row r="3491" spans="1:10" x14ac:dyDescent="0.35">
      <c r="A3491" s="9" t="s">
        <v>112</v>
      </c>
      <c r="B3491" s="10">
        <v>44531</v>
      </c>
      <c r="C3491" s="11">
        <v>4418</v>
      </c>
      <c r="D3491" s="11">
        <v>0</v>
      </c>
      <c r="E3491" s="11">
        <v>4418</v>
      </c>
      <c r="F3491" t="str">
        <f>VLOOKUP(A3491,[1]!Table1[#All],17,FALSE)</f>
        <v>UNITED STATES</v>
      </c>
      <c r="G3491" t="str">
        <f>VLOOKUP(A3491,[1]!Table1[#All],22,FALSE)</f>
        <v>WA ST DEPARTMENT OF HEALTH</v>
      </c>
      <c r="H3491" s="8">
        <f>VLOOKUP(A3491,[1]!Table1[#All],32,FALSE)</f>
        <v>43678</v>
      </c>
      <c r="I3491" s="8">
        <f>VLOOKUP(A3491,[1]!Table1[#All],33,FALSE)</f>
        <v>45504</v>
      </c>
      <c r="J3491" t="str">
        <f t="shared" ca="1" si="58"/>
        <v>UDO</v>
      </c>
    </row>
    <row r="3492" spans="1:10" x14ac:dyDescent="0.35">
      <c r="A3492" s="5" t="s">
        <v>112</v>
      </c>
      <c r="B3492" s="6">
        <v>44562</v>
      </c>
      <c r="C3492" s="7">
        <v>4418</v>
      </c>
      <c r="D3492" s="7">
        <v>0</v>
      </c>
      <c r="E3492" s="7">
        <v>4418</v>
      </c>
      <c r="F3492" t="str">
        <f>VLOOKUP(A3492,[1]!Table1[#All],17,FALSE)</f>
        <v>UNITED STATES</v>
      </c>
      <c r="G3492" t="str">
        <f>VLOOKUP(A3492,[1]!Table1[#All],22,FALSE)</f>
        <v>WA ST DEPARTMENT OF HEALTH</v>
      </c>
      <c r="H3492" s="8">
        <f>VLOOKUP(A3492,[1]!Table1[#All],32,FALSE)</f>
        <v>43678</v>
      </c>
      <c r="I3492" s="8">
        <f>VLOOKUP(A3492,[1]!Table1[#All],33,FALSE)</f>
        <v>45504</v>
      </c>
      <c r="J3492" t="str">
        <f t="shared" ca="1" si="58"/>
        <v>UDO</v>
      </c>
    </row>
    <row r="3493" spans="1:10" x14ac:dyDescent="0.35">
      <c r="A3493" s="9" t="s">
        <v>112</v>
      </c>
      <c r="B3493" s="10">
        <v>44593</v>
      </c>
      <c r="C3493" s="11">
        <v>4418</v>
      </c>
      <c r="D3493" s="11">
        <v>0</v>
      </c>
      <c r="E3493" s="11">
        <v>4418</v>
      </c>
      <c r="F3493" t="str">
        <f>VLOOKUP(A3493,[1]!Table1[#All],17,FALSE)</f>
        <v>UNITED STATES</v>
      </c>
      <c r="G3493" t="str">
        <f>VLOOKUP(A3493,[1]!Table1[#All],22,FALSE)</f>
        <v>WA ST DEPARTMENT OF HEALTH</v>
      </c>
      <c r="H3493" s="8">
        <f>VLOOKUP(A3493,[1]!Table1[#All],32,FALSE)</f>
        <v>43678</v>
      </c>
      <c r="I3493" s="8">
        <f>VLOOKUP(A3493,[1]!Table1[#All],33,FALSE)</f>
        <v>45504</v>
      </c>
      <c r="J3493" t="str">
        <f t="shared" ca="1" si="58"/>
        <v>UDO</v>
      </c>
    </row>
    <row r="3494" spans="1:10" x14ac:dyDescent="0.35">
      <c r="A3494" s="5" t="s">
        <v>112</v>
      </c>
      <c r="B3494" s="6">
        <v>44621</v>
      </c>
      <c r="C3494" s="7">
        <v>4418</v>
      </c>
      <c r="D3494" s="7">
        <v>0</v>
      </c>
      <c r="E3494" s="7">
        <v>4418</v>
      </c>
      <c r="F3494" t="str">
        <f>VLOOKUP(A3494,[1]!Table1[#All],17,FALSE)</f>
        <v>UNITED STATES</v>
      </c>
      <c r="G3494" t="str">
        <f>VLOOKUP(A3494,[1]!Table1[#All],22,FALSE)</f>
        <v>WA ST DEPARTMENT OF HEALTH</v>
      </c>
      <c r="H3494" s="8">
        <f>VLOOKUP(A3494,[1]!Table1[#All],32,FALSE)</f>
        <v>43678</v>
      </c>
      <c r="I3494" s="8">
        <f>VLOOKUP(A3494,[1]!Table1[#All],33,FALSE)</f>
        <v>45504</v>
      </c>
      <c r="J3494" t="str">
        <f t="shared" ca="1" si="58"/>
        <v>UDO</v>
      </c>
    </row>
    <row r="3495" spans="1:10" x14ac:dyDescent="0.35">
      <c r="A3495" s="9" t="s">
        <v>112</v>
      </c>
      <c r="B3495" s="10">
        <v>44652</v>
      </c>
      <c r="C3495" s="11">
        <v>4418</v>
      </c>
      <c r="D3495" s="11">
        <v>513.16999999999996</v>
      </c>
      <c r="E3495" s="11">
        <v>3904.83</v>
      </c>
      <c r="F3495" t="str">
        <f>VLOOKUP(A3495,[1]!Table1[#All],17,FALSE)</f>
        <v>UNITED STATES</v>
      </c>
      <c r="G3495" t="str">
        <f>VLOOKUP(A3495,[1]!Table1[#All],22,FALSE)</f>
        <v>WA ST DEPARTMENT OF HEALTH</v>
      </c>
      <c r="H3495" s="8">
        <f>VLOOKUP(A3495,[1]!Table1[#All],32,FALSE)</f>
        <v>43678</v>
      </c>
      <c r="I3495" s="8">
        <f>VLOOKUP(A3495,[1]!Table1[#All],33,FALSE)</f>
        <v>45504</v>
      </c>
      <c r="J3495" t="str">
        <f t="shared" ca="1" si="58"/>
        <v>UDO</v>
      </c>
    </row>
    <row r="3496" spans="1:10" x14ac:dyDescent="0.35">
      <c r="A3496" s="5" t="s">
        <v>112</v>
      </c>
      <c r="B3496" s="6">
        <v>44682</v>
      </c>
      <c r="C3496" s="7">
        <v>4418</v>
      </c>
      <c r="D3496" s="7">
        <v>751.72</v>
      </c>
      <c r="E3496" s="7">
        <v>3666.28</v>
      </c>
      <c r="F3496" t="str">
        <f>VLOOKUP(A3496,[1]!Table1[#All],17,FALSE)</f>
        <v>UNITED STATES</v>
      </c>
      <c r="G3496" t="str">
        <f>VLOOKUP(A3496,[1]!Table1[#All],22,FALSE)</f>
        <v>WA ST DEPARTMENT OF HEALTH</v>
      </c>
      <c r="H3496" s="8">
        <f>VLOOKUP(A3496,[1]!Table1[#All],32,FALSE)</f>
        <v>43678</v>
      </c>
      <c r="I3496" s="8">
        <f>VLOOKUP(A3496,[1]!Table1[#All],33,FALSE)</f>
        <v>45504</v>
      </c>
      <c r="J3496" t="str">
        <f t="shared" ca="1" si="58"/>
        <v>UDO</v>
      </c>
    </row>
    <row r="3497" spans="1:10" x14ac:dyDescent="0.35">
      <c r="A3497" s="9" t="s">
        <v>112</v>
      </c>
      <c r="B3497" s="10">
        <v>44713</v>
      </c>
      <c r="C3497" s="11">
        <v>4418</v>
      </c>
      <c r="D3497" s="11">
        <v>1114.6300000000001</v>
      </c>
      <c r="E3497" s="11">
        <v>3303.37</v>
      </c>
      <c r="F3497" t="str">
        <f>VLOOKUP(A3497,[1]!Table1[#All],17,FALSE)</f>
        <v>UNITED STATES</v>
      </c>
      <c r="G3497" t="str">
        <f>VLOOKUP(A3497,[1]!Table1[#All],22,FALSE)</f>
        <v>WA ST DEPARTMENT OF HEALTH</v>
      </c>
      <c r="H3497" s="8">
        <f>VLOOKUP(A3497,[1]!Table1[#All],32,FALSE)</f>
        <v>43678</v>
      </c>
      <c r="I3497" s="8">
        <f>VLOOKUP(A3497,[1]!Table1[#All],33,FALSE)</f>
        <v>45504</v>
      </c>
      <c r="J3497" t="str">
        <f t="shared" ca="1" si="58"/>
        <v>UDO</v>
      </c>
    </row>
    <row r="3498" spans="1:10" x14ac:dyDescent="0.35">
      <c r="A3498" s="5" t="s">
        <v>112</v>
      </c>
      <c r="B3498" s="6">
        <v>44743</v>
      </c>
      <c r="C3498" s="7">
        <v>4418</v>
      </c>
      <c r="D3498" s="7">
        <v>1299.02</v>
      </c>
      <c r="E3498" s="7">
        <v>3118.98</v>
      </c>
      <c r="F3498" t="str">
        <f>VLOOKUP(A3498,[1]!Table1[#All],17,FALSE)</f>
        <v>UNITED STATES</v>
      </c>
      <c r="G3498" t="str">
        <f>VLOOKUP(A3498,[1]!Table1[#All],22,FALSE)</f>
        <v>WA ST DEPARTMENT OF HEALTH</v>
      </c>
      <c r="H3498" s="8">
        <f>VLOOKUP(A3498,[1]!Table1[#All],32,FALSE)</f>
        <v>43678</v>
      </c>
      <c r="I3498" s="8">
        <f>VLOOKUP(A3498,[1]!Table1[#All],33,FALSE)</f>
        <v>45504</v>
      </c>
      <c r="J3498" t="str">
        <f t="shared" ca="1" si="58"/>
        <v>UDO</v>
      </c>
    </row>
    <row r="3499" spans="1:10" x14ac:dyDescent="0.35">
      <c r="A3499" s="9" t="s">
        <v>112</v>
      </c>
      <c r="B3499" s="10">
        <v>44774</v>
      </c>
      <c r="C3499" s="11">
        <v>4418</v>
      </c>
      <c r="D3499" s="11">
        <v>1495.42</v>
      </c>
      <c r="E3499" s="11">
        <v>2922.58</v>
      </c>
      <c r="F3499" t="str">
        <f>VLOOKUP(A3499,[1]!Table1[#All],17,FALSE)</f>
        <v>UNITED STATES</v>
      </c>
      <c r="G3499" t="str">
        <f>VLOOKUP(A3499,[1]!Table1[#All],22,FALSE)</f>
        <v>WA ST DEPARTMENT OF HEALTH</v>
      </c>
      <c r="H3499" s="8">
        <f>VLOOKUP(A3499,[1]!Table1[#All],32,FALSE)</f>
        <v>43678</v>
      </c>
      <c r="I3499" s="8">
        <f>VLOOKUP(A3499,[1]!Table1[#All],33,FALSE)</f>
        <v>45504</v>
      </c>
      <c r="J3499" t="str">
        <f t="shared" ca="1" si="58"/>
        <v>UDO</v>
      </c>
    </row>
    <row r="3500" spans="1:10" x14ac:dyDescent="0.35">
      <c r="A3500" s="5" t="s">
        <v>112</v>
      </c>
      <c r="B3500" s="6">
        <v>44805</v>
      </c>
      <c r="C3500" s="7">
        <v>4418</v>
      </c>
      <c r="D3500" s="7">
        <v>1817.35</v>
      </c>
      <c r="E3500" s="7">
        <v>2600.65</v>
      </c>
      <c r="F3500" t="str">
        <f>VLOOKUP(A3500,[1]!Table1[#All],17,FALSE)</f>
        <v>UNITED STATES</v>
      </c>
      <c r="G3500" t="str">
        <f>VLOOKUP(A3500,[1]!Table1[#All],22,FALSE)</f>
        <v>WA ST DEPARTMENT OF HEALTH</v>
      </c>
      <c r="H3500" s="8">
        <f>VLOOKUP(A3500,[1]!Table1[#All],32,FALSE)</f>
        <v>43678</v>
      </c>
      <c r="I3500" s="8">
        <f>VLOOKUP(A3500,[1]!Table1[#All],33,FALSE)</f>
        <v>45504</v>
      </c>
      <c r="J3500" t="str">
        <f t="shared" ca="1" si="58"/>
        <v>UDO</v>
      </c>
    </row>
    <row r="3501" spans="1:10" x14ac:dyDescent="0.35">
      <c r="A3501" s="9" t="s">
        <v>112</v>
      </c>
      <c r="B3501" s="10">
        <v>44835</v>
      </c>
      <c r="C3501" s="11">
        <v>4418</v>
      </c>
      <c r="D3501" s="11">
        <v>2293.65</v>
      </c>
      <c r="E3501" s="11">
        <v>2124.35</v>
      </c>
      <c r="F3501" t="str">
        <f>VLOOKUP(A3501,[1]!Table1[#All],17,FALSE)</f>
        <v>UNITED STATES</v>
      </c>
      <c r="G3501" t="str">
        <f>VLOOKUP(A3501,[1]!Table1[#All],22,FALSE)</f>
        <v>WA ST DEPARTMENT OF HEALTH</v>
      </c>
      <c r="H3501" s="8">
        <f>VLOOKUP(A3501,[1]!Table1[#All],32,FALSE)</f>
        <v>43678</v>
      </c>
      <c r="I3501" s="8">
        <f>VLOOKUP(A3501,[1]!Table1[#All],33,FALSE)</f>
        <v>45504</v>
      </c>
      <c r="J3501" t="str">
        <f t="shared" ca="1" si="58"/>
        <v>UDO</v>
      </c>
    </row>
    <row r="3502" spans="1:10" x14ac:dyDescent="0.35">
      <c r="A3502" s="5" t="s">
        <v>112</v>
      </c>
      <c r="B3502" s="6">
        <v>44866</v>
      </c>
      <c r="C3502" s="7">
        <v>4418</v>
      </c>
      <c r="D3502" s="7">
        <v>2596.52</v>
      </c>
      <c r="E3502" s="7">
        <v>1821.48</v>
      </c>
      <c r="F3502" t="str">
        <f>VLOOKUP(A3502,[1]!Table1[#All],17,FALSE)</f>
        <v>UNITED STATES</v>
      </c>
      <c r="G3502" t="str">
        <f>VLOOKUP(A3502,[1]!Table1[#All],22,FALSE)</f>
        <v>WA ST DEPARTMENT OF HEALTH</v>
      </c>
      <c r="H3502" s="8">
        <f>VLOOKUP(A3502,[1]!Table1[#All],32,FALSE)</f>
        <v>43678</v>
      </c>
      <c r="I3502" s="8">
        <f>VLOOKUP(A3502,[1]!Table1[#All],33,FALSE)</f>
        <v>45504</v>
      </c>
      <c r="J3502" t="str">
        <f t="shared" ca="1" si="58"/>
        <v>UDO</v>
      </c>
    </row>
    <row r="3503" spans="1:10" x14ac:dyDescent="0.35">
      <c r="A3503" s="9" t="s">
        <v>112</v>
      </c>
      <c r="B3503" s="10">
        <v>44896</v>
      </c>
      <c r="C3503" s="11">
        <v>4418</v>
      </c>
      <c r="D3503" s="11">
        <v>2942.16</v>
      </c>
      <c r="E3503" s="11">
        <v>1475.84</v>
      </c>
      <c r="F3503" t="str">
        <f>VLOOKUP(A3503,[1]!Table1[#All],17,FALSE)</f>
        <v>UNITED STATES</v>
      </c>
      <c r="G3503" t="str">
        <f>VLOOKUP(A3503,[1]!Table1[#All],22,FALSE)</f>
        <v>WA ST DEPARTMENT OF HEALTH</v>
      </c>
      <c r="H3503" s="8">
        <f>VLOOKUP(A3503,[1]!Table1[#All],32,FALSE)</f>
        <v>43678</v>
      </c>
      <c r="I3503" s="8">
        <f>VLOOKUP(A3503,[1]!Table1[#All],33,FALSE)</f>
        <v>45504</v>
      </c>
      <c r="J3503" t="str">
        <f t="shared" ca="1" si="58"/>
        <v>UDO</v>
      </c>
    </row>
    <row r="3504" spans="1:10" x14ac:dyDescent="0.35">
      <c r="A3504" s="5" t="s">
        <v>112</v>
      </c>
      <c r="B3504" s="6">
        <v>44927</v>
      </c>
      <c r="C3504" s="7">
        <v>4418</v>
      </c>
      <c r="D3504" s="7">
        <v>3424.51</v>
      </c>
      <c r="E3504" s="7">
        <v>993.49</v>
      </c>
      <c r="F3504" t="str">
        <f>VLOOKUP(A3504,[1]!Table1[#All],17,FALSE)</f>
        <v>UNITED STATES</v>
      </c>
      <c r="G3504" t="str">
        <f>VLOOKUP(A3504,[1]!Table1[#All],22,FALSE)</f>
        <v>WA ST DEPARTMENT OF HEALTH</v>
      </c>
      <c r="H3504" s="8">
        <f>VLOOKUP(A3504,[1]!Table1[#All],32,FALSE)</f>
        <v>43678</v>
      </c>
      <c r="I3504" s="8">
        <f>VLOOKUP(A3504,[1]!Table1[#All],33,FALSE)</f>
        <v>45504</v>
      </c>
      <c r="J3504" t="str">
        <f t="shared" ca="1" si="58"/>
        <v>UDO</v>
      </c>
    </row>
    <row r="3505" spans="1:10" x14ac:dyDescent="0.35">
      <c r="A3505" s="9" t="s">
        <v>112</v>
      </c>
      <c r="B3505" s="10">
        <v>44958</v>
      </c>
      <c r="C3505" s="11">
        <v>4418</v>
      </c>
      <c r="D3505" s="11">
        <v>3836.97</v>
      </c>
      <c r="E3505" s="11">
        <v>581.03</v>
      </c>
      <c r="F3505" t="str">
        <f>VLOOKUP(A3505,[1]!Table1[#All],17,FALSE)</f>
        <v>UNITED STATES</v>
      </c>
      <c r="G3505" t="str">
        <f>VLOOKUP(A3505,[1]!Table1[#All],22,FALSE)</f>
        <v>WA ST DEPARTMENT OF HEALTH</v>
      </c>
      <c r="H3505" s="8">
        <f>VLOOKUP(A3505,[1]!Table1[#All],32,FALSE)</f>
        <v>43678</v>
      </c>
      <c r="I3505" s="8">
        <f>VLOOKUP(A3505,[1]!Table1[#All],33,FALSE)</f>
        <v>45504</v>
      </c>
      <c r="J3505" t="str">
        <f t="shared" ca="1" si="58"/>
        <v>UDO</v>
      </c>
    </row>
    <row r="3506" spans="1:10" x14ac:dyDescent="0.35">
      <c r="A3506" s="5" t="s">
        <v>112</v>
      </c>
      <c r="B3506" s="6">
        <v>44986</v>
      </c>
      <c r="C3506" s="7">
        <v>4418</v>
      </c>
      <c r="D3506" s="7">
        <v>4237.37</v>
      </c>
      <c r="E3506" s="7">
        <v>180.63</v>
      </c>
      <c r="F3506" t="str">
        <f>VLOOKUP(A3506,[1]!Table1[#All],17,FALSE)</f>
        <v>UNITED STATES</v>
      </c>
      <c r="G3506" t="str">
        <f>VLOOKUP(A3506,[1]!Table1[#All],22,FALSE)</f>
        <v>WA ST DEPARTMENT OF HEALTH</v>
      </c>
      <c r="H3506" s="8">
        <f>VLOOKUP(A3506,[1]!Table1[#All],32,FALSE)</f>
        <v>43678</v>
      </c>
      <c r="I3506" s="8">
        <f>VLOOKUP(A3506,[1]!Table1[#All],33,FALSE)</f>
        <v>45504</v>
      </c>
      <c r="J3506" t="str">
        <f t="shared" ca="1" si="58"/>
        <v>UDO</v>
      </c>
    </row>
    <row r="3507" spans="1:10" x14ac:dyDescent="0.35">
      <c r="A3507" s="9" t="s">
        <v>112</v>
      </c>
      <c r="B3507" s="10">
        <v>45017</v>
      </c>
      <c r="C3507" s="11">
        <v>4418</v>
      </c>
      <c r="D3507" s="11">
        <v>4418</v>
      </c>
      <c r="E3507" s="11">
        <v>0</v>
      </c>
      <c r="F3507" t="str">
        <f>VLOOKUP(A3507,[1]!Table1[#All],17,FALSE)</f>
        <v>UNITED STATES</v>
      </c>
      <c r="G3507" t="str">
        <f>VLOOKUP(A3507,[1]!Table1[#All],22,FALSE)</f>
        <v>WA ST DEPARTMENT OF HEALTH</v>
      </c>
      <c r="H3507" s="8">
        <f>VLOOKUP(A3507,[1]!Table1[#All],32,FALSE)</f>
        <v>43678</v>
      </c>
      <c r="I3507" s="8">
        <f>VLOOKUP(A3507,[1]!Table1[#All],33,FALSE)</f>
        <v>45504</v>
      </c>
      <c r="J3507" t="str">
        <f t="shared" ca="1" si="58"/>
        <v>Non UDO</v>
      </c>
    </row>
    <row r="3508" spans="1:10" x14ac:dyDescent="0.35">
      <c r="A3508" s="5" t="s">
        <v>112</v>
      </c>
      <c r="B3508" s="6">
        <v>45047</v>
      </c>
      <c r="C3508" s="7">
        <v>4418</v>
      </c>
      <c r="D3508" s="7">
        <v>4418</v>
      </c>
      <c r="E3508" s="7">
        <v>0</v>
      </c>
      <c r="F3508" t="str">
        <f>VLOOKUP(A3508,[1]!Table1[#All],17,FALSE)</f>
        <v>UNITED STATES</v>
      </c>
      <c r="G3508" t="str">
        <f>VLOOKUP(A3508,[1]!Table1[#All],22,FALSE)</f>
        <v>WA ST DEPARTMENT OF HEALTH</v>
      </c>
      <c r="H3508" s="8">
        <f>VLOOKUP(A3508,[1]!Table1[#All],32,FALSE)</f>
        <v>43678</v>
      </c>
      <c r="I3508" s="8">
        <f>VLOOKUP(A3508,[1]!Table1[#All],33,FALSE)</f>
        <v>45504</v>
      </c>
      <c r="J3508" t="str">
        <f t="shared" ca="1" si="58"/>
        <v>Non UDO</v>
      </c>
    </row>
    <row r="3509" spans="1:10" x14ac:dyDescent="0.35">
      <c r="A3509" s="9" t="s">
        <v>112</v>
      </c>
      <c r="B3509" s="10">
        <v>45078</v>
      </c>
      <c r="C3509" s="11">
        <v>4418</v>
      </c>
      <c r="D3509" s="11">
        <v>4418</v>
      </c>
      <c r="E3509" s="11">
        <v>0</v>
      </c>
      <c r="F3509" t="str">
        <f>VLOOKUP(A3509,[1]!Table1[#All],17,FALSE)</f>
        <v>UNITED STATES</v>
      </c>
      <c r="G3509" t="str">
        <f>VLOOKUP(A3509,[1]!Table1[#All],22,FALSE)</f>
        <v>WA ST DEPARTMENT OF HEALTH</v>
      </c>
      <c r="H3509" s="8">
        <f>VLOOKUP(A3509,[1]!Table1[#All],32,FALSE)</f>
        <v>43678</v>
      </c>
      <c r="I3509" s="8">
        <f>VLOOKUP(A3509,[1]!Table1[#All],33,FALSE)</f>
        <v>45504</v>
      </c>
      <c r="J3509" t="str">
        <f t="shared" ca="1" si="58"/>
        <v>Non UDO</v>
      </c>
    </row>
    <row r="3510" spans="1:10" x14ac:dyDescent="0.35">
      <c r="A3510" s="5" t="s">
        <v>112</v>
      </c>
      <c r="B3510" s="6">
        <v>45108</v>
      </c>
      <c r="C3510" s="7">
        <v>4418</v>
      </c>
      <c r="D3510" s="7">
        <v>4418</v>
      </c>
      <c r="E3510" s="7">
        <v>0</v>
      </c>
      <c r="F3510" t="str">
        <f>VLOOKUP(A3510,[1]!Table1[#All],17,FALSE)</f>
        <v>UNITED STATES</v>
      </c>
      <c r="G3510" t="str">
        <f>VLOOKUP(A3510,[1]!Table1[#All],22,FALSE)</f>
        <v>WA ST DEPARTMENT OF HEALTH</v>
      </c>
      <c r="H3510" s="8">
        <f>VLOOKUP(A3510,[1]!Table1[#All],32,FALSE)</f>
        <v>43678</v>
      </c>
      <c r="I3510" s="8">
        <f>VLOOKUP(A3510,[1]!Table1[#All],33,FALSE)</f>
        <v>45504</v>
      </c>
      <c r="J3510" t="str">
        <f t="shared" ca="1" si="58"/>
        <v>Non UDO</v>
      </c>
    </row>
    <row r="3511" spans="1:10" x14ac:dyDescent="0.35">
      <c r="A3511" s="9" t="s">
        <v>112</v>
      </c>
      <c r="B3511" s="10">
        <v>45139</v>
      </c>
      <c r="C3511" s="11">
        <v>4418</v>
      </c>
      <c r="D3511" s="11">
        <v>4418</v>
      </c>
      <c r="E3511" s="11">
        <v>0</v>
      </c>
      <c r="F3511" t="str">
        <f>VLOOKUP(A3511,[1]!Table1[#All],17,FALSE)</f>
        <v>UNITED STATES</v>
      </c>
      <c r="G3511" t="str">
        <f>VLOOKUP(A3511,[1]!Table1[#All],22,FALSE)</f>
        <v>WA ST DEPARTMENT OF HEALTH</v>
      </c>
      <c r="H3511" s="8">
        <f>VLOOKUP(A3511,[1]!Table1[#All],32,FALSE)</f>
        <v>43678</v>
      </c>
      <c r="I3511" s="8">
        <f>VLOOKUP(A3511,[1]!Table1[#All],33,FALSE)</f>
        <v>45504</v>
      </c>
      <c r="J3511" t="str">
        <f t="shared" ca="1" si="58"/>
        <v>Non UDO</v>
      </c>
    </row>
    <row r="3512" spans="1:10" x14ac:dyDescent="0.35">
      <c r="A3512" s="5" t="s">
        <v>112</v>
      </c>
      <c r="B3512" s="6">
        <v>45170</v>
      </c>
      <c r="C3512" s="7">
        <v>4418</v>
      </c>
      <c r="D3512" s="7">
        <v>4418</v>
      </c>
      <c r="E3512" s="7">
        <v>0</v>
      </c>
      <c r="F3512" t="str">
        <f>VLOOKUP(A3512,[1]!Table1[#All],17,FALSE)</f>
        <v>UNITED STATES</v>
      </c>
      <c r="G3512" t="str">
        <f>VLOOKUP(A3512,[1]!Table1[#All],22,FALSE)</f>
        <v>WA ST DEPARTMENT OF HEALTH</v>
      </c>
      <c r="H3512" s="8">
        <f>VLOOKUP(A3512,[1]!Table1[#All],32,FALSE)</f>
        <v>43678</v>
      </c>
      <c r="I3512" s="8">
        <f>VLOOKUP(A3512,[1]!Table1[#All],33,FALSE)</f>
        <v>45504</v>
      </c>
      <c r="J3512" t="str">
        <f t="shared" ca="1" si="58"/>
        <v>Non UDO</v>
      </c>
    </row>
    <row r="3513" spans="1:10" x14ac:dyDescent="0.35">
      <c r="A3513" s="9" t="s">
        <v>113</v>
      </c>
      <c r="B3513" s="10">
        <v>44105</v>
      </c>
      <c r="C3513" s="11">
        <v>69446</v>
      </c>
      <c r="D3513" s="11">
        <v>0</v>
      </c>
      <c r="E3513" s="11">
        <v>69446</v>
      </c>
      <c r="F3513" t="str">
        <f>VLOOKUP(A3513,[1]!Table1[#All],17,FALSE)</f>
        <v>UNITED STATES</v>
      </c>
      <c r="G3513" t="str">
        <f>VLOOKUP(A3513,[1]!Table1[#All],22,FALSE)</f>
        <v>HEALTH RESEARCH, INC.</v>
      </c>
      <c r="H3513" s="8">
        <f>VLOOKUP(A3513,[1]!Table1[#All],32,FALSE)</f>
        <v>43678</v>
      </c>
      <c r="I3513" s="8">
        <f>VLOOKUP(A3513,[1]!Table1[#All],33,FALSE)</f>
        <v>45504</v>
      </c>
      <c r="J3513" t="str">
        <f t="shared" ca="1" si="58"/>
        <v>UDO</v>
      </c>
    </row>
    <row r="3514" spans="1:10" x14ac:dyDescent="0.35">
      <c r="A3514" s="5" t="s">
        <v>113</v>
      </c>
      <c r="B3514" s="6">
        <v>44136</v>
      </c>
      <c r="C3514" s="7">
        <v>69446</v>
      </c>
      <c r="D3514" s="7">
        <v>0</v>
      </c>
      <c r="E3514" s="7">
        <v>69446</v>
      </c>
      <c r="F3514" t="str">
        <f>VLOOKUP(A3514,[1]!Table1[#All],17,FALSE)</f>
        <v>UNITED STATES</v>
      </c>
      <c r="G3514" t="str">
        <f>VLOOKUP(A3514,[1]!Table1[#All],22,FALSE)</f>
        <v>HEALTH RESEARCH, INC.</v>
      </c>
      <c r="H3514" s="8">
        <f>VLOOKUP(A3514,[1]!Table1[#All],32,FALSE)</f>
        <v>43678</v>
      </c>
      <c r="I3514" s="8">
        <f>VLOOKUP(A3514,[1]!Table1[#All],33,FALSE)</f>
        <v>45504</v>
      </c>
      <c r="J3514" t="str">
        <f t="shared" ca="1" si="58"/>
        <v>UDO</v>
      </c>
    </row>
    <row r="3515" spans="1:10" x14ac:dyDescent="0.35">
      <c r="A3515" s="9" t="s">
        <v>113</v>
      </c>
      <c r="B3515" s="10">
        <v>44166</v>
      </c>
      <c r="C3515" s="11">
        <v>69446</v>
      </c>
      <c r="D3515" s="11">
        <v>0</v>
      </c>
      <c r="E3515" s="11">
        <v>69446</v>
      </c>
      <c r="F3515" t="str">
        <f>VLOOKUP(A3515,[1]!Table1[#All],17,FALSE)</f>
        <v>UNITED STATES</v>
      </c>
      <c r="G3515" t="str">
        <f>VLOOKUP(A3515,[1]!Table1[#All],22,FALSE)</f>
        <v>HEALTH RESEARCH, INC.</v>
      </c>
      <c r="H3515" s="8">
        <f>VLOOKUP(A3515,[1]!Table1[#All],32,FALSE)</f>
        <v>43678</v>
      </c>
      <c r="I3515" s="8">
        <f>VLOOKUP(A3515,[1]!Table1[#All],33,FALSE)</f>
        <v>45504</v>
      </c>
      <c r="J3515" t="str">
        <f t="shared" ca="1" si="58"/>
        <v>UDO</v>
      </c>
    </row>
    <row r="3516" spans="1:10" x14ac:dyDescent="0.35">
      <c r="A3516" s="5" t="s">
        <v>113</v>
      </c>
      <c r="B3516" s="6">
        <v>44197</v>
      </c>
      <c r="C3516" s="7">
        <v>69446</v>
      </c>
      <c r="D3516" s="7">
        <v>3461.66</v>
      </c>
      <c r="E3516" s="7">
        <v>65984.34</v>
      </c>
      <c r="F3516" t="str">
        <f>VLOOKUP(A3516,[1]!Table1[#All],17,FALSE)</f>
        <v>UNITED STATES</v>
      </c>
      <c r="G3516" t="str">
        <f>VLOOKUP(A3516,[1]!Table1[#All],22,FALSE)</f>
        <v>HEALTH RESEARCH, INC.</v>
      </c>
      <c r="H3516" s="8">
        <f>VLOOKUP(A3516,[1]!Table1[#All],32,FALSE)</f>
        <v>43678</v>
      </c>
      <c r="I3516" s="8">
        <f>VLOOKUP(A3516,[1]!Table1[#All],33,FALSE)</f>
        <v>45504</v>
      </c>
      <c r="J3516" t="str">
        <f t="shared" ca="1" si="58"/>
        <v>UDO</v>
      </c>
    </row>
    <row r="3517" spans="1:10" x14ac:dyDescent="0.35">
      <c r="A3517" s="9" t="s">
        <v>113</v>
      </c>
      <c r="B3517" s="10">
        <v>44228</v>
      </c>
      <c r="C3517" s="11">
        <v>69446</v>
      </c>
      <c r="D3517" s="11">
        <v>9396.630000000001</v>
      </c>
      <c r="E3517" s="11">
        <v>60049.37</v>
      </c>
      <c r="F3517" t="str">
        <f>VLOOKUP(A3517,[1]!Table1[#All],17,FALSE)</f>
        <v>UNITED STATES</v>
      </c>
      <c r="G3517" t="str">
        <f>VLOOKUP(A3517,[1]!Table1[#All],22,FALSE)</f>
        <v>HEALTH RESEARCH, INC.</v>
      </c>
      <c r="H3517" s="8">
        <f>VLOOKUP(A3517,[1]!Table1[#All],32,FALSE)</f>
        <v>43678</v>
      </c>
      <c r="I3517" s="8">
        <f>VLOOKUP(A3517,[1]!Table1[#All],33,FALSE)</f>
        <v>45504</v>
      </c>
      <c r="J3517" t="str">
        <f t="shared" ca="1" si="58"/>
        <v>UDO</v>
      </c>
    </row>
    <row r="3518" spans="1:10" x14ac:dyDescent="0.35">
      <c r="A3518" s="5" t="s">
        <v>113</v>
      </c>
      <c r="B3518" s="6">
        <v>44256</v>
      </c>
      <c r="C3518" s="7">
        <v>69446</v>
      </c>
      <c r="D3518" s="7">
        <v>15208.26</v>
      </c>
      <c r="E3518" s="7">
        <v>54237.740000000005</v>
      </c>
      <c r="F3518" t="str">
        <f>VLOOKUP(A3518,[1]!Table1[#All],17,FALSE)</f>
        <v>UNITED STATES</v>
      </c>
      <c r="G3518" t="str">
        <f>VLOOKUP(A3518,[1]!Table1[#All],22,FALSE)</f>
        <v>HEALTH RESEARCH, INC.</v>
      </c>
      <c r="H3518" s="8">
        <f>VLOOKUP(A3518,[1]!Table1[#All],32,FALSE)</f>
        <v>43678</v>
      </c>
      <c r="I3518" s="8">
        <f>VLOOKUP(A3518,[1]!Table1[#All],33,FALSE)</f>
        <v>45504</v>
      </c>
      <c r="J3518" t="str">
        <f t="shared" ca="1" si="58"/>
        <v>UDO</v>
      </c>
    </row>
    <row r="3519" spans="1:10" x14ac:dyDescent="0.35">
      <c r="A3519" s="9" t="s">
        <v>113</v>
      </c>
      <c r="B3519" s="10">
        <v>44317</v>
      </c>
      <c r="C3519" s="11">
        <v>69446</v>
      </c>
      <c r="D3519" s="11">
        <v>30254.15</v>
      </c>
      <c r="E3519" s="11">
        <v>39191.85</v>
      </c>
      <c r="F3519" t="str">
        <f>VLOOKUP(A3519,[1]!Table1[#All],17,FALSE)</f>
        <v>UNITED STATES</v>
      </c>
      <c r="G3519" t="str">
        <f>VLOOKUP(A3519,[1]!Table1[#All],22,FALSE)</f>
        <v>HEALTH RESEARCH, INC.</v>
      </c>
      <c r="H3519" s="8">
        <f>VLOOKUP(A3519,[1]!Table1[#All],32,FALSE)</f>
        <v>43678</v>
      </c>
      <c r="I3519" s="8">
        <f>VLOOKUP(A3519,[1]!Table1[#All],33,FALSE)</f>
        <v>45504</v>
      </c>
      <c r="J3519" t="str">
        <f t="shared" ca="1" si="58"/>
        <v>UDO</v>
      </c>
    </row>
    <row r="3520" spans="1:10" x14ac:dyDescent="0.35">
      <c r="A3520" s="5" t="s">
        <v>113</v>
      </c>
      <c r="B3520" s="6">
        <v>44348</v>
      </c>
      <c r="C3520" s="7">
        <v>69446</v>
      </c>
      <c r="D3520" s="7">
        <v>34993.75</v>
      </c>
      <c r="E3520" s="7">
        <v>34452.25</v>
      </c>
      <c r="F3520" t="str">
        <f>VLOOKUP(A3520,[1]!Table1[#All],17,FALSE)</f>
        <v>UNITED STATES</v>
      </c>
      <c r="G3520" t="str">
        <f>VLOOKUP(A3520,[1]!Table1[#All],22,FALSE)</f>
        <v>HEALTH RESEARCH, INC.</v>
      </c>
      <c r="H3520" s="8">
        <f>VLOOKUP(A3520,[1]!Table1[#All],32,FALSE)</f>
        <v>43678</v>
      </c>
      <c r="I3520" s="8">
        <f>VLOOKUP(A3520,[1]!Table1[#All],33,FALSE)</f>
        <v>45504</v>
      </c>
      <c r="J3520" t="str">
        <f t="shared" ca="1" si="58"/>
        <v>UDO</v>
      </c>
    </row>
    <row r="3521" spans="1:10" x14ac:dyDescent="0.35">
      <c r="A3521" s="9" t="s">
        <v>113</v>
      </c>
      <c r="B3521" s="10">
        <v>44378</v>
      </c>
      <c r="C3521" s="11">
        <v>69446</v>
      </c>
      <c r="D3521" s="11">
        <v>39654.380000000005</v>
      </c>
      <c r="E3521" s="11">
        <v>29791.620000000003</v>
      </c>
      <c r="F3521" t="str">
        <f>VLOOKUP(A3521,[1]!Table1[#All],17,FALSE)</f>
        <v>UNITED STATES</v>
      </c>
      <c r="G3521" t="str">
        <f>VLOOKUP(A3521,[1]!Table1[#All],22,FALSE)</f>
        <v>HEALTH RESEARCH, INC.</v>
      </c>
      <c r="H3521" s="8">
        <f>VLOOKUP(A3521,[1]!Table1[#All],32,FALSE)</f>
        <v>43678</v>
      </c>
      <c r="I3521" s="8">
        <f>VLOOKUP(A3521,[1]!Table1[#All],33,FALSE)</f>
        <v>45504</v>
      </c>
      <c r="J3521" t="str">
        <f t="shared" ca="1" si="58"/>
        <v>UDO</v>
      </c>
    </row>
    <row r="3522" spans="1:10" x14ac:dyDescent="0.35">
      <c r="A3522" s="5" t="s">
        <v>113</v>
      </c>
      <c r="B3522" s="6">
        <v>44409</v>
      </c>
      <c r="C3522" s="7">
        <v>69446</v>
      </c>
      <c r="D3522" s="7">
        <v>44730.34</v>
      </c>
      <c r="E3522" s="7">
        <v>24715.66</v>
      </c>
      <c r="F3522" t="str">
        <f>VLOOKUP(A3522,[1]!Table1[#All],17,FALSE)</f>
        <v>UNITED STATES</v>
      </c>
      <c r="G3522" t="str">
        <f>VLOOKUP(A3522,[1]!Table1[#All],22,FALSE)</f>
        <v>HEALTH RESEARCH, INC.</v>
      </c>
      <c r="H3522" s="8">
        <f>VLOOKUP(A3522,[1]!Table1[#All],32,FALSE)</f>
        <v>43678</v>
      </c>
      <c r="I3522" s="8">
        <f>VLOOKUP(A3522,[1]!Table1[#All],33,FALSE)</f>
        <v>45504</v>
      </c>
      <c r="J3522" t="str">
        <f t="shared" ca="1" si="58"/>
        <v>UDO</v>
      </c>
    </row>
    <row r="3523" spans="1:10" x14ac:dyDescent="0.35">
      <c r="A3523" s="9" t="s">
        <v>113</v>
      </c>
      <c r="B3523" s="10">
        <v>44440</v>
      </c>
      <c r="C3523" s="11">
        <v>69446</v>
      </c>
      <c r="D3523" s="11">
        <v>48119.45</v>
      </c>
      <c r="E3523" s="11">
        <v>21326.550000000003</v>
      </c>
      <c r="F3523" t="str">
        <f>VLOOKUP(A3523,[1]!Table1[#All],17,FALSE)</f>
        <v>UNITED STATES</v>
      </c>
      <c r="G3523" t="str">
        <f>VLOOKUP(A3523,[1]!Table1[#All],22,FALSE)</f>
        <v>HEALTH RESEARCH, INC.</v>
      </c>
      <c r="H3523" s="8">
        <f>VLOOKUP(A3523,[1]!Table1[#All],32,FALSE)</f>
        <v>43678</v>
      </c>
      <c r="I3523" s="8">
        <f>VLOOKUP(A3523,[1]!Table1[#All],33,FALSE)</f>
        <v>45504</v>
      </c>
      <c r="J3523" t="str">
        <f t="shared" ref="J3523:J3586" ca="1" si="59">IF(AND( E3523&gt;0,TODAY()&gt;I3523),"UDO","Non UDO")</f>
        <v>UDO</v>
      </c>
    </row>
    <row r="3524" spans="1:10" x14ac:dyDescent="0.35">
      <c r="A3524" s="5" t="s">
        <v>113</v>
      </c>
      <c r="B3524" s="6">
        <v>44470</v>
      </c>
      <c r="C3524" s="7">
        <v>69446</v>
      </c>
      <c r="D3524" s="7">
        <v>53553.53</v>
      </c>
      <c r="E3524" s="7">
        <v>15892.470000000001</v>
      </c>
      <c r="F3524" t="str">
        <f>VLOOKUP(A3524,[1]!Table1[#All],17,FALSE)</f>
        <v>UNITED STATES</v>
      </c>
      <c r="G3524" t="str">
        <f>VLOOKUP(A3524,[1]!Table1[#All],22,FALSE)</f>
        <v>HEALTH RESEARCH, INC.</v>
      </c>
      <c r="H3524" s="8">
        <f>VLOOKUP(A3524,[1]!Table1[#All],32,FALSE)</f>
        <v>43678</v>
      </c>
      <c r="I3524" s="8">
        <f>VLOOKUP(A3524,[1]!Table1[#All],33,FALSE)</f>
        <v>45504</v>
      </c>
      <c r="J3524" t="str">
        <f t="shared" ca="1" si="59"/>
        <v>UDO</v>
      </c>
    </row>
    <row r="3525" spans="1:10" x14ac:dyDescent="0.35">
      <c r="A3525" s="9" t="s">
        <v>113</v>
      </c>
      <c r="B3525" s="10">
        <v>44501</v>
      </c>
      <c r="C3525" s="11">
        <v>69446</v>
      </c>
      <c r="D3525" s="11">
        <v>57042.14</v>
      </c>
      <c r="E3525" s="11">
        <v>12403.86</v>
      </c>
      <c r="F3525" t="str">
        <f>VLOOKUP(A3525,[1]!Table1[#All],17,FALSE)</f>
        <v>UNITED STATES</v>
      </c>
      <c r="G3525" t="str">
        <f>VLOOKUP(A3525,[1]!Table1[#All],22,FALSE)</f>
        <v>HEALTH RESEARCH, INC.</v>
      </c>
      <c r="H3525" s="8">
        <f>VLOOKUP(A3525,[1]!Table1[#All],32,FALSE)</f>
        <v>43678</v>
      </c>
      <c r="I3525" s="8">
        <f>VLOOKUP(A3525,[1]!Table1[#All],33,FALSE)</f>
        <v>45504</v>
      </c>
      <c r="J3525" t="str">
        <f t="shared" ca="1" si="59"/>
        <v>UDO</v>
      </c>
    </row>
    <row r="3526" spans="1:10" x14ac:dyDescent="0.35">
      <c r="A3526" s="5" t="s">
        <v>113</v>
      </c>
      <c r="B3526" s="6">
        <v>44531</v>
      </c>
      <c r="C3526" s="7">
        <v>69446</v>
      </c>
      <c r="D3526" s="7">
        <v>61875.97</v>
      </c>
      <c r="E3526" s="7">
        <v>7570.0300000000007</v>
      </c>
      <c r="F3526" t="str">
        <f>VLOOKUP(A3526,[1]!Table1[#All],17,FALSE)</f>
        <v>UNITED STATES</v>
      </c>
      <c r="G3526" t="str">
        <f>VLOOKUP(A3526,[1]!Table1[#All],22,FALSE)</f>
        <v>HEALTH RESEARCH, INC.</v>
      </c>
      <c r="H3526" s="8">
        <f>VLOOKUP(A3526,[1]!Table1[#All],32,FALSE)</f>
        <v>43678</v>
      </c>
      <c r="I3526" s="8">
        <f>VLOOKUP(A3526,[1]!Table1[#All],33,FALSE)</f>
        <v>45504</v>
      </c>
      <c r="J3526" t="str">
        <f t="shared" ca="1" si="59"/>
        <v>UDO</v>
      </c>
    </row>
    <row r="3527" spans="1:10" x14ac:dyDescent="0.35">
      <c r="A3527" s="9" t="s">
        <v>113</v>
      </c>
      <c r="B3527" s="10">
        <v>44562</v>
      </c>
      <c r="C3527" s="11">
        <v>69446</v>
      </c>
      <c r="D3527" s="11">
        <v>66130</v>
      </c>
      <c r="E3527" s="11">
        <v>3316</v>
      </c>
      <c r="F3527" t="str">
        <f>VLOOKUP(A3527,[1]!Table1[#All],17,FALSE)</f>
        <v>UNITED STATES</v>
      </c>
      <c r="G3527" t="str">
        <f>VLOOKUP(A3527,[1]!Table1[#All],22,FALSE)</f>
        <v>HEALTH RESEARCH, INC.</v>
      </c>
      <c r="H3527" s="8">
        <f>VLOOKUP(A3527,[1]!Table1[#All],32,FALSE)</f>
        <v>43678</v>
      </c>
      <c r="I3527" s="8">
        <f>VLOOKUP(A3527,[1]!Table1[#All],33,FALSE)</f>
        <v>45504</v>
      </c>
      <c r="J3527" t="str">
        <f t="shared" ca="1" si="59"/>
        <v>UDO</v>
      </c>
    </row>
    <row r="3528" spans="1:10" x14ac:dyDescent="0.35">
      <c r="A3528" s="5" t="s">
        <v>113</v>
      </c>
      <c r="B3528" s="6">
        <v>44593</v>
      </c>
      <c r="C3528" s="7">
        <v>69446</v>
      </c>
      <c r="D3528" s="7">
        <v>69446</v>
      </c>
      <c r="E3528" s="7">
        <v>0</v>
      </c>
      <c r="F3528" t="str">
        <f>VLOOKUP(A3528,[1]!Table1[#All],17,FALSE)</f>
        <v>UNITED STATES</v>
      </c>
      <c r="G3528" t="str">
        <f>VLOOKUP(A3528,[1]!Table1[#All],22,FALSE)</f>
        <v>HEALTH RESEARCH, INC.</v>
      </c>
      <c r="H3528" s="8">
        <f>VLOOKUP(A3528,[1]!Table1[#All],32,FALSE)</f>
        <v>43678</v>
      </c>
      <c r="I3528" s="8">
        <f>VLOOKUP(A3528,[1]!Table1[#All],33,FALSE)</f>
        <v>45504</v>
      </c>
      <c r="J3528" t="str">
        <f t="shared" ca="1" si="59"/>
        <v>Non UDO</v>
      </c>
    </row>
    <row r="3529" spans="1:10" x14ac:dyDescent="0.35">
      <c r="A3529" s="9" t="s">
        <v>113</v>
      </c>
      <c r="B3529" s="10">
        <v>44621</v>
      </c>
      <c r="C3529" s="11">
        <v>69446</v>
      </c>
      <c r="D3529" s="11">
        <v>69446</v>
      </c>
      <c r="E3529" s="11">
        <v>0</v>
      </c>
      <c r="F3529" t="str">
        <f>VLOOKUP(A3529,[1]!Table1[#All],17,FALSE)</f>
        <v>UNITED STATES</v>
      </c>
      <c r="G3529" t="str">
        <f>VLOOKUP(A3529,[1]!Table1[#All],22,FALSE)</f>
        <v>HEALTH RESEARCH, INC.</v>
      </c>
      <c r="H3529" s="8">
        <f>VLOOKUP(A3529,[1]!Table1[#All],32,FALSE)</f>
        <v>43678</v>
      </c>
      <c r="I3529" s="8">
        <f>VLOOKUP(A3529,[1]!Table1[#All],33,FALSE)</f>
        <v>45504</v>
      </c>
      <c r="J3529" t="str">
        <f t="shared" ca="1" si="59"/>
        <v>Non UDO</v>
      </c>
    </row>
    <row r="3530" spans="1:10" x14ac:dyDescent="0.35">
      <c r="A3530" s="5" t="s">
        <v>113</v>
      </c>
      <c r="B3530" s="6">
        <v>44652</v>
      </c>
      <c r="C3530" s="7">
        <v>69446</v>
      </c>
      <c r="D3530" s="7">
        <v>69446</v>
      </c>
      <c r="E3530" s="7">
        <v>0</v>
      </c>
      <c r="F3530" t="str">
        <f>VLOOKUP(A3530,[1]!Table1[#All],17,FALSE)</f>
        <v>UNITED STATES</v>
      </c>
      <c r="G3530" t="str">
        <f>VLOOKUP(A3530,[1]!Table1[#All],22,FALSE)</f>
        <v>HEALTH RESEARCH, INC.</v>
      </c>
      <c r="H3530" s="8">
        <f>VLOOKUP(A3530,[1]!Table1[#All],32,FALSE)</f>
        <v>43678</v>
      </c>
      <c r="I3530" s="8">
        <f>VLOOKUP(A3530,[1]!Table1[#All],33,FALSE)</f>
        <v>45504</v>
      </c>
      <c r="J3530" t="str">
        <f t="shared" ca="1" si="59"/>
        <v>Non UDO</v>
      </c>
    </row>
    <row r="3531" spans="1:10" x14ac:dyDescent="0.35">
      <c r="A3531" s="9" t="s">
        <v>113</v>
      </c>
      <c r="B3531" s="10">
        <v>44682</v>
      </c>
      <c r="C3531" s="11">
        <v>69446</v>
      </c>
      <c r="D3531" s="11">
        <v>69446</v>
      </c>
      <c r="E3531" s="11">
        <v>0</v>
      </c>
      <c r="F3531" t="str">
        <f>VLOOKUP(A3531,[1]!Table1[#All],17,FALSE)</f>
        <v>UNITED STATES</v>
      </c>
      <c r="G3531" t="str">
        <f>VLOOKUP(A3531,[1]!Table1[#All],22,FALSE)</f>
        <v>HEALTH RESEARCH, INC.</v>
      </c>
      <c r="H3531" s="8">
        <f>VLOOKUP(A3531,[1]!Table1[#All],32,FALSE)</f>
        <v>43678</v>
      </c>
      <c r="I3531" s="8">
        <f>VLOOKUP(A3531,[1]!Table1[#All],33,FALSE)</f>
        <v>45504</v>
      </c>
      <c r="J3531" t="str">
        <f t="shared" ca="1" si="59"/>
        <v>Non UDO</v>
      </c>
    </row>
    <row r="3532" spans="1:10" x14ac:dyDescent="0.35">
      <c r="A3532" s="5" t="s">
        <v>113</v>
      </c>
      <c r="B3532" s="6">
        <v>44713</v>
      </c>
      <c r="C3532" s="7">
        <v>69446</v>
      </c>
      <c r="D3532" s="7">
        <v>69446</v>
      </c>
      <c r="E3532" s="7">
        <v>0</v>
      </c>
      <c r="F3532" t="str">
        <f>VLOOKUP(A3532,[1]!Table1[#All],17,FALSE)</f>
        <v>UNITED STATES</v>
      </c>
      <c r="G3532" t="str">
        <f>VLOOKUP(A3532,[1]!Table1[#All],22,FALSE)</f>
        <v>HEALTH RESEARCH, INC.</v>
      </c>
      <c r="H3532" s="8">
        <f>VLOOKUP(A3532,[1]!Table1[#All],32,FALSE)</f>
        <v>43678</v>
      </c>
      <c r="I3532" s="8">
        <f>VLOOKUP(A3532,[1]!Table1[#All],33,FALSE)</f>
        <v>45504</v>
      </c>
      <c r="J3532" t="str">
        <f t="shared" ca="1" si="59"/>
        <v>Non UDO</v>
      </c>
    </row>
    <row r="3533" spans="1:10" x14ac:dyDescent="0.35">
      <c r="A3533" s="9" t="s">
        <v>113</v>
      </c>
      <c r="B3533" s="10">
        <v>44743</v>
      </c>
      <c r="C3533" s="11">
        <v>69446</v>
      </c>
      <c r="D3533" s="11">
        <v>69446</v>
      </c>
      <c r="E3533" s="11">
        <v>0</v>
      </c>
      <c r="F3533" t="str">
        <f>VLOOKUP(A3533,[1]!Table1[#All],17,FALSE)</f>
        <v>UNITED STATES</v>
      </c>
      <c r="G3533" t="str">
        <f>VLOOKUP(A3533,[1]!Table1[#All],22,FALSE)</f>
        <v>HEALTH RESEARCH, INC.</v>
      </c>
      <c r="H3533" s="8">
        <f>VLOOKUP(A3533,[1]!Table1[#All],32,FALSE)</f>
        <v>43678</v>
      </c>
      <c r="I3533" s="8">
        <f>VLOOKUP(A3533,[1]!Table1[#All],33,FALSE)</f>
        <v>45504</v>
      </c>
      <c r="J3533" t="str">
        <f t="shared" ca="1" si="59"/>
        <v>Non UDO</v>
      </c>
    </row>
    <row r="3534" spans="1:10" x14ac:dyDescent="0.35">
      <c r="A3534" s="5" t="s">
        <v>113</v>
      </c>
      <c r="B3534" s="6">
        <v>44774</v>
      </c>
      <c r="C3534" s="7">
        <v>69446</v>
      </c>
      <c r="D3534" s="7">
        <v>69446</v>
      </c>
      <c r="E3534" s="7">
        <v>0</v>
      </c>
      <c r="F3534" t="str">
        <f>VLOOKUP(A3534,[1]!Table1[#All],17,FALSE)</f>
        <v>UNITED STATES</v>
      </c>
      <c r="G3534" t="str">
        <f>VLOOKUP(A3534,[1]!Table1[#All],22,FALSE)</f>
        <v>HEALTH RESEARCH, INC.</v>
      </c>
      <c r="H3534" s="8">
        <f>VLOOKUP(A3534,[1]!Table1[#All],32,FALSE)</f>
        <v>43678</v>
      </c>
      <c r="I3534" s="8">
        <f>VLOOKUP(A3534,[1]!Table1[#All],33,FALSE)</f>
        <v>45504</v>
      </c>
      <c r="J3534" t="str">
        <f t="shared" ca="1" si="59"/>
        <v>Non UDO</v>
      </c>
    </row>
    <row r="3535" spans="1:10" x14ac:dyDescent="0.35">
      <c r="A3535" s="9" t="s">
        <v>113</v>
      </c>
      <c r="B3535" s="10">
        <v>44805</v>
      </c>
      <c r="C3535" s="11">
        <v>69446</v>
      </c>
      <c r="D3535" s="11">
        <v>69446</v>
      </c>
      <c r="E3535" s="11">
        <v>0</v>
      </c>
      <c r="F3535" t="str">
        <f>VLOOKUP(A3535,[1]!Table1[#All],17,FALSE)</f>
        <v>UNITED STATES</v>
      </c>
      <c r="G3535" t="str">
        <f>VLOOKUP(A3535,[1]!Table1[#All],22,FALSE)</f>
        <v>HEALTH RESEARCH, INC.</v>
      </c>
      <c r="H3535" s="8">
        <f>VLOOKUP(A3535,[1]!Table1[#All],32,FALSE)</f>
        <v>43678</v>
      </c>
      <c r="I3535" s="8">
        <f>VLOOKUP(A3535,[1]!Table1[#All],33,FALSE)</f>
        <v>45504</v>
      </c>
      <c r="J3535" t="str">
        <f t="shared" ca="1" si="59"/>
        <v>Non UDO</v>
      </c>
    </row>
    <row r="3536" spans="1:10" x14ac:dyDescent="0.35">
      <c r="A3536" s="5" t="s">
        <v>113</v>
      </c>
      <c r="B3536" s="6">
        <v>44835</v>
      </c>
      <c r="C3536" s="7">
        <v>69446</v>
      </c>
      <c r="D3536" s="7">
        <v>69446</v>
      </c>
      <c r="E3536" s="7">
        <v>0</v>
      </c>
      <c r="F3536" t="str">
        <f>VLOOKUP(A3536,[1]!Table1[#All],17,FALSE)</f>
        <v>UNITED STATES</v>
      </c>
      <c r="G3536" t="str">
        <f>VLOOKUP(A3536,[1]!Table1[#All],22,FALSE)</f>
        <v>HEALTH RESEARCH, INC.</v>
      </c>
      <c r="H3536" s="8">
        <f>VLOOKUP(A3536,[1]!Table1[#All],32,FALSE)</f>
        <v>43678</v>
      </c>
      <c r="I3536" s="8">
        <f>VLOOKUP(A3536,[1]!Table1[#All],33,FALSE)</f>
        <v>45504</v>
      </c>
      <c r="J3536" t="str">
        <f t="shared" ca="1" si="59"/>
        <v>Non UDO</v>
      </c>
    </row>
    <row r="3537" spans="1:10" x14ac:dyDescent="0.35">
      <c r="A3537" s="9" t="s">
        <v>113</v>
      </c>
      <c r="B3537" s="10">
        <v>44866</v>
      </c>
      <c r="C3537" s="11">
        <v>69446</v>
      </c>
      <c r="D3537" s="11">
        <v>69446</v>
      </c>
      <c r="E3537" s="11">
        <v>0</v>
      </c>
      <c r="F3537" t="str">
        <f>VLOOKUP(A3537,[1]!Table1[#All],17,FALSE)</f>
        <v>UNITED STATES</v>
      </c>
      <c r="G3537" t="str">
        <f>VLOOKUP(A3537,[1]!Table1[#All],22,FALSE)</f>
        <v>HEALTH RESEARCH, INC.</v>
      </c>
      <c r="H3537" s="8">
        <f>VLOOKUP(A3537,[1]!Table1[#All],32,FALSE)</f>
        <v>43678</v>
      </c>
      <c r="I3537" s="8">
        <f>VLOOKUP(A3537,[1]!Table1[#All],33,FALSE)</f>
        <v>45504</v>
      </c>
      <c r="J3537" t="str">
        <f t="shared" ca="1" si="59"/>
        <v>Non UDO</v>
      </c>
    </row>
    <row r="3538" spans="1:10" x14ac:dyDescent="0.35">
      <c r="A3538" s="5" t="s">
        <v>113</v>
      </c>
      <c r="B3538" s="6">
        <v>44896</v>
      </c>
      <c r="C3538" s="7">
        <v>69446</v>
      </c>
      <c r="D3538" s="7">
        <v>69446</v>
      </c>
      <c r="E3538" s="7">
        <v>0</v>
      </c>
      <c r="F3538" t="str">
        <f>VLOOKUP(A3538,[1]!Table1[#All],17,FALSE)</f>
        <v>UNITED STATES</v>
      </c>
      <c r="G3538" t="str">
        <f>VLOOKUP(A3538,[1]!Table1[#All],22,FALSE)</f>
        <v>HEALTH RESEARCH, INC.</v>
      </c>
      <c r="H3538" s="8">
        <f>VLOOKUP(A3538,[1]!Table1[#All],32,FALSE)</f>
        <v>43678</v>
      </c>
      <c r="I3538" s="8">
        <f>VLOOKUP(A3538,[1]!Table1[#All],33,FALSE)</f>
        <v>45504</v>
      </c>
      <c r="J3538" t="str">
        <f t="shared" ca="1" si="59"/>
        <v>Non UDO</v>
      </c>
    </row>
    <row r="3539" spans="1:10" x14ac:dyDescent="0.35">
      <c r="A3539" s="9" t="s">
        <v>113</v>
      </c>
      <c r="B3539" s="10">
        <v>44927</v>
      </c>
      <c r="C3539" s="11">
        <v>69446</v>
      </c>
      <c r="D3539" s="11">
        <v>69446</v>
      </c>
      <c r="E3539" s="11">
        <v>0</v>
      </c>
      <c r="F3539" t="str">
        <f>VLOOKUP(A3539,[1]!Table1[#All],17,FALSE)</f>
        <v>UNITED STATES</v>
      </c>
      <c r="G3539" t="str">
        <f>VLOOKUP(A3539,[1]!Table1[#All],22,FALSE)</f>
        <v>HEALTH RESEARCH, INC.</v>
      </c>
      <c r="H3539" s="8">
        <f>VLOOKUP(A3539,[1]!Table1[#All],32,FALSE)</f>
        <v>43678</v>
      </c>
      <c r="I3539" s="8">
        <f>VLOOKUP(A3539,[1]!Table1[#All],33,FALSE)</f>
        <v>45504</v>
      </c>
      <c r="J3539" t="str">
        <f t="shared" ca="1" si="59"/>
        <v>Non UDO</v>
      </c>
    </row>
    <row r="3540" spans="1:10" x14ac:dyDescent="0.35">
      <c r="A3540" s="5" t="s">
        <v>113</v>
      </c>
      <c r="B3540" s="6">
        <v>44958</v>
      </c>
      <c r="C3540" s="7">
        <v>69446</v>
      </c>
      <c r="D3540" s="7">
        <v>69446</v>
      </c>
      <c r="E3540" s="7">
        <v>0</v>
      </c>
      <c r="F3540" t="str">
        <f>VLOOKUP(A3540,[1]!Table1[#All],17,FALSE)</f>
        <v>UNITED STATES</v>
      </c>
      <c r="G3540" t="str">
        <f>VLOOKUP(A3540,[1]!Table1[#All],22,FALSE)</f>
        <v>HEALTH RESEARCH, INC.</v>
      </c>
      <c r="H3540" s="8">
        <f>VLOOKUP(A3540,[1]!Table1[#All],32,FALSE)</f>
        <v>43678</v>
      </c>
      <c r="I3540" s="8">
        <f>VLOOKUP(A3540,[1]!Table1[#All],33,FALSE)</f>
        <v>45504</v>
      </c>
      <c r="J3540" t="str">
        <f t="shared" ca="1" si="59"/>
        <v>Non UDO</v>
      </c>
    </row>
    <row r="3541" spans="1:10" x14ac:dyDescent="0.35">
      <c r="A3541" s="9" t="s">
        <v>113</v>
      </c>
      <c r="B3541" s="10">
        <v>44986</v>
      </c>
      <c r="C3541" s="11">
        <v>69446</v>
      </c>
      <c r="D3541" s="11">
        <v>69446</v>
      </c>
      <c r="E3541" s="11">
        <v>0</v>
      </c>
      <c r="F3541" t="str">
        <f>VLOOKUP(A3541,[1]!Table1[#All],17,FALSE)</f>
        <v>UNITED STATES</v>
      </c>
      <c r="G3541" t="str">
        <f>VLOOKUP(A3541,[1]!Table1[#All],22,FALSE)</f>
        <v>HEALTH RESEARCH, INC.</v>
      </c>
      <c r="H3541" s="8">
        <f>VLOOKUP(A3541,[1]!Table1[#All],32,FALSE)</f>
        <v>43678</v>
      </c>
      <c r="I3541" s="8">
        <f>VLOOKUP(A3541,[1]!Table1[#All],33,FALSE)</f>
        <v>45504</v>
      </c>
      <c r="J3541" t="str">
        <f t="shared" ca="1" si="59"/>
        <v>Non UDO</v>
      </c>
    </row>
    <row r="3542" spans="1:10" x14ac:dyDescent="0.35">
      <c r="A3542" s="5" t="s">
        <v>113</v>
      </c>
      <c r="B3542" s="6">
        <v>45017</v>
      </c>
      <c r="C3542" s="7">
        <v>69446</v>
      </c>
      <c r="D3542" s="7">
        <v>69446</v>
      </c>
      <c r="E3542" s="7">
        <v>0</v>
      </c>
      <c r="F3542" t="str">
        <f>VLOOKUP(A3542,[1]!Table1[#All],17,FALSE)</f>
        <v>UNITED STATES</v>
      </c>
      <c r="G3542" t="str">
        <f>VLOOKUP(A3542,[1]!Table1[#All],22,FALSE)</f>
        <v>HEALTH RESEARCH, INC.</v>
      </c>
      <c r="H3542" s="8">
        <f>VLOOKUP(A3542,[1]!Table1[#All],32,FALSE)</f>
        <v>43678</v>
      </c>
      <c r="I3542" s="8">
        <f>VLOOKUP(A3542,[1]!Table1[#All],33,FALSE)</f>
        <v>45504</v>
      </c>
      <c r="J3542" t="str">
        <f t="shared" ca="1" si="59"/>
        <v>Non UDO</v>
      </c>
    </row>
    <row r="3543" spans="1:10" x14ac:dyDescent="0.35">
      <c r="A3543" s="9" t="s">
        <v>113</v>
      </c>
      <c r="B3543" s="10">
        <v>45047</v>
      </c>
      <c r="C3543" s="11">
        <v>69446</v>
      </c>
      <c r="D3543" s="11">
        <v>69446</v>
      </c>
      <c r="E3543" s="11">
        <v>0</v>
      </c>
      <c r="F3543" t="str">
        <f>VLOOKUP(A3543,[1]!Table1[#All],17,FALSE)</f>
        <v>UNITED STATES</v>
      </c>
      <c r="G3543" t="str">
        <f>VLOOKUP(A3543,[1]!Table1[#All],22,FALSE)</f>
        <v>HEALTH RESEARCH, INC.</v>
      </c>
      <c r="H3543" s="8">
        <f>VLOOKUP(A3543,[1]!Table1[#All],32,FALSE)</f>
        <v>43678</v>
      </c>
      <c r="I3543" s="8">
        <f>VLOOKUP(A3543,[1]!Table1[#All],33,FALSE)</f>
        <v>45504</v>
      </c>
      <c r="J3543" t="str">
        <f t="shared" ca="1" si="59"/>
        <v>Non UDO</v>
      </c>
    </row>
    <row r="3544" spans="1:10" x14ac:dyDescent="0.35">
      <c r="A3544" s="5" t="s">
        <v>113</v>
      </c>
      <c r="B3544" s="6">
        <v>45078</v>
      </c>
      <c r="C3544" s="7">
        <v>69446</v>
      </c>
      <c r="D3544" s="7">
        <v>69446</v>
      </c>
      <c r="E3544" s="7">
        <v>0</v>
      </c>
      <c r="F3544" t="str">
        <f>VLOOKUP(A3544,[1]!Table1[#All],17,FALSE)</f>
        <v>UNITED STATES</v>
      </c>
      <c r="G3544" t="str">
        <f>VLOOKUP(A3544,[1]!Table1[#All],22,FALSE)</f>
        <v>HEALTH RESEARCH, INC.</v>
      </c>
      <c r="H3544" s="8">
        <f>VLOOKUP(A3544,[1]!Table1[#All],32,FALSE)</f>
        <v>43678</v>
      </c>
      <c r="I3544" s="8">
        <f>VLOOKUP(A3544,[1]!Table1[#All],33,FALSE)</f>
        <v>45504</v>
      </c>
      <c r="J3544" t="str">
        <f t="shared" ca="1" si="59"/>
        <v>Non UDO</v>
      </c>
    </row>
    <row r="3545" spans="1:10" x14ac:dyDescent="0.35">
      <c r="A3545" s="9" t="s">
        <v>113</v>
      </c>
      <c r="B3545" s="10">
        <v>45108</v>
      </c>
      <c r="C3545" s="11">
        <v>69446</v>
      </c>
      <c r="D3545" s="11">
        <v>69446</v>
      </c>
      <c r="E3545" s="11">
        <v>0</v>
      </c>
      <c r="F3545" t="str">
        <f>VLOOKUP(A3545,[1]!Table1[#All],17,FALSE)</f>
        <v>UNITED STATES</v>
      </c>
      <c r="G3545" t="str">
        <f>VLOOKUP(A3545,[1]!Table1[#All],22,FALSE)</f>
        <v>HEALTH RESEARCH, INC.</v>
      </c>
      <c r="H3545" s="8">
        <f>VLOOKUP(A3545,[1]!Table1[#All],32,FALSE)</f>
        <v>43678</v>
      </c>
      <c r="I3545" s="8">
        <f>VLOOKUP(A3545,[1]!Table1[#All],33,FALSE)</f>
        <v>45504</v>
      </c>
      <c r="J3545" t="str">
        <f t="shared" ca="1" si="59"/>
        <v>Non UDO</v>
      </c>
    </row>
    <row r="3546" spans="1:10" x14ac:dyDescent="0.35">
      <c r="A3546" s="5" t="s">
        <v>113</v>
      </c>
      <c r="B3546" s="6">
        <v>45139</v>
      </c>
      <c r="C3546" s="7">
        <v>69446</v>
      </c>
      <c r="D3546" s="7">
        <v>69446</v>
      </c>
      <c r="E3546" s="7">
        <v>0</v>
      </c>
      <c r="F3546" t="str">
        <f>VLOOKUP(A3546,[1]!Table1[#All],17,FALSE)</f>
        <v>UNITED STATES</v>
      </c>
      <c r="G3546" t="str">
        <f>VLOOKUP(A3546,[1]!Table1[#All],22,FALSE)</f>
        <v>HEALTH RESEARCH, INC.</v>
      </c>
      <c r="H3546" s="8">
        <f>VLOOKUP(A3546,[1]!Table1[#All],32,FALSE)</f>
        <v>43678</v>
      </c>
      <c r="I3546" s="8">
        <f>VLOOKUP(A3546,[1]!Table1[#All],33,FALSE)</f>
        <v>45504</v>
      </c>
      <c r="J3546" t="str">
        <f t="shared" ca="1" si="59"/>
        <v>Non UDO</v>
      </c>
    </row>
    <row r="3547" spans="1:10" x14ac:dyDescent="0.35">
      <c r="A3547" s="9" t="s">
        <v>113</v>
      </c>
      <c r="B3547" s="10">
        <v>45170</v>
      </c>
      <c r="C3547" s="11">
        <v>69446</v>
      </c>
      <c r="D3547" s="11">
        <v>69446</v>
      </c>
      <c r="E3547" s="11">
        <v>0</v>
      </c>
      <c r="F3547" t="str">
        <f>VLOOKUP(A3547,[1]!Table1[#All],17,FALSE)</f>
        <v>UNITED STATES</v>
      </c>
      <c r="G3547" t="str">
        <f>VLOOKUP(A3547,[1]!Table1[#All],22,FALSE)</f>
        <v>HEALTH RESEARCH, INC.</v>
      </c>
      <c r="H3547" s="8">
        <f>VLOOKUP(A3547,[1]!Table1[#All],32,FALSE)</f>
        <v>43678</v>
      </c>
      <c r="I3547" s="8">
        <f>VLOOKUP(A3547,[1]!Table1[#All],33,FALSE)</f>
        <v>45504</v>
      </c>
      <c r="J3547" t="str">
        <f t="shared" ca="1" si="59"/>
        <v>Non UDO</v>
      </c>
    </row>
    <row r="3548" spans="1:10" x14ac:dyDescent="0.35">
      <c r="A3548" s="5" t="s">
        <v>114</v>
      </c>
      <c r="B3548" s="6">
        <v>44409</v>
      </c>
      <c r="C3548" s="7">
        <v>4000</v>
      </c>
      <c r="D3548" s="7">
        <v>0</v>
      </c>
      <c r="E3548" s="7">
        <v>4000</v>
      </c>
      <c r="F3548" t="str">
        <f>VLOOKUP(A3548,[1]!Table1[#All],17,FALSE)</f>
        <v>UNITED STATES</v>
      </c>
      <c r="G3548" t="str">
        <f>VLOOKUP(A3548,[1]!Table1[#All],22,FALSE)</f>
        <v>HEALTH RESEARCH, INC.</v>
      </c>
      <c r="H3548" s="8">
        <f>VLOOKUP(A3548,[1]!Table1[#All],32,FALSE)</f>
        <v>43678</v>
      </c>
      <c r="I3548" s="8">
        <f>VLOOKUP(A3548,[1]!Table1[#All],33,FALSE)</f>
        <v>45504</v>
      </c>
      <c r="J3548" t="str">
        <f t="shared" ca="1" si="59"/>
        <v>UDO</v>
      </c>
    </row>
    <row r="3549" spans="1:10" x14ac:dyDescent="0.35">
      <c r="A3549" s="9" t="s">
        <v>114</v>
      </c>
      <c r="B3549" s="10">
        <v>44440</v>
      </c>
      <c r="C3549" s="11">
        <v>4000</v>
      </c>
      <c r="D3549" s="11">
        <v>0</v>
      </c>
      <c r="E3549" s="11">
        <v>4000</v>
      </c>
      <c r="F3549" t="str">
        <f>VLOOKUP(A3549,[1]!Table1[#All],17,FALSE)</f>
        <v>UNITED STATES</v>
      </c>
      <c r="G3549" t="str">
        <f>VLOOKUP(A3549,[1]!Table1[#All],22,FALSE)</f>
        <v>HEALTH RESEARCH, INC.</v>
      </c>
      <c r="H3549" s="8">
        <f>VLOOKUP(A3549,[1]!Table1[#All],32,FALSE)</f>
        <v>43678</v>
      </c>
      <c r="I3549" s="8">
        <f>VLOOKUP(A3549,[1]!Table1[#All],33,FALSE)</f>
        <v>45504</v>
      </c>
      <c r="J3549" t="str">
        <f t="shared" ca="1" si="59"/>
        <v>UDO</v>
      </c>
    </row>
    <row r="3550" spans="1:10" x14ac:dyDescent="0.35">
      <c r="A3550" s="5" t="s">
        <v>114</v>
      </c>
      <c r="B3550" s="6">
        <v>44470</v>
      </c>
      <c r="C3550" s="7">
        <v>4000</v>
      </c>
      <c r="D3550" s="7">
        <v>0</v>
      </c>
      <c r="E3550" s="7">
        <v>4000</v>
      </c>
      <c r="F3550" t="str">
        <f>VLOOKUP(A3550,[1]!Table1[#All],17,FALSE)</f>
        <v>UNITED STATES</v>
      </c>
      <c r="G3550" t="str">
        <f>VLOOKUP(A3550,[1]!Table1[#All],22,FALSE)</f>
        <v>HEALTH RESEARCH, INC.</v>
      </c>
      <c r="H3550" s="8">
        <f>VLOOKUP(A3550,[1]!Table1[#All],32,FALSE)</f>
        <v>43678</v>
      </c>
      <c r="I3550" s="8">
        <f>VLOOKUP(A3550,[1]!Table1[#All],33,FALSE)</f>
        <v>45504</v>
      </c>
      <c r="J3550" t="str">
        <f t="shared" ca="1" si="59"/>
        <v>UDO</v>
      </c>
    </row>
    <row r="3551" spans="1:10" x14ac:dyDescent="0.35">
      <c r="A3551" s="9" t="s">
        <v>114</v>
      </c>
      <c r="B3551" s="10">
        <v>44501</v>
      </c>
      <c r="C3551" s="11">
        <v>4000</v>
      </c>
      <c r="D3551" s="11">
        <v>0</v>
      </c>
      <c r="E3551" s="11">
        <v>4000</v>
      </c>
      <c r="F3551" t="str">
        <f>VLOOKUP(A3551,[1]!Table1[#All],17,FALSE)</f>
        <v>UNITED STATES</v>
      </c>
      <c r="G3551" t="str">
        <f>VLOOKUP(A3551,[1]!Table1[#All],22,FALSE)</f>
        <v>HEALTH RESEARCH, INC.</v>
      </c>
      <c r="H3551" s="8">
        <f>VLOOKUP(A3551,[1]!Table1[#All],32,FALSE)</f>
        <v>43678</v>
      </c>
      <c r="I3551" s="8">
        <f>VLOOKUP(A3551,[1]!Table1[#All],33,FALSE)</f>
        <v>45504</v>
      </c>
      <c r="J3551" t="str">
        <f t="shared" ca="1" si="59"/>
        <v>UDO</v>
      </c>
    </row>
    <row r="3552" spans="1:10" x14ac:dyDescent="0.35">
      <c r="A3552" s="5" t="s">
        <v>114</v>
      </c>
      <c r="B3552" s="6">
        <v>44531</v>
      </c>
      <c r="C3552" s="7">
        <v>4000</v>
      </c>
      <c r="D3552" s="7">
        <v>0</v>
      </c>
      <c r="E3552" s="7">
        <v>4000</v>
      </c>
      <c r="F3552" t="str">
        <f>VLOOKUP(A3552,[1]!Table1[#All],17,FALSE)</f>
        <v>UNITED STATES</v>
      </c>
      <c r="G3552" t="str">
        <f>VLOOKUP(A3552,[1]!Table1[#All],22,FALSE)</f>
        <v>HEALTH RESEARCH, INC.</v>
      </c>
      <c r="H3552" s="8">
        <f>VLOOKUP(A3552,[1]!Table1[#All],32,FALSE)</f>
        <v>43678</v>
      </c>
      <c r="I3552" s="8">
        <f>VLOOKUP(A3552,[1]!Table1[#All],33,FALSE)</f>
        <v>45504</v>
      </c>
      <c r="J3552" t="str">
        <f t="shared" ca="1" si="59"/>
        <v>UDO</v>
      </c>
    </row>
    <row r="3553" spans="1:10" x14ac:dyDescent="0.35">
      <c r="A3553" s="9" t="s">
        <v>114</v>
      </c>
      <c r="B3553" s="10">
        <v>44562</v>
      </c>
      <c r="C3553" s="11">
        <v>4000</v>
      </c>
      <c r="D3553" s="11">
        <v>0</v>
      </c>
      <c r="E3553" s="11">
        <v>4000</v>
      </c>
      <c r="F3553" t="str">
        <f>VLOOKUP(A3553,[1]!Table1[#All],17,FALSE)</f>
        <v>UNITED STATES</v>
      </c>
      <c r="G3553" t="str">
        <f>VLOOKUP(A3553,[1]!Table1[#All],22,FALSE)</f>
        <v>HEALTH RESEARCH, INC.</v>
      </c>
      <c r="H3553" s="8">
        <f>VLOOKUP(A3553,[1]!Table1[#All],32,FALSE)</f>
        <v>43678</v>
      </c>
      <c r="I3553" s="8">
        <f>VLOOKUP(A3553,[1]!Table1[#All],33,FALSE)</f>
        <v>45504</v>
      </c>
      <c r="J3553" t="str">
        <f t="shared" ca="1" si="59"/>
        <v>UDO</v>
      </c>
    </row>
    <row r="3554" spans="1:10" x14ac:dyDescent="0.35">
      <c r="A3554" s="5" t="s">
        <v>114</v>
      </c>
      <c r="B3554" s="6">
        <v>44593</v>
      </c>
      <c r="C3554" s="7">
        <v>4000</v>
      </c>
      <c r="D3554" s="7">
        <v>142.94999999999999</v>
      </c>
      <c r="E3554" s="7">
        <v>3857.05</v>
      </c>
      <c r="F3554" t="str">
        <f>VLOOKUP(A3554,[1]!Table1[#All],17,FALSE)</f>
        <v>UNITED STATES</v>
      </c>
      <c r="G3554" t="str">
        <f>VLOOKUP(A3554,[1]!Table1[#All],22,FALSE)</f>
        <v>HEALTH RESEARCH, INC.</v>
      </c>
      <c r="H3554" s="8">
        <f>VLOOKUP(A3554,[1]!Table1[#All],32,FALSE)</f>
        <v>43678</v>
      </c>
      <c r="I3554" s="8">
        <f>VLOOKUP(A3554,[1]!Table1[#All],33,FALSE)</f>
        <v>45504</v>
      </c>
      <c r="J3554" t="str">
        <f t="shared" ca="1" si="59"/>
        <v>UDO</v>
      </c>
    </row>
    <row r="3555" spans="1:10" x14ac:dyDescent="0.35">
      <c r="A3555" s="9" t="s">
        <v>114</v>
      </c>
      <c r="B3555" s="10">
        <v>44621</v>
      </c>
      <c r="C3555" s="11">
        <v>4000</v>
      </c>
      <c r="D3555" s="11">
        <v>414.73</v>
      </c>
      <c r="E3555" s="11">
        <v>3585.27</v>
      </c>
      <c r="F3555" t="str">
        <f>VLOOKUP(A3555,[1]!Table1[#All],17,FALSE)</f>
        <v>UNITED STATES</v>
      </c>
      <c r="G3555" t="str">
        <f>VLOOKUP(A3555,[1]!Table1[#All],22,FALSE)</f>
        <v>HEALTH RESEARCH, INC.</v>
      </c>
      <c r="H3555" s="8">
        <f>VLOOKUP(A3555,[1]!Table1[#All],32,FALSE)</f>
        <v>43678</v>
      </c>
      <c r="I3555" s="8">
        <f>VLOOKUP(A3555,[1]!Table1[#All],33,FALSE)</f>
        <v>45504</v>
      </c>
      <c r="J3555" t="str">
        <f t="shared" ca="1" si="59"/>
        <v>UDO</v>
      </c>
    </row>
    <row r="3556" spans="1:10" x14ac:dyDescent="0.35">
      <c r="A3556" s="5" t="s">
        <v>114</v>
      </c>
      <c r="B3556" s="6">
        <v>44652</v>
      </c>
      <c r="C3556" s="7">
        <v>4000</v>
      </c>
      <c r="D3556" s="7">
        <v>658.85</v>
      </c>
      <c r="E3556" s="7">
        <v>3341.15</v>
      </c>
      <c r="F3556" t="str">
        <f>VLOOKUP(A3556,[1]!Table1[#All],17,FALSE)</f>
        <v>UNITED STATES</v>
      </c>
      <c r="G3556" t="str">
        <f>VLOOKUP(A3556,[1]!Table1[#All],22,FALSE)</f>
        <v>HEALTH RESEARCH, INC.</v>
      </c>
      <c r="H3556" s="8">
        <f>VLOOKUP(A3556,[1]!Table1[#All],32,FALSE)</f>
        <v>43678</v>
      </c>
      <c r="I3556" s="8">
        <f>VLOOKUP(A3556,[1]!Table1[#All],33,FALSE)</f>
        <v>45504</v>
      </c>
      <c r="J3556" t="str">
        <f t="shared" ca="1" si="59"/>
        <v>UDO</v>
      </c>
    </row>
    <row r="3557" spans="1:10" x14ac:dyDescent="0.35">
      <c r="A3557" s="9" t="s">
        <v>114</v>
      </c>
      <c r="B3557" s="10">
        <v>44682</v>
      </c>
      <c r="C3557" s="11">
        <v>4000</v>
      </c>
      <c r="D3557" s="11">
        <v>1079.93</v>
      </c>
      <c r="E3557" s="11">
        <v>2920.07</v>
      </c>
      <c r="F3557" t="str">
        <f>VLOOKUP(A3557,[1]!Table1[#All],17,FALSE)</f>
        <v>UNITED STATES</v>
      </c>
      <c r="G3557" t="str">
        <f>VLOOKUP(A3557,[1]!Table1[#All],22,FALSE)</f>
        <v>HEALTH RESEARCH, INC.</v>
      </c>
      <c r="H3557" s="8">
        <f>VLOOKUP(A3557,[1]!Table1[#All],32,FALSE)</f>
        <v>43678</v>
      </c>
      <c r="I3557" s="8">
        <f>VLOOKUP(A3557,[1]!Table1[#All],33,FALSE)</f>
        <v>45504</v>
      </c>
      <c r="J3557" t="str">
        <f t="shared" ca="1" si="59"/>
        <v>UDO</v>
      </c>
    </row>
    <row r="3558" spans="1:10" x14ac:dyDescent="0.35">
      <c r="A3558" s="5" t="s">
        <v>114</v>
      </c>
      <c r="B3558" s="6">
        <v>44713</v>
      </c>
      <c r="C3558" s="7">
        <v>4000</v>
      </c>
      <c r="D3558" s="7">
        <v>1355.49</v>
      </c>
      <c r="E3558" s="7">
        <v>2644.51</v>
      </c>
      <c r="F3558" t="str">
        <f>VLOOKUP(A3558,[1]!Table1[#All],17,FALSE)</f>
        <v>UNITED STATES</v>
      </c>
      <c r="G3558" t="str">
        <f>VLOOKUP(A3558,[1]!Table1[#All],22,FALSE)</f>
        <v>HEALTH RESEARCH, INC.</v>
      </c>
      <c r="H3558" s="8">
        <f>VLOOKUP(A3558,[1]!Table1[#All],32,FALSE)</f>
        <v>43678</v>
      </c>
      <c r="I3558" s="8">
        <f>VLOOKUP(A3558,[1]!Table1[#All],33,FALSE)</f>
        <v>45504</v>
      </c>
      <c r="J3558" t="str">
        <f t="shared" ca="1" si="59"/>
        <v>UDO</v>
      </c>
    </row>
    <row r="3559" spans="1:10" x14ac:dyDescent="0.35">
      <c r="A3559" s="9" t="s">
        <v>114</v>
      </c>
      <c r="B3559" s="10">
        <v>44743</v>
      </c>
      <c r="C3559" s="11">
        <v>4000</v>
      </c>
      <c r="D3559" s="11">
        <v>1637.76</v>
      </c>
      <c r="E3559" s="11">
        <v>2362.2399999999998</v>
      </c>
      <c r="F3559" t="str">
        <f>VLOOKUP(A3559,[1]!Table1[#All],17,FALSE)</f>
        <v>UNITED STATES</v>
      </c>
      <c r="G3559" t="str">
        <f>VLOOKUP(A3559,[1]!Table1[#All],22,FALSE)</f>
        <v>HEALTH RESEARCH, INC.</v>
      </c>
      <c r="H3559" s="8">
        <f>VLOOKUP(A3559,[1]!Table1[#All],32,FALSE)</f>
        <v>43678</v>
      </c>
      <c r="I3559" s="8">
        <f>VLOOKUP(A3559,[1]!Table1[#All],33,FALSE)</f>
        <v>45504</v>
      </c>
      <c r="J3559" t="str">
        <f t="shared" ca="1" si="59"/>
        <v>UDO</v>
      </c>
    </row>
    <row r="3560" spans="1:10" x14ac:dyDescent="0.35">
      <c r="A3560" s="5" t="s">
        <v>114</v>
      </c>
      <c r="B3560" s="6">
        <v>44774</v>
      </c>
      <c r="C3560" s="7">
        <v>4000</v>
      </c>
      <c r="D3560" s="7">
        <v>1989.69</v>
      </c>
      <c r="E3560" s="7">
        <v>2010.31</v>
      </c>
      <c r="F3560" t="str">
        <f>VLOOKUP(A3560,[1]!Table1[#All],17,FALSE)</f>
        <v>UNITED STATES</v>
      </c>
      <c r="G3560" t="str">
        <f>VLOOKUP(A3560,[1]!Table1[#All],22,FALSE)</f>
        <v>HEALTH RESEARCH, INC.</v>
      </c>
      <c r="H3560" s="8">
        <f>VLOOKUP(A3560,[1]!Table1[#All],32,FALSE)</f>
        <v>43678</v>
      </c>
      <c r="I3560" s="8">
        <f>VLOOKUP(A3560,[1]!Table1[#All],33,FALSE)</f>
        <v>45504</v>
      </c>
      <c r="J3560" t="str">
        <f t="shared" ca="1" si="59"/>
        <v>UDO</v>
      </c>
    </row>
    <row r="3561" spans="1:10" x14ac:dyDescent="0.35">
      <c r="A3561" s="9" t="s">
        <v>114</v>
      </c>
      <c r="B3561" s="10">
        <v>44805</v>
      </c>
      <c r="C3561" s="11">
        <v>4000</v>
      </c>
      <c r="D3561" s="11">
        <v>2379.02</v>
      </c>
      <c r="E3561" s="11">
        <v>1620.98</v>
      </c>
      <c r="F3561" t="str">
        <f>VLOOKUP(A3561,[1]!Table1[#All],17,FALSE)</f>
        <v>UNITED STATES</v>
      </c>
      <c r="G3561" t="str">
        <f>VLOOKUP(A3561,[1]!Table1[#All],22,FALSE)</f>
        <v>HEALTH RESEARCH, INC.</v>
      </c>
      <c r="H3561" s="8">
        <f>VLOOKUP(A3561,[1]!Table1[#All],32,FALSE)</f>
        <v>43678</v>
      </c>
      <c r="I3561" s="8">
        <f>VLOOKUP(A3561,[1]!Table1[#All],33,FALSE)</f>
        <v>45504</v>
      </c>
      <c r="J3561" t="str">
        <f t="shared" ca="1" si="59"/>
        <v>UDO</v>
      </c>
    </row>
    <row r="3562" spans="1:10" x14ac:dyDescent="0.35">
      <c r="A3562" s="5" t="s">
        <v>114</v>
      </c>
      <c r="B3562" s="6">
        <v>44835</v>
      </c>
      <c r="C3562" s="7">
        <v>4000</v>
      </c>
      <c r="D3562" s="7">
        <v>2541.06</v>
      </c>
      <c r="E3562" s="7">
        <v>1458.94</v>
      </c>
      <c r="F3562" t="str">
        <f>VLOOKUP(A3562,[1]!Table1[#All],17,FALSE)</f>
        <v>UNITED STATES</v>
      </c>
      <c r="G3562" t="str">
        <f>VLOOKUP(A3562,[1]!Table1[#All],22,FALSE)</f>
        <v>HEALTH RESEARCH, INC.</v>
      </c>
      <c r="H3562" s="8">
        <f>VLOOKUP(A3562,[1]!Table1[#All],32,FALSE)</f>
        <v>43678</v>
      </c>
      <c r="I3562" s="8">
        <f>VLOOKUP(A3562,[1]!Table1[#All],33,FALSE)</f>
        <v>45504</v>
      </c>
      <c r="J3562" t="str">
        <f t="shared" ca="1" si="59"/>
        <v>UDO</v>
      </c>
    </row>
    <row r="3563" spans="1:10" x14ac:dyDescent="0.35">
      <c r="A3563" s="9" t="s">
        <v>114</v>
      </c>
      <c r="B3563" s="10">
        <v>44866</v>
      </c>
      <c r="C3563" s="11">
        <v>4000</v>
      </c>
      <c r="D3563" s="11">
        <v>2746.68</v>
      </c>
      <c r="E3563" s="11">
        <v>1253.32</v>
      </c>
      <c r="F3563" t="str">
        <f>VLOOKUP(A3563,[1]!Table1[#All],17,FALSE)</f>
        <v>UNITED STATES</v>
      </c>
      <c r="G3563" t="str">
        <f>VLOOKUP(A3563,[1]!Table1[#All],22,FALSE)</f>
        <v>HEALTH RESEARCH, INC.</v>
      </c>
      <c r="H3563" s="8">
        <f>VLOOKUP(A3563,[1]!Table1[#All],32,FALSE)</f>
        <v>43678</v>
      </c>
      <c r="I3563" s="8">
        <f>VLOOKUP(A3563,[1]!Table1[#All],33,FALSE)</f>
        <v>45504</v>
      </c>
      <c r="J3563" t="str">
        <f t="shared" ca="1" si="59"/>
        <v>UDO</v>
      </c>
    </row>
    <row r="3564" spans="1:10" x14ac:dyDescent="0.35">
      <c r="A3564" s="5" t="s">
        <v>114</v>
      </c>
      <c r="B3564" s="6">
        <v>44896</v>
      </c>
      <c r="C3564" s="7">
        <v>4000</v>
      </c>
      <c r="D3564" s="7">
        <v>3094.63</v>
      </c>
      <c r="E3564" s="7">
        <v>905.37</v>
      </c>
      <c r="F3564" t="str">
        <f>VLOOKUP(A3564,[1]!Table1[#All],17,FALSE)</f>
        <v>UNITED STATES</v>
      </c>
      <c r="G3564" t="str">
        <f>VLOOKUP(A3564,[1]!Table1[#All],22,FALSE)</f>
        <v>HEALTH RESEARCH, INC.</v>
      </c>
      <c r="H3564" s="8">
        <f>VLOOKUP(A3564,[1]!Table1[#All],32,FALSE)</f>
        <v>43678</v>
      </c>
      <c r="I3564" s="8">
        <f>VLOOKUP(A3564,[1]!Table1[#All],33,FALSE)</f>
        <v>45504</v>
      </c>
      <c r="J3564" t="str">
        <f t="shared" ca="1" si="59"/>
        <v>UDO</v>
      </c>
    </row>
    <row r="3565" spans="1:10" x14ac:dyDescent="0.35">
      <c r="A3565" s="9" t="s">
        <v>114</v>
      </c>
      <c r="B3565" s="10">
        <v>44927</v>
      </c>
      <c r="C3565" s="11">
        <v>4000</v>
      </c>
      <c r="D3565" s="11">
        <v>3320.81</v>
      </c>
      <c r="E3565" s="11">
        <v>679.19</v>
      </c>
      <c r="F3565" t="str">
        <f>VLOOKUP(A3565,[1]!Table1[#All],17,FALSE)</f>
        <v>UNITED STATES</v>
      </c>
      <c r="G3565" t="str">
        <f>VLOOKUP(A3565,[1]!Table1[#All],22,FALSE)</f>
        <v>HEALTH RESEARCH, INC.</v>
      </c>
      <c r="H3565" s="8">
        <f>VLOOKUP(A3565,[1]!Table1[#All],32,FALSE)</f>
        <v>43678</v>
      </c>
      <c r="I3565" s="8">
        <f>VLOOKUP(A3565,[1]!Table1[#All],33,FALSE)</f>
        <v>45504</v>
      </c>
      <c r="J3565" t="str">
        <f t="shared" ca="1" si="59"/>
        <v>UDO</v>
      </c>
    </row>
    <row r="3566" spans="1:10" x14ac:dyDescent="0.35">
      <c r="A3566" s="5" t="s">
        <v>114</v>
      </c>
      <c r="B3566" s="6">
        <v>44958</v>
      </c>
      <c r="C3566" s="7">
        <v>4000</v>
      </c>
      <c r="D3566" s="7">
        <v>3517.03</v>
      </c>
      <c r="E3566" s="7">
        <v>482.97</v>
      </c>
      <c r="F3566" t="str">
        <f>VLOOKUP(A3566,[1]!Table1[#All],17,FALSE)</f>
        <v>UNITED STATES</v>
      </c>
      <c r="G3566" t="str">
        <f>VLOOKUP(A3566,[1]!Table1[#All],22,FALSE)</f>
        <v>HEALTH RESEARCH, INC.</v>
      </c>
      <c r="H3566" s="8">
        <f>VLOOKUP(A3566,[1]!Table1[#All],32,FALSE)</f>
        <v>43678</v>
      </c>
      <c r="I3566" s="8">
        <f>VLOOKUP(A3566,[1]!Table1[#All],33,FALSE)</f>
        <v>45504</v>
      </c>
      <c r="J3566" t="str">
        <f t="shared" ca="1" si="59"/>
        <v>UDO</v>
      </c>
    </row>
    <row r="3567" spans="1:10" x14ac:dyDescent="0.35">
      <c r="A3567" s="9" t="s">
        <v>114</v>
      </c>
      <c r="B3567" s="10">
        <v>44986</v>
      </c>
      <c r="C3567" s="11">
        <v>4000</v>
      </c>
      <c r="D3567" s="11">
        <v>3696.85</v>
      </c>
      <c r="E3567" s="11">
        <v>303.14999999999998</v>
      </c>
      <c r="F3567" t="str">
        <f>VLOOKUP(A3567,[1]!Table1[#All],17,FALSE)</f>
        <v>UNITED STATES</v>
      </c>
      <c r="G3567" t="str">
        <f>VLOOKUP(A3567,[1]!Table1[#All],22,FALSE)</f>
        <v>HEALTH RESEARCH, INC.</v>
      </c>
      <c r="H3567" s="8">
        <f>VLOOKUP(A3567,[1]!Table1[#All],32,FALSE)</f>
        <v>43678</v>
      </c>
      <c r="I3567" s="8">
        <f>VLOOKUP(A3567,[1]!Table1[#All],33,FALSE)</f>
        <v>45504</v>
      </c>
      <c r="J3567" t="str">
        <f t="shared" ca="1" si="59"/>
        <v>UDO</v>
      </c>
    </row>
    <row r="3568" spans="1:10" x14ac:dyDescent="0.35">
      <c r="A3568" s="5" t="s">
        <v>114</v>
      </c>
      <c r="B3568" s="6">
        <v>45017</v>
      </c>
      <c r="C3568" s="7">
        <v>4000</v>
      </c>
      <c r="D3568" s="7">
        <v>4000</v>
      </c>
      <c r="E3568" s="7">
        <v>0</v>
      </c>
      <c r="F3568" t="str">
        <f>VLOOKUP(A3568,[1]!Table1[#All],17,FALSE)</f>
        <v>UNITED STATES</v>
      </c>
      <c r="G3568" t="str">
        <f>VLOOKUP(A3568,[1]!Table1[#All],22,FALSE)</f>
        <v>HEALTH RESEARCH, INC.</v>
      </c>
      <c r="H3568" s="8">
        <f>VLOOKUP(A3568,[1]!Table1[#All],32,FALSE)</f>
        <v>43678</v>
      </c>
      <c r="I3568" s="8">
        <f>VLOOKUP(A3568,[1]!Table1[#All],33,FALSE)</f>
        <v>45504</v>
      </c>
      <c r="J3568" t="str">
        <f t="shared" ca="1" si="59"/>
        <v>Non UDO</v>
      </c>
    </row>
    <row r="3569" spans="1:10" x14ac:dyDescent="0.35">
      <c r="A3569" s="9" t="s">
        <v>114</v>
      </c>
      <c r="B3569" s="10">
        <v>45047</v>
      </c>
      <c r="C3569" s="11">
        <v>4000</v>
      </c>
      <c r="D3569" s="11">
        <v>4000</v>
      </c>
      <c r="E3569" s="11">
        <v>0</v>
      </c>
      <c r="F3569" t="str">
        <f>VLOOKUP(A3569,[1]!Table1[#All],17,FALSE)</f>
        <v>UNITED STATES</v>
      </c>
      <c r="G3569" t="str">
        <f>VLOOKUP(A3569,[1]!Table1[#All],22,FALSE)</f>
        <v>HEALTH RESEARCH, INC.</v>
      </c>
      <c r="H3569" s="8">
        <f>VLOOKUP(A3569,[1]!Table1[#All],32,FALSE)</f>
        <v>43678</v>
      </c>
      <c r="I3569" s="8">
        <f>VLOOKUP(A3569,[1]!Table1[#All],33,FALSE)</f>
        <v>45504</v>
      </c>
      <c r="J3569" t="str">
        <f t="shared" ca="1" si="59"/>
        <v>Non UDO</v>
      </c>
    </row>
    <row r="3570" spans="1:10" x14ac:dyDescent="0.35">
      <c r="A3570" s="5" t="s">
        <v>114</v>
      </c>
      <c r="B3570" s="6">
        <v>45078</v>
      </c>
      <c r="C3570" s="7">
        <v>4000</v>
      </c>
      <c r="D3570" s="7">
        <v>4000</v>
      </c>
      <c r="E3570" s="7">
        <v>0</v>
      </c>
      <c r="F3570" t="str">
        <f>VLOOKUP(A3570,[1]!Table1[#All],17,FALSE)</f>
        <v>UNITED STATES</v>
      </c>
      <c r="G3570" t="str">
        <f>VLOOKUP(A3570,[1]!Table1[#All],22,FALSE)</f>
        <v>HEALTH RESEARCH, INC.</v>
      </c>
      <c r="H3570" s="8">
        <f>VLOOKUP(A3570,[1]!Table1[#All],32,FALSE)</f>
        <v>43678</v>
      </c>
      <c r="I3570" s="8">
        <f>VLOOKUP(A3570,[1]!Table1[#All],33,FALSE)</f>
        <v>45504</v>
      </c>
      <c r="J3570" t="str">
        <f t="shared" ca="1" si="59"/>
        <v>Non UDO</v>
      </c>
    </row>
    <row r="3571" spans="1:10" x14ac:dyDescent="0.35">
      <c r="A3571" s="9" t="s">
        <v>114</v>
      </c>
      <c r="B3571" s="10">
        <v>45108</v>
      </c>
      <c r="C3571" s="11">
        <v>4000</v>
      </c>
      <c r="D3571" s="11">
        <v>4000</v>
      </c>
      <c r="E3571" s="11">
        <v>0</v>
      </c>
      <c r="F3571" t="str">
        <f>VLOOKUP(A3571,[1]!Table1[#All],17,FALSE)</f>
        <v>UNITED STATES</v>
      </c>
      <c r="G3571" t="str">
        <f>VLOOKUP(A3571,[1]!Table1[#All],22,FALSE)</f>
        <v>HEALTH RESEARCH, INC.</v>
      </c>
      <c r="H3571" s="8">
        <f>VLOOKUP(A3571,[1]!Table1[#All],32,FALSE)</f>
        <v>43678</v>
      </c>
      <c r="I3571" s="8">
        <f>VLOOKUP(A3571,[1]!Table1[#All],33,FALSE)</f>
        <v>45504</v>
      </c>
      <c r="J3571" t="str">
        <f t="shared" ca="1" si="59"/>
        <v>Non UDO</v>
      </c>
    </row>
    <row r="3572" spans="1:10" x14ac:dyDescent="0.35">
      <c r="A3572" s="5" t="s">
        <v>114</v>
      </c>
      <c r="B3572" s="6">
        <v>45139</v>
      </c>
      <c r="C3572" s="7">
        <v>4000</v>
      </c>
      <c r="D3572" s="7">
        <v>4000</v>
      </c>
      <c r="E3572" s="7">
        <v>0</v>
      </c>
      <c r="F3572" t="str">
        <f>VLOOKUP(A3572,[1]!Table1[#All],17,FALSE)</f>
        <v>UNITED STATES</v>
      </c>
      <c r="G3572" t="str">
        <f>VLOOKUP(A3572,[1]!Table1[#All],22,FALSE)</f>
        <v>HEALTH RESEARCH, INC.</v>
      </c>
      <c r="H3572" s="8">
        <f>VLOOKUP(A3572,[1]!Table1[#All],32,FALSE)</f>
        <v>43678</v>
      </c>
      <c r="I3572" s="8">
        <f>VLOOKUP(A3572,[1]!Table1[#All],33,FALSE)</f>
        <v>45504</v>
      </c>
      <c r="J3572" t="str">
        <f t="shared" ca="1" si="59"/>
        <v>Non UDO</v>
      </c>
    </row>
    <row r="3573" spans="1:10" x14ac:dyDescent="0.35">
      <c r="A3573" s="9" t="s">
        <v>114</v>
      </c>
      <c r="B3573" s="10">
        <v>45170</v>
      </c>
      <c r="C3573" s="11">
        <v>4000</v>
      </c>
      <c r="D3573" s="11">
        <v>4000</v>
      </c>
      <c r="E3573" s="11">
        <v>0</v>
      </c>
      <c r="F3573" t="str">
        <f>VLOOKUP(A3573,[1]!Table1[#All],17,FALSE)</f>
        <v>UNITED STATES</v>
      </c>
      <c r="G3573" t="str">
        <f>VLOOKUP(A3573,[1]!Table1[#All],22,FALSE)</f>
        <v>HEALTH RESEARCH, INC.</v>
      </c>
      <c r="H3573" s="8">
        <f>VLOOKUP(A3573,[1]!Table1[#All],32,FALSE)</f>
        <v>43678</v>
      </c>
      <c r="I3573" s="8">
        <f>VLOOKUP(A3573,[1]!Table1[#All],33,FALSE)</f>
        <v>45504</v>
      </c>
      <c r="J3573" t="str">
        <f t="shared" ca="1" si="59"/>
        <v>Non UDO</v>
      </c>
    </row>
    <row r="3574" spans="1:10" x14ac:dyDescent="0.35">
      <c r="A3574" s="5" t="s">
        <v>115</v>
      </c>
      <c r="B3574" s="6">
        <v>44105</v>
      </c>
      <c r="C3574" s="7">
        <v>4000</v>
      </c>
      <c r="D3574" s="7">
        <v>0</v>
      </c>
      <c r="E3574" s="7">
        <v>4000</v>
      </c>
      <c r="F3574" t="str">
        <f>VLOOKUP(A3574,[1]!Table1[#All],17,FALSE)</f>
        <v>UNITED STATES</v>
      </c>
      <c r="G3574" t="str">
        <f>VLOOKUP(A3574,[1]!Table1[#All],22,FALSE)</f>
        <v>NJ ST DEPARTMENT OF HEALTH AND SENIOR SERVICES</v>
      </c>
      <c r="H3574" s="8">
        <f>VLOOKUP(A3574,[1]!Table1[#All],32,FALSE)</f>
        <v>43678</v>
      </c>
      <c r="I3574" s="8">
        <f>VLOOKUP(A3574,[1]!Table1[#All],33,FALSE)</f>
        <v>45504</v>
      </c>
      <c r="J3574" t="str">
        <f t="shared" ca="1" si="59"/>
        <v>UDO</v>
      </c>
    </row>
    <row r="3575" spans="1:10" x14ac:dyDescent="0.35">
      <c r="A3575" s="9" t="s">
        <v>115</v>
      </c>
      <c r="B3575" s="10">
        <v>44136</v>
      </c>
      <c r="C3575" s="11">
        <v>4000</v>
      </c>
      <c r="D3575" s="11">
        <v>0</v>
      </c>
      <c r="E3575" s="11">
        <v>4000</v>
      </c>
      <c r="F3575" t="str">
        <f>VLOOKUP(A3575,[1]!Table1[#All],17,FALSE)</f>
        <v>UNITED STATES</v>
      </c>
      <c r="G3575" t="str">
        <f>VLOOKUP(A3575,[1]!Table1[#All],22,FALSE)</f>
        <v>NJ ST DEPARTMENT OF HEALTH AND SENIOR SERVICES</v>
      </c>
      <c r="H3575" s="8">
        <f>VLOOKUP(A3575,[1]!Table1[#All],32,FALSE)</f>
        <v>43678</v>
      </c>
      <c r="I3575" s="8">
        <f>VLOOKUP(A3575,[1]!Table1[#All],33,FALSE)</f>
        <v>45504</v>
      </c>
      <c r="J3575" t="str">
        <f t="shared" ca="1" si="59"/>
        <v>UDO</v>
      </c>
    </row>
    <row r="3576" spans="1:10" x14ac:dyDescent="0.35">
      <c r="A3576" s="5" t="s">
        <v>115</v>
      </c>
      <c r="B3576" s="6">
        <v>44166</v>
      </c>
      <c r="C3576" s="7">
        <v>4000</v>
      </c>
      <c r="D3576" s="7">
        <v>0</v>
      </c>
      <c r="E3576" s="7">
        <v>4000</v>
      </c>
      <c r="F3576" t="str">
        <f>VLOOKUP(A3576,[1]!Table1[#All],17,FALSE)</f>
        <v>UNITED STATES</v>
      </c>
      <c r="G3576" t="str">
        <f>VLOOKUP(A3576,[1]!Table1[#All],22,FALSE)</f>
        <v>NJ ST DEPARTMENT OF HEALTH AND SENIOR SERVICES</v>
      </c>
      <c r="H3576" s="8">
        <f>VLOOKUP(A3576,[1]!Table1[#All],32,FALSE)</f>
        <v>43678</v>
      </c>
      <c r="I3576" s="8">
        <f>VLOOKUP(A3576,[1]!Table1[#All],33,FALSE)</f>
        <v>45504</v>
      </c>
      <c r="J3576" t="str">
        <f t="shared" ca="1" si="59"/>
        <v>UDO</v>
      </c>
    </row>
    <row r="3577" spans="1:10" x14ac:dyDescent="0.35">
      <c r="A3577" s="9" t="s">
        <v>115</v>
      </c>
      <c r="B3577" s="10">
        <v>44197</v>
      </c>
      <c r="C3577" s="11">
        <v>4000</v>
      </c>
      <c r="D3577" s="11">
        <v>0</v>
      </c>
      <c r="E3577" s="11">
        <v>4000</v>
      </c>
      <c r="F3577" t="str">
        <f>VLOOKUP(A3577,[1]!Table1[#All],17,FALSE)</f>
        <v>UNITED STATES</v>
      </c>
      <c r="G3577" t="str">
        <f>VLOOKUP(A3577,[1]!Table1[#All],22,FALSE)</f>
        <v>NJ ST DEPARTMENT OF HEALTH AND SENIOR SERVICES</v>
      </c>
      <c r="H3577" s="8">
        <f>VLOOKUP(A3577,[1]!Table1[#All],32,FALSE)</f>
        <v>43678</v>
      </c>
      <c r="I3577" s="8">
        <f>VLOOKUP(A3577,[1]!Table1[#All],33,FALSE)</f>
        <v>45504</v>
      </c>
      <c r="J3577" t="str">
        <f t="shared" ca="1" si="59"/>
        <v>UDO</v>
      </c>
    </row>
    <row r="3578" spans="1:10" x14ac:dyDescent="0.35">
      <c r="A3578" s="5" t="s">
        <v>115</v>
      </c>
      <c r="B3578" s="6">
        <v>44228</v>
      </c>
      <c r="C3578" s="7">
        <v>4000</v>
      </c>
      <c r="D3578" s="7">
        <v>139.35</v>
      </c>
      <c r="E3578" s="7">
        <v>3860.65</v>
      </c>
      <c r="F3578" t="str">
        <f>VLOOKUP(A3578,[1]!Table1[#All],17,FALSE)</f>
        <v>UNITED STATES</v>
      </c>
      <c r="G3578" t="str">
        <f>VLOOKUP(A3578,[1]!Table1[#All],22,FALSE)</f>
        <v>NJ ST DEPARTMENT OF HEALTH AND SENIOR SERVICES</v>
      </c>
      <c r="H3578" s="8">
        <f>VLOOKUP(A3578,[1]!Table1[#All],32,FALSE)</f>
        <v>43678</v>
      </c>
      <c r="I3578" s="8">
        <f>VLOOKUP(A3578,[1]!Table1[#All],33,FALSE)</f>
        <v>45504</v>
      </c>
      <c r="J3578" t="str">
        <f t="shared" ca="1" si="59"/>
        <v>UDO</v>
      </c>
    </row>
    <row r="3579" spans="1:10" x14ac:dyDescent="0.35">
      <c r="A3579" s="9" t="s">
        <v>115</v>
      </c>
      <c r="B3579" s="10">
        <v>44256</v>
      </c>
      <c r="C3579" s="11">
        <v>4000</v>
      </c>
      <c r="D3579" s="11">
        <v>588.98</v>
      </c>
      <c r="E3579" s="11">
        <v>3411.02</v>
      </c>
      <c r="F3579" t="str">
        <f>VLOOKUP(A3579,[1]!Table1[#All],17,FALSE)</f>
        <v>UNITED STATES</v>
      </c>
      <c r="G3579" t="str">
        <f>VLOOKUP(A3579,[1]!Table1[#All],22,FALSE)</f>
        <v>NJ ST DEPARTMENT OF HEALTH AND SENIOR SERVICES</v>
      </c>
      <c r="H3579" s="8">
        <f>VLOOKUP(A3579,[1]!Table1[#All],32,FALSE)</f>
        <v>43678</v>
      </c>
      <c r="I3579" s="8">
        <f>VLOOKUP(A3579,[1]!Table1[#All],33,FALSE)</f>
        <v>45504</v>
      </c>
      <c r="J3579" t="str">
        <f t="shared" ca="1" si="59"/>
        <v>UDO</v>
      </c>
    </row>
    <row r="3580" spans="1:10" x14ac:dyDescent="0.35">
      <c r="A3580" s="5" t="s">
        <v>115</v>
      </c>
      <c r="B3580" s="6">
        <v>44317</v>
      </c>
      <c r="C3580" s="7">
        <v>4000</v>
      </c>
      <c r="D3580" s="7">
        <v>978.29</v>
      </c>
      <c r="E3580" s="7">
        <v>3021.71</v>
      </c>
      <c r="F3580" t="str">
        <f>VLOOKUP(A3580,[1]!Table1[#All],17,FALSE)</f>
        <v>UNITED STATES</v>
      </c>
      <c r="G3580" t="str">
        <f>VLOOKUP(A3580,[1]!Table1[#All],22,FALSE)</f>
        <v>NJ ST DEPARTMENT OF HEALTH AND SENIOR SERVICES</v>
      </c>
      <c r="H3580" s="8">
        <f>VLOOKUP(A3580,[1]!Table1[#All],32,FALSE)</f>
        <v>43678</v>
      </c>
      <c r="I3580" s="8">
        <f>VLOOKUP(A3580,[1]!Table1[#All],33,FALSE)</f>
        <v>45504</v>
      </c>
      <c r="J3580" t="str">
        <f t="shared" ca="1" si="59"/>
        <v>UDO</v>
      </c>
    </row>
    <row r="3581" spans="1:10" x14ac:dyDescent="0.35">
      <c r="A3581" s="9" t="s">
        <v>115</v>
      </c>
      <c r="B3581" s="10">
        <v>44348</v>
      </c>
      <c r="C3581" s="11">
        <v>4000</v>
      </c>
      <c r="D3581" s="11">
        <v>1094.4000000000001</v>
      </c>
      <c r="E3581" s="11">
        <v>2905.6</v>
      </c>
      <c r="F3581" t="str">
        <f>VLOOKUP(A3581,[1]!Table1[#All],17,FALSE)</f>
        <v>UNITED STATES</v>
      </c>
      <c r="G3581" t="str">
        <f>VLOOKUP(A3581,[1]!Table1[#All],22,FALSE)</f>
        <v>NJ ST DEPARTMENT OF HEALTH AND SENIOR SERVICES</v>
      </c>
      <c r="H3581" s="8">
        <f>VLOOKUP(A3581,[1]!Table1[#All],32,FALSE)</f>
        <v>43678</v>
      </c>
      <c r="I3581" s="8">
        <f>VLOOKUP(A3581,[1]!Table1[#All],33,FALSE)</f>
        <v>45504</v>
      </c>
      <c r="J3581" t="str">
        <f t="shared" ca="1" si="59"/>
        <v>UDO</v>
      </c>
    </row>
    <row r="3582" spans="1:10" x14ac:dyDescent="0.35">
      <c r="A3582" s="5" t="s">
        <v>115</v>
      </c>
      <c r="B3582" s="6">
        <v>44378</v>
      </c>
      <c r="C3582" s="7">
        <v>4000</v>
      </c>
      <c r="D3582" s="7">
        <v>1380.11</v>
      </c>
      <c r="E3582" s="7">
        <v>2619.89</v>
      </c>
      <c r="F3582" t="str">
        <f>VLOOKUP(A3582,[1]!Table1[#All],17,FALSE)</f>
        <v>UNITED STATES</v>
      </c>
      <c r="G3582" t="str">
        <f>VLOOKUP(A3582,[1]!Table1[#All],22,FALSE)</f>
        <v>NJ ST DEPARTMENT OF HEALTH AND SENIOR SERVICES</v>
      </c>
      <c r="H3582" s="8">
        <f>VLOOKUP(A3582,[1]!Table1[#All],32,FALSE)</f>
        <v>43678</v>
      </c>
      <c r="I3582" s="8">
        <f>VLOOKUP(A3582,[1]!Table1[#All],33,FALSE)</f>
        <v>45504</v>
      </c>
      <c r="J3582" t="str">
        <f t="shared" ca="1" si="59"/>
        <v>UDO</v>
      </c>
    </row>
    <row r="3583" spans="1:10" x14ac:dyDescent="0.35">
      <c r="A3583" s="9" t="s">
        <v>115</v>
      </c>
      <c r="B3583" s="10">
        <v>44409</v>
      </c>
      <c r="C3583" s="11">
        <v>4000</v>
      </c>
      <c r="D3583" s="11">
        <v>1636.23</v>
      </c>
      <c r="E3583" s="11">
        <v>2363.77</v>
      </c>
      <c r="F3583" t="str">
        <f>VLOOKUP(A3583,[1]!Table1[#All],17,FALSE)</f>
        <v>UNITED STATES</v>
      </c>
      <c r="G3583" t="str">
        <f>VLOOKUP(A3583,[1]!Table1[#All],22,FALSE)</f>
        <v>NJ ST DEPARTMENT OF HEALTH AND SENIOR SERVICES</v>
      </c>
      <c r="H3583" s="8">
        <f>VLOOKUP(A3583,[1]!Table1[#All],32,FALSE)</f>
        <v>43678</v>
      </c>
      <c r="I3583" s="8">
        <f>VLOOKUP(A3583,[1]!Table1[#All],33,FALSE)</f>
        <v>45504</v>
      </c>
      <c r="J3583" t="str">
        <f t="shared" ca="1" si="59"/>
        <v>UDO</v>
      </c>
    </row>
    <row r="3584" spans="1:10" x14ac:dyDescent="0.35">
      <c r="A3584" s="5" t="s">
        <v>115</v>
      </c>
      <c r="B3584" s="6">
        <v>44440</v>
      </c>
      <c r="C3584" s="7">
        <v>4000</v>
      </c>
      <c r="D3584" s="7">
        <v>1712.5</v>
      </c>
      <c r="E3584" s="7">
        <v>2287.5</v>
      </c>
      <c r="F3584" t="str">
        <f>VLOOKUP(A3584,[1]!Table1[#All],17,FALSE)</f>
        <v>UNITED STATES</v>
      </c>
      <c r="G3584" t="str">
        <f>VLOOKUP(A3584,[1]!Table1[#All],22,FALSE)</f>
        <v>NJ ST DEPARTMENT OF HEALTH AND SENIOR SERVICES</v>
      </c>
      <c r="H3584" s="8">
        <f>VLOOKUP(A3584,[1]!Table1[#All],32,FALSE)</f>
        <v>43678</v>
      </c>
      <c r="I3584" s="8">
        <f>VLOOKUP(A3584,[1]!Table1[#All],33,FALSE)</f>
        <v>45504</v>
      </c>
      <c r="J3584" t="str">
        <f t="shared" ca="1" si="59"/>
        <v>UDO</v>
      </c>
    </row>
    <row r="3585" spans="1:10" x14ac:dyDescent="0.35">
      <c r="A3585" s="9" t="s">
        <v>115</v>
      </c>
      <c r="B3585" s="10">
        <v>44470</v>
      </c>
      <c r="C3585" s="11">
        <v>4000</v>
      </c>
      <c r="D3585" s="11">
        <v>2080.9299999999998</v>
      </c>
      <c r="E3585" s="11">
        <v>1919.07</v>
      </c>
      <c r="F3585" t="str">
        <f>VLOOKUP(A3585,[1]!Table1[#All],17,FALSE)</f>
        <v>UNITED STATES</v>
      </c>
      <c r="G3585" t="str">
        <f>VLOOKUP(A3585,[1]!Table1[#All],22,FALSE)</f>
        <v>NJ ST DEPARTMENT OF HEALTH AND SENIOR SERVICES</v>
      </c>
      <c r="H3585" s="8">
        <f>VLOOKUP(A3585,[1]!Table1[#All],32,FALSE)</f>
        <v>43678</v>
      </c>
      <c r="I3585" s="8">
        <f>VLOOKUP(A3585,[1]!Table1[#All],33,FALSE)</f>
        <v>45504</v>
      </c>
      <c r="J3585" t="str">
        <f t="shared" ca="1" si="59"/>
        <v>UDO</v>
      </c>
    </row>
    <row r="3586" spans="1:10" x14ac:dyDescent="0.35">
      <c r="A3586" s="5" t="s">
        <v>115</v>
      </c>
      <c r="B3586" s="6">
        <v>44501</v>
      </c>
      <c r="C3586" s="7">
        <v>4000</v>
      </c>
      <c r="D3586" s="7">
        <v>2257.1</v>
      </c>
      <c r="E3586" s="7">
        <v>1742.9</v>
      </c>
      <c r="F3586" t="str">
        <f>VLOOKUP(A3586,[1]!Table1[#All],17,FALSE)</f>
        <v>UNITED STATES</v>
      </c>
      <c r="G3586" t="str">
        <f>VLOOKUP(A3586,[1]!Table1[#All],22,FALSE)</f>
        <v>NJ ST DEPARTMENT OF HEALTH AND SENIOR SERVICES</v>
      </c>
      <c r="H3586" s="8">
        <f>VLOOKUP(A3586,[1]!Table1[#All],32,FALSE)</f>
        <v>43678</v>
      </c>
      <c r="I3586" s="8">
        <f>VLOOKUP(A3586,[1]!Table1[#All],33,FALSE)</f>
        <v>45504</v>
      </c>
      <c r="J3586" t="str">
        <f t="shared" ca="1" si="59"/>
        <v>UDO</v>
      </c>
    </row>
    <row r="3587" spans="1:10" x14ac:dyDescent="0.35">
      <c r="A3587" s="9" t="s">
        <v>115</v>
      </c>
      <c r="B3587" s="10">
        <v>44531</v>
      </c>
      <c r="C3587" s="11">
        <v>4000</v>
      </c>
      <c r="D3587" s="11">
        <v>2407.35</v>
      </c>
      <c r="E3587" s="11">
        <v>1592.65</v>
      </c>
      <c r="F3587" t="str">
        <f>VLOOKUP(A3587,[1]!Table1[#All],17,FALSE)</f>
        <v>UNITED STATES</v>
      </c>
      <c r="G3587" t="str">
        <f>VLOOKUP(A3587,[1]!Table1[#All],22,FALSE)</f>
        <v>NJ ST DEPARTMENT OF HEALTH AND SENIOR SERVICES</v>
      </c>
      <c r="H3587" s="8">
        <f>VLOOKUP(A3587,[1]!Table1[#All],32,FALSE)</f>
        <v>43678</v>
      </c>
      <c r="I3587" s="8">
        <f>VLOOKUP(A3587,[1]!Table1[#All],33,FALSE)</f>
        <v>45504</v>
      </c>
      <c r="J3587" t="str">
        <f t="shared" ref="J3587:J3650" ca="1" si="60">IF(AND( E3587&gt;0,TODAY()&gt;I3587),"UDO","Non UDO")</f>
        <v>UDO</v>
      </c>
    </row>
    <row r="3588" spans="1:10" x14ac:dyDescent="0.35">
      <c r="A3588" s="5" t="s">
        <v>115</v>
      </c>
      <c r="B3588" s="6">
        <v>44562</v>
      </c>
      <c r="C3588" s="7">
        <v>4000</v>
      </c>
      <c r="D3588" s="7">
        <v>2629.33</v>
      </c>
      <c r="E3588" s="7">
        <v>1370.67</v>
      </c>
      <c r="F3588" t="str">
        <f>VLOOKUP(A3588,[1]!Table1[#All],17,FALSE)</f>
        <v>UNITED STATES</v>
      </c>
      <c r="G3588" t="str">
        <f>VLOOKUP(A3588,[1]!Table1[#All],22,FALSE)</f>
        <v>NJ ST DEPARTMENT OF HEALTH AND SENIOR SERVICES</v>
      </c>
      <c r="H3588" s="8">
        <f>VLOOKUP(A3588,[1]!Table1[#All],32,FALSE)</f>
        <v>43678</v>
      </c>
      <c r="I3588" s="8">
        <f>VLOOKUP(A3588,[1]!Table1[#All],33,FALSE)</f>
        <v>45504</v>
      </c>
      <c r="J3588" t="str">
        <f t="shared" ca="1" si="60"/>
        <v>UDO</v>
      </c>
    </row>
    <row r="3589" spans="1:10" x14ac:dyDescent="0.35">
      <c r="A3589" s="9" t="s">
        <v>115</v>
      </c>
      <c r="B3589" s="10">
        <v>44593</v>
      </c>
      <c r="C3589" s="11">
        <v>4000</v>
      </c>
      <c r="D3589" s="11">
        <v>2701.04</v>
      </c>
      <c r="E3589" s="11">
        <v>1298.96</v>
      </c>
      <c r="F3589" t="str">
        <f>VLOOKUP(A3589,[1]!Table1[#All],17,FALSE)</f>
        <v>UNITED STATES</v>
      </c>
      <c r="G3589" t="str">
        <f>VLOOKUP(A3589,[1]!Table1[#All],22,FALSE)</f>
        <v>NJ ST DEPARTMENT OF HEALTH AND SENIOR SERVICES</v>
      </c>
      <c r="H3589" s="8">
        <f>VLOOKUP(A3589,[1]!Table1[#All],32,FALSE)</f>
        <v>43678</v>
      </c>
      <c r="I3589" s="8">
        <f>VLOOKUP(A3589,[1]!Table1[#All],33,FALSE)</f>
        <v>45504</v>
      </c>
      <c r="J3589" t="str">
        <f t="shared" ca="1" si="60"/>
        <v>UDO</v>
      </c>
    </row>
    <row r="3590" spans="1:10" x14ac:dyDescent="0.35">
      <c r="A3590" s="5" t="s">
        <v>115</v>
      </c>
      <c r="B3590" s="6">
        <v>44621</v>
      </c>
      <c r="C3590" s="7">
        <v>4000</v>
      </c>
      <c r="D3590" s="7">
        <v>3121.62</v>
      </c>
      <c r="E3590" s="7">
        <v>878.38</v>
      </c>
      <c r="F3590" t="str">
        <f>VLOOKUP(A3590,[1]!Table1[#All],17,FALSE)</f>
        <v>UNITED STATES</v>
      </c>
      <c r="G3590" t="str">
        <f>VLOOKUP(A3590,[1]!Table1[#All],22,FALSE)</f>
        <v>NJ ST DEPARTMENT OF HEALTH AND SENIOR SERVICES</v>
      </c>
      <c r="H3590" s="8">
        <f>VLOOKUP(A3590,[1]!Table1[#All],32,FALSE)</f>
        <v>43678</v>
      </c>
      <c r="I3590" s="8">
        <f>VLOOKUP(A3590,[1]!Table1[#All],33,FALSE)</f>
        <v>45504</v>
      </c>
      <c r="J3590" t="str">
        <f t="shared" ca="1" si="60"/>
        <v>UDO</v>
      </c>
    </row>
    <row r="3591" spans="1:10" x14ac:dyDescent="0.35">
      <c r="A3591" s="9" t="s">
        <v>115</v>
      </c>
      <c r="B3591" s="10">
        <v>44652</v>
      </c>
      <c r="C3591" s="11">
        <v>4000</v>
      </c>
      <c r="D3591" s="11">
        <v>3378.52</v>
      </c>
      <c r="E3591" s="11">
        <v>621.48</v>
      </c>
      <c r="F3591" t="str">
        <f>VLOOKUP(A3591,[1]!Table1[#All],17,FALSE)</f>
        <v>UNITED STATES</v>
      </c>
      <c r="G3591" t="str">
        <f>VLOOKUP(A3591,[1]!Table1[#All],22,FALSE)</f>
        <v>NJ ST DEPARTMENT OF HEALTH AND SENIOR SERVICES</v>
      </c>
      <c r="H3591" s="8">
        <f>VLOOKUP(A3591,[1]!Table1[#All],32,FALSE)</f>
        <v>43678</v>
      </c>
      <c r="I3591" s="8">
        <f>VLOOKUP(A3591,[1]!Table1[#All],33,FALSE)</f>
        <v>45504</v>
      </c>
      <c r="J3591" t="str">
        <f t="shared" ca="1" si="60"/>
        <v>UDO</v>
      </c>
    </row>
    <row r="3592" spans="1:10" x14ac:dyDescent="0.35">
      <c r="A3592" s="5" t="s">
        <v>115</v>
      </c>
      <c r="B3592" s="6">
        <v>44682</v>
      </c>
      <c r="C3592" s="7">
        <v>4000</v>
      </c>
      <c r="D3592" s="7">
        <v>3609.44</v>
      </c>
      <c r="E3592" s="7">
        <v>390.56</v>
      </c>
      <c r="F3592" t="str">
        <f>VLOOKUP(A3592,[1]!Table1[#All],17,FALSE)</f>
        <v>UNITED STATES</v>
      </c>
      <c r="G3592" t="str">
        <f>VLOOKUP(A3592,[1]!Table1[#All],22,FALSE)</f>
        <v>NJ ST DEPARTMENT OF HEALTH AND SENIOR SERVICES</v>
      </c>
      <c r="H3592" s="8">
        <f>VLOOKUP(A3592,[1]!Table1[#All],32,FALSE)</f>
        <v>43678</v>
      </c>
      <c r="I3592" s="8">
        <f>VLOOKUP(A3592,[1]!Table1[#All],33,FALSE)</f>
        <v>45504</v>
      </c>
      <c r="J3592" t="str">
        <f t="shared" ca="1" si="60"/>
        <v>UDO</v>
      </c>
    </row>
    <row r="3593" spans="1:10" x14ac:dyDescent="0.35">
      <c r="A3593" s="9" t="s">
        <v>115</v>
      </c>
      <c r="B3593" s="10">
        <v>44713</v>
      </c>
      <c r="C3593" s="11">
        <v>4000</v>
      </c>
      <c r="D3593" s="11">
        <v>3912.17</v>
      </c>
      <c r="E3593" s="11">
        <v>87.83</v>
      </c>
      <c r="F3593" t="str">
        <f>VLOOKUP(A3593,[1]!Table1[#All],17,FALSE)</f>
        <v>UNITED STATES</v>
      </c>
      <c r="G3593" t="str">
        <f>VLOOKUP(A3593,[1]!Table1[#All],22,FALSE)</f>
        <v>NJ ST DEPARTMENT OF HEALTH AND SENIOR SERVICES</v>
      </c>
      <c r="H3593" s="8">
        <f>VLOOKUP(A3593,[1]!Table1[#All],32,FALSE)</f>
        <v>43678</v>
      </c>
      <c r="I3593" s="8">
        <f>VLOOKUP(A3593,[1]!Table1[#All],33,FALSE)</f>
        <v>45504</v>
      </c>
      <c r="J3593" t="str">
        <f t="shared" ca="1" si="60"/>
        <v>UDO</v>
      </c>
    </row>
    <row r="3594" spans="1:10" x14ac:dyDescent="0.35">
      <c r="A3594" s="5" t="s">
        <v>115</v>
      </c>
      <c r="B3594" s="6">
        <v>44743</v>
      </c>
      <c r="C3594" s="7">
        <v>4000</v>
      </c>
      <c r="D3594" s="7">
        <v>4000</v>
      </c>
      <c r="E3594" s="7">
        <v>0</v>
      </c>
      <c r="F3594" t="str">
        <f>VLOOKUP(A3594,[1]!Table1[#All],17,FALSE)</f>
        <v>UNITED STATES</v>
      </c>
      <c r="G3594" t="str">
        <f>VLOOKUP(A3594,[1]!Table1[#All],22,FALSE)</f>
        <v>NJ ST DEPARTMENT OF HEALTH AND SENIOR SERVICES</v>
      </c>
      <c r="H3594" s="8">
        <f>VLOOKUP(A3594,[1]!Table1[#All],32,FALSE)</f>
        <v>43678</v>
      </c>
      <c r="I3594" s="8">
        <f>VLOOKUP(A3594,[1]!Table1[#All],33,FALSE)</f>
        <v>45504</v>
      </c>
      <c r="J3594" t="str">
        <f t="shared" ca="1" si="60"/>
        <v>Non UDO</v>
      </c>
    </row>
    <row r="3595" spans="1:10" x14ac:dyDescent="0.35">
      <c r="A3595" s="9" t="s">
        <v>115</v>
      </c>
      <c r="B3595" s="10">
        <v>44774</v>
      </c>
      <c r="C3595" s="11">
        <v>4000</v>
      </c>
      <c r="D3595" s="11">
        <v>4000</v>
      </c>
      <c r="E3595" s="11">
        <v>0</v>
      </c>
      <c r="F3595" t="str">
        <f>VLOOKUP(A3595,[1]!Table1[#All],17,FALSE)</f>
        <v>UNITED STATES</v>
      </c>
      <c r="G3595" t="str">
        <f>VLOOKUP(A3595,[1]!Table1[#All],22,FALSE)</f>
        <v>NJ ST DEPARTMENT OF HEALTH AND SENIOR SERVICES</v>
      </c>
      <c r="H3595" s="8">
        <f>VLOOKUP(A3595,[1]!Table1[#All],32,FALSE)</f>
        <v>43678</v>
      </c>
      <c r="I3595" s="8">
        <f>VLOOKUP(A3595,[1]!Table1[#All],33,FALSE)</f>
        <v>45504</v>
      </c>
      <c r="J3595" t="str">
        <f t="shared" ca="1" si="60"/>
        <v>Non UDO</v>
      </c>
    </row>
    <row r="3596" spans="1:10" x14ac:dyDescent="0.35">
      <c r="A3596" s="5" t="s">
        <v>115</v>
      </c>
      <c r="B3596" s="6">
        <v>44805</v>
      </c>
      <c r="C3596" s="7">
        <v>4000</v>
      </c>
      <c r="D3596" s="7">
        <v>4000</v>
      </c>
      <c r="E3596" s="7">
        <v>0</v>
      </c>
      <c r="F3596" t="str">
        <f>VLOOKUP(A3596,[1]!Table1[#All],17,FALSE)</f>
        <v>UNITED STATES</v>
      </c>
      <c r="G3596" t="str">
        <f>VLOOKUP(A3596,[1]!Table1[#All],22,FALSE)</f>
        <v>NJ ST DEPARTMENT OF HEALTH AND SENIOR SERVICES</v>
      </c>
      <c r="H3596" s="8">
        <f>VLOOKUP(A3596,[1]!Table1[#All],32,FALSE)</f>
        <v>43678</v>
      </c>
      <c r="I3596" s="8">
        <f>VLOOKUP(A3596,[1]!Table1[#All],33,FALSE)</f>
        <v>45504</v>
      </c>
      <c r="J3596" t="str">
        <f t="shared" ca="1" si="60"/>
        <v>Non UDO</v>
      </c>
    </row>
    <row r="3597" spans="1:10" x14ac:dyDescent="0.35">
      <c r="A3597" s="9" t="s">
        <v>115</v>
      </c>
      <c r="B3597" s="10">
        <v>44835</v>
      </c>
      <c r="C3597" s="11">
        <v>4000</v>
      </c>
      <c r="D3597" s="11">
        <v>4000</v>
      </c>
      <c r="E3597" s="11">
        <v>0</v>
      </c>
      <c r="F3597" t="str">
        <f>VLOOKUP(A3597,[1]!Table1[#All],17,FALSE)</f>
        <v>UNITED STATES</v>
      </c>
      <c r="G3597" t="str">
        <f>VLOOKUP(A3597,[1]!Table1[#All],22,FALSE)</f>
        <v>NJ ST DEPARTMENT OF HEALTH AND SENIOR SERVICES</v>
      </c>
      <c r="H3597" s="8">
        <f>VLOOKUP(A3597,[1]!Table1[#All],32,FALSE)</f>
        <v>43678</v>
      </c>
      <c r="I3597" s="8">
        <f>VLOOKUP(A3597,[1]!Table1[#All],33,FALSE)</f>
        <v>45504</v>
      </c>
      <c r="J3597" t="str">
        <f t="shared" ca="1" si="60"/>
        <v>Non UDO</v>
      </c>
    </row>
    <row r="3598" spans="1:10" x14ac:dyDescent="0.35">
      <c r="A3598" s="5" t="s">
        <v>115</v>
      </c>
      <c r="B3598" s="6">
        <v>44866</v>
      </c>
      <c r="C3598" s="7">
        <v>4000</v>
      </c>
      <c r="D3598" s="7">
        <v>4000</v>
      </c>
      <c r="E3598" s="7">
        <v>0</v>
      </c>
      <c r="F3598" t="str">
        <f>VLOOKUP(A3598,[1]!Table1[#All],17,FALSE)</f>
        <v>UNITED STATES</v>
      </c>
      <c r="G3598" t="str">
        <f>VLOOKUP(A3598,[1]!Table1[#All],22,FALSE)</f>
        <v>NJ ST DEPARTMENT OF HEALTH AND SENIOR SERVICES</v>
      </c>
      <c r="H3598" s="8">
        <f>VLOOKUP(A3598,[1]!Table1[#All],32,FALSE)</f>
        <v>43678</v>
      </c>
      <c r="I3598" s="8">
        <f>VLOOKUP(A3598,[1]!Table1[#All],33,FALSE)</f>
        <v>45504</v>
      </c>
      <c r="J3598" t="str">
        <f t="shared" ca="1" si="60"/>
        <v>Non UDO</v>
      </c>
    </row>
    <row r="3599" spans="1:10" x14ac:dyDescent="0.35">
      <c r="A3599" s="9" t="s">
        <v>115</v>
      </c>
      <c r="B3599" s="10">
        <v>44896</v>
      </c>
      <c r="C3599" s="11">
        <v>4000</v>
      </c>
      <c r="D3599" s="11">
        <v>4000</v>
      </c>
      <c r="E3599" s="11">
        <v>0</v>
      </c>
      <c r="F3599" t="str">
        <f>VLOOKUP(A3599,[1]!Table1[#All],17,FALSE)</f>
        <v>UNITED STATES</v>
      </c>
      <c r="G3599" t="str">
        <f>VLOOKUP(A3599,[1]!Table1[#All],22,FALSE)</f>
        <v>NJ ST DEPARTMENT OF HEALTH AND SENIOR SERVICES</v>
      </c>
      <c r="H3599" s="8">
        <f>VLOOKUP(A3599,[1]!Table1[#All],32,FALSE)</f>
        <v>43678</v>
      </c>
      <c r="I3599" s="8">
        <f>VLOOKUP(A3599,[1]!Table1[#All],33,FALSE)</f>
        <v>45504</v>
      </c>
      <c r="J3599" t="str">
        <f t="shared" ca="1" si="60"/>
        <v>Non UDO</v>
      </c>
    </row>
    <row r="3600" spans="1:10" x14ac:dyDescent="0.35">
      <c r="A3600" s="5" t="s">
        <v>115</v>
      </c>
      <c r="B3600" s="6">
        <v>44927</v>
      </c>
      <c r="C3600" s="7">
        <v>4000</v>
      </c>
      <c r="D3600" s="7">
        <v>4000</v>
      </c>
      <c r="E3600" s="7">
        <v>0</v>
      </c>
      <c r="F3600" t="str">
        <f>VLOOKUP(A3600,[1]!Table1[#All],17,FALSE)</f>
        <v>UNITED STATES</v>
      </c>
      <c r="G3600" t="str">
        <f>VLOOKUP(A3600,[1]!Table1[#All],22,FALSE)</f>
        <v>NJ ST DEPARTMENT OF HEALTH AND SENIOR SERVICES</v>
      </c>
      <c r="H3600" s="8">
        <f>VLOOKUP(A3600,[1]!Table1[#All],32,FALSE)</f>
        <v>43678</v>
      </c>
      <c r="I3600" s="8">
        <f>VLOOKUP(A3600,[1]!Table1[#All],33,FALSE)</f>
        <v>45504</v>
      </c>
      <c r="J3600" t="str">
        <f t="shared" ca="1" si="60"/>
        <v>Non UDO</v>
      </c>
    </row>
    <row r="3601" spans="1:10" x14ac:dyDescent="0.35">
      <c r="A3601" s="9" t="s">
        <v>115</v>
      </c>
      <c r="B3601" s="10">
        <v>44958</v>
      </c>
      <c r="C3601" s="11">
        <v>4000</v>
      </c>
      <c r="D3601" s="11">
        <v>4000</v>
      </c>
      <c r="E3601" s="11">
        <v>0</v>
      </c>
      <c r="F3601" t="str">
        <f>VLOOKUP(A3601,[1]!Table1[#All],17,FALSE)</f>
        <v>UNITED STATES</v>
      </c>
      <c r="G3601" t="str">
        <f>VLOOKUP(A3601,[1]!Table1[#All],22,FALSE)</f>
        <v>NJ ST DEPARTMENT OF HEALTH AND SENIOR SERVICES</v>
      </c>
      <c r="H3601" s="8">
        <f>VLOOKUP(A3601,[1]!Table1[#All],32,FALSE)</f>
        <v>43678</v>
      </c>
      <c r="I3601" s="8">
        <f>VLOOKUP(A3601,[1]!Table1[#All],33,FALSE)</f>
        <v>45504</v>
      </c>
      <c r="J3601" t="str">
        <f t="shared" ca="1" si="60"/>
        <v>Non UDO</v>
      </c>
    </row>
    <row r="3602" spans="1:10" x14ac:dyDescent="0.35">
      <c r="A3602" s="5" t="s">
        <v>115</v>
      </c>
      <c r="B3602" s="6">
        <v>44986</v>
      </c>
      <c r="C3602" s="7">
        <v>4000</v>
      </c>
      <c r="D3602" s="7">
        <v>4000</v>
      </c>
      <c r="E3602" s="7">
        <v>0</v>
      </c>
      <c r="F3602" t="str">
        <f>VLOOKUP(A3602,[1]!Table1[#All],17,FALSE)</f>
        <v>UNITED STATES</v>
      </c>
      <c r="G3602" t="str">
        <f>VLOOKUP(A3602,[1]!Table1[#All],22,FALSE)</f>
        <v>NJ ST DEPARTMENT OF HEALTH AND SENIOR SERVICES</v>
      </c>
      <c r="H3602" s="8">
        <f>VLOOKUP(A3602,[1]!Table1[#All],32,FALSE)</f>
        <v>43678</v>
      </c>
      <c r="I3602" s="8">
        <f>VLOOKUP(A3602,[1]!Table1[#All],33,FALSE)</f>
        <v>45504</v>
      </c>
      <c r="J3602" t="str">
        <f t="shared" ca="1" si="60"/>
        <v>Non UDO</v>
      </c>
    </row>
    <row r="3603" spans="1:10" x14ac:dyDescent="0.35">
      <c r="A3603" s="9" t="s">
        <v>115</v>
      </c>
      <c r="B3603" s="10">
        <v>45017</v>
      </c>
      <c r="C3603" s="11">
        <v>4000</v>
      </c>
      <c r="D3603" s="11">
        <v>4000</v>
      </c>
      <c r="E3603" s="11">
        <v>0</v>
      </c>
      <c r="F3603" t="str">
        <f>VLOOKUP(A3603,[1]!Table1[#All],17,FALSE)</f>
        <v>UNITED STATES</v>
      </c>
      <c r="G3603" t="str">
        <f>VLOOKUP(A3603,[1]!Table1[#All],22,FALSE)</f>
        <v>NJ ST DEPARTMENT OF HEALTH AND SENIOR SERVICES</v>
      </c>
      <c r="H3603" s="8">
        <f>VLOOKUP(A3603,[1]!Table1[#All],32,FALSE)</f>
        <v>43678</v>
      </c>
      <c r="I3603" s="8">
        <f>VLOOKUP(A3603,[1]!Table1[#All],33,FALSE)</f>
        <v>45504</v>
      </c>
      <c r="J3603" t="str">
        <f t="shared" ca="1" si="60"/>
        <v>Non UDO</v>
      </c>
    </row>
    <row r="3604" spans="1:10" x14ac:dyDescent="0.35">
      <c r="A3604" s="5" t="s">
        <v>115</v>
      </c>
      <c r="B3604" s="6">
        <v>45047</v>
      </c>
      <c r="C3604" s="7">
        <v>4000</v>
      </c>
      <c r="D3604" s="7">
        <v>4000</v>
      </c>
      <c r="E3604" s="7">
        <v>0</v>
      </c>
      <c r="F3604" t="str">
        <f>VLOOKUP(A3604,[1]!Table1[#All],17,FALSE)</f>
        <v>UNITED STATES</v>
      </c>
      <c r="G3604" t="str">
        <f>VLOOKUP(A3604,[1]!Table1[#All],22,FALSE)</f>
        <v>NJ ST DEPARTMENT OF HEALTH AND SENIOR SERVICES</v>
      </c>
      <c r="H3604" s="8">
        <f>VLOOKUP(A3604,[1]!Table1[#All],32,FALSE)</f>
        <v>43678</v>
      </c>
      <c r="I3604" s="8">
        <f>VLOOKUP(A3604,[1]!Table1[#All],33,FALSE)</f>
        <v>45504</v>
      </c>
      <c r="J3604" t="str">
        <f t="shared" ca="1" si="60"/>
        <v>Non UDO</v>
      </c>
    </row>
    <row r="3605" spans="1:10" x14ac:dyDescent="0.35">
      <c r="A3605" s="9" t="s">
        <v>115</v>
      </c>
      <c r="B3605" s="10">
        <v>45078</v>
      </c>
      <c r="C3605" s="11">
        <v>4000</v>
      </c>
      <c r="D3605" s="11">
        <v>4000</v>
      </c>
      <c r="E3605" s="11">
        <v>0</v>
      </c>
      <c r="F3605" t="str">
        <f>VLOOKUP(A3605,[1]!Table1[#All],17,FALSE)</f>
        <v>UNITED STATES</v>
      </c>
      <c r="G3605" t="str">
        <f>VLOOKUP(A3605,[1]!Table1[#All],22,FALSE)</f>
        <v>NJ ST DEPARTMENT OF HEALTH AND SENIOR SERVICES</v>
      </c>
      <c r="H3605" s="8">
        <f>VLOOKUP(A3605,[1]!Table1[#All],32,FALSE)</f>
        <v>43678</v>
      </c>
      <c r="I3605" s="8">
        <f>VLOOKUP(A3605,[1]!Table1[#All],33,FALSE)</f>
        <v>45504</v>
      </c>
      <c r="J3605" t="str">
        <f t="shared" ca="1" si="60"/>
        <v>Non UDO</v>
      </c>
    </row>
    <row r="3606" spans="1:10" x14ac:dyDescent="0.35">
      <c r="A3606" s="5" t="s">
        <v>115</v>
      </c>
      <c r="B3606" s="6">
        <v>45108</v>
      </c>
      <c r="C3606" s="7">
        <v>4000</v>
      </c>
      <c r="D3606" s="7">
        <v>4000</v>
      </c>
      <c r="E3606" s="7">
        <v>0</v>
      </c>
      <c r="F3606" t="str">
        <f>VLOOKUP(A3606,[1]!Table1[#All],17,FALSE)</f>
        <v>UNITED STATES</v>
      </c>
      <c r="G3606" t="str">
        <f>VLOOKUP(A3606,[1]!Table1[#All],22,FALSE)</f>
        <v>NJ ST DEPARTMENT OF HEALTH AND SENIOR SERVICES</v>
      </c>
      <c r="H3606" s="8">
        <f>VLOOKUP(A3606,[1]!Table1[#All],32,FALSE)</f>
        <v>43678</v>
      </c>
      <c r="I3606" s="8">
        <f>VLOOKUP(A3606,[1]!Table1[#All],33,FALSE)</f>
        <v>45504</v>
      </c>
      <c r="J3606" t="str">
        <f t="shared" ca="1" si="60"/>
        <v>Non UDO</v>
      </c>
    </row>
    <row r="3607" spans="1:10" x14ac:dyDescent="0.35">
      <c r="A3607" s="9" t="s">
        <v>115</v>
      </c>
      <c r="B3607" s="10">
        <v>45139</v>
      </c>
      <c r="C3607" s="11">
        <v>4000</v>
      </c>
      <c r="D3607" s="11">
        <v>4000</v>
      </c>
      <c r="E3607" s="11">
        <v>0</v>
      </c>
      <c r="F3607" t="str">
        <f>VLOOKUP(A3607,[1]!Table1[#All],17,FALSE)</f>
        <v>UNITED STATES</v>
      </c>
      <c r="G3607" t="str">
        <f>VLOOKUP(A3607,[1]!Table1[#All],22,FALSE)</f>
        <v>NJ ST DEPARTMENT OF HEALTH AND SENIOR SERVICES</v>
      </c>
      <c r="H3607" s="8">
        <f>VLOOKUP(A3607,[1]!Table1[#All],32,FALSE)</f>
        <v>43678</v>
      </c>
      <c r="I3607" s="8">
        <f>VLOOKUP(A3607,[1]!Table1[#All],33,FALSE)</f>
        <v>45504</v>
      </c>
      <c r="J3607" t="str">
        <f t="shared" ca="1" si="60"/>
        <v>Non UDO</v>
      </c>
    </row>
    <row r="3608" spans="1:10" x14ac:dyDescent="0.35">
      <c r="A3608" s="5" t="s">
        <v>115</v>
      </c>
      <c r="B3608" s="6">
        <v>45170</v>
      </c>
      <c r="C3608" s="7">
        <v>4000</v>
      </c>
      <c r="D3608" s="7">
        <v>4000</v>
      </c>
      <c r="E3608" s="7">
        <v>0</v>
      </c>
      <c r="F3608" t="str">
        <f>VLOOKUP(A3608,[1]!Table1[#All],17,FALSE)</f>
        <v>UNITED STATES</v>
      </c>
      <c r="G3608" t="str">
        <f>VLOOKUP(A3608,[1]!Table1[#All],22,FALSE)</f>
        <v>NJ ST DEPARTMENT OF HEALTH AND SENIOR SERVICES</v>
      </c>
      <c r="H3608" s="8">
        <f>VLOOKUP(A3608,[1]!Table1[#All],32,FALSE)</f>
        <v>43678</v>
      </c>
      <c r="I3608" s="8">
        <f>VLOOKUP(A3608,[1]!Table1[#All],33,FALSE)</f>
        <v>45504</v>
      </c>
      <c r="J3608" t="str">
        <f t="shared" ca="1" si="60"/>
        <v>Non UDO</v>
      </c>
    </row>
    <row r="3609" spans="1:10" x14ac:dyDescent="0.35">
      <c r="A3609" s="9" t="s">
        <v>116</v>
      </c>
      <c r="B3609" s="10">
        <v>44409</v>
      </c>
      <c r="C3609" s="11">
        <v>4000</v>
      </c>
      <c r="D3609" s="11">
        <v>0</v>
      </c>
      <c r="E3609" s="11">
        <v>4000</v>
      </c>
      <c r="F3609" t="str">
        <f>VLOOKUP(A3609,[1]!Table1[#All],17,FALSE)</f>
        <v>UNITED STATES</v>
      </c>
      <c r="G3609" t="str">
        <f>VLOOKUP(A3609,[1]!Table1[#All],22,FALSE)</f>
        <v>NJ ST DEPARTMENT OF HEALTH AND SENIOR SERVICES</v>
      </c>
      <c r="H3609" s="8">
        <f>VLOOKUP(A3609,[1]!Table1[#All],32,FALSE)</f>
        <v>43678</v>
      </c>
      <c r="I3609" s="8">
        <f>VLOOKUP(A3609,[1]!Table1[#All],33,FALSE)</f>
        <v>45504</v>
      </c>
      <c r="J3609" t="str">
        <f t="shared" ca="1" si="60"/>
        <v>UDO</v>
      </c>
    </row>
    <row r="3610" spans="1:10" x14ac:dyDescent="0.35">
      <c r="A3610" s="5" t="s">
        <v>116</v>
      </c>
      <c r="B3610" s="6">
        <v>44440</v>
      </c>
      <c r="C3610" s="7">
        <v>4000</v>
      </c>
      <c r="D3610" s="7">
        <v>0</v>
      </c>
      <c r="E3610" s="7">
        <v>4000</v>
      </c>
      <c r="F3610" t="str">
        <f>VLOOKUP(A3610,[1]!Table1[#All],17,FALSE)</f>
        <v>UNITED STATES</v>
      </c>
      <c r="G3610" t="str">
        <f>VLOOKUP(A3610,[1]!Table1[#All],22,FALSE)</f>
        <v>NJ ST DEPARTMENT OF HEALTH AND SENIOR SERVICES</v>
      </c>
      <c r="H3610" s="8">
        <f>VLOOKUP(A3610,[1]!Table1[#All],32,FALSE)</f>
        <v>43678</v>
      </c>
      <c r="I3610" s="8">
        <f>VLOOKUP(A3610,[1]!Table1[#All],33,FALSE)</f>
        <v>45504</v>
      </c>
      <c r="J3610" t="str">
        <f t="shared" ca="1" si="60"/>
        <v>UDO</v>
      </c>
    </row>
    <row r="3611" spans="1:10" x14ac:dyDescent="0.35">
      <c r="A3611" s="9" t="s">
        <v>116</v>
      </c>
      <c r="B3611" s="10">
        <v>44470</v>
      </c>
      <c r="C3611" s="11">
        <v>4000</v>
      </c>
      <c r="D3611" s="11">
        <v>0</v>
      </c>
      <c r="E3611" s="11">
        <v>4000</v>
      </c>
      <c r="F3611" t="str">
        <f>VLOOKUP(A3611,[1]!Table1[#All],17,FALSE)</f>
        <v>UNITED STATES</v>
      </c>
      <c r="G3611" t="str">
        <f>VLOOKUP(A3611,[1]!Table1[#All],22,FALSE)</f>
        <v>NJ ST DEPARTMENT OF HEALTH AND SENIOR SERVICES</v>
      </c>
      <c r="H3611" s="8">
        <f>VLOOKUP(A3611,[1]!Table1[#All],32,FALSE)</f>
        <v>43678</v>
      </c>
      <c r="I3611" s="8">
        <f>VLOOKUP(A3611,[1]!Table1[#All],33,FALSE)</f>
        <v>45504</v>
      </c>
      <c r="J3611" t="str">
        <f t="shared" ca="1" si="60"/>
        <v>UDO</v>
      </c>
    </row>
    <row r="3612" spans="1:10" x14ac:dyDescent="0.35">
      <c r="A3612" s="5" t="s">
        <v>116</v>
      </c>
      <c r="B3612" s="6">
        <v>44501</v>
      </c>
      <c r="C3612" s="7">
        <v>4000</v>
      </c>
      <c r="D3612" s="7">
        <v>0</v>
      </c>
      <c r="E3612" s="7">
        <v>4000</v>
      </c>
      <c r="F3612" t="str">
        <f>VLOOKUP(A3612,[1]!Table1[#All],17,FALSE)</f>
        <v>UNITED STATES</v>
      </c>
      <c r="G3612" t="str">
        <f>VLOOKUP(A3612,[1]!Table1[#All],22,FALSE)</f>
        <v>NJ ST DEPARTMENT OF HEALTH AND SENIOR SERVICES</v>
      </c>
      <c r="H3612" s="8">
        <f>VLOOKUP(A3612,[1]!Table1[#All],32,FALSE)</f>
        <v>43678</v>
      </c>
      <c r="I3612" s="8">
        <f>VLOOKUP(A3612,[1]!Table1[#All],33,FALSE)</f>
        <v>45504</v>
      </c>
      <c r="J3612" t="str">
        <f t="shared" ca="1" si="60"/>
        <v>UDO</v>
      </c>
    </row>
    <row r="3613" spans="1:10" x14ac:dyDescent="0.35">
      <c r="A3613" s="9" t="s">
        <v>116</v>
      </c>
      <c r="B3613" s="10">
        <v>44531</v>
      </c>
      <c r="C3613" s="11">
        <v>4000</v>
      </c>
      <c r="D3613" s="11">
        <v>0</v>
      </c>
      <c r="E3613" s="11">
        <v>4000</v>
      </c>
      <c r="F3613" t="str">
        <f>VLOOKUP(A3613,[1]!Table1[#All],17,FALSE)</f>
        <v>UNITED STATES</v>
      </c>
      <c r="G3613" t="str">
        <f>VLOOKUP(A3613,[1]!Table1[#All],22,FALSE)</f>
        <v>NJ ST DEPARTMENT OF HEALTH AND SENIOR SERVICES</v>
      </c>
      <c r="H3613" s="8">
        <f>VLOOKUP(A3613,[1]!Table1[#All],32,FALSE)</f>
        <v>43678</v>
      </c>
      <c r="I3613" s="8">
        <f>VLOOKUP(A3613,[1]!Table1[#All],33,FALSE)</f>
        <v>45504</v>
      </c>
      <c r="J3613" t="str">
        <f t="shared" ca="1" si="60"/>
        <v>UDO</v>
      </c>
    </row>
    <row r="3614" spans="1:10" x14ac:dyDescent="0.35">
      <c r="A3614" s="5" t="s">
        <v>116</v>
      </c>
      <c r="B3614" s="6">
        <v>44562</v>
      </c>
      <c r="C3614" s="7">
        <v>4000</v>
      </c>
      <c r="D3614" s="7">
        <v>0</v>
      </c>
      <c r="E3614" s="7">
        <v>4000</v>
      </c>
      <c r="F3614" t="str">
        <f>VLOOKUP(A3614,[1]!Table1[#All],17,FALSE)</f>
        <v>UNITED STATES</v>
      </c>
      <c r="G3614" t="str">
        <f>VLOOKUP(A3614,[1]!Table1[#All],22,FALSE)</f>
        <v>NJ ST DEPARTMENT OF HEALTH AND SENIOR SERVICES</v>
      </c>
      <c r="H3614" s="8">
        <f>VLOOKUP(A3614,[1]!Table1[#All],32,FALSE)</f>
        <v>43678</v>
      </c>
      <c r="I3614" s="8">
        <f>VLOOKUP(A3614,[1]!Table1[#All],33,FALSE)</f>
        <v>45504</v>
      </c>
      <c r="J3614" t="str">
        <f t="shared" ca="1" si="60"/>
        <v>UDO</v>
      </c>
    </row>
    <row r="3615" spans="1:10" x14ac:dyDescent="0.35">
      <c r="A3615" s="9" t="s">
        <v>116</v>
      </c>
      <c r="B3615" s="10">
        <v>44593</v>
      </c>
      <c r="C3615" s="11">
        <v>4000</v>
      </c>
      <c r="D3615" s="11">
        <v>0</v>
      </c>
      <c r="E3615" s="11">
        <v>4000</v>
      </c>
      <c r="F3615" t="str">
        <f>VLOOKUP(A3615,[1]!Table1[#All],17,FALSE)</f>
        <v>UNITED STATES</v>
      </c>
      <c r="G3615" t="str">
        <f>VLOOKUP(A3615,[1]!Table1[#All],22,FALSE)</f>
        <v>NJ ST DEPARTMENT OF HEALTH AND SENIOR SERVICES</v>
      </c>
      <c r="H3615" s="8">
        <f>VLOOKUP(A3615,[1]!Table1[#All],32,FALSE)</f>
        <v>43678</v>
      </c>
      <c r="I3615" s="8">
        <f>VLOOKUP(A3615,[1]!Table1[#All],33,FALSE)</f>
        <v>45504</v>
      </c>
      <c r="J3615" t="str">
        <f t="shared" ca="1" si="60"/>
        <v>UDO</v>
      </c>
    </row>
    <row r="3616" spans="1:10" x14ac:dyDescent="0.35">
      <c r="A3616" s="5" t="s">
        <v>116</v>
      </c>
      <c r="B3616" s="6">
        <v>44621</v>
      </c>
      <c r="C3616" s="7">
        <v>4000</v>
      </c>
      <c r="D3616" s="7">
        <v>0</v>
      </c>
      <c r="E3616" s="7">
        <v>4000</v>
      </c>
      <c r="F3616" t="str">
        <f>VLOOKUP(A3616,[1]!Table1[#All],17,FALSE)</f>
        <v>UNITED STATES</v>
      </c>
      <c r="G3616" t="str">
        <f>VLOOKUP(A3616,[1]!Table1[#All],22,FALSE)</f>
        <v>NJ ST DEPARTMENT OF HEALTH AND SENIOR SERVICES</v>
      </c>
      <c r="H3616" s="8">
        <f>VLOOKUP(A3616,[1]!Table1[#All],32,FALSE)</f>
        <v>43678</v>
      </c>
      <c r="I3616" s="8">
        <f>VLOOKUP(A3616,[1]!Table1[#All],33,FALSE)</f>
        <v>45504</v>
      </c>
      <c r="J3616" t="str">
        <f t="shared" ca="1" si="60"/>
        <v>UDO</v>
      </c>
    </row>
    <row r="3617" spans="1:10" x14ac:dyDescent="0.35">
      <c r="A3617" s="9" t="s">
        <v>116</v>
      </c>
      <c r="B3617" s="10">
        <v>44652</v>
      </c>
      <c r="C3617" s="11">
        <v>4000</v>
      </c>
      <c r="D3617" s="11">
        <v>0</v>
      </c>
      <c r="E3617" s="11">
        <v>4000</v>
      </c>
      <c r="F3617" t="str">
        <f>VLOOKUP(A3617,[1]!Table1[#All],17,FALSE)</f>
        <v>UNITED STATES</v>
      </c>
      <c r="G3617" t="str">
        <f>VLOOKUP(A3617,[1]!Table1[#All],22,FALSE)</f>
        <v>NJ ST DEPARTMENT OF HEALTH AND SENIOR SERVICES</v>
      </c>
      <c r="H3617" s="8">
        <f>VLOOKUP(A3617,[1]!Table1[#All],32,FALSE)</f>
        <v>43678</v>
      </c>
      <c r="I3617" s="8">
        <f>VLOOKUP(A3617,[1]!Table1[#All],33,FALSE)</f>
        <v>45504</v>
      </c>
      <c r="J3617" t="str">
        <f t="shared" ca="1" si="60"/>
        <v>UDO</v>
      </c>
    </row>
    <row r="3618" spans="1:10" x14ac:dyDescent="0.35">
      <c r="A3618" s="5" t="s">
        <v>116</v>
      </c>
      <c r="B3618" s="6">
        <v>44682</v>
      </c>
      <c r="C3618" s="7">
        <v>4000</v>
      </c>
      <c r="D3618" s="7">
        <v>0</v>
      </c>
      <c r="E3618" s="7">
        <v>4000</v>
      </c>
      <c r="F3618" t="str">
        <f>VLOOKUP(A3618,[1]!Table1[#All],17,FALSE)</f>
        <v>UNITED STATES</v>
      </c>
      <c r="G3618" t="str">
        <f>VLOOKUP(A3618,[1]!Table1[#All],22,FALSE)</f>
        <v>NJ ST DEPARTMENT OF HEALTH AND SENIOR SERVICES</v>
      </c>
      <c r="H3618" s="8">
        <f>VLOOKUP(A3618,[1]!Table1[#All],32,FALSE)</f>
        <v>43678</v>
      </c>
      <c r="I3618" s="8">
        <f>VLOOKUP(A3618,[1]!Table1[#All],33,FALSE)</f>
        <v>45504</v>
      </c>
      <c r="J3618" t="str">
        <f t="shared" ca="1" si="60"/>
        <v>UDO</v>
      </c>
    </row>
    <row r="3619" spans="1:10" x14ac:dyDescent="0.35">
      <c r="A3619" s="9" t="s">
        <v>116</v>
      </c>
      <c r="B3619" s="10">
        <v>44713</v>
      </c>
      <c r="C3619" s="11">
        <v>4000</v>
      </c>
      <c r="D3619" s="11">
        <v>0</v>
      </c>
      <c r="E3619" s="11">
        <v>4000</v>
      </c>
      <c r="F3619" t="str">
        <f>VLOOKUP(A3619,[1]!Table1[#All],17,FALSE)</f>
        <v>UNITED STATES</v>
      </c>
      <c r="G3619" t="str">
        <f>VLOOKUP(A3619,[1]!Table1[#All],22,FALSE)</f>
        <v>NJ ST DEPARTMENT OF HEALTH AND SENIOR SERVICES</v>
      </c>
      <c r="H3619" s="8">
        <f>VLOOKUP(A3619,[1]!Table1[#All],32,FALSE)</f>
        <v>43678</v>
      </c>
      <c r="I3619" s="8">
        <f>VLOOKUP(A3619,[1]!Table1[#All],33,FALSE)</f>
        <v>45504</v>
      </c>
      <c r="J3619" t="str">
        <f t="shared" ca="1" si="60"/>
        <v>UDO</v>
      </c>
    </row>
    <row r="3620" spans="1:10" x14ac:dyDescent="0.35">
      <c r="A3620" s="5" t="s">
        <v>116</v>
      </c>
      <c r="B3620" s="6">
        <v>44743</v>
      </c>
      <c r="C3620" s="7">
        <v>4000</v>
      </c>
      <c r="D3620" s="7">
        <v>111.18</v>
      </c>
      <c r="E3620" s="7">
        <v>3888.82</v>
      </c>
      <c r="F3620" t="str">
        <f>VLOOKUP(A3620,[1]!Table1[#All],17,FALSE)</f>
        <v>UNITED STATES</v>
      </c>
      <c r="G3620" t="str">
        <f>VLOOKUP(A3620,[1]!Table1[#All],22,FALSE)</f>
        <v>NJ ST DEPARTMENT OF HEALTH AND SENIOR SERVICES</v>
      </c>
      <c r="H3620" s="8">
        <f>VLOOKUP(A3620,[1]!Table1[#All],32,FALSE)</f>
        <v>43678</v>
      </c>
      <c r="I3620" s="8">
        <f>VLOOKUP(A3620,[1]!Table1[#All],33,FALSE)</f>
        <v>45504</v>
      </c>
      <c r="J3620" t="str">
        <f t="shared" ca="1" si="60"/>
        <v>UDO</v>
      </c>
    </row>
    <row r="3621" spans="1:10" x14ac:dyDescent="0.35">
      <c r="A3621" s="9" t="s">
        <v>116</v>
      </c>
      <c r="B3621" s="10">
        <v>44774</v>
      </c>
      <c r="C3621" s="11">
        <v>4000</v>
      </c>
      <c r="D3621" s="11">
        <v>684.12</v>
      </c>
      <c r="E3621" s="11">
        <v>3315.88</v>
      </c>
      <c r="F3621" t="str">
        <f>VLOOKUP(A3621,[1]!Table1[#All],17,FALSE)</f>
        <v>UNITED STATES</v>
      </c>
      <c r="G3621" t="str">
        <f>VLOOKUP(A3621,[1]!Table1[#All],22,FALSE)</f>
        <v>NJ ST DEPARTMENT OF HEALTH AND SENIOR SERVICES</v>
      </c>
      <c r="H3621" s="8">
        <f>VLOOKUP(A3621,[1]!Table1[#All],32,FALSE)</f>
        <v>43678</v>
      </c>
      <c r="I3621" s="8">
        <f>VLOOKUP(A3621,[1]!Table1[#All],33,FALSE)</f>
        <v>45504</v>
      </c>
      <c r="J3621" t="str">
        <f t="shared" ca="1" si="60"/>
        <v>UDO</v>
      </c>
    </row>
    <row r="3622" spans="1:10" x14ac:dyDescent="0.35">
      <c r="A3622" s="5" t="s">
        <v>116</v>
      </c>
      <c r="B3622" s="6">
        <v>44805</v>
      </c>
      <c r="C3622" s="7">
        <v>4000</v>
      </c>
      <c r="D3622" s="7">
        <v>967.53</v>
      </c>
      <c r="E3622" s="7">
        <v>3032.47</v>
      </c>
      <c r="F3622" t="str">
        <f>VLOOKUP(A3622,[1]!Table1[#All],17,FALSE)</f>
        <v>UNITED STATES</v>
      </c>
      <c r="G3622" t="str">
        <f>VLOOKUP(A3622,[1]!Table1[#All],22,FALSE)</f>
        <v>NJ ST DEPARTMENT OF HEALTH AND SENIOR SERVICES</v>
      </c>
      <c r="H3622" s="8">
        <f>VLOOKUP(A3622,[1]!Table1[#All],32,FALSE)</f>
        <v>43678</v>
      </c>
      <c r="I3622" s="8">
        <f>VLOOKUP(A3622,[1]!Table1[#All],33,FALSE)</f>
        <v>45504</v>
      </c>
      <c r="J3622" t="str">
        <f t="shared" ca="1" si="60"/>
        <v>UDO</v>
      </c>
    </row>
    <row r="3623" spans="1:10" x14ac:dyDescent="0.35">
      <c r="A3623" s="9" t="s">
        <v>116</v>
      </c>
      <c r="B3623" s="10">
        <v>44835</v>
      </c>
      <c r="C3623" s="11">
        <v>4000</v>
      </c>
      <c r="D3623" s="11">
        <v>1459.25</v>
      </c>
      <c r="E3623" s="11">
        <v>2540.75</v>
      </c>
      <c r="F3623" t="str">
        <f>VLOOKUP(A3623,[1]!Table1[#All],17,FALSE)</f>
        <v>UNITED STATES</v>
      </c>
      <c r="G3623" t="str">
        <f>VLOOKUP(A3623,[1]!Table1[#All],22,FALSE)</f>
        <v>NJ ST DEPARTMENT OF HEALTH AND SENIOR SERVICES</v>
      </c>
      <c r="H3623" s="8">
        <f>VLOOKUP(A3623,[1]!Table1[#All],32,FALSE)</f>
        <v>43678</v>
      </c>
      <c r="I3623" s="8">
        <f>VLOOKUP(A3623,[1]!Table1[#All],33,FALSE)</f>
        <v>45504</v>
      </c>
      <c r="J3623" t="str">
        <f t="shared" ca="1" si="60"/>
        <v>UDO</v>
      </c>
    </row>
    <row r="3624" spans="1:10" x14ac:dyDescent="0.35">
      <c r="A3624" s="5" t="s">
        <v>116</v>
      </c>
      <c r="B3624" s="6">
        <v>44866</v>
      </c>
      <c r="C3624" s="7">
        <v>4000</v>
      </c>
      <c r="D3624" s="7">
        <v>1431.44</v>
      </c>
      <c r="E3624" s="7">
        <v>2568.56</v>
      </c>
      <c r="F3624" t="str">
        <f>VLOOKUP(A3624,[1]!Table1[#All],17,FALSE)</f>
        <v>UNITED STATES</v>
      </c>
      <c r="G3624" t="str">
        <f>VLOOKUP(A3624,[1]!Table1[#All],22,FALSE)</f>
        <v>NJ ST DEPARTMENT OF HEALTH AND SENIOR SERVICES</v>
      </c>
      <c r="H3624" s="8">
        <f>VLOOKUP(A3624,[1]!Table1[#All],32,FALSE)</f>
        <v>43678</v>
      </c>
      <c r="I3624" s="8">
        <f>VLOOKUP(A3624,[1]!Table1[#All],33,FALSE)</f>
        <v>45504</v>
      </c>
      <c r="J3624" t="str">
        <f t="shared" ca="1" si="60"/>
        <v>UDO</v>
      </c>
    </row>
    <row r="3625" spans="1:10" x14ac:dyDescent="0.35">
      <c r="A3625" s="9" t="s">
        <v>116</v>
      </c>
      <c r="B3625" s="10">
        <v>44896</v>
      </c>
      <c r="C3625" s="11">
        <v>4000</v>
      </c>
      <c r="D3625" s="11">
        <v>1431.44</v>
      </c>
      <c r="E3625" s="11">
        <v>2568.56</v>
      </c>
      <c r="F3625" t="str">
        <f>VLOOKUP(A3625,[1]!Table1[#All],17,FALSE)</f>
        <v>UNITED STATES</v>
      </c>
      <c r="G3625" t="str">
        <f>VLOOKUP(A3625,[1]!Table1[#All],22,FALSE)</f>
        <v>NJ ST DEPARTMENT OF HEALTH AND SENIOR SERVICES</v>
      </c>
      <c r="H3625" s="8">
        <f>VLOOKUP(A3625,[1]!Table1[#All],32,FALSE)</f>
        <v>43678</v>
      </c>
      <c r="I3625" s="8">
        <f>VLOOKUP(A3625,[1]!Table1[#All],33,FALSE)</f>
        <v>45504</v>
      </c>
      <c r="J3625" t="str">
        <f t="shared" ca="1" si="60"/>
        <v>UDO</v>
      </c>
    </row>
    <row r="3626" spans="1:10" x14ac:dyDescent="0.35">
      <c r="A3626" s="5" t="s">
        <v>116</v>
      </c>
      <c r="B3626" s="6">
        <v>44927</v>
      </c>
      <c r="C3626" s="7">
        <v>4000</v>
      </c>
      <c r="D3626" s="7">
        <v>1431.44</v>
      </c>
      <c r="E3626" s="7">
        <v>2568.56</v>
      </c>
      <c r="F3626" t="str">
        <f>VLOOKUP(A3626,[1]!Table1[#All],17,FALSE)</f>
        <v>UNITED STATES</v>
      </c>
      <c r="G3626" t="str">
        <f>VLOOKUP(A3626,[1]!Table1[#All],22,FALSE)</f>
        <v>NJ ST DEPARTMENT OF HEALTH AND SENIOR SERVICES</v>
      </c>
      <c r="H3626" s="8">
        <f>VLOOKUP(A3626,[1]!Table1[#All],32,FALSE)</f>
        <v>43678</v>
      </c>
      <c r="I3626" s="8">
        <f>VLOOKUP(A3626,[1]!Table1[#All],33,FALSE)</f>
        <v>45504</v>
      </c>
      <c r="J3626" t="str">
        <f t="shared" ca="1" si="60"/>
        <v>UDO</v>
      </c>
    </row>
    <row r="3627" spans="1:10" x14ac:dyDescent="0.35">
      <c r="A3627" s="9" t="s">
        <v>116</v>
      </c>
      <c r="B3627" s="10">
        <v>44958</v>
      </c>
      <c r="C3627" s="11">
        <v>4000</v>
      </c>
      <c r="D3627" s="11">
        <v>1896.67</v>
      </c>
      <c r="E3627" s="11">
        <v>2103.33</v>
      </c>
      <c r="F3627" t="str">
        <f>VLOOKUP(A3627,[1]!Table1[#All],17,FALSE)</f>
        <v>UNITED STATES</v>
      </c>
      <c r="G3627" t="str">
        <f>VLOOKUP(A3627,[1]!Table1[#All],22,FALSE)</f>
        <v>NJ ST DEPARTMENT OF HEALTH AND SENIOR SERVICES</v>
      </c>
      <c r="H3627" s="8">
        <f>VLOOKUP(A3627,[1]!Table1[#All],32,FALSE)</f>
        <v>43678</v>
      </c>
      <c r="I3627" s="8">
        <f>VLOOKUP(A3627,[1]!Table1[#All],33,FALSE)</f>
        <v>45504</v>
      </c>
      <c r="J3627" t="str">
        <f t="shared" ca="1" si="60"/>
        <v>UDO</v>
      </c>
    </row>
    <row r="3628" spans="1:10" x14ac:dyDescent="0.35">
      <c r="A3628" s="5" t="s">
        <v>116</v>
      </c>
      <c r="B3628" s="6">
        <v>44986</v>
      </c>
      <c r="C3628" s="7">
        <v>4000</v>
      </c>
      <c r="D3628" s="7">
        <v>2442.75</v>
      </c>
      <c r="E3628" s="7">
        <v>1557.25</v>
      </c>
      <c r="F3628" t="str">
        <f>VLOOKUP(A3628,[1]!Table1[#All],17,FALSE)</f>
        <v>UNITED STATES</v>
      </c>
      <c r="G3628" t="str">
        <f>VLOOKUP(A3628,[1]!Table1[#All],22,FALSE)</f>
        <v>NJ ST DEPARTMENT OF HEALTH AND SENIOR SERVICES</v>
      </c>
      <c r="H3628" s="8">
        <f>VLOOKUP(A3628,[1]!Table1[#All],32,FALSE)</f>
        <v>43678</v>
      </c>
      <c r="I3628" s="8">
        <f>VLOOKUP(A3628,[1]!Table1[#All],33,FALSE)</f>
        <v>45504</v>
      </c>
      <c r="J3628" t="str">
        <f t="shared" ca="1" si="60"/>
        <v>UDO</v>
      </c>
    </row>
    <row r="3629" spans="1:10" x14ac:dyDescent="0.35">
      <c r="A3629" s="9" t="s">
        <v>116</v>
      </c>
      <c r="B3629" s="10">
        <v>45017</v>
      </c>
      <c r="C3629" s="11">
        <v>4000</v>
      </c>
      <c r="D3629" s="11">
        <v>2497.23</v>
      </c>
      <c r="E3629" s="11">
        <v>1502.77</v>
      </c>
      <c r="F3629" t="str">
        <f>VLOOKUP(A3629,[1]!Table1[#All],17,FALSE)</f>
        <v>UNITED STATES</v>
      </c>
      <c r="G3629" t="str">
        <f>VLOOKUP(A3629,[1]!Table1[#All],22,FALSE)</f>
        <v>NJ ST DEPARTMENT OF HEALTH AND SENIOR SERVICES</v>
      </c>
      <c r="H3629" s="8">
        <f>VLOOKUP(A3629,[1]!Table1[#All],32,FALSE)</f>
        <v>43678</v>
      </c>
      <c r="I3629" s="8">
        <f>VLOOKUP(A3629,[1]!Table1[#All],33,FALSE)</f>
        <v>45504</v>
      </c>
      <c r="J3629" t="str">
        <f t="shared" ca="1" si="60"/>
        <v>UDO</v>
      </c>
    </row>
    <row r="3630" spans="1:10" x14ac:dyDescent="0.35">
      <c r="A3630" s="5" t="s">
        <v>116</v>
      </c>
      <c r="B3630" s="6">
        <v>45047</v>
      </c>
      <c r="C3630" s="7">
        <v>4000</v>
      </c>
      <c r="D3630" s="7">
        <v>2726.96</v>
      </c>
      <c r="E3630" s="7">
        <v>1273.04</v>
      </c>
      <c r="F3630" t="str">
        <f>VLOOKUP(A3630,[1]!Table1[#All],17,FALSE)</f>
        <v>UNITED STATES</v>
      </c>
      <c r="G3630" t="str">
        <f>VLOOKUP(A3630,[1]!Table1[#All],22,FALSE)</f>
        <v>NJ ST DEPARTMENT OF HEALTH AND SENIOR SERVICES</v>
      </c>
      <c r="H3630" s="8">
        <f>VLOOKUP(A3630,[1]!Table1[#All],32,FALSE)</f>
        <v>43678</v>
      </c>
      <c r="I3630" s="8">
        <f>VLOOKUP(A3630,[1]!Table1[#All],33,FALSE)</f>
        <v>45504</v>
      </c>
      <c r="J3630" t="str">
        <f t="shared" ca="1" si="60"/>
        <v>UDO</v>
      </c>
    </row>
    <row r="3631" spans="1:10" x14ac:dyDescent="0.35">
      <c r="A3631" s="9" t="s">
        <v>116</v>
      </c>
      <c r="B3631" s="10">
        <v>45078</v>
      </c>
      <c r="C3631" s="11">
        <v>4000</v>
      </c>
      <c r="D3631" s="11">
        <v>2823.26</v>
      </c>
      <c r="E3631" s="11">
        <v>1176.74</v>
      </c>
      <c r="F3631" t="str">
        <f>VLOOKUP(A3631,[1]!Table1[#All],17,FALSE)</f>
        <v>UNITED STATES</v>
      </c>
      <c r="G3631" t="str">
        <f>VLOOKUP(A3631,[1]!Table1[#All],22,FALSE)</f>
        <v>NJ ST DEPARTMENT OF HEALTH AND SENIOR SERVICES</v>
      </c>
      <c r="H3631" s="8">
        <f>VLOOKUP(A3631,[1]!Table1[#All],32,FALSE)</f>
        <v>43678</v>
      </c>
      <c r="I3631" s="8">
        <f>VLOOKUP(A3631,[1]!Table1[#All],33,FALSE)</f>
        <v>45504</v>
      </c>
      <c r="J3631" t="str">
        <f t="shared" ca="1" si="60"/>
        <v>UDO</v>
      </c>
    </row>
    <row r="3632" spans="1:10" x14ac:dyDescent="0.35">
      <c r="A3632" s="5" t="s">
        <v>116</v>
      </c>
      <c r="B3632" s="6">
        <v>45108</v>
      </c>
      <c r="C3632" s="7">
        <v>4000</v>
      </c>
      <c r="D3632" s="7">
        <v>3627.6</v>
      </c>
      <c r="E3632" s="7">
        <v>372.4</v>
      </c>
      <c r="F3632" t="str">
        <f>VLOOKUP(A3632,[1]!Table1[#All],17,FALSE)</f>
        <v>UNITED STATES</v>
      </c>
      <c r="G3632" t="str">
        <f>VLOOKUP(A3632,[1]!Table1[#All],22,FALSE)</f>
        <v>NJ ST DEPARTMENT OF HEALTH AND SENIOR SERVICES</v>
      </c>
      <c r="H3632" s="8">
        <f>VLOOKUP(A3632,[1]!Table1[#All],32,FALSE)</f>
        <v>43678</v>
      </c>
      <c r="I3632" s="8">
        <f>VLOOKUP(A3632,[1]!Table1[#All],33,FALSE)</f>
        <v>45504</v>
      </c>
      <c r="J3632" t="str">
        <f t="shared" ca="1" si="60"/>
        <v>UDO</v>
      </c>
    </row>
    <row r="3633" spans="1:10" x14ac:dyDescent="0.35">
      <c r="A3633" s="9" t="s">
        <v>116</v>
      </c>
      <c r="B3633" s="10">
        <v>45139</v>
      </c>
      <c r="C3633" s="11">
        <v>4000</v>
      </c>
      <c r="D3633" s="11">
        <v>4000</v>
      </c>
      <c r="E3633" s="11">
        <v>0</v>
      </c>
      <c r="F3633" t="str">
        <f>VLOOKUP(A3633,[1]!Table1[#All],17,FALSE)</f>
        <v>UNITED STATES</v>
      </c>
      <c r="G3633" t="str">
        <f>VLOOKUP(A3633,[1]!Table1[#All],22,FALSE)</f>
        <v>NJ ST DEPARTMENT OF HEALTH AND SENIOR SERVICES</v>
      </c>
      <c r="H3633" s="8">
        <f>VLOOKUP(A3633,[1]!Table1[#All],32,FALSE)</f>
        <v>43678</v>
      </c>
      <c r="I3633" s="8">
        <f>VLOOKUP(A3633,[1]!Table1[#All],33,FALSE)</f>
        <v>45504</v>
      </c>
      <c r="J3633" t="str">
        <f t="shared" ca="1" si="60"/>
        <v>Non UDO</v>
      </c>
    </row>
    <row r="3634" spans="1:10" x14ac:dyDescent="0.35">
      <c r="A3634" s="5" t="s">
        <v>116</v>
      </c>
      <c r="B3634" s="6">
        <v>45170</v>
      </c>
      <c r="C3634" s="7">
        <v>4000</v>
      </c>
      <c r="D3634" s="7">
        <v>4000</v>
      </c>
      <c r="E3634" s="7">
        <v>0</v>
      </c>
      <c r="F3634" t="str">
        <f>VLOOKUP(A3634,[1]!Table1[#All],17,FALSE)</f>
        <v>UNITED STATES</v>
      </c>
      <c r="G3634" t="str">
        <f>VLOOKUP(A3634,[1]!Table1[#All],22,FALSE)</f>
        <v>NJ ST DEPARTMENT OF HEALTH AND SENIOR SERVICES</v>
      </c>
      <c r="H3634" s="8">
        <f>VLOOKUP(A3634,[1]!Table1[#All],32,FALSE)</f>
        <v>43678</v>
      </c>
      <c r="I3634" s="8">
        <f>VLOOKUP(A3634,[1]!Table1[#All],33,FALSE)</f>
        <v>45504</v>
      </c>
      <c r="J3634" t="str">
        <f t="shared" ca="1" si="60"/>
        <v>Non UDO</v>
      </c>
    </row>
    <row r="3635" spans="1:10" x14ac:dyDescent="0.35">
      <c r="A3635" s="9" t="s">
        <v>117</v>
      </c>
      <c r="B3635" s="10">
        <v>44105</v>
      </c>
      <c r="C3635" s="11">
        <v>2500</v>
      </c>
      <c r="D3635" s="11">
        <v>0</v>
      </c>
      <c r="E3635" s="11">
        <v>2500</v>
      </c>
      <c r="F3635" t="str">
        <f>VLOOKUP(A3635,[1]!Table1[#All],17,FALSE)</f>
        <v>UNITED STATES</v>
      </c>
      <c r="G3635" t="str">
        <f>VLOOKUP(A3635,[1]!Table1[#All],22,FALSE)</f>
        <v>Departamento De Salud Oficial</v>
      </c>
      <c r="H3635" s="8">
        <f>VLOOKUP(A3635,[1]!Table1[#All],32,FALSE)</f>
        <v>43678</v>
      </c>
      <c r="I3635" s="8">
        <f>VLOOKUP(A3635,[1]!Table1[#All],33,FALSE)</f>
        <v>45504</v>
      </c>
      <c r="J3635" t="str">
        <f t="shared" ca="1" si="60"/>
        <v>UDO</v>
      </c>
    </row>
    <row r="3636" spans="1:10" x14ac:dyDescent="0.35">
      <c r="A3636" s="5" t="s">
        <v>117</v>
      </c>
      <c r="B3636" s="6">
        <v>44136</v>
      </c>
      <c r="C3636" s="7">
        <v>2500</v>
      </c>
      <c r="D3636" s="7">
        <v>14.36</v>
      </c>
      <c r="E3636" s="7">
        <v>2485.64</v>
      </c>
      <c r="F3636" t="str">
        <f>VLOOKUP(A3636,[1]!Table1[#All],17,FALSE)</f>
        <v>UNITED STATES</v>
      </c>
      <c r="G3636" t="str">
        <f>VLOOKUP(A3636,[1]!Table1[#All],22,FALSE)</f>
        <v>Departamento De Salud Oficial</v>
      </c>
      <c r="H3636" s="8">
        <f>VLOOKUP(A3636,[1]!Table1[#All],32,FALSE)</f>
        <v>43678</v>
      </c>
      <c r="I3636" s="8">
        <f>VLOOKUP(A3636,[1]!Table1[#All],33,FALSE)</f>
        <v>45504</v>
      </c>
      <c r="J3636" t="str">
        <f t="shared" ca="1" si="60"/>
        <v>UDO</v>
      </c>
    </row>
    <row r="3637" spans="1:10" x14ac:dyDescent="0.35">
      <c r="A3637" s="9" t="s">
        <v>117</v>
      </c>
      <c r="B3637" s="10">
        <v>44166</v>
      </c>
      <c r="C3637" s="11">
        <v>2500</v>
      </c>
      <c r="D3637" s="11">
        <v>151.12</v>
      </c>
      <c r="E3637" s="11">
        <v>2348.88</v>
      </c>
      <c r="F3637" t="str">
        <f>VLOOKUP(A3637,[1]!Table1[#All],17,FALSE)</f>
        <v>UNITED STATES</v>
      </c>
      <c r="G3637" t="str">
        <f>VLOOKUP(A3637,[1]!Table1[#All],22,FALSE)</f>
        <v>Departamento De Salud Oficial</v>
      </c>
      <c r="H3637" s="8">
        <f>VLOOKUP(A3637,[1]!Table1[#All],32,FALSE)</f>
        <v>43678</v>
      </c>
      <c r="I3637" s="8">
        <f>VLOOKUP(A3637,[1]!Table1[#All],33,FALSE)</f>
        <v>45504</v>
      </c>
      <c r="J3637" t="str">
        <f t="shared" ca="1" si="60"/>
        <v>UDO</v>
      </c>
    </row>
    <row r="3638" spans="1:10" x14ac:dyDescent="0.35">
      <c r="A3638" s="5" t="s">
        <v>117</v>
      </c>
      <c r="B3638" s="6">
        <v>44197</v>
      </c>
      <c r="C3638" s="7">
        <v>2500</v>
      </c>
      <c r="D3638" s="7">
        <v>551.37</v>
      </c>
      <c r="E3638" s="7">
        <v>1948.63</v>
      </c>
      <c r="F3638" t="str">
        <f>VLOOKUP(A3638,[1]!Table1[#All],17,FALSE)</f>
        <v>UNITED STATES</v>
      </c>
      <c r="G3638" t="str">
        <f>VLOOKUP(A3638,[1]!Table1[#All],22,FALSE)</f>
        <v>Departamento De Salud Oficial</v>
      </c>
      <c r="H3638" s="8">
        <f>VLOOKUP(A3638,[1]!Table1[#All],32,FALSE)</f>
        <v>43678</v>
      </c>
      <c r="I3638" s="8">
        <f>VLOOKUP(A3638,[1]!Table1[#All],33,FALSE)</f>
        <v>45504</v>
      </c>
      <c r="J3638" t="str">
        <f t="shared" ca="1" si="60"/>
        <v>UDO</v>
      </c>
    </row>
    <row r="3639" spans="1:10" x14ac:dyDescent="0.35">
      <c r="A3639" s="9" t="s">
        <v>117</v>
      </c>
      <c r="B3639" s="10">
        <v>44228</v>
      </c>
      <c r="C3639" s="11">
        <v>2500</v>
      </c>
      <c r="D3639" s="11">
        <v>754.43</v>
      </c>
      <c r="E3639" s="11">
        <v>1745.57</v>
      </c>
      <c r="F3639" t="str">
        <f>VLOOKUP(A3639,[1]!Table1[#All],17,FALSE)</f>
        <v>UNITED STATES</v>
      </c>
      <c r="G3639" t="str">
        <f>VLOOKUP(A3639,[1]!Table1[#All],22,FALSE)</f>
        <v>Departamento De Salud Oficial</v>
      </c>
      <c r="H3639" s="8">
        <f>VLOOKUP(A3639,[1]!Table1[#All],32,FALSE)</f>
        <v>43678</v>
      </c>
      <c r="I3639" s="8">
        <f>VLOOKUP(A3639,[1]!Table1[#All],33,FALSE)</f>
        <v>45504</v>
      </c>
      <c r="J3639" t="str">
        <f t="shared" ca="1" si="60"/>
        <v>UDO</v>
      </c>
    </row>
    <row r="3640" spans="1:10" x14ac:dyDescent="0.35">
      <c r="A3640" s="5" t="s">
        <v>117</v>
      </c>
      <c r="B3640" s="6">
        <v>44256</v>
      </c>
      <c r="C3640" s="7">
        <v>2500</v>
      </c>
      <c r="D3640" s="7">
        <v>921.21</v>
      </c>
      <c r="E3640" s="7">
        <v>1578.79</v>
      </c>
      <c r="F3640" t="str">
        <f>VLOOKUP(A3640,[1]!Table1[#All],17,FALSE)</f>
        <v>UNITED STATES</v>
      </c>
      <c r="G3640" t="str">
        <f>VLOOKUP(A3640,[1]!Table1[#All],22,FALSE)</f>
        <v>Departamento De Salud Oficial</v>
      </c>
      <c r="H3640" s="8">
        <f>VLOOKUP(A3640,[1]!Table1[#All],32,FALSE)</f>
        <v>43678</v>
      </c>
      <c r="I3640" s="8">
        <f>VLOOKUP(A3640,[1]!Table1[#All],33,FALSE)</f>
        <v>45504</v>
      </c>
      <c r="J3640" t="str">
        <f t="shared" ca="1" si="60"/>
        <v>UDO</v>
      </c>
    </row>
    <row r="3641" spans="1:10" x14ac:dyDescent="0.35">
      <c r="A3641" s="9" t="s">
        <v>117</v>
      </c>
      <c r="B3641" s="10">
        <v>44317</v>
      </c>
      <c r="C3641" s="11">
        <v>2500</v>
      </c>
      <c r="D3641" s="11">
        <v>1342.3</v>
      </c>
      <c r="E3641" s="11">
        <v>1157.7</v>
      </c>
      <c r="F3641" t="str">
        <f>VLOOKUP(A3641,[1]!Table1[#All],17,FALSE)</f>
        <v>UNITED STATES</v>
      </c>
      <c r="G3641" t="str">
        <f>VLOOKUP(A3641,[1]!Table1[#All],22,FALSE)</f>
        <v>Departamento De Salud Oficial</v>
      </c>
      <c r="H3641" s="8">
        <f>VLOOKUP(A3641,[1]!Table1[#All],32,FALSE)</f>
        <v>43678</v>
      </c>
      <c r="I3641" s="8">
        <f>VLOOKUP(A3641,[1]!Table1[#All],33,FALSE)</f>
        <v>45504</v>
      </c>
      <c r="J3641" t="str">
        <f t="shared" ca="1" si="60"/>
        <v>UDO</v>
      </c>
    </row>
    <row r="3642" spans="1:10" x14ac:dyDescent="0.35">
      <c r="A3642" s="5" t="s">
        <v>117</v>
      </c>
      <c r="B3642" s="6">
        <v>44348</v>
      </c>
      <c r="C3642" s="7">
        <v>2500</v>
      </c>
      <c r="D3642" s="7">
        <v>1527.51</v>
      </c>
      <c r="E3642" s="7">
        <v>972.49</v>
      </c>
      <c r="F3642" t="str">
        <f>VLOOKUP(A3642,[1]!Table1[#All],17,FALSE)</f>
        <v>UNITED STATES</v>
      </c>
      <c r="G3642" t="str">
        <f>VLOOKUP(A3642,[1]!Table1[#All],22,FALSE)</f>
        <v>Departamento De Salud Oficial</v>
      </c>
      <c r="H3642" s="8">
        <f>VLOOKUP(A3642,[1]!Table1[#All],32,FALSE)</f>
        <v>43678</v>
      </c>
      <c r="I3642" s="8">
        <f>VLOOKUP(A3642,[1]!Table1[#All],33,FALSE)</f>
        <v>45504</v>
      </c>
      <c r="J3642" t="str">
        <f t="shared" ca="1" si="60"/>
        <v>UDO</v>
      </c>
    </row>
    <row r="3643" spans="1:10" x14ac:dyDescent="0.35">
      <c r="A3643" s="9" t="s">
        <v>117</v>
      </c>
      <c r="B3643" s="10">
        <v>44378</v>
      </c>
      <c r="C3643" s="11">
        <v>2500</v>
      </c>
      <c r="D3643" s="11">
        <v>1685.3</v>
      </c>
      <c r="E3643" s="11">
        <v>814.7</v>
      </c>
      <c r="F3643" t="str">
        <f>VLOOKUP(A3643,[1]!Table1[#All],17,FALSE)</f>
        <v>UNITED STATES</v>
      </c>
      <c r="G3643" t="str">
        <f>VLOOKUP(A3643,[1]!Table1[#All],22,FALSE)</f>
        <v>Departamento De Salud Oficial</v>
      </c>
      <c r="H3643" s="8">
        <f>VLOOKUP(A3643,[1]!Table1[#All],32,FALSE)</f>
        <v>43678</v>
      </c>
      <c r="I3643" s="8">
        <f>VLOOKUP(A3643,[1]!Table1[#All],33,FALSE)</f>
        <v>45504</v>
      </c>
      <c r="J3643" t="str">
        <f t="shared" ca="1" si="60"/>
        <v>UDO</v>
      </c>
    </row>
    <row r="3644" spans="1:10" x14ac:dyDescent="0.35">
      <c r="A3644" s="5" t="s">
        <v>117</v>
      </c>
      <c r="B3644" s="6">
        <v>44409</v>
      </c>
      <c r="C3644" s="7">
        <v>2500</v>
      </c>
      <c r="D3644" s="7">
        <v>1868.22</v>
      </c>
      <c r="E3644" s="7">
        <v>631.78</v>
      </c>
      <c r="F3644" t="str">
        <f>VLOOKUP(A3644,[1]!Table1[#All],17,FALSE)</f>
        <v>UNITED STATES</v>
      </c>
      <c r="G3644" t="str">
        <f>VLOOKUP(A3644,[1]!Table1[#All],22,FALSE)</f>
        <v>Departamento De Salud Oficial</v>
      </c>
      <c r="H3644" s="8">
        <f>VLOOKUP(A3644,[1]!Table1[#All],32,FALSE)</f>
        <v>43678</v>
      </c>
      <c r="I3644" s="8">
        <f>VLOOKUP(A3644,[1]!Table1[#All],33,FALSE)</f>
        <v>45504</v>
      </c>
      <c r="J3644" t="str">
        <f t="shared" ca="1" si="60"/>
        <v>UDO</v>
      </c>
    </row>
    <row r="3645" spans="1:10" x14ac:dyDescent="0.35">
      <c r="A3645" s="9" t="s">
        <v>117</v>
      </c>
      <c r="B3645" s="10">
        <v>44440</v>
      </c>
      <c r="C3645" s="11">
        <v>2500</v>
      </c>
      <c r="D3645" s="11">
        <v>2046.52</v>
      </c>
      <c r="E3645" s="11">
        <v>453.48</v>
      </c>
      <c r="F3645" t="str">
        <f>VLOOKUP(A3645,[1]!Table1[#All],17,FALSE)</f>
        <v>UNITED STATES</v>
      </c>
      <c r="G3645" t="str">
        <f>VLOOKUP(A3645,[1]!Table1[#All],22,FALSE)</f>
        <v>Departamento De Salud Oficial</v>
      </c>
      <c r="H3645" s="8">
        <f>VLOOKUP(A3645,[1]!Table1[#All],32,FALSE)</f>
        <v>43678</v>
      </c>
      <c r="I3645" s="8">
        <f>VLOOKUP(A3645,[1]!Table1[#All],33,FALSE)</f>
        <v>45504</v>
      </c>
      <c r="J3645" t="str">
        <f t="shared" ca="1" si="60"/>
        <v>UDO</v>
      </c>
    </row>
    <row r="3646" spans="1:10" x14ac:dyDescent="0.35">
      <c r="A3646" s="5" t="s">
        <v>117</v>
      </c>
      <c r="B3646" s="6">
        <v>44470</v>
      </c>
      <c r="C3646" s="7">
        <v>2500</v>
      </c>
      <c r="D3646" s="7">
        <v>2205.63</v>
      </c>
      <c r="E3646" s="7">
        <v>294.37</v>
      </c>
      <c r="F3646" t="str">
        <f>VLOOKUP(A3646,[1]!Table1[#All],17,FALSE)</f>
        <v>UNITED STATES</v>
      </c>
      <c r="G3646" t="str">
        <f>VLOOKUP(A3646,[1]!Table1[#All],22,FALSE)</f>
        <v>Departamento De Salud Oficial</v>
      </c>
      <c r="H3646" s="8">
        <f>VLOOKUP(A3646,[1]!Table1[#All],32,FALSE)</f>
        <v>43678</v>
      </c>
      <c r="I3646" s="8">
        <f>VLOOKUP(A3646,[1]!Table1[#All],33,FALSE)</f>
        <v>45504</v>
      </c>
      <c r="J3646" t="str">
        <f t="shared" ca="1" si="60"/>
        <v>UDO</v>
      </c>
    </row>
    <row r="3647" spans="1:10" x14ac:dyDescent="0.35">
      <c r="A3647" s="9" t="s">
        <v>117</v>
      </c>
      <c r="B3647" s="10">
        <v>44501</v>
      </c>
      <c r="C3647" s="11">
        <v>2500</v>
      </c>
      <c r="D3647" s="11">
        <v>2347.0300000000002</v>
      </c>
      <c r="E3647" s="11">
        <v>152.97</v>
      </c>
      <c r="F3647" t="str">
        <f>VLOOKUP(A3647,[1]!Table1[#All],17,FALSE)</f>
        <v>UNITED STATES</v>
      </c>
      <c r="G3647" t="str">
        <f>VLOOKUP(A3647,[1]!Table1[#All],22,FALSE)</f>
        <v>Departamento De Salud Oficial</v>
      </c>
      <c r="H3647" s="8">
        <f>VLOOKUP(A3647,[1]!Table1[#All],32,FALSE)</f>
        <v>43678</v>
      </c>
      <c r="I3647" s="8">
        <f>VLOOKUP(A3647,[1]!Table1[#All],33,FALSE)</f>
        <v>45504</v>
      </c>
      <c r="J3647" t="str">
        <f t="shared" ca="1" si="60"/>
        <v>UDO</v>
      </c>
    </row>
    <row r="3648" spans="1:10" x14ac:dyDescent="0.35">
      <c r="A3648" s="5" t="s">
        <v>117</v>
      </c>
      <c r="B3648" s="6">
        <v>44531</v>
      </c>
      <c r="C3648" s="7">
        <v>2500</v>
      </c>
      <c r="D3648" s="7">
        <v>2394.13</v>
      </c>
      <c r="E3648" s="7">
        <v>105.87</v>
      </c>
      <c r="F3648" t="str">
        <f>VLOOKUP(A3648,[1]!Table1[#All],17,FALSE)</f>
        <v>UNITED STATES</v>
      </c>
      <c r="G3648" t="str">
        <f>VLOOKUP(A3648,[1]!Table1[#All],22,FALSE)</f>
        <v>Departamento De Salud Oficial</v>
      </c>
      <c r="H3648" s="8">
        <f>VLOOKUP(A3648,[1]!Table1[#All],32,FALSE)</f>
        <v>43678</v>
      </c>
      <c r="I3648" s="8">
        <f>VLOOKUP(A3648,[1]!Table1[#All],33,FALSE)</f>
        <v>45504</v>
      </c>
      <c r="J3648" t="str">
        <f t="shared" ca="1" si="60"/>
        <v>UDO</v>
      </c>
    </row>
    <row r="3649" spans="1:10" x14ac:dyDescent="0.35">
      <c r="A3649" s="9" t="s">
        <v>117</v>
      </c>
      <c r="B3649" s="10">
        <v>44562</v>
      </c>
      <c r="C3649" s="11">
        <v>2500</v>
      </c>
      <c r="D3649" s="11">
        <v>2500</v>
      </c>
      <c r="E3649" s="11">
        <v>0</v>
      </c>
      <c r="F3649" t="str">
        <f>VLOOKUP(A3649,[1]!Table1[#All],17,FALSE)</f>
        <v>UNITED STATES</v>
      </c>
      <c r="G3649" t="str">
        <f>VLOOKUP(A3649,[1]!Table1[#All],22,FALSE)</f>
        <v>Departamento De Salud Oficial</v>
      </c>
      <c r="H3649" s="8">
        <f>VLOOKUP(A3649,[1]!Table1[#All],32,FALSE)</f>
        <v>43678</v>
      </c>
      <c r="I3649" s="8">
        <f>VLOOKUP(A3649,[1]!Table1[#All],33,FALSE)</f>
        <v>45504</v>
      </c>
      <c r="J3649" t="str">
        <f t="shared" ca="1" si="60"/>
        <v>Non UDO</v>
      </c>
    </row>
    <row r="3650" spans="1:10" x14ac:dyDescent="0.35">
      <c r="A3650" s="5" t="s">
        <v>117</v>
      </c>
      <c r="B3650" s="6">
        <v>44593</v>
      </c>
      <c r="C3650" s="7">
        <v>2500</v>
      </c>
      <c r="D3650" s="7">
        <v>2500</v>
      </c>
      <c r="E3650" s="7">
        <v>0</v>
      </c>
      <c r="F3650" t="str">
        <f>VLOOKUP(A3650,[1]!Table1[#All],17,FALSE)</f>
        <v>UNITED STATES</v>
      </c>
      <c r="G3650" t="str">
        <f>VLOOKUP(A3650,[1]!Table1[#All],22,FALSE)</f>
        <v>Departamento De Salud Oficial</v>
      </c>
      <c r="H3650" s="8">
        <f>VLOOKUP(A3650,[1]!Table1[#All],32,FALSE)</f>
        <v>43678</v>
      </c>
      <c r="I3650" s="8">
        <f>VLOOKUP(A3650,[1]!Table1[#All],33,FALSE)</f>
        <v>45504</v>
      </c>
      <c r="J3650" t="str">
        <f t="shared" ca="1" si="60"/>
        <v>Non UDO</v>
      </c>
    </row>
    <row r="3651" spans="1:10" x14ac:dyDescent="0.35">
      <c r="A3651" s="9" t="s">
        <v>117</v>
      </c>
      <c r="B3651" s="10">
        <v>44621</v>
      </c>
      <c r="C3651" s="11">
        <v>2500</v>
      </c>
      <c r="D3651" s="11">
        <v>2500</v>
      </c>
      <c r="E3651" s="11">
        <v>0</v>
      </c>
      <c r="F3651" t="str">
        <f>VLOOKUP(A3651,[1]!Table1[#All],17,FALSE)</f>
        <v>UNITED STATES</v>
      </c>
      <c r="G3651" t="str">
        <f>VLOOKUP(A3651,[1]!Table1[#All],22,FALSE)</f>
        <v>Departamento De Salud Oficial</v>
      </c>
      <c r="H3651" s="8">
        <f>VLOOKUP(A3651,[1]!Table1[#All],32,FALSE)</f>
        <v>43678</v>
      </c>
      <c r="I3651" s="8">
        <f>VLOOKUP(A3651,[1]!Table1[#All],33,FALSE)</f>
        <v>45504</v>
      </c>
      <c r="J3651" t="str">
        <f t="shared" ref="J3651:J3714" ca="1" si="61">IF(AND( E3651&gt;0,TODAY()&gt;I3651),"UDO","Non UDO")</f>
        <v>Non UDO</v>
      </c>
    </row>
    <row r="3652" spans="1:10" x14ac:dyDescent="0.35">
      <c r="A3652" s="5" t="s">
        <v>117</v>
      </c>
      <c r="B3652" s="6">
        <v>44652</v>
      </c>
      <c r="C3652" s="7">
        <v>2500</v>
      </c>
      <c r="D3652" s="7">
        <v>2500</v>
      </c>
      <c r="E3652" s="7">
        <v>0</v>
      </c>
      <c r="F3652" t="str">
        <f>VLOOKUP(A3652,[1]!Table1[#All],17,FALSE)</f>
        <v>UNITED STATES</v>
      </c>
      <c r="G3652" t="str">
        <f>VLOOKUP(A3652,[1]!Table1[#All],22,FALSE)</f>
        <v>Departamento De Salud Oficial</v>
      </c>
      <c r="H3652" s="8">
        <f>VLOOKUP(A3652,[1]!Table1[#All],32,FALSE)</f>
        <v>43678</v>
      </c>
      <c r="I3652" s="8">
        <f>VLOOKUP(A3652,[1]!Table1[#All],33,FALSE)</f>
        <v>45504</v>
      </c>
      <c r="J3652" t="str">
        <f t="shared" ca="1" si="61"/>
        <v>Non UDO</v>
      </c>
    </row>
    <row r="3653" spans="1:10" x14ac:dyDescent="0.35">
      <c r="A3653" s="9" t="s">
        <v>117</v>
      </c>
      <c r="B3653" s="10">
        <v>44682</v>
      </c>
      <c r="C3653" s="11">
        <v>2500</v>
      </c>
      <c r="D3653" s="11">
        <v>2500</v>
      </c>
      <c r="E3653" s="11">
        <v>0</v>
      </c>
      <c r="F3653" t="str">
        <f>VLOOKUP(A3653,[1]!Table1[#All],17,FALSE)</f>
        <v>UNITED STATES</v>
      </c>
      <c r="G3653" t="str">
        <f>VLOOKUP(A3653,[1]!Table1[#All],22,FALSE)</f>
        <v>Departamento De Salud Oficial</v>
      </c>
      <c r="H3653" s="8">
        <f>VLOOKUP(A3653,[1]!Table1[#All],32,FALSE)</f>
        <v>43678</v>
      </c>
      <c r="I3653" s="8">
        <f>VLOOKUP(A3653,[1]!Table1[#All],33,FALSE)</f>
        <v>45504</v>
      </c>
      <c r="J3653" t="str">
        <f t="shared" ca="1" si="61"/>
        <v>Non UDO</v>
      </c>
    </row>
    <row r="3654" spans="1:10" x14ac:dyDescent="0.35">
      <c r="A3654" s="5" t="s">
        <v>117</v>
      </c>
      <c r="B3654" s="6">
        <v>44713</v>
      </c>
      <c r="C3654" s="7">
        <v>2500</v>
      </c>
      <c r="D3654" s="7">
        <v>2500</v>
      </c>
      <c r="E3654" s="7">
        <v>0</v>
      </c>
      <c r="F3654" t="str">
        <f>VLOOKUP(A3654,[1]!Table1[#All],17,FALSE)</f>
        <v>UNITED STATES</v>
      </c>
      <c r="G3654" t="str">
        <f>VLOOKUP(A3654,[1]!Table1[#All],22,FALSE)</f>
        <v>Departamento De Salud Oficial</v>
      </c>
      <c r="H3654" s="8">
        <f>VLOOKUP(A3654,[1]!Table1[#All],32,FALSE)</f>
        <v>43678</v>
      </c>
      <c r="I3654" s="8">
        <f>VLOOKUP(A3654,[1]!Table1[#All],33,FALSE)</f>
        <v>45504</v>
      </c>
      <c r="J3654" t="str">
        <f t="shared" ca="1" si="61"/>
        <v>Non UDO</v>
      </c>
    </row>
    <row r="3655" spans="1:10" x14ac:dyDescent="0.35">
      <c r="A3655" s="9" t="s">
        <v>117</v>
      </c>
      <c r="B3655" s="10">
        <v>44743</v>
      </c>
      <c r="C3655" s="11">
        <v>2500</v>
      </c>
      <c r="D3655" s="11">
        <v>2500</v>
      </c>
      <c r="E3655" s="11">
        <v>0</v>
      </c>
      <c r="F3655" t="str">
        <f>VLOOKUP(A3655,[1]!Table1[#All],17,FALSE)</f>
        <v>UNITED STATES</v>
      </c>
      <c r="G3655" t="str">
        <f>VLOOKUP(A3655,[1]!Table1[#All],22,FALSE)</f>
        <v>Departamento De Salud Oficial</v>
      </c>
      <c r="H3655" s="8">
        <f>VLOOKUP(A3655,[1]!Table1[#All],32,FALSE)</f>
        <v>43678</v>
      </c>
      <c r="I3655" s="8">
        <f>VLOOKUP(A3655,[1]!Table1[#All],33,FALSE)</f>
        <v>45504</v>
      </c>
      <c r="J3655" t="str">
        <f t="shared" ca="1" si="61"/>
        <v>Non UDO</v>
      </c>
    </row>
    <row r="3656" spans="1:10" x14ac:dyDescent="0.35">
      <c r="A3656" s="5" t="s">
        <v>117</v>
      </c>
      <c r="B3656" s="6">
        <v>44774</v>
      </c>
      <c r="C3656" s="7">
        <v>2500</v>
      </c>
      <c r="D3656" s="7">
        <v>2500</v>
      </c>
      <c r="E3656" s="7">
        <v>0</v>
      </c>
      <c r="F3656" t="str">
        <f>VLOOKUP(A3656,[1]!Table1[#All],17,FALSE)</f>
        <v>UNITED STATES</v>
      </c>
      <c r="G3656" t="str">
        <f>VLOOKUP(A3656,[1]!Table1[#All],22,FALSE)</f>
        <v>Departamento De Salud Oficial</v>
      </c>
      <c r="H3656" s="8">
        <f>VLOOKUP(A3656,[1]!Table1[#All],32,FALSE)</f>
        <v>43678</v>
      </c>
      <c r="I3656" s="8">
        <f>VLOOKUP(A3656,[1]!Table1[#All],33,FALSE)</f>
        <v>45504</v>
      </c>
      <c r="J3656" t="str">
        <f t="shared" ca="1" si="61"/>
        <v>Non UDO</v>
      </c>
    </row>
    <row r="3657" spans="1:10" x14ac:dyDescent="0.35">
      <c r="A3657" s="9" t="s">
        <v>117</v>
      </c>
      <c r="B3657" s="10">
        <v>44805</v>
      </c>
      <c r="C3657" s="11">
        <v>2500</v>
      </c>
      <c r="D3657" s="11">
        <v>2500</v>
      </c>
      <c r="E3657" s="11">
        <v>0</v>
      </c>
      <c r="F3657" t="str">
        <f>VLOOKUP(A3657,[1]!Table1[#All],17,FALSE)</f>
        <v>UNITED STATES</v>
      </c>
      <c r="G3657" t="str">
        <f>VLOOKUP(A3657,[1]!Table1[#All],22,FALSE)</f>
        <v>Departamento De Salud Oficial</v>
      </c>
      <c r="H3657" s="8">
        <f>VLOOKUP(A3657,[1]!Table1[#All],32,FALSE)</f>
        <v>43678</v>
      </c>
      <c r="I3657" s="8">
        <f>VLOOKUP(A3657,[1]!Table1[#All],33,FALSE)</f>
        <v>45504</v>
      </c>
      <c r="J3657" t="str">
        <f t="shared" ca="1" si="61"/>
        <v>Non UDO</v>
      </c>
    </row>
    <row r="3658" spans="1:10" x14ac:dyDescent="0.35">
      <c r="A3658" s="5" t="s">
        <v>117</v>
      </c>
      <c r="B3658" s="6">
        <v>44835</v>
      </c>
      <c r="C3658" s="7">
        <v>2500</v>
      </c>
      <c r="D3658" s="7">
        <v>2500</v>
      </c>
      <c r="E3658" s="7">
        <v>0</v>
      </c>
      <c r="F3658" t="str">
        <f>VLOOKUP(A3658,[1]!Table1[#All],17,FALSE)</f>
        <v>UNITED STATES</v>
      </c>
      <c r="G3658" t="str">
        <f>VLOOKUP(A3658,[1]!Table1[#All],22,FALSE)</f>
        <v>Departamento De Salud Oficial</v>
      </c>
      <c r="H3658" s="8">
        <f>VLOOKUP(A3658,[1]!Table1[#All],32,FALSE)</f>
        <v>43678</v>
      </c>
      <c r="I3658" s="8">
        <f>VLOOKUP(A3658,[1]!Table1[#All],33,FALSE)</f>
        <v>45504</v>
      </c>
      <c r="J3658" t="str">
        <f t="shared" ca="1" si="61"/>
        <v>Non UDO</v>
      </c>
    </row>
    <row r="3659" spans="1:10" x14ac:dyDescent="0.35">
      <c r="A3659" s="9" t="s">
        <v>117</v>
      </c>
      <c r="B3659" s="10">
        <v>44866</v>
      </c>
      <c r="C3659" s="11">
        <v>2500</v>
      </c>
      <c r="D3659" s="11">
        <v>2500</v>
      </c>
      <c r="E3659" s="11">
        <v>0</v>
      </c>
      <c r="F3659" t="str">
        <f>VLOOKUP(A3659,[1]!Table1[#All],17,FALSE)</f>
        <v>UNITED STATES</v>
      </c>
      <c r="G3659" t="str">
        <f>VLOOKUP(A3659,[1]!Table1[#All],22,FALSE)</f>
        <v>Departamento De Salud Oficial</v>
      </c>
      <c r="H3659" s="8">
        <f>VLOOKUP(A3659,[1]!Table1[#All],32,FALSE)</f>
        <v>43678</v>
      </c>
      <c r="I3659" s="8">
        <f>VLOOKUP(A3659,[1]!Table1[#All],33,FALSE)</f>
        <v>45504</v>
      </c>
      <c r="J3659" t="str">
        <f t="shared" ca="1" si="61"/>
        <v>Non UDO</v>
      </c>
    </row>
    <row r="3660" spans="1:10" x14ac:dyDescent="0.35">
      <c r="A3660" s="5" t="s">
        <v>117</v>
      </c>
      <c r="B3660" s="6">
        <v>44896</v>
      </c>
      <c r="C3660" s="7">
        <v>2500</v>
      </c>
      <c r="D3660" s="7">
        <v>2500</v>
      </c>
      <c r="E3660" s="7">
        <v>0</v>
      </c>
      <c r="F3660" t="str">
        <f>VLOOKUP(A3660,[1]!Table1[#All],17,FALSE)</f>
        <v>UNITED STATES</v>
      </c>
      <c r="G3660" t="str">
        <f>VLOOKUP(A3660,[1]!Table1[#All],22,FALSE)</f>
        <v>Departamento De Salud Oficial</v>
      </c>
      <c r="H3660" s="8">
        <f>VLOOKUP(A3660,[1]!Table1[#All],32,FALSE)</f>
        <v>43678</v>
      </c>
      <c r="I3660" s="8">
        <f>VLOOKUP(A3660,[1]!Table1[#All],33,FALSE)</f>
        <v>45504</v>
      </c>
      <c r="J3660" t="str">
        <f t="shared" ca="1" si="61"/>
        <v>Non UDO</v>
      </c>
    </row>
    <row r="3661" spans="1:10" x14ac:dyDescent="0.35">
      <c r="A3661" s="9" t="s">
        <v>117</v>
      </c>
      <c r="B3661" s="10">
        <v>44927</v>
      </c>
      <c r="C3661" s="11">
        <v>2500</v>
      </c>
      <c r="D3661" s="11">
        <v>2500</v>
      </c>
      <c r="E3661" s="11">
        <v>0</v>
      </c>
      <c r="F3661" t="str">
        <f>VLOOKUP(A3661,[1]!Table1[#All],17,FALSE)</f>
        <v>UNITED STATES</v>
      </c>
      <c r="G3661" t="str">
        <f>VLOOKUP(A3661,[1]!Table1[#All],22,FALSE)</f>
        <v>Departamento De Salud Oficial</v>
      </c>
      <c r="H3661" s="8">
        <f>VLOOKUP(A3661,[1]!Table1[#All],32,FALSE)</f>
        <v>43678</v>
      </c>
      <c r="I3661" s="8">
        <f>VLOOKUP(A3661,[1]!Table1[#All],33,FALSE)</f>
        <v>45504</v>
      </c>
      <c r="J3661" t="str">
        <f t="shared" ca="1" si="61"/>
        <v>Non UDO</v>
      </c>
    </row>
    <row r="3662" spans="1:10" x14ac:dyDescent="0.35">
      <c r="A3662" s="5" t="s">
        <v>117</v>
      </c>
      <c r="B3662" s="6">
        <v>44958</v>
      </c>
      <c r="C3662" s="7">
        <v>2500</v>
      </c>
      <c r="D3662" s="7">
        <v>2500</v>
      </c>
      <c r="E3662" s="7">
        <v>0</v>
      </c>
      <c r="F3662" t="str">
        <f>VLOOKUP(A3662,[1]!Table1[#All],17,FALSE)</f>
        <v>UNITED STATES</v>
      </c>
      <c r="G3662" t="str">
        <f>VLOOKUP(A3662,[1]!Table1[#All],22,FALSE)</f>
        <v>Departamento De Salud Oficial</v>
      </c>
      <c r="H3662" s="8">
        <f>VLOOKUP(A3662,[1]!Table1[#All],32,FALSE)</f>
        <v>43678</v>
      </c>
      <c r="I3662" s="8">
        <f>VLOOKUP(A3662,[1]!Table1[#All],33,FALSE)</f>
        <v>45504</v>
      </c>
      <c r="J3662" t="str">
        <f t="shared" ca="1" si="61"/>
        <v>Non UDO</v>
      </c>
    </row>
    <row r="3663" spans="1:10" x14ac:dyDescent="0.35">
      <c r="A3663" s="9" t="s">
        <v>117</v>
      </c>
      <c r="B3663" s="10">
        <v>44986</v>
      </c>
      <c r="C3663" s="11">
        <v>2500</v>
      </c>
      <c r="D3663" s="11">
        <v>2500</v>
      </c>
      <c r="E3663" s="11">
        <v>0</v>
      </c>
      <c r="F3663" t="str">
        <f>VLOOKUP(A3663,[1]!Table1[#All],17,FALSE)</f>
        <v>UNITED STATES</v>
      </c>
      <c r="G3663" t="str">
        <f>VLOOKUP(A3663,[1]!Table1[#All],22,FALSE)</f>
        <v>Departamento De Salud Oficial</v>
      </c>
      <c r="H3663" s="8">
        <f>VLOOKUP(A3663,[1]!Table1[#All],32,FALSE)</f>
        <v>43678</v>
      </c>
      <c r="I3663" s="8">
        <f>VLOOKUP(A3663,[1]!Table1[#All],33,FALSE)</f>
        <v>45504</v>
      </c>
      <c r="J3663" t="str">
        <f t="shared" ca="1" si="61"/>
        <v>Non UDO</v>
      </c>
    </row>
    <row r="3664" spans="1:10" x14ac:dyDescent="0.35">
      <c r="A3664" s="5" t="s">
        <v>117</v>
      </c>
      <c r="B3664" s="6">
        <v>45017</v>
      </c>
      <c r="C3664" s="7">
        <v>2500</v>
      </c>
      <c r="D3664" s="7">
        <v>2500</v>
      </c>
      <c r="E3664" s="7">
        <v>0</v>
      </c>
      <c r="F3664" t="str">
        <f>VLOOKUP(A3664,[1]!Table1[#All],17,FALSE)</f>
        <v>UNITED STATES</v>
      </c>
      <c r="G3664" t="str">
        <f>VLOOKUP(A3664,[1]!Table1[#All],22,FALSE)</f>
        <v>Departamento De Salud Oficial</v>
      </c>
      <c r="H3664" s="8">
        <f>VLOOKUP(A3664,[1]!Table1[#All],32,FALSE)</f>
        <v>43678</v>
      </c>
      <c r="I3664" s="8">
        <f>VLOOKUP(A3664,[1]!Table1[#All],33,FALSE)</f>
        <v>45504</v>
      </c>
      <c r="J3664" t="str">
        <f t="shared" ca="1" si="61"/>
        <v>Non UDO</v>
      </c>
    </row>
    <row r="3665" spans="1:10" x14ac:dyDescent="0.35">
      <c r="A3665" s="9" t="s">
        <v>117</v>
      </c>
      <c r="B3665" s="10">
        <v>45047</v>
      </c>
      <c r="C3665" s="11">
        <v>2500</v>
      </c>
      <c r="D3665" s="11">
        <v>2500</v>
      </c>
      <c r="E3665" s="11">
        <v>0</v>
      </c>
      <c r="F3665" t="str">
        <f>VLOOKUP(A3665,[1]!Table1[#All],17,FALSE)</f>
        <v>UNITED STATES</v>
      </c>
      <c r="G3665" t="str">
        <f>VLOOKUP(A3665,[1]!Table1[#All],22,FALSE)</f>
        <v>Departamento De Salud Oficial</v>
      </c>
      <c r="H3665" s="8">
        <f>VLOOKUP(A3665,[1]!Table1[#All],32,FALSE)</f>
        <v>43678</v>
      </c>
      <c r="I3665" s="8">
        <f>VLOOKUP(A3665,[1]!Table1[#All],33,FALSE)</f>
        <v>45504</v>
      </c>
      <c r="J3665" t="str">
        <f t="shared" ca="1" si="61"/>
        <v>Non UDO</v>
      </c>
    </row>
    <row r="3666" spans="1:10" x14ac:dyDescent="0.35">
      <c r="A3666" s="5" t="s">
        <v>117</v>
      </c>
      <c r="B3666" s="6">
        <v>45078</v>
      </c>
      <c r="C3666" s="7">
        <v>2500</v>
      </c>
      <c r="D3666" s="7">
        <v>2500</v>
      </c>
      <c r="E3666" s="7">
        <v>0</v>
      </c>
      <c r="F3666" t="str">
        <f>VLOOKUP(A3666,[1]!Table1[#All],17,FALSE)</f>
        <v>UNITED STATES</v>
      </c>
      <c r="G3666" t="str">
        <f>VLOOKUP(A3666,[1]!Table1[#All],22,FALSE)</f>
        <v>Departamento De Salud Oficial</v>
      </c>
      <c r="H3666" s="8">
        <f>VLOOKUP(A3666,[1]!Table1[#All],32,FALSE)</f>
        <v>43678</v>
      </c>
      <c r="I3666" s="8">
        <f>VLOOKUP(A3666,[1]!Table1[#All],33,FALSE)</f>
        <v>45504</v>
      </c>
      <c r="J3666" t="str">
        <f t="shared" ca="1" si="61"/>
        <v>Non UDO</v>
      </c>
    </row>
    <row r="3667" spans="1:10" x14ac:dyDescent="0.35">
      <c r="A3667" s="9" t="s">
        <v>117</v>
      </c>
      <c r="B3667" s="10">
        <v>45108</v>
      </c>
      <c r="C3667" s="11">
        <v>2500</v>
      </c>
      <c r="D3667" s="11">
        <v>2500</v>
      </c>
      <c r="E3667" s="11">
        <v>0</v>
      </c>
      <c r="F3667" t="str">
        <f>VLOOKUP(A3667,[1]!Table1[#All],17,FALSE)</f>
        <v>UNITED STATES</v>
      </c>
      <c r="G3667" t="str">
        <f>VLOOKUP(A3667,[1]!Table1[#All],22,FALSE)</f>
        <v>Departamento De Salud Oficial</v>
      </c>
      <c r="H3667" s="8">
        <f>VLOOKUP(A3667,[1]!Table1[#All],32,FALSE)</f>
        <v>43678</v>
      </c>
      <c r="I3667" s="8">
        <f>VLOOKUP(A3667,[1]!Table1[#All],33,FALSE)</f>
        <v>45504</v>
      </c>
      <c r="J3667" t="str">
        <f t="shared" ca="1" si="61"/>
        <v>Non UDO</v>
      </c>
    </row>
    <row r="3668" spans="1:10" x14ac:dyDescent="0.35">
      <c r="A3668" s="5" t="s">
        <v>117</v>
      </c>
      <c r="B3668" s="6">
        <v>45139</v>
      </c>
      <c r="C3668" s="7">
        <v>2500</v>
      </c>
      <c r="D3668" s="7">
        <v>2500</v>
      </c>
      <c r="E3668" s="7">
        <v>0</v>
      </c>
      <c r="F3668" t="str">
        <f>VLOOKUP(A3668,[1]!Table1[#All],17,FALSE)</f>
        <v>UNITED STATES</v>
      </c>
      <c r="G3668" t="str">
        <f>VLOOKUP(A3668,[1]!Table1[#All],22,FALSE)</f>
        <v>Departamento De Salud Oficial</v>
      </c>
      <c r="H3668" s="8">
        <f>VLOOKUP(A3668,[1]!Table1[#All],32,FALSE)</f>
        <v>43678</v>
      </c>
      <c r="I3668" s="8">
        <f>VLOOKUP(A3668,[1]!Table1[#All],33,FALSE)</f>
        <v>45504</v>
      </c>
      <c r="J3668" t="str">
        <f t="shared" ca="1" si="61"/>
        <v>Non UDO</v>
      </c>
    </row>
    <row r="3669" spans="1:10" x14ac:dyDescent="0.35">
      <c r="A3669" s="9" t="s">
        <v>117</v>
      </c>
      <c r="B3669" s="10">
        <v>45170</v>
      </c>
      <c r="C3669" s="11">
        <v>2500</v>
      </c>
      <c r="D3669" s="11">
        <v>2500</v>
      </c>
      <c r="E3669" s="11">
        <v>0</v>
      </c>
      <c r="F3669" t="str">
        <f>VLOOKUP(A3669,[1]!Table1[#All],17,FALSE)</f>
        <v>UNITED STATES</v>
      </c>
      <c r="G3669" t="str">
        <f>VLOOKUP(A3669,[1]!Table1[#All],22,FALSE)</f>
        <v>Departamento De Salud Oficial</v>
      </c>
      <c r="H3669" s="8">
        <f>VLOOKUP(A3669,[1]!Table1[#All],32,FALSE)</f>
        <v>43678</v>
      </c>
      <c r="I3669" s="8">
        <f>VLOOKUP(A3669,[1]!Table1[#All],33,FALSE)</f>
        <v>45504</v>
      </c>
      <c r="J3669" t="str">
        <f t="shared" ca="1" si="61"/>
        <v>Non UDO</v>
      </c>
    </row>
    <row r="3670" spans="1:10" x14ac:dyDescent="0.35">
      <c r="A3670" s="5" t="s">
        <v>118</v>
      </c>
      <c r="B3670" s="6">
        <v>44409</v>
      </c>
      <c r="C3670" s="7">
        <v>3150</v>
      </c>
      <c r="D3670" s="7">
        <v>0</v>
      </c>
      <c r="E3670" s="7">
        <v>3150</v>
      </c>
      <c r="F3670" t="str">
        <f>VLOOKUP(A3670,[1]!Table1[#All],17,FALSE)</f>
        <v>UNITED STATES</v>
      </c>
      <c r="G3670" t="str">
        <f>VLOOKUP(A3670,[1]!Table1[#All],22,FALSE)</f>
        <v>Departamento De Salud Oficial</v>
      </c>
      <c r="H3670" s="8">
        <f>VLOOKUP(A3670,[1]!Table1[#All],32,FALSE)</f>
        <v>43678</v>
      </c>
      <c r="I3670" s="8">
        <f>VLOOKUP(A3670,[1]!Table1[#All],33,FALSE)</f>
        <v>45504</v>
      </c>
      <c r="J3670" t="str">
        <f t="shared" ca="1" si="61"/>
        <v>UDO</v>
      </c>
    </row>
    <row r="3671" spans="1:10" x14ac:dyDescent="0.35">
      <c r="A3671" s="9" t="s">
        <v>118</v>
      </c>
      <c r="B3671" s="10">
        <v>44440</v>
      </c>
      <c r="C3671" s="11">
        <v>3150</v>
      </c>
      <c r="D3671" s="11">
        <v>0</v>
      </c>
      <c r="E3671" s="11">
        <v>3150</v>
      </c>
      <c r="F3671" t="str">
        <f>VLOOKUP(A3671,[1]!Table1[#All],17,FALSE)</f>
        <v>UNITED STATES</v>
      </c>
      <c r="G3671" t="str">
        <f>VLOOKUP(A3671,[1]!Table1[#All],22,FALSE)</f>
        <v>Departamento De Salud Oficial</v>
      </c>
      <c r="H3671" s="8">
        <f>VLOOKUP(A3671,[1]!Table1[#All],32,FALSE)</f>
        <v>43678</v>
      </c>
      <c r="I3671" s="8">
        <f>VLOOKUP(A3671,[1]!Table1[#All],33,FALSE)</f>
        <v>45504</v>
      </c>
      <c r="J3671" t="str">
        <f t="shared" ca="1" si="61"/>
        <v>UDO</v>
      </c>
    </row>
    <row r="3672" spans="1:10" x14ac:dyDescent="0.35">
      <c r="A3672" s="5" t="s">
        <v>118</v>
      </c>
      <c r="B3672" s="6">
        <v>44470</v>
      </c>
      <c r="C3672" s="7">
        <v>3150</v>
      </c>
      <c r="D3672" s="7">
        <v>0</v>
      </c>
      <c r="E3672" s="7">
        <v>3150</v>
      </c>
      <c r="F3672" t="str">
        <f>VLOOKUP(A3672,[1]!Table1[#All],17,FALSE)</f>
        <v>UNITED STATES</v>
      </c>
      <c r="G3672" t="str">
        <f>VLOOKUP(A3672,[1]!Table1[#All],22,FALSE)</f>
        <v>Departamento De Salud Oficial</v>
      </c>
      <c r="H3672" s="8">
        <f>VLOOKUP(A3672,[1]!Table1[#All],32,FALSE)</f>
        <v>43678</v>
      </c>
      <c r="I3672" s="8">
        <f>VLOOKUP(A3672,[1]!Table1[#All],33,FALSE)</f>
        <v>45504</v>
      </c>
      <c r="J3672" t="str">
        <f t="shared" ca="1" si="61"/>
        <v>UDO</v>
      </c>
    </row>
    <row r="3673" spans="1:10" x14ac:dyDescent="0.35">
      <c r="A3673" s="9" t="s">
        <v>118</v>
      </c>
      <c r="B3673" s="10">
        <v>44501</v>
      </c>
      <c r="C3673" s="11">
        <v>3150</v>
      </c>
      <c r="D3673" s="11">
        <v>0</v>
      </c>
      <c r="E3673" s="11">
        <v>3150</v>
      </c>
      <c r="F3673" t="str">
        <f>VLOOKUP(A3673,[1]!Table1[#All],17,FALSE)</f>
        <v>UNITED STATES</v>
      </c>
      <c r="G3673" t="str">
        <f>VLOOKUP(A3673,[1]!Table1[#All],22,FALSE)</f>
        <v>Departamento De Salud Oficial</v>
      </c>
      <c r="H3673" s="8">
        <f>VLOOKUP(A3673,[1]!Table1[#All],32,FALSE)</f>
        <v>43678</v>
      </c>
      <c r="I3673" s="8">
        <f>VLOOKUP(A3673,[1]!Table1[#All],33,FALSE)</f>
        <v>45504</v>
      </c>
      <c r="J3673" t="str">
        <f t="shared" ca="1" si="61"/>
        <v>UDO</v>
      </c>
    </row>
    <row r="3674" spans="1:10" x14ac:dyDescent="0.35">
      <c r="A3674" s="5" t="s">
        <v>118</v>
      </c>
      <c r="B3674" s="6">
        <v>44531</v>
      </c>
      <c r="C3674" s="7">
        <v>3150</v>
      </c>
      <c r="D3674" s="7">
        <v>0</v>
      </c>
      <c r="E3674" s="7">
        <v>3150</v>
      </c>
      <c r="F3674" t="str">
        <f>VLOOKUP(A3674,[1]!Table1[#All],17,FALSE)</f>
        <v>UNITED STATES</v>
      </c>
      <c r="G3674" t="str">
        <f>VLOOKUP(A3674,[1]!Table1[#All],22,FALSE)</f>
        <v>Departamento De Salud Oficial</v>
      </c>
      <c r="H3674" s="8">
        <f>VLOOKUP(A3674,[1]!Table1[#All],32,FALSE)</f>
        <v>43678</v>
      </c>
      <c r="I3674" s="8">
        <f>VLOOKUP(A3674,[1]!Table1[#All],33,FALSE)</f>
        <v>45504</v>
      </c>
      <c r="J3674" t="str">
        <f t="shared" ca="1" si="61"/>
        <v>UDO</v>
      </c>
    </row>
    <row r="3675" spans="1:10" x14ac:dyDescent="0.35">
      <c r="A3675" s="9" t="s">
        <v>118</v>
      </c>
      <c r="B3675" s="10">
        <v>44562</v>
      </c>
      <c r="C3675" s="11">
        <v>3150</v>
      </c>
      <c r="D3675" s="11">
        <v>230.74</v>
      </c>
      <c r="E3675" s="11">
        <v>2919.26</v>
      </c>
      <c r="F3675" t="str">
        <f>VLOOKUP(A3675,[1]!Table1[#All],17,FALSE)</f>
        <v>UNITED STATES</v>
      </c>
      <c r="G3675" t="str">
        <f>VLOOKUP(A3675,[1]!Table1[#All],22,FALSE)</f>
        <v>Departamento De Salud Oficial</v>
      </c>
      <c r="H3675" s="8">
        <f>VLOOKUP(A3675,[1]!Table1[#All],32,FALSE)</f>
        <v>43678</v>
      </c>
      <c r="I3675" s="8">
        <f>VLOOKUP(A3675,[1]!Table1[#All],33,FALSE)</f>
        <v>45504</v>
      </c>
      <c r="J3675" t="str">
        <f t="shared" ca="1" si="61"/>
        <v>UDO</v>
      </c>
    </row>
    <row r="3676" spans="1:10" x14ac:dyDescent="0.35">
      <c r="A3676" s="5" t="s">
        <v>118</v>
      </c>
      <c r="B3676" s="6">
        <v>44593</v>
      </c>
      <c r="C3676" s="7">
        <v>3150</v>
      </c>
      <c r="D3676" s="7">
        <v>478.3</v>
      </c>
      <c r="E3676" s="7">
        <v>2671.7</v>
      </c>
      <c r="F3676" t="str">
        <f>VLOOKUP(A3676,[1]!Table1[#All],17,FALSE)</f>
        <v>UNITED STATES</v>
      </c>
      <c r="G3676" t="str">
        <f>VLOOKUP(A3676,[1]!Table1[#All],22,FALSE)</f>
        <v>Departamento De Salud Oficial</v>
      </c>
      <c r="H3676" s="8">
        <f>VLOOKUP(A3676,[1]!Table1[#All],32,FALSE)</f>
        <v>43678</v>
      </c>
      <c r="I3676" s="8">
        <f>VLOOKUP(A3676,[1]!Table1[#All],33,FALSE)</f>
        <v>45504</v>
      </c>
      <c r="J3676" t="str">
        <f t="shared" ca="1" si="61"/>
        <v>UDO</v>
      </c>
    </row>
    <row r="3677" spans="1:10" x14ac:dyDescent="0.35">
      <c r="A3677" s="9" t="s">
        <v>118</v>
      </c>
      <c r="B3677" s="10">
        <v>44621</v>
      </c>
      <c r="C3677" s="11">
        <v>3150</v>
      </c>
      <c r="D3677" s="11">
        <v>733.56</v>
      </c>
      <c r="E3677" s="11">
        <v>2416.44</v>
      </c>
      <c r="F3677" t="str">
        <f>VLOOKUP(A3677,[1]!Table1[#All],17,FALSE)</f>
        <v>UNITED STATES</v>
      </c>
      <c r="G3677" t="str">
        <f>VLOOKUP(A3677,[1]!Table1[#All],22,FALSE)</f>
        <v>Departamento De Salud Oficial</v>
      </c>
      <c r="H3677" s="8">
        <f>VLOOKUP(A3677,[1]!Table1[#All],32,FALSE)</f>
        <v>43678</v>
      </c>
      <c r="I3677" s="8">
        <f>VLOOKUP(A3677,[1]!Table1[#All],33,FALSE)</f>
        <v>45504</v>
      </c>
      <c r="J3677" t="str">
        <f t="shared" ca="1" si="61"/>
        <v>UDO</v>
      </c>
    </row>
    <row r="3678" spans="1:10" x14ac:dyDescent="0.35">
      <c r="A3678" s="5" t="s">
        <v>118</v>
      </c>
      <c r="B3678" s="6">
        <v>44652</v>
      </c>
      <c r="C3678" s="7">
        <v>3150</v>
      </c>
      <c r="D3678" s="7">
        <v>978.16</v>
      </c>
      <c r="E3678" s="7">
        <v>2171.84</v>
      </c>
      <c r="F3678" t="str">
        <f>VLOOKUP(A3678,[1]!Table1[#All],17,FALSE)</f>
        <v>UNITED STATES</v>
      </c>
      <c r="G3678" t="str">
        <f>VLOOKUP(A3678,[1]!Table1[#All],22,FALSE)</f>
        <v>Departamento De Salud Oficial</v>
      </c>
      <c r="H3678" s="8">
        <f>VLOOKUP(A3678,[1]!Table1[#All],32,FALSE)</f>
        <v>43678</v>
      </c>
      <c r="I3678" s="8">
        <f>VLOOKUP(A3678,[1]!Table1[#All],33,FALSE)</f>
        <v>45504</v>
      </c>
      <c r="J3678" t="str">
        <f t="shared" ca="1" si="61"/>
        <v>UDO</v>
      </c>
    </row>
    <row r="3679" spans="1:10" x14ac:dyDescent="0.35">
      <c r="A3679" s="9" t="s">
        <v>118</v>
      </c>
      <c r="B3679" s="10">
        <v>44682</v>
      </c>
      <c r="C3679" s="11">
        <v>3150</v>
      </c>
      <c r="D3679" s="11">
        <v>1192.48</v>
      </c>
      <c r="E3679" s="11">
        <v>1957.52</v>
      </c>
      <c r="F3679" t="str">
        <f>VLOOKUP(A3679,[1]!Table1[#All],17,FALSE)</f>
        <v>UNITED STATES</v>
      </c>
      <c r="G3679" t="str">
        <f>VLOOKUP(A3679,[1]!Table1[#All],22,FALSE)</f>
        <v>Departamento De Salud Oficial</v>
      </c>
      <c r="H3679" s="8">
        <f>VLOOKUP(A3679,[1]!Table1[#All],32,FALSE)</f>
        <v>43678</v>
      </c>
      <c r="I3679" s="8">
        <f>VLOOKUP(A3679,[1]!Table1[#All],33,FALSE)</f>
        <v>45504</v>
      </c>
      <c r="J3679" t="str">
        <f t="shared" ca="1" si="61"/>
        <v>UDO</v>
      </c>
    </row>
    <row r="3680" spans="1:10" x14ac:dyDescent="0.35">
      <c r="A3680" s="5" t="s">
        <v>118</v>
      </c>
      <c r="B3680" s="6">
        <v>44713</v>
      </c>
      <c r="C3680" s="7">
        <v>3150</v>
      </c>
      <c r="D3680" s="7">
        <v>1476.29</v>
      </c>
      <c r="E3680" s="7">
        <v>1673.71</v>
      </c>
      <c r="F3680" t="str">
        <f>VLOOKUP(A3680,[1]!Table1[#All],17,FALSE)</f>
        <v>UNITED STATES</v>
      </c>
      <c r="G3680" t="str">
        <f>VLOOKUP(A3680,[1]!Table1[#All],22,FALSE)</f>
        <v>Departamento De Salud Oficial</v>
      </c>
      <c r="H3680" s="8">
        <f>VLOOKUP(A3680,[1]!Table1[#All],32,FALSE)</f>
        <v>43678</v>
      </c>
      <c r="I3680" s="8">
        <f>VLOOKUP(A3680,[1]!Table1[#All],33,FALSE)</f>
        <v>45504</v>
      </c>
      <c r="J3680" t="str">
        <f t="shared" ca="1" si="61"/>
        <v>UDO</v>
      </c>
    </row>
    <row r="3681" spans="1:10" x14ac:dyDescent="0.35">
      <c r="A3681" s="9" t="s">
        <v>118</v>
      </c>
      <c r="B3681" s="10">
        <v>44743</v>
      </c>
      <c r="C3681" s="11">
        <v>3150</v>
      </c>
      <c r="D3681" s="11">
        <v>1740.5</v>
      </c>
      <c r="E3681" s="11">
        <v>1409.5</v>
      </c>
      <c r="F3681" t="str">
        <f>VLOOKUP(A3681,[1]!Table1[#All],17,FALSE)</f>
        <v>UNITED STATES</v>
      </c>
      <c r="G3681" t="str">
        <f>VLOOKUP(A3681,[1]!Table1[#All],22,FALSE)</f>
        <v>Departamento De Salud Oficial</v>
      </c>
      <c r="H3681" s="8">
        <f>VLOOKUP(A3681,[1]!Table1[#All],32,FALSE)</f>
        <v>43678</v>
      </c>
      <c r="I3681" s="8">
        <f>VLOOKUP(A3681,[1]!Table1[#All],33,FALSE)</f>
        <v>45504</v>
      </c>
      <c r="J3681" t="str">
        <f t="shared" ca="1" si="61"/>
        <v>UDO</v>
      </c>
    </row>
    <row r="3682" spans="1:10" x14ac:dyDescent="0.35">
      <c r="A3682" s="5" t="s">
        <v>118</v>
      </c>
      <c r="B3682" s="6">
        <v>44774</v>
      </c>
      <c r="C3682" s="7">
        <v>3150</v>
      </c>
      <c r="D3682" s="7">
        <v>1740.5</v>
      </c>
      <c r="E3682" s="7">
        <v>1409.5</v>
      </c>
      <c r="F3682" t="str">
        <f>VLOOKUP(A3682,[1]!Table1[#All],17,FALSE)</f>
        <v>UNITED STATES</v>
      </c>
      <c r="G3682" t="str">
        <f>VLOOKUP(A3682,[1]!Table1[#All],22,FALSE)</f>
        <v>Departamento De Salud Oficial</v>
      </c>
      <c r="H3682" s="8">
        <f>VLOOKUP(A3682,[1]!Table1[#All],32,FALSE)</f>
        <v>43678</v>
      </c>
      <c r="I3682" s="8">
        <f>VLOOKUP(A3682,[1]!Table1[#All],33,FALSE)</f>
        <v>45504</v>
      </c>
      <c r="J3682" t="str">
        <f t="shared" ca="1" si="61"/>
        <v>UDO</v>
      </c>
    </row>
    <row r="3683" spans="1:10" x14ac:dyDescent="0.35">
      <c r="A3683" s="9" t="s">
        <v>118</v>
      </c>
      <c r="B3683" s="10">
        <v>44805</v>
      </c>
      <c r="C3683" s="11">
        <v>3150</v>
      </c>
      <c r="D3683" s="11">
        <v>1963.03</v>
      </c>
      <c r="E3683" s="11">
        <v>1186.97</v>
      </c>
      <c r="F3683" t="str">
        <f>VLOOKUP(A3683,[1]!Table1[#All],17,FALSE)</f>
        <v>UNITED STATES</v>
      </c>
      <c r="G3683" t="str">
        <f>VLOOKUP(A3683,[1]!Table1[#All],22,FALSE)</f>
        <v>Departamento De Salud Oficial</v>
      </c>
      <c r="H3683" s="8">
        <f>VLOOKUP(A3683,[1]!Table1[#All],32,FALSE)</f>
        <v>43678</v>
      </c>
      <c r="I3683" s="8">
        <f>VLOOKUP(A3683,[1]!Table1[#All],33,FALSE)</f>
        <v>45504</v>
      </c>
      <c r="J3683" t="str">
        <f t="shared" ca="1" si="61"/>
        <v>UDO</v>
      </c>
    </row>
    <row r="3684" spans="1:10" x14ac:dyDescent="0.35">
      <c r="A3684" s="5" t="s">
        <v>118</v>
      </c>
      <c r="B3684" s="6">
        <v>44835</v>
      </c>
      <c r="C3684" s="7">
        <v>3150</v>
      </c>
      <c r="D3684" s="7">
        <v>1989.67</v>
      </c>
      <c r="E3684" s="7">
        <v>1160.33</v>
      </c>
      <c r="F3684" t="str">
        <f>VLOOKUP(A3684,[1]!Table1[#All],17,FALSE)</f>
        <v>UNITED STATES</v>
      </c>
      <c r="G3684" t="str">
        <f>VLOOKUP(A3684,[1]!Table1[#All],22,FALSE)</f>
        <v>Departamento De Salud Oficial</v>
      </c>
      <c r="H3684" s="8">
        <f>VLOOKUP(A3684,[1]!Table1[#All],32,FALSE)</f>
        <v>43678</v>
      </c>
      <c r="I3684" s="8">
        <f>VLOOKUP(A3684,[1]!Table1[#All],33,FALSE)</f>
        <v>45504</v>
      </c>
      <c r="J3684" t="str">
        <f t="shared" ca="1" si="61"/>
        <v>UDO</v>
      </c>
    </row>
    <row r="3685" spans="1:10" x14ac:dyDescent="0.35">
      <c r="A3685" s="9" t="s">
        <v>118</v>
      </c>
      <c r="B3685" s="10">
        <v>44866</v>
      </c>
      <c r="C3685" s="11">
        <v>3150</v>
      </c>
      <c r="D3685" s="11">
        <v>2608.1999999999998</v>
      </c>
      <c r="E3685" s="11">
        <v>541.79999999999995</v>
      </c>
      <c r="F3685" t="str">
        <f>VLOOKUP(A3685,[1]!Table1[#All],17,FALSE)</f>
        <v>UNITED STATES</v>
      </c>
      <c r="G3685" t="str">
        <f>VLOOKUP(A3685,[1]!Table1[#All],22,FALSE)</f>
        <v>Departamento De Salud Oficial</v>
      </c>
      <c r="H3685" s="8">
        <f>VLOOKUP(A3685,[1]!Table1[#All],32,FALSE)</f>
        <v>43678</v>
      </c>
      <c r="I3685" s="8">
        <f>VLOOKUP(A3685,[1]!Table1[#All],33,FALSE)</f>
        <v>45504</v>
      </c>
      <c r="J3685" t="str">
        <f t="shared" ca="1" si="61"/>
        <v>UDO</v>
      </c>
    </row>
    <row r="3686" spans="1:10" x14ac:dyDescent="0.35">
      <c r="A3686" s="5" t="s">
        <v>118</v>
      </c>
      <c r="B3686" s="6">
        <v>44896</v>
      </c>
      <c r="C3686" s="7">
        <v>3150</v>
      </c>
      <c r="D3686" s="7">
        <v>2814.63</v>
      </c>
      <c r="E3686" s="7">
        <v>335.37</v>
      </c>
      <c r="F3686" t="str">
        <f>VLOOKUP(A3686,[1]!Table1[#All],17,FALSE)</f>
        <v>UNITED STATES</v>
      </c>
      <c r="G3686" t="str">
        <f>VLOOKUP(A3686,[1]!Table1[#All],22,FALSE)</f>
        <v>Departamento De Salud Oficial</v>
      </c>
      <c r="H3686" s="8">
        <f>VLOOKUP(A3686,[1]!Table1[#All],32,FALSE)</f>
        <v>43678</v>
      </c>
      <c r="I3686" s="8">
        <f>VLOOKUP(A3686,[1]!Table1[#All],33,FALSE)</f>
        <v>45504</v>
      </c>
      <c r="J3686" t="str">
        <f t="shared" ca="1" si="61"/>
        <v>UDO</v>
      </c>
    </row>
    <row r="3687" spans="1:10" x14ac:dyDescent="0.35">
      <c r="A3687" s="9" t="s">
        <v>118</v>
      </c>
      <c r="B3687" s="10">
        <v>44927</v>
      </c>
      <c r="C3687" s="11">
        <v>3150</v>
      </c>
      <c r="D3687" s="11">
        <v>2861.65</v>
      </c>
      <c r="E3687" s="11">
        <v>288.35000000000002</v>
      </c>
      <c r="F3687" t="str">
        <f>VLOOKUP(A3687,[1]!Table1[#All],17,FALSE)</f>
        <v>UNITED STATES</v>
      </c>
      <c r="G3687" t="str">
        <f>VLOOKUP(A3687,[1]!Table1[#All],22,FALSE)</f>
        <v>Departamento De Salud Oficial</v>
      </c>
      <c r="H3687" s="8">
        <f>VLOOKUP(A3687,[1]!Table1[#All],32,FALSE)</f>
        <v>43678</v>
      </c>
      <c r="I3687" s="8">
        <f>VLOOKUP(A3687,[1]!Table1[#All],33,FALSE)</f>
        <v>45504</v>
      </c>
      <c r="J3687" t="str">
        <f t="shared" ca="1" si="61"/>
        <v>UDO</v>
      </c>
    </row>
    <row r="3688" spans="1:10" x14ac:dyDescent="0.35">
      <c r="A3688" s="5" t="s">
        <v>118</v>
      </c>
      <c r="B3688" s="6">
        <v>44958</v>
      </c>
      <c r="C3688" s="7">
        <v>3150</v>
      </c>
      <c r="D3688" s="7">
        <v>3080.53</v>
      </c>
      <c r="E3688" s="7">
        <v>69.47</v>
      </c>
      <c r="F3688" t="str">
        <f>VLOOKUP(A3688,[1]!Table1[#All],17,FALSE)</f>
        <v>UNITED STATES</v>
      </c>
      <c r="G3688" t="str">
        <f>VLOOKUP(A3688,[1]!Table1[#All],22,FALSE)</f>
        <v>Departamento De Salud Oficial</v>
      </c>
      <c r="H3688" s="8">
        <f>VLOOKUP(A3688,[1]!Table1[#All],32,FALSE)</f>
        <v>43678</v>
      </c>
      <c r="I3688" s="8">
        <f>VLOOKUP(A3688,[1]!Table1[#All],33,FALSE)</f>
        <v>45504</v>
      </c>
      <c r="J3688" t="str">
        <f t="shared" ca="1" si="61"/>
        <v>UDO</v>
      </c>
    </row>
    <row r="3689" spans="1:10" x14ac:dyDescent="0.35">
      <c r="A3689" s="9" t="s">
        <v>118</v>
      </c>
      <c r="B3689" s="10">
        <v>44986</v>
      </c>
      <c r="C3689" s="11">
        <v>3150</v>
      </c>
      <c r="D3689" s="11">
        <v>3150</v>
      </c>
      <c r="E3689" s="11">
        <v>0</v>
      </c>
      <c r="F3689" t="str">
        <f>VLOOKUP(A3689,[1]!Table1[#All],17,FALSE)</f>
        <v>UNITED STATES</v>
      </c>
      <c r="G3689" t="str">
        <f>VLOOKUP(A3689,[1]!Table1[#All],22,FALSE)</f>
        <v>Departamento De Salud Oficial</v>
      </c>
      <c r="H3689" s="8">
        <f>VLOOKUP(A3689,[1]!Table1[#All],32,FALSE)</f>
        <v>43678</v>
      </c>
      <c r="I3689" s="8">
        <f>VLOOKUP(A3689,[1]!Table1[#All],33,FALSE)</f>
        <v>45504</v>
      </c>
      <c r="J3689" t="str">
        <f t="shared" ca="1" si="61"/>
        <v>Non UDO</v>
      </c>
    </row>
    <row r="3690" spans="1:10" x14ac:dyDescent="0.35">
      <c r="A3690" s="5" t="s">
        <v>118</v>
      </c>
      <c r="B3690" s="6">
        <v>45017</v>
      </c>
      <c r="C3690" s="7">
        <v>3150</v>
      </c>
      <c r="D3690" s="7">
        <v>3150</v>
      </c>
      <c r="E3690" s="7">
        <v>0</v>
      </c>
      <c r="F3690" t="str">
        <f>VLOOKUP(A3690,[1]!Table1[#All],17,FALSE)</f>
        <v>UNITED STATES</v>
      </c>
      <c r="G3690" t="str">
        <f>VLOOKUP(A3690,[1]!Table1[#All],22,FALSE)</f>
        <v>Departamento De Salud Oficial</v>
      </c>
      <c r="H3690" s="8">
        <f>VLOOKUP(A3690,[1]!Table1[#All],32,FALSE)</f>
        <v>43678</v>
      </c>
      <c r="I3690" s="8">
        <f>VLOOKUP(A3690,[1]!Table1[#All],33,FALSE)</f>
        <v>45504</v>
      </c>
      <c r="J3690" t="str">
        <f t="shared" ca="1" si="61"/>
        <v>Non UDO</v>
      </c>
    </row>
    <row r="3691" spans="1:10" x14ac:dyDescent="0.35">
      <c r="A3691" s="9" t="s">
        <v>118</v>
      </c>
      <c r="B3691" s="10">
        <v>45047</v>
      </c>
      <c r="C3691" s="11">
        <v>3150</v>
      </c>
      <c r="D3691" s="11">
        <v>3150</v>
      </c>
      <c r="E3691" s="11">
        <v>0</v>
      </c>
      <c r="F3691" t="str">
        <f>VLOOKUP(A3691,[1]!Table1[#All],17,FALSE)</f>
        <v>UNITED STATES</v>
      </c>
      <c r="G3691" t="str">
        <f>VLOOKUP(A3691,[1]!Table1[#All],22,FALSE)</f>
        <v>Departamento De Salud Oficial</v>
      </c>
      <c r="H3691" s="8">
        <f>VLOOKUP(A3691,[1]!Table1[#All],32,FALSE)</f>
        <v>43678</v>
      </c>
      <c r="I3691" s="8">
        <f>VLOOKUP(A3691,[1]!Table1[#All],33,FALSE)</f>
        <v>45504</v>
      </c>
      <c r="J3691" t="str">
        <f t="shared" ca="1" si="61"/>
        <v>Non UDO</v>
      </c>
    </row>
    <row r="3692" spans="1:10" x14ac:dyDescent="0.35">
      <c r="A3692" s="5" t="s">
        <v>118</v>
      </c>
      <c r="B3692" s="6">
        <v>45078</v>
      </c>
      <c r="C3692" s="7">
        <v>3150</v>
      </c>
      <c r="D3692" s="7">
        <v>3150</v>
      </c>
      <c r="E3692" s="7">
        <v>0</v>
      </c>
      <c r="F3692" t="str">
        <f>VLOOKUP(A3692,[1]!Table1[#All],17,FALSE)</f>
        <v>UNITED STATES</v>
      </c>
      <c r="G3692" t="str">
        <f>VLOOKUP(A3692,[1]!Table1[#All],22,FALSE)</f>
        <v>Departamento De Salud Oficial</v>
      </c>
      <c r="H3692" s="8">
        <f>VLOOKUP(A3692,[1]!Table1[#All],32,FALSE)</f>
        <v>43678</v>
      </c>
      <c r="I3692" s="8">
        <f>VLOOKUP(A3692,[1]!Table1[#All],33,FALSE)</f>
        <v>45504</v>
      </c>
      <c r="J3692" t="str">
        <f t="shared" ca="1" si="61"/>
        <v>Non UDO</v>
      </c>
    </row>
    <row r="3693" spans="1:10" x14ac:dyDescent="0.35">
      <c r="A3693" s="9" t="s">
        <v>118</v>
      </c>
      <c r="B3693" s="10">
        <v>45108</v>
      </c>
      <c r="C3693" s="11">
        <v>3150</v>
      </c>
      <c r="D3693" s="11">
        <v>3150</v>
      </c>
      <c r="E3693" s="11">
        <v>0</v>
      </c>
      <c r="F3693" t="str">
        <f>VLOOKUP(A3693,[1]!Table1[#All],17,FALSE)</f>
        <v>UNITED STATES</v>
      </c>
      <c r="G3693" t="str">
        <f>VLOOKUP(A3693,[1]!Table1[#All],22,FALSE)</f>
        <v>Departamento De Salud Oficial</v>
      </c>
      <c r="H3693" s="8">
        <f>VLOOKUP(A3693,[1]!Table1[#All],32,FALSE)</f>
        <v>43678</v>
      </c>
      <c r="I3693" s="8">
        <f>VLOOKUP(A3693,[1]!Table1[#All],33,FALSE)</f>
        <v>45504</v>
      </c>
      <c r="J3693" t="str">
        <f t="shared" ca="1" si="61"/>
        <v>Non UDO</v>
      </c>
    </row>
    <row r="3694" spans="1:10" x14ac:dyDescent="0.35">
      <c r="A3694" s="5" t="s">
        <v>118</v>
      </c>
      <c r="B3694" s="6">
        <v>45139</v>
      </c>
      <c r="C3694" s="7">
        <v>3150</v>
      </c>
      <c r="D3694" s="7">
        <v>3150</v>
      </c>
      <c r="E3694" s="7">
        <v>0</v>
      </c>
      <c r="F3694" t="str">
        <f>VLOOKUP(A3694,[1]!Table1[#All],17,FALSE)</f>
        <v>UNITED STATES</v>
      </c>
      <c r="G3694" t="str">
        <f>VLOOKUP(A3694,[1]!Table1[#All],22,FALSE)</f>
        <v>Departamento De Salud Oficial</v>
      </c>
      <c r="H3694" s="8">
        <f>VLOOKUP(A3694,[1]!Table1[#All],32,FALSE)</f>
        <v>43678</v>
      </c>
      <c r="I3694" s="8">
        <f>VLOOKUP(A3694,[1]!Table1[#All],33,FALSE)</f>
        <v>45504</v>
      </c>
      <c r="J3694" t="str">
        <f t="shared" ca="1" si="61"/>
        <v>Non UDO</v>
      </c>
    </row>
    <row r="3695" spans="1:10" x14ac:dyDescent="0.35">
      <c r="A3695" s="9" t="s">
        <v>118</v>
      </c>
      <c r="B3695" s="10">
        <v>45170</v>
      </c>
      <c r="C3695" s="11">
        <v>3150</v>
      </c>
      <c r="D3695" s="11">
        <v>3150</v>
      </c>
      <c r="E3695" s="11">
        <v>0</v>
      </c>
      <c r="F3695" t="str">
        <f>VLOOKUP(A3695,[1]!Table1[#All],17,FALSE)</f>
        <v>UNITED STATES</v>
      </c>
      <c r="G3695" t="str">
        <f>VLOOKUP(A3695,[1]!Table1[#All],22,FALSE)</f>
        <v>Departamento De Salud Oficial</v>
      </c>
      <c r="H3695" s="8">
        <f>VLOOKUP(A3695,[1]!Table1[#All],32,FALSE)</f>
        <v>43678</v>
      </c>
      <c r="I3695" s="8">
        <f>VLOOKUP(A3695,[1]!Table1[#All],33,FALSE)</f>
        <v>45504</v>
      </c>
      <c r="J3695" t="str">
        <f t="shared" ca="1" si="61"/>
        <v>Non UDO</v>
      </c>
    </row>
    <row r="3696" spans="1:10" x14ac:dyDescent="0.35">
      <c r="A3696" s="5" t="s">
        <v>119</v>
      </c>
      <c r="B3696" s="6">
        <v>44105</v>
      </c>
      <c r="C3696" s="7">
        <v>2500</v>
      </c>
      <c r="D3696" s="7">
        <v>0</v>
      </c>
      <c r="E3696" s="7">
        <v>2500</v>
      </c>
      <c r="F3696" t="str">
        <f>VLOOKUP(A3696,[1]!Table1[#All],17,FALSE)</f>
        <v>UNITED STATES</v>
      </c>
      <c r="G3696" t="str">
        <f>VLOOKUP(A3696,[1]!Table1[#All],22,FALSE)</f>
        <v>TN ST DEPARTMENT OF HEALTH</v>
      </c>
      <c r="H3696" s="8">
        <f>VLOOKUP(A3696,[1]!Table1[#All],32,FALSE)</f>
        <v>43678</v>
      </c>
      <c r="I3696" s="8">
        <f>VLOOKUP(A3696,[1]!Table1[#All],33,FALSE)</f>
        <v>45504</v>
      </c>
      <c r="J3696" t="str">
        <f t="shared" ca="1" si="61"/>
        <v>UDO</v>
      </c>
    </row>
    <row r="3697" spans="1:10" x14ac:dyDescent="0.35">
      <c r="A3697" s="9" t="s">
        <v>119</v>
      </c>
      <c r="B3697" s="10">
        <v>44136</v>
      </c>
      <c r="C3697" s="11">
        <v>2500</v>
      </c>
      <c r="D3697" s="11">
        <v>0</v>
      </c>
      <c r="E3697" s="11">
        <v>2500</v>
      </c>
      <c r="F3697" t="str">
        <f>VLOOKUP(A3697,[1]!Table1[#All],17,FALSE)</f>
        <v>UNITED STATES</v>
      </c>
      <c r="G3697" t="str">
        <f>VLOOKUP(A3697,[1]!Table1[#All],22,FALSE)</f>
        <v>TN ST DEPARTMENT OF HEALTH</v>
      </c>
      <c r="H3697" s="8">
        <f>VLOOKUP(A3697,[1]!Table1[#All],32,FALSE)</f>
        <v>43678</v>
      </c>
      <c r="I3697" s="8">
        <f>VLOOKUP(A3697,[1]!Table1[#All],33,FALSE)</f>
        <v>45504</v>
      </c>
      <c r="J3697" t="str">
        <f t="shared" ca="1" si="61"/>
        <v>UDO</v>
      </c>
    </row>
    <row r="3698" spans="1:10" x14ac:dyDescent="0.35">
      <c r="A3698" s="5" t="s">
        <v>119</v>
      </c>
      <c r="B3698" s="6">
        <v>44166</v>
      </c>
      <c r="C3698" s="7">
        <v>2500</v>
      </c>
      <c r="D3698" s="7">
        <v>0</v>
      </c>
      <c r="E3698" s="7">
        <v>2500</v>
      </c>
      <c r="F3698" t="str">
        <f>VLOOKUP(A3698,[1]!Table1[#All],17,FALSE)</f>
        <v>UNITED STATES</v>
      </c>
      <c r="G3698" t="str">
        <f>VLOOKUP(A3698,[1]!Table1[#All],22,FALSE)</f>
        <v>TN ST DEPARTMENT OF HEALTH</v>
      </c>
      <c r="H3698" s="8">
        <f>VLOOKUP(A3698,[1]!Table1[#All],32,FALSE)</f>
        <v>43678</v>
      </c>
      <c r="I3698" s="8">
        <f>VLOOKUP(A3698,[1]!Table1[#All],33,FALSE)</f>
        <v>45504</v>
      </c>
      <c r="J3698" t="str">
        <f t="shared" ca="1" si="61"/>
        <v>UDO</v>
      </c>
    </row>
    <row r="3699" spans="1:10" x14ac:dyDescent="0.35">
      <c r="A3699" s="9" t="s">
        <v>119</v>
      </c>
      <c r="B3699" s="10">
        <v>44197</v>
      </c>
      <c r="C3699" s="11">
        <v>2500</v>
      </c>
      <c r="D3699" s="11">
        <v>137.82</v>
      </c>
      <c r="E3699" s="11">
        <v>2362.1799999999998</v>
      </c>
      <c r="F3699" t="str">
        <f>VLOOKUP(A3699,[1]!Table1[#All],17,FALSE)</f>
        <v>UNITED STATES</v>
      </c>
      <c r="G3699" t="str">
        <f>VLOOKUP(A3699,[1]!Table1[#All],22,FALSE)</f>
        <v>TN ST DEPARTMENT OF HEALTH</v>
      </c>
      <c r="H3699" s="8">
        <f>VLOOKUP(A3699,[1]!Table1[#All],32,FALSE)</f>
        <v>43678</v>
      </c>
      <c r="I3699" s="8">
        <f>VLOOKUP(A3699,[1]!Table1[#All],33,FALSE)</f>
        <v>45504</v>
      </c>
      <c r="J3699" t="str">
        <f t="shared" ca="1" si="61"/>
        <v>UDO</v>
      </c>
    </row>
    <row r="3700" spans="1:10" x14ac:dyDescent="0.35">
      <c r="A3700" s="5" t="s">
        <v>119</v>
      </c>
      <c r="B3700" s="6">
        <v>44228</v>
      </c>
      <c r="C3700" s="7">
        <v>2500</v>
      </c>
      <c r="D3700" s="7">
        <v>272.67</v>
      </c>
      <c r="E3700" s="7">
        <v>2227.33</v>
      </c>
      <c r="F3700" t="str">
        <f>VLOOKUP(A3700,[1]!Table1[#All],17,FALSE)</f>
        <v>UNITED STATES</v>
      </c>
      <c r="G3700" t="str">
        <f>VLOOKUP(A3700,[1]!Table1[#All],22,FALSE)</f>
        <v>TN ST DEPARTMENT OF HEALTH</v>
      </c>
      <c r="H3700" s="8">
        <f>VLOOKUP(A3700,[1]!Table1[#All],32,FALSE)</f>
        <v>43678</v>
      </c>
      <c r="I3700" s="8">
        <f>VLOOKUP(A3700,[1]!Table1[#All],33,FALSE)</f>
        <v>45504</v>
      </c>
      <c r="J3700" t="str">
        <f t="shared" ca="1" si="61"/>
        <v>UDO</v>
      </c>
    </row>
    <row r="3701" spans="1:10" x14ac:dyDescent="0.35">
      <c r="A3701" s="9" t="s">
        <v>119</v>
      </c>
      <c r="B3701" s="10">
        <v>44256</v>
      </c>
      <c r="C3701" s="11">
        <v>2500</v>
      </c>
      <c r="D3701" s="11">
        <v>386.71</v>
      </c>
      <c r="E3701" s="11">
        <v>2113.29</v>
      </c>
      <c r="F3701" t="str">
        <f>VLOOKUP(A3701,[1]!Table1[#All],17,FALSE)</f>
        <v>UNITED STATES</v>
      </c>
      <c r="G3701" t="str">
        <f>VLOOKUP(A3701,[1]!Table1[#All],22,FALSE)</f>
        <v>TN ST DEPARTMENT OF HEALTH</v>
      </c>
      <c r="H3701" s="8">
        <f>VLOOKUP(A3701,[1]!Table1[#All],32,FALSE)</f>
        <v>43678</v>
      </c>
      <c r="I3701" s="8">
        <f>VLOOKUP(A3701,[1]!Table1[#All],33,FALSE)</f>
        <v>45504</v>
      </c>
      <c r="J3701" t="str">
        <f t="shared" ca="1" si="61"/>
        <v>UDO</v>
      </c>
    </row>
    <row r="3702" spans="1:10" x14ac:dyDescent="0.35">
      <c r="A3702" s="5" t="s">
        <v>119</v>
      </c>
      <c r="B3702" s="6">
        <v>44317</v>
      </c>
      <c r="C3702" s="7">
        <v>2500</v>
      </c>
      <c r="D3702" s="7">
        <v>598.25</v>
      </c>
      <c r="E3702" s="7">
        <v>1901.75</v>
      </c>
      <c r="F3702" t="str">
        <f>VLOOKUP(A3702,[1]!Table1[#All],17,FALSE)</f>
        <v>UNITED STATES</v>
      </c>
      <c r="G3702" t="str">
        <f>VLOOKUP(A3702,[1]!Table1[#All],22,FALSE)</f>
        <v>TN ST DEPARTMENT OF HEALTH</v>
      </c>
      <c r="H3702" s="8">
        <f>VLOOKUP(A3702,[1]!Table1[#All],32,FALSE)</f>
        <v>43678</v>
      </c>
      <c r="I3702" s="8">
        <f>VLOOKUP(A3702,[1]!Table1[#All],33,FALSE)</f>
        <v>45504</v>
      </c>
      <c r="J3702" t="str">
        <f t="shared" ca="1" si="61"/>
        <v>UDO</v>
      </c>
    </row>
    <row r="3703" spans="1:10" x14ac:dyDescent="0.35">
      <c r="A3703" s="9" t="s">
        <v>119</v>
      </c>
      <c r="B3703" s="10">
        <v>44348</v>
      </c>
      <c r="C3703" s="11">
        <v>2500</v>
      </c>
      <c r="D3703" s="11">
        <v>781.25</v>
      </c>
      <c r="E3703" s="11">
        <v>1718.75</v>
      </c>
      <c r="F3703" t="str">
        <f>VLOOKUP(A3703,[1]!Table1[#All],17,FALSE)</f>
        <v>UNITED STATES</v>
      </c>
      <c r="G3703" t="str">
        <f>VLOOKUP(A3703,[1]!Table1[#All],22,FALSE)</f>
        <v>TN ST DEPARTMENT OF HEALTH</v>
      </c>
      <c r="H3703" s="8">
        <f>VLOOKUP(A3703,[1]!Table1[#All],32,FALSE)</f>
        <v>43678</v>
      </c>
      <c r="I3703" s="8">
        <f>VLOOKUP(A3703,[1]!Table1[#All],33,FALSE)</f>
        <v>45504</v>
      </c>
      <c r="J3703" t="str">
        <f t="shared" ca="1" si="61"/>
        <v>UDO</v>
      </c>
    </row>
    <row r="3704" spans="1:10" x14ac:dyDescent="0.35">
      <c r="A3704" s="5" t="s">
        <v>119</v>
      </c>
      <c r="B3704" s="6">
        <v>44378</v>
      </c>
      <c r="C3704" s="7">
        <v>2500</v>
      </c>
      <c r="D3704" s="7">
        <v>944.61</v>
      </c>
      <c r="E3704" s="7">
        <v>1555.39</v>
      </c>
      <c r="F3704" t="str">
        <f>VLOOKUP(A3704,[1]!Table1[#All],17,FALSE)</f>
        <v>UNITED STATES</v>
      </c>
      <c r="G3704" t="str">
        <f>VLOOKUP(A3704,[1]!Table1[#All],22,FALSE)</f>
        <v>TN ST DEPARTMENT OF HEALTH</v>
      </c>
      <c r="H3704" s="8">
        <f>VLOOKUP(A3704,[1]!Table1[#All],32,FALSE)</f>
        <v>43678</v>
      </c>
      <c r="I3704" s="8">
        <f>VLOOKUP(A3704,[1]!Table1[#All],33,FALSE)</f>
        <v>45504</v>
      </c>
      <c r="J3704" t="str">
        <f t="shared" ca="1" si="61"/>
        <v>UDO</v>
      </c>
    </row>
    <row r="3705" spans="1:10" x14ac:dyDescent="0.35">
      <c r="A3705" s="9" t="s">
        <v>119</v>
      </c>
      <c r="B3705" s="10">
        <v>44409</v>
      </c>
      <c r="C3705" s="11">
        <v>2500</v>
      </c>
      <c r="D3705" s="11">
        <v>1093.24</v>
      </c>
      <c r="E3705" s="11">
        <v>1406.76</v>
      </c>
      <c r="F3705" t="str">
        <f>VLOOKUP(A3705,[1]!Table1[#All],17,FALSE)</f>
        <v>UNITED STATES</v>
      </c>
      <c r="G3705" t="str">
        <f>VLOOKUP(A3705,[1]!Table1[#All],22,FALSE)</f>
        <v>TN ST DEPARTMENT OF HEALTH</v>
      </c>
      <c r="H3705" s="8">
        <f>VLOOKUP(A3705,[1]!Table1[#All],32,FALSE)</f>
        <v>43678</v>
      </c>
      <c r="I3705" s="8">
        <f>VLOOKUP(A3705,[1]!Table1[#All],33,FALSE)</f>
        <v>45504</v>
      </c>
      <c r="J3705" t="str">
        <f t="shared" ca="1" si="61"/>
        <v>UDO</v>
      </c>
    </row>
    <row r="3706" spans="1:10" x14ac:dyDescent="0.35">
      <c r="A3706" s="5" t="s">
        <v>119</v>
      </c>
      <c r="B3706" s="6">
        <v>44440</v>
      </c>
      <c r="C3706" s="7">
        <v>2500</v>
      </c>
      <c r="D3706" s="7">
        <v>1203.58</v>
      </c>
      <c r="E3706" s="7">
        <v>1296.42</v>
      </c>
      <c r="F3706" t="str">
        <f>VLOOKUP(A3706,[1]!Table1[#All],17,FALSE)</f>
        <v>UNITED STATES</v>
      </c>
      <c r="G3706" t="str">
        <f>VLOOKUP(A3706,[1]!Table1[#All],22,FALSE)</f>
        <v>TN ST DEPARTMENT OF HEALTH</v>
      </c>
      <c r="H3706" s="8">
        <f>VLOOKUP(A3706,[1]!Table1[#All],32,FALSE)</f>
        <v>43678</v>
      </c>
      <c r="I3706" s="8">
        <f>VLOOKUP(A3706,[1]!Table1[#All],33,FALSE)</f>
        <v>45504</v>
      </c>
      <c r="J3706" t="str">
        <f t="shared" ca="1" si="61"/>
        <v>UDO</v>
      </c>
    </row>
    <row r="3707" spans="1:10" x14ac:dyDescent="0.35">
      <c r="A3707" s="9" t="s">
        <v>119</v>
      </c>
      <c r="B3707" s="10">
        <v>44470</v>
      </c>
      <c r="C3707" s="11">
        <v>2500</v>
      </c>
      <c r="D3707" s="11">
        <v>1449.87</v>
      </c>
      <c r="E3707" s="11">
        <v>1050.1300000000001</v>
      </c>
      <c r="F3707" t="str">
        <f>VLOOKUP(A3707,[1]!Table1[#All],17,FALSE)</f>
        <v>UNITED STATES</v>
      </c>
      <c r="G3707" t="str">
        <f>VLOOKUP(A3707,[1]!Table1[#All],22,FALSE)</f>
        <v>TN ST DEPARTMENT OF HEALTH</v>
      </c>
      <c r="H3707" s="8">
        <f>VLOOKUP(A3707,[1]!Table1[#All],32,FALSE)</f>
        <v>43678</v>
      </c>
      <c r="I3707" s="8">
        <f>VLOOKUP(A3707,[1]!Table1[#All],33,FALSE)</f>
        <v>45504</v>
      </c>
      <c r="J3707" t="str">
        <f t="shared" ca="1" si="61"/>
        <v>UDO</v>
      </c>
    </row>
    <row r="3708" spans="1:10" x14ac:dyDescent="0.35">
      <c r="A3708" s="5" t="s">
        <v>119</v>
      </c>
      <c r="B3708" s="6">
        <v>44501</v>
      </c>
      <c r="C3708" s="7">
        <v>2500</v>
      </c>
      <c r="D3708" s="7">
        <v>1868.22</v>
      </c>
      <c r="E3708" s="7">
        <v>631.78</v>
      </c>
      <c r="F3708" t="str">
        <f>VLOOKUP(A3708,[1]!Table1[#All],17,FALSE)</f>
        <v>UNITED STATES</v>
      </c>
      <c r="G3708" t="str">
        <f>VLOOKUP(A3708,[1]!Table1[#All],22,FALSE)</f>
        <v>TN ST DEPARTMENT OF HEALTH</v>
      </c>
      <c r="H3708" s="8">
        <f>VLOOKUP(A3708,[1]!Table1[#All],32,FALSE)</f>
        <v>43678</v>
      </c>
      <c r="I3708" s="8">
        <f>VLOOKUP(A3708,[1]!Table1[#All],33,FALSE)</f>
        <v>45504</v>
      </c>
      <c r="J3708" t="str">
        <f t="shared" ca="1" si="61"/>
        <v>UDO</v>
      </c>
    </row>
    <row r="3709" spans="1:10" x14ac:dyDescent="0.35">
      <c r="A3709" s="9" t="s">
        <v>119</v>
      </c>
      <c r="B3709" s="10">
        <v>44531</v>
      </c>
      <c r="C3709" s="11">
        <v>2500</v>
      </c>
      <c r="D3709" s="11">
        <v>2134.14</v>
      </c>
      <c r="E3709" s="11">
        <v>365.86</v>
      </c>
      <c r="F3709" t="str">
        <f>VLOOKUP(A3709,[1]!Table1[#All],17,FALSE)</f>
        <v>UNITED STATES</v>
      </c>
      <c r="G3709" t="str">
        <f>VLOOKUP(A3709,[1]!Table1[#All],22,FALSE)</f>
        <v>TN ST DEPARTMENT OF HEALTH</v>
      </c>
      <c r="H3709" s="8">
        <f>VLOOKUP(A3709,[1]!Table1[#All],32,FALSE)</f>
        <v>43678</v>
      </c>
      <c r="I3709" s="8">
        <f>VLOOKUP(A3709,[1]!Table1[#All],33,FALSE)</f>
        <v>45504</v>
      </c>
      <c r="J3709" t="str">
        <f t="shared" ca="1" si="61"/>
        <v>UDO</v>
      </c>
    </row>
    <row r="3710" spans="1:10" x14ac:dyDescent="0.35">
      <c r="A3710" s="5" t="s">
        <v>119</v>
      </c>
      <c r="B3710" s="6">
        <v>44562</v>
      </c>
      <c r="C3710" s="7">
        <v>2500</v>
      </c>
      <c r="D3710" s="7">
        <v>2266.04</v>
      </c>
      <c r="E3710" s="7">
        <v>233.96</v>
      </c>
      <c r="F3710" t="str">
        <f>VLOOKUP(A3710,[1]!Table1[#All],17,FALSE)</f>
        <v>UNITED STATES</v>
      </c>
      <c r="G3710" t="str">
        <f>VLOOKUP(A3710,[1]!Table1[#All],22,FALSE)</f>
        <v>TN ST DEPARTMENT OF HEALTH</v>
      </c>
      <c r="H3710" s="8">
        <f>VLOOKUP(A3710,[1]!Table1[#All],32,FALSE)</f>
        <v>43678</v>
      </c>
      <c r="I3710" s="8">
        <f>VLOOKUP(A3710,[1]!Table1[#All],33,FALSE)</f>
        <v>45504</v>
      </c>
      <c r="J3710" t="str">
        <f t="shared" ca="1" si="61"/>
        <v>UDO</v>
      </c>
    </row>
    <row r="3711" spans="1:10" x14ac:dyDescent="0.35">
      <c r="A3711" s="9" t="s">
        <v>119</v>
      </c>
      <c r="B3711" s="10">
        <v>44593</v>
      </c>
      <c r="C3711" s="11">
        <v>2500</v>
      </c>
      <c r="D3711" s="11">
        <v>2382.5</v>
      </c>
      <c r="E3711" s="11">
        <v>117.5</v>
      </c>
      <c r="F3711" t="str">
        <f>VLOOKUP(A3711,[1]!Table1[#All],17,FALSE)</f>
        <v>UNITED STATES</v>
      </c>
      <c r="G3711" t="str">
        <f>VLOOKUP(A3711,[1]!Table1[#All],22,FALSE)</f>
        <v>TN ST DEPARTMENT OF HEALTH</v>
      </c>
      <c r="H3711" s="8">
        <f>VLOOKUP(A3711,[1]!Table1[#All],32,FALSE)</f>
        <v>43678</v>
      </c>
      <c r="I3711" s="8">
        <f>VLOOKUP(A3711,[1]!Table1[#All],33,FALSE)</f>
        <v>45504</v>
      </c>
      <c r="J3711" t="str">
        <f t="shared" ca="1" si="61"/>
        <v>UDO</v>
      </c>
    </row>
    <row r="3712" spans="1:10" x14ac:dyDescent="0.35">
      <c r="A3712" s="5" t="s">
        <v>119</v>
      </c>
      <c r="B3712" s="6">
        <v>44621</v>
      </c>
      <c r="C3712" s="7">
        <v>2500</v>
      </c>
      <c r="D3712" s="7">
        <v>2500</v>
      </c>
      <c r="E3712" s="7">
        <v>0</v>
      </c>
      <c r="F3712" t="str">
        <f>VLOOKUP(A3712,[1]!Table1[#All],17,FALSE)</f>
        <v>UNITED STATES</v>
      </c>
      <c r="G3712" t="str">
        <f>VLOOKUP(A3712,[1]!Table1[#All],22,FALSE)</f>
        <v>TN ST DEPARTMENT OF HEALTH</v>
      </c>
      <c r="H3712" s="8">
        <f>VLOOKUP(A3712,[1]!Table1[#All],32,FALSE)</f>
        <v>43678</v>
      </c>
      <c r="I3712" s="8">
        <f>VLOOKUP(A3712,[1]!Table1[#All],33,FALSE)</f>
        <v>45504</v>
      </c>
      <c r="J3712" t="str">
        <f t="shared" ca="1" si="61"/>
        <v>Non UDO</v>
      </c>
    </row>
    <row r="3713" spans="1:10" x14ac:dyDescent="0.35">
      <c r="A3713" s="9" t="s">
        <v>119</v>
      </c>
      <c r="B3713" s="10">
        <v>44652</v>
      </c>
      <c r="C3713" s="11">
        <v>2500</v>
      </c>
      <c r="D3713" s="11">
        <v>2500</v>
      </c>
      <c r="E3713" s="11">
        <v>0</v>
      </c>
      <c r="F3713" t="str">
        <f>VLOOKUP(A3713,[1]!Table1[#All],17,FALSE)</f>
        <v>UNITED STATES</v>
      </c>
      <c r="G3713" t="str">
        <f>VLOOKUP(A3713,[1]!Table1[#All],22,FALSE)</f>
        <v>TN ST DEPARTMENT OF HEALTH</v>
      </c>
      <c r="H3713" s="8">
        <f>VLOOKUP(A3713,[1]!Table1[#All],32,FALSE)</f>
        <v>43678</v>
      </c>
      <c r="I3713" s="8">
        <f>VLOOKUP(A3713,[1]!Table1[#All],33,FALSE)</f>
        <v>45504</v>
      </c>
      <c r="J3713" t="str">
        <f t="shared" ca="1" si="61"/>
        <v>Non UDO</v>
      </c>
    </row>
    <row r="3714" spans="1:10" x14ac:dyDescent="0.35">
      <c r="A3714" s="5" t="s">
        <v>119</v>
      </c>
      <c r="B3714" s="6">
        <v>44682</v>
      </c>
      <c r="C3714" s="7">
        <v>2500</v>
      </c>
      <c r="D3714" s="7">
        <v>2500</v>
      </c>
      <c r="E3714" s="7">
        <v>0</v>
      </c>
      <c r="F3714" t="str">
        <f>VLOOKUP(A3714,[1]!Table1[#All],17,FALSE)</f>
        <v>UNITED STATES</v>
      </c>
      <c r="G3714" t="str">
        <f>VLOOKUP(A3714,[1]!Table1[#All],22,FALSE)</f>
        <v>TN ST DEPARTMENT OF HEALTH</v>
      </c>
      <c r="H3714" s="8">
        <f>VLOOKUP(A3714,[1]!Table1[#All],32,FALSE)</f>
        <v>43678</v>
      </c>
      <c r="I3714" s="8">
        <f>VLOOKUP(A3714,[1]!Table1[#All],33,FALSE)</f>
        <v>45504</v>
      </c>
      <c r="J3714" t="str">
        <f t="shared" ca="1" si="61"/>
        <v>Non UDO</v>
      </c>
    </row>
    <row r="3715" spans="1:10" x14ac:dyDescent="0.35">
      <c r="A3715" s="9" t="s">
        <v>119</v>
      </c>
      <c r="B3715" s="10">
        <v>44713</v>
      </c>
      <c r="C3715" s="11">
        <v>2500</v>
      </c>
      <c r="D3715" s="11">
        <v>2500</v>
      </c>
      <c r="E3715" s="11">
        <v>0</v>
      </c>
      <c r="F3715" t="str">
        <f>VLOOKUP(A3715,[1]!Table1[#All],17,FALSE)</f>
        <v>UNITED STATES</v>
      </c>
      <c r="G3715" t="str">
        <f>VLOOKUP(A3715,[1]!Table1[#All],22,FALSE)</f>
        <v>TN ST DEPARTMENT OF HEALTH</v>
      </c>
      <c r="H3715" s="8">
        <f>VLOOKUP(A3715,[1]!Table1[#All],32,FALSE)</f>
        <v>43678</v>
      </c>
      <c r="I3715" s="8">
        <f>VLOOKUP(A3715,[1]!Table1[#All],33,FALSE)</f>
        <v>45504</v>
      </c>
      <c r="J3715" t="str">
        <f t="shared" ref="J3715:J3778" ca="1" si="62">IF(AND( E3715&gt;0,TODAY()&gt;I3715),"UDO","Non UDO")</f>
        <v>Non UDO</v>
      </c>
    </row>
    <row r="3716" spans="1:10" x14ac:dyDescent="0.35">
      <c r="A3716" s="5" t="s">
        <v>119</v>
      </c>
      <c r="B3716" s="6">
        <v>44743</v>
      </c>
      <c r="C3716" s="7">
        <v>2500</v>
      </c>
      <c r="D3716" s="7">
        <v>2500</v>
      </c>
      <c r="E3716" s="7">
        <v>0</v>
      </c>
      <c r="F3716" t="str">
        <f>VLOOKUP(A3716,[1]!Table1[#All],17,FALSE)</f>
        <v>UNITED STATES</v>
      </c>
      <c r="G3716" t="str">
        <f>VLOOKUP(A3716,[1]!Table1[#All],22,FALSE)</f>
        <v>TN ST DEPARTMENT OF HEALTH</v>
      </c>
      <c r="H3716" s="8">
        <f>VLOOKUP(A3716,[1]!Table1[#All],32,FALSE)</f>
        <v>43678</v>
      </c>
      <c r="I3716" s="8">
        <f>VLOOKUP(A3716,[1]!Table1[#All],33,FALSE)</f>
        <v>45504</v>
      </c>
      <c r="J3716" t="str">
        <f t="shared" ca="1" si="62"/>
        <v>Non UDO</v>
      </c>
    </row>
    <row r="3717" spans="1:10" x14ac:dyDescent="0.35">
      <c r="A3717" s="9" t="s">
        <v>119</v>
      </c>
      <c r="B3717" s="10">
        <v>44774</v>
      </c>
      <c r="C3717" s="11">
        <v>2500</v>
      </c>
      <c r="D3717" s="11">
        <v>2500</v>
      </c>
      <c r="E3717" s="11">
        <v>0</v>
      </c>
      <c r="F3717" t="str">
        <f>VLOOKUP(A3717,[1]!Table1[#All],17,FALSE)</f>
        <v>UNITED STATES</v>
      </c>
      <c r="G3717" t="str">
        <f>VLOOKUP(A3717,[1]!Table1[#All],22,FALSE)</f>
        <v>TN ST DEPARTMENT OF HEALTH</v>
      </c>
      <c r="H3717" s="8">
        <f>VLOOKUP(A3717,[1]!Table1[#All],32,FALSE)</f>
        <v>43678</v>
      </c>
      <c r="I3717" s="8">
        <f>VLOOKUP(A3717,[1]!Table1[#All],33,FALSE)</f>
        <v>45504</v>
      </c>
      <c r="J3717" t="str">
        <f t="shared" ca="1" si="62"/>
        <v>Non UDO</v>
      </c>
    </row>
    <row r="3718" spans="1:10" x14ac:dyDescent="0.35">
      <c r="A3718" s="5" t="s">
        <v>119</v>
      </c>
      <c r="B3718" s="6">
        <v>44805</v>
      </c>
      <c r="C3718" s="7">
        <v>2500</v>
      </c>
      <c r="D3718" s="7">
        <v>2500</v>
      </c>
      <c r="E3718" s="7">
        <v>0</v>
      </c>
      <c r="F3718" t="str">
        <f>VLOOKUP(A3718,[1]!Table1[#All],17,FALSE)</f>
        <v>UNITED STATES</v>
      </c>
      <c r="G3718" t="str">
        <f>VLOOKUP(A3718,[1]!Table1[#All],22,FALSE)</f>
        <v>TN ST DEPARTMENT OF HEALTH</v>
      </c>
      <c r="H3718" s="8">
        <f>VLOOKUP(A3718,[1]!Table1[#All],32,FALSE)</f>
        <v>43678</v>
      </c>
      <c r="I3718" s="8">
        <f>VLOOKUP(A3718,[1]!Table1[#All],33,FALSE)</f>
        <v>45504</v>
      </c>
      <c r="J3718" t="str">
        <f t="shared" ca="1" si="62"/>
        <v>Non UDO</v>
      </c>
    </row>
    <row r="3719" spans="1:10" x14ac:dyDescent="0.35">
      <c r="A3719" s="9" t="s">
        <v>119</v>
      </c>
      <c r="B3719" s="10">
        <v>44835</v>
      </c>
      <c r="C3719" s="11">
        <v>2500</v>
      </c>
      <c r="D3719" s="11">
        <v>2500</v>
      </c>
      <c r="E3719" s="11">
        <v>0</v>
      </c>
      <c r="F3719" t="str">
        <f>VLOOKUP(A3719,[1]!Table1[#All],17,FALSE)</f>
        <v>UNITED STATES</v>
      </c>
      <c r="G3719" t="str">
        <f>VLOOKUP(A3719,[1]!Table1[#All],22,FALSE)</f>
        <v>TN ST DEPARTMENT OF HEALTH</v>
      </c>
      <c r="H3719" s="8">
        <f>VLOOKUP(A3719,[1]!Table1[#All],32,FALSE)</f>
        <v>43678</v>
      </c>
      <c r="I3719" s="8">
        <f>VLOOKUP(A3719,[1]!Table1[#All],33,FALSE)</f>
        <v>45504</v>
      </c>
      <c r="J3719" t="str">
        <f t="shared" ca="1" si="62"/>
        <v>Non UDO</v>
      </c>
    </row>
    <row r="3720" spans="1:10" x14ac:dyDescent="0.35">
      <c r="A3720" s="5" t="s">
        <v>119</v>
      </c>
      <c r="B3720" s="6">
        <v>44866</v>
      </c>
      <c r="C3720" s="7">
        <v>2500</v>
      </c>
      <c r="D3720" s="7">
        <v>2500</v>
      </c>
      <c r="E3720" s="7">
        <v>0</v>
      </c>
      <c r="F3720" t="str">
        <f>VLOOKUP(A3720,[1]!Table1[#All],17,FALSE)</f>
        <v>UNITED STATES</v>
      </c>
      <c r="G3720" t="str">
        <f>VLOOKUP(A3720,[1]!Table1[#All],22,FALSE)</f>
        <v>TN ST DEPARTMENT OF HEALTH</v>
      </c>
      <c r="H3720" s="8">
        <f>VLOOKUP(A3720,[1]!Table1[#All],32,FALSE)</f>
        <v>43678</v>
      </c>
      <c r="I3720" s="8">
        <f>VLOOKUP(A3720,[1]!Table1[#All],33,FALSE)</f>
        <v>45504</v>
      </c>
      <c r="J3720" t="str">
        <f t="shared" ca="1" si="62"/>
        <v>Non UDO</v>
      </c>
    </row>
    <row r="3721" spans="1:10" x14ac:dyDescent="0.35">
      <c r="A3721" s="9" t="s">
        <v>119</v>
      </c>
      <c r="B3721" s="10">
        <v>44896</v>
      </c>
      <c r="C3721" s="11">
        <v>2500</v>
      </c>
      <c r="D3721" s="11">
        <v>2500</v>
      </c>
      <c r="E3721" s="11">
        <v>0</v>
      </c>
      <c r="F3721" t="str">
        <f>VLOOKUP(A3721,[1]!Table1[#All],17,FALSE)</f>
        <v>UNITED STATES</v>
      </c>
      <c r="G3721" t="str">
        <f>VLOOKUP(A3721,[1]!Table1[#All],22,FALSE)</f>
        <v>TN ST DEPARTMENT OF HEALTH</v>
      </c>
      <c r="H3721" s="8">
        <f>VLOOKUP(A3721,[1]!Table1[#All],32,FALSE)</f>
        <v>43678</v>
      </c>
      <c r="I3721" s="8">
        <f>VLOOKUP(A3721,[1]!Table1[#All],33,FALSE)</f>
        <v>45504</v>
      </c>
      <c r="J3721" t="str">
        <f t="shared" ca="1" si="62"/>
        <v>Non UDO</v>
      </c>
    </row>
    <row r="3722" spans="1:10" x14ac:dyDescent="0.35">
      <c r="A3722" s="5" t="s">
        <v>119</v>
      </c>
      <c r="B3722" s="6">
        <v>44927</v>
      </c>
      <c r="C3722" s="7">
        <v>2500</v>
      </c>
      <c r="D3722" s="7">
        <v>2500</v>
      </c>
      <c r="E3722" s="7">
        <v>0</v>
      </c>
      <c r="F3722" t="str">
        <f>VLOOKUP(A3722,[1]!Table1[#All],17,FALSE)</f>
        <v>UNITED STATES</v>
      </c>
      <c r="G3722" t="str">
        <f>VLOOKUP(A3722,[1]!Table1[#All],22,FALSE)</f>
        <v>TN ST DEPARTMENT OF HEALTH</v>
      </c>
      <c r="H3722" s="8">
        <f>VLOOKUP(A3722,[1]!Table1[#All],32,FALSE)</f>
        <v>43678</v>
      </c>
      <c r="I3722" s="8">
        <f>VLOOKUP(A3722,[1]!Table1[#All],33,FALSE)</f>
        <v>45504</v>
      </c>
      <c r="J3722" t="str">
        <f t="shared" ca="1" si="62"/>
        <v>Non UDO</v>
      </c>
    </row>
    <row r="3723" spans="1:10" x14ac:dyDescent="0.35">
      <c r="A3723" s="9" t="s">
        <v>119</v>
      </c>
      <c r="B3723" s="10">
        <v>44958</v>
      </c>
      <c r="C3723" s="11">
        <v>2500</v>
      </c>
      <c r="D3723" s="11">
        <v>2500</v>
      </c>
      <c r="E3723" s="11">
        <v>0</v>
      </c>
      <c r="F3723" t="str">
        <f>VLOOKUP(A3723,[1]!Table1[#All],17,FALSE)</f>
        <v>UNITED STATES</v>
      </c>
      <c r="G3723" t="str">
        <f>VLOOKUP(A3723,[1]!Table1[#All],22,FALSE)</f>
        <v>TN ST DEPARTMENT OF HEALTH</v>
      </c>
      <c r="H3723" s="8">
        <f>VLOOKUP(A3723,[1]!Table1[#All],32,FALSE)</f>
        <v>43678</v>
      </c>
      <c r="I3723" s="8">
        <f>VLOOKUP(A3723,[1]!Table1[#All],33,FALSE)</f>
        <v>45504</v>
      </c>
      <c r="J3723" t="str">
        <f t="shared" ca="1" si="62"/>
        <v>Non UDO</v>
      </c>
    </row>
    <row r="3724" spans="1:10" x14ac:dyDescent="0.35">
      <c r="A3724" s="5" t="s">
        <v>119</v>
      </c>
      <c r="B3724" s="6">
        <v>44986</v>
      </c>
      <c r="C3724" s="7">
        <v>2500</v>
      </c>
      <c r="D3724" s="7">
        <v>2500</v>
      </c>
      <c r="E3724" s="7">
        <v>0</v>
      </c>
      <c r="F3724" t="str">
        <f>VLOOKUP(A3724,[1]!Table1[#All],17,FALSE)</f>
        <v>UNITED STATES</v>
      </c>
      <c r="G3724" t="str">
        <f>VLOOKUP(A3724,[1]!Table1[#All],22,FALSE)</f>
        <v>TN ST DEPARTMENT OF HEALTH</v>
      </c>
      <c r="H3724" s="8">
        <f>VLOOKUP(A3724,[1]!Table1[#All],32,FALSE)</f>
        <v>43678</v>
      </c>
      <c r="I3724" s="8">
        <f>VLOOKUP(A3724,[1]!Table1[#All],33,FALSE)</f>
        <v>45504</v>
      </c>
      <c r="J3724" t="str">
        <f t="shared" ca="1" si="62"/>
        <v>Non UDO</v>
      </c>
    </row>
    <row r="3725" spans="1:10" x14ac:dyDescent="0.35">
      <c r="A3725" s="9" t="s">
        <v>119</v>
      </c>
      <c r="B3725" s="10">
        <v>45017</v>
      </c>
      <c r="C3725" s="11">
        <v>2500</v>
      </c>
      <c r="D3725" s="11">
        <v>2500</v>
      </c>
      <c r="E3725" s="11">
        <v>0</v>
      </c>
      <c r="F3725" t="str">
        <f>VLOOKUP(A3725,[1]!Table1[#All],17,FALSE)</f>
        <v>UNITED STATES</v>
      </c>
      <c r="G3725" t="str">
        <f>VLOOKUP(A3725,[1]!Table1[#All],22,FALSE)</f>
        <v>TN ST DEPARTMENT OF HEALTH</v>
      </c>
      <c r="H3725" s="8">
        <f>VLOOKUP(A3725,[1]!Table1[#All],32,FALSE)</f>
        <v>43678</v>
      </c>
      <c r="I3725" s="8">
        <f>VLOOKUP(A3725,[1]!Table1[#All],33,FALSE)</f>
        <v>45504</v>
      </c>
      <c r="J3725" t="str">
        <f t="shared" ca="1" si="62"/>
        <v>Non UDO</v>
      </c>
    </row>
    <row r="3726" spans="1:10" x14ac:dyDescent="0.35">
      <c r="A3726" s="5" t="s">
        <v>119</v>
      </c>
      <c r="B3726" s="6">
        <v>45047</v>
      </c>
      <c r="C3726" s="7">
        <v>2500</v>
      </c>
      <c r="D3726" s="7">
        <v>2500</v>
      </c>
      <c r="E3726" s="7">
        <v>0</v>
      </c>
      <c r="F3726" t="str">
        <f>VLOOKUP(A3726,[1]!Table1[#All],17,FALSE)</f>
        <v>UNITED STATES</v>
      </c>
      <c r="G3726" t="str">
        <f>VLOOKUP(A3726,[1]!Table1[#All],22,FALSE)</f>
        <v>TN ST DEPARTMENT OF HEALTH</v>
      </c>
      <c r="H3726" s="8">
        <f>VLOOKUP(A3726,[1]!Table1[#All],32,FALSE)</f>
        <v>43678</v>
      </c>
      <c r="I3726" s="8">
        <f>VLOOKUP(A3726,[1]!Table1[#All],33,FALSE)</f>
        <v>45504</v>
      </c>
      <c r="J3726" t="str">
        <f t="shared" ca="1" si="62"/>
        <v>Non UDO</v>
      </c>
    </row>
    <row r="3727" spans="1:10" x14ac:dyDescent="0.35">
      <c r="A3727" s="9" t="s">
        <v>119</v>
      </c>
      <c r="B3727" s="10">
        <v>45078</v>
      </c>
      <c r="C3727" s="11">
        <v>2500</v>
      </c>
      <c r="D3727" s="11">
        <v>2500</v>
      </c>
      <c r="E3727" s="11">
        <v>0</v>
      </c>
      <c r="F3727" t="str">
        <f>VLOOKUP(A3727,[1]!Table1[#All],17,FALSE)</f>
        <v>UNITED STATES</v>
      </c>
      <c r="G3727" t="str">
        <f>VLOOKUP(A3727,[1]!Table1[#All],22,FALSE)</f>
        <v>TN ST DEPARTMENT OF HEALTH</v>
      </c>
      <c r="H3727" s="8">
        <f>VLOOKUP(A3727,[1]!Table1[#All],32,FALSE)</f>
        <v>43678</v>
      </c>
      <c r="I3727" s="8">
        <f>VLOOKUP(A3727,[1]!Table1[#All],33,FALSE)</f>
        <v>45504</v>
      </c>
      <c r="J3727" t="str">
        <f t="shared" ca="1" si="62"/>
        <v>Non UDO</v>
      </c>
    </row>
    <row r="3728" spans="1:10" x14ac:dyDescent="0.35">
      <c r="A3728" s="5" t="s">
        <v>119</v>
      </c>
      <c r="B3728" s="6">
        <v>45108</v>
      </c>
      <c r="C3728" s="7">
        <v>2500</v>
      </c>
      <c r="D3728" s="7">
        <v>2500</v>
      </c>
      <c r="E3728" s="7">
        <v>0</v>
      </c>
      <c r="F3728" t="str">
        <f>VLOOKUP(A3728,[1]!Table1[#All],17,FALSE)</f>
        <v>UNITED STATES</v>
      </c>
      <c r="G3728" t="str">
        <f>VLOOKUP(A3728,[1]!Table1[#All],22,FALSE)</f>
        <v>TN ST DEPARTMENT OF HEALTH</v>
      </c>
      <c r="H3728" s="8">
        <f>VLOOKUP(A3728,[1]!Table1[#All],32,FALSE)</f>
        <v>43678</v>
      </c>
      <c r="I3728" s="8">
        <f>VLOOKUP(A3728,[1]!Table1[#All],33,FALSE)</f>
        <v>45504</v>
      </c>
      <c r="J3728" t="str">
        <f t="shared" ca="1" si="62"/>
        <v>Non UDO</v>
      </c>
    </row>
    <row r="3729" spans="1:10" x14ac:dyDescent="0.35">
      <c r="A3729" s="9" t="s">
        <v>119</v>
      </c>
      <c r="B3729" s="10">
        <v>45139</v>
      </c>
      <c r="C3729" s="11">
        <v>2500</v>
      </c>
      <c r="D3729" s="11">
        <v>2500</v>
      </c>
      <c r="E3729" s="11">
        <v>0</v>
      </c>
      <c r="F3729" t="str">
        <f>VLOOKUP(A3729,[1]!Table1[#All],17,FALSE)</f>
        <v>UNITED STATES</v>
      </c>
      <c r="G3729" t="str">
        <f>VLOOKUP(A3729,[1]!Table1[#All],22,FALSE)</f>
        <v>TN ST DEPARTMENT OF HEALTH</v>
      </c>
      <c r="H3729" s="8">
        <f>VLOOKUP(A3729,[1]!Table1[#All],32,FALSE)</f>
        <v>43678</v>
      </c>
      <c r="I3729" s="8">
        <f>VLOOKUP(A3729,[1]!Table1[#All],33,FALSE)</f>
        <v>45504</v>
      </c>
      <c r="J3729" t="str">
        <f t="shared" ca="1" si="62"/>
        <v>Non UDO</v>
      </c>
    </row>
    <row r="3730" spans="1:10" x14ac:dyDescent="0.35">
      <c r="A3730" s="5" t="s">
        <v>119</v>
      </c>
      <c r="B3730" s="6">
        <v>45170</v>
      </c>
      <c r="C3730" s="7">
        <v>2500</v>
      </c>
      <c r="D3730" s="7">
        <v>2500</v>
      </c>
      <c r="E3730" s="7">
        <v>0</v>
      </c>
      <c r="F3730" t="str">
        <f>VLOOKUP(A3730,[1]!Table1[#All],17,FALSE)</f>
        <v>UNITED STATES</v>
      </c>
      <c r="G3730" t="str">
        <f>VLOOKUP(A3730,[1]!Table1[#All],22,FALSE)</f>
        <v>TN ST DEPARTMENT OF HEALTH</v>
      </c>
      <c r="H3730" s="8">
        <f>VLOOKUP(A3730,[1]!Table1[#All],32,FALSE)</f>
        <v>43678</v>
      </c>
      <c r="I3730" s="8">
        <f>VLOOKUP(A3730,[1]!Table1[#All],33,FALSE)</f>
        <v>45504</v>
      </c>
      <c r="J3730" t="str">
        <f t="shared" ca="1" si="62"/>
        <v>Non UDO</v>
      </c>
    </row>
    <row r="3731" spans="1:10" x14ac:dyDescent="0.35">
      <c r="A3731" s="9" t="s">
        <v>120</v>
      </c>
      <c r="B3731" s="10">
        <v>44105</v>
      </c>
      <c r="C3731" s="11">
        <v>5920</v>
      </c>
      <c r="D3731" s="11">
        <v>0</v>
      </c>
      <c r="E3731" s="11">
        <v>5920</v>
      </c>
      <c r="F3731" t="str">
        <f>VLOOKUP(A3731,[1]!Table1[#All],17,FALSE)</f>
        <v>UNITED STATES</v>
      </c>
      <c r="G3731" t="str">
        <f>VLOOKUP(A3731,[1]!Table1[#All],22,FALSE)</f>
        <v>Georgia Department of Public Health</v>
      </c>
      <c r="H3731" s="8">
        <f>VLOOKUP(A3731,[1]!Table1[#All],32,FALSE)</f>
        <v>43678</v>
      </c>
      <c r="I3731" s="8">
        <f>VLOOKUP(A3731,[1]!Table1[#All],33,FALSE)</f>
        <v>45504</v>
      </c>
      <c r="J3731" t="str">
        <f t="shared" ca="1" si="62"/>
        <v>UDO</v>
      </c>
    </row>
    <row r="3732" spans="1:10" x14ac:dyDescent="0.35">
      <c r="A3732" s="5" t="s">
        <v>120</v>
      </c>
      <c r="B3732" s="6">
        <v>44136</v>
      </c>
      <c r="C3732" s="7">
        <v>5920</v>
      </c>
      <c r="D3732" s="7">
        <v>0</v>
      </c>
      <c r="E3732" s="7">
        <v>5920</v>
      </c>
      <c r="F3732" t="str">
        <f>VLOOKUP(A3732,[1]!Table1[#All],17,FALSE)</f>
        <v>UNITED STATES</v>
      </c>
      <c r="G3732" t="str">
        <f>VLOOKUP(A3732,[1]!Table1[#All],22,FALSE)</f>
        <v>Georgia Department of Public Health</v>
      </c>
      <c r="H3732" s="8">
        <f>VLOOKUP(A3732,[1]!Table1[#All],32,FALSE)</f>
        <v>43678</v>
      </c>
      <c r="I3732" s="8">
        <f>VLOOKUP(A3732,[1]!Table1[#All],33,FALSE)</f>
        <v>45504</v>
      </c>
      <c r="J3732" t="str">
        <f t="shared" ca="1" si="62"/>
        <v>UDO</v>
      </c>
    </row>
    <row r="3733" spans="1:10" x14ac:dyDescent="0.35">
      <c r="A3733" s="9" t="s">
        <v>120</v>
      </c>
      <c r="B3733" s="10">
        <v>44166</v>
      </c>
      <c r="C3733" s="11">
        <v>5920</v>
      </c>
      <c r="D3733" s="11">
        <v>0</v>
      </c>
      <c r="E3733" s="11">
        <v>5920</v>
      </c>
      <c r="F3733" t="str">
        <f>VLOOKUP(A3733,[1]!Table1[#All],17,FALSE)</f>
        <v>UNITED STATES</v>
      </c>
      <c r="G3733" t="str">
        <f>VLOOKUP(A3733,[1]!Table1[#All],22,FALSE)</f>
        <v>Georgia Department of Public Health</v>
      </c>
      <c r="H3733" s="8">
        <f>VLOOKUP(A3733,[1]!Table1[#All],32,FALSE)</f>
        <v>43678</v>
      </c>
      <c r="I3733" s="8">
        <f>VLOOKUP(A3733,[1]!Table1[#All],33,FALSE)</f>
        <v>45504</v>
      </c>
      <c r="J3733" t="str">
        <f t="shared" ca="1" si="62"/>
        <v>UDO</v>
      </c>
    </row>
    <row r="3734" spans="1:10" x14ac:dyDescent="0.35">
      <c r="A3734" s="5" t="s">
        <v>120</v>
      </c>
      <c r="B3734" s="6">
        <v>44197</v>
      </c>
      <c r="C3734" s="7">
        <v>5920</v>
      </c>
      <c r="D3734" s="7">
        <v>14.4</v>
      </c>
      <c r="E3734" s="7">
        <v>5905.6</v>
      </c>
      <c r="F3734" t="str">
        <f>VLOOKUP(A3734,[1]!Table1[#All],17,FALSE)</f>
        <v>UNITED STATES</v>
      </c>
      <c r="G3734" t="str">
        <f>VLOOKUP(A3734,[1]!Table1[#All],22,FALSE)</f>
        <v>Georgia Department of Public Health</v>
      </c>
      <c r="H3734" s="8">
        <f>VLOOKUP(A3734,[1]!Table1[#All],32,FALSE)</f>
        <v>43678</v>
      </c>
      <c r="I3734" s="8">
        <f>VLOOKUP(A3734,[1]!Table1[#All],33,FALSE)</f>
        <v>45504</v>
      </c>
      <c r="J3734" t="str">
        <f t="shared" ca="1" si="62"/>
        <v>UDO</v>
      </c>
    </row>
    <row r="3735" spans="1:10" x14ac:dyDescent="0.35">
      <c r="A3735" s="9" t="s">
        <v>120</v>
      </c>
      <c r="B3735" s="10">
        <v>44228</v>
      </c>
      <c r="C3735" s="11">
        <v>5920</v>
      </c>
      <c r="D3735" s="11">
        <v>620.07000000000005</v>
      </c>
      <c r="E3735" s="11">
        <v>5299.93</v>
      </c>
      <c r="F3735" t="str">
        <f>VLOOKUP(A3735,[1]!Table1[#All],17,FALSE)</f>
        <v>UNITED STATES</v>
      </c>
      <c r="G3735" t="str">
        <f>VLOOKUP(A3735,[1]!Table1[#All],22,FALSE)</f>
        <v>Georgia Department of Public Health</v>
      </c>
      <c r="H3735" s="8">
        <f>VLOOKUP(A3735,[1]!Table1[#All],32,FALSE)</f>
        <v>43678</v>
      </c>
      <c r="I3735" s="8">
        <f>VLOOKUP(A3735,[1]!Table1[#All],33,FALSE)</f>
        <v>45504</v>
      </c>
      <c r="J3735" t="str">
        <f t="shared" ca="1" si="62"/>
        <v>UDO</v>
      </c>
    </row>
    <row r="3736" spans="1:10" x14ac:dyDescent="0.35">
      <c r="A3736" s="5" t="s">
        <v>120</v>
      </c>
      <c r="B3736" s="6">
        <v>44256</v>
      </c>
      <c r="C3736" s="7">
        <v>5920</v>
      </c>
      <c r="D3736" s="7">
        <v>994.45</v>
      </c>
      <c r="E3736" s="7">
        <v>4925.55</v>
      </c>
      <c r="F3736" t="str">
        <f>VLOOKUP(A3736,[1]!Table1[#All],17,FALSE)</f>
        <v>UNITED STATES</v>
      </c>
      <c r="G3736" t="str">
        <f>VLOOKUP(A3736,[1]!Table1[#All],22,FALSE)</f>
        <v>Georgia Department of Public Health</v>
      </c>
      <c r="H3736" s="8">
        <f>VLOOKUP(A3736,[1]!Table1[#All],32,FALSE)</f>
        <v>43678</v>
      </c>
      <c r="I3736" s="8">
        <f>VLOOKUP(A3736,[1]!Table1[#All],33,FALSE)</f>
        <v>45504</v>
      </c>
      <c r="J3736" t="str">
        <f t="shared" ca="1" si="62"/>
        <v>UDO</v>
      </c>
    </row>
    <row r="3737" spans="1:10" x14ac:dyDescent="0.35">
      <c r="A3737" s="9" t="s">
        <v>120</v>
      </c>
      <c r="B3737" s="10">
        <v>44317</v>
      </c>
      <c r="C3737" s="11">
        <v>5920</v>
      </c>
      <c r="D3737" s="11">
        <v>1776.17</v>
      </c>
      <c r="E3737" s="11">
        <v>4143.83</v>
      </c>
      <c r="F3737" t="str">
        <f>VLOOKUP(A3737,[1]!Table1[#All],17,FALSE)</f>
        <v>UNITED STATES</v>
      </c>
      <c r="G3737" t="str">
        <f>VLOOKUP(A3737,[1]!Table1[#All],22,FALSE)</f>
        <v>Georgia Department of Public Health</v>
      </c>
      <c r="H3737" s="8">
        <f>VLOOKUP(A3737,[1]!Table1[#All],32,FALSE)</f>
        <v>43678</v>
      </c>
      <c r="I3737" s="8">
        <f>VLOOKUP(A3737,[1]!Table1[#All],33,FALSE)</f>
        <v>45504</v>
      </c>
      <c r="J3737" t="str">
        <f t="shared" ca="1" si="62"/>
        <v>UDO</v>
      </c>
    </row>
    <row r="3738" spans="1:10" x14ac:dyDescent="0.35">
      <c r="A3738" s="5" t="s">
        <v>120</v>
      </c>
      <c r="B3738" s="6">
        <v>44348</v>
      </c>
      <c r="C3738" s="7">
        <v>5920</v>
      </c>
      <c r="D3738" s="7">
        <v>2188.9299999999998</v>
      </c>
      <c r="E3738" s="7">
        <v>3731.07</v>
      </c>
      <c r="F3738" t="str">
        <f>VLOOKUP(A3738,[1]!Table1[#All],17,FALSE)</f>
        <v>UNITED STATES</v>
      </c>
      <c r="G3738" t="str">
        <f>VLOOKUP(A3738,[1]!Table1[#All],22,FALSE)</f>
        <v>Georgia Department of Public Health</v>
      </c>
      <c r="H3738" s="8">
        <f>VLOOKUP(A3738,[1]!Table1[#All],32,FALSE)</f>
        <v>43678</v>
      </c>
      <c r="I3738" s="8">
        <f>VLOOKUP(A3738,[1]!Table1[#All],33,FALSE)</f>
        <v>45504</v>
      </c>
      <c r="J3738" t="str">
        <f t="shared" ca="1" si="62"/>
        <v>UDO</v>
      </c>
    </row>
    <row r="3739" spans="1:10" x14ac:dyDescent="0.35">
      <c r="A3739" s="9" t="s">
        <v>120</v>
      </c>
      <c r="B3739" s="10">
        <v>44378</v>
      </c>
      <c r="C3739" s="11">
        <v>5920</v>
      </c>
      <c r="D3739" s="11">
        <v>2523.34</v>
      </c>
      <c r="E3739" s="11">
        <v>3396.66</v>
      </c>
      <c r="F3739" t="str">
        <f>VLOOKUP(A3739,[1]!Table1[#All],17,FALSE)</f>
        <v>UNITED STATES</v>
      </c>
      <c r="G3739" t="str">
        <f>VLOOKUP(A3739,[1]!Table1[#All],22,FALSE)</f>
        <v>Georgia Department of Public Health</v>
      </c>
      <c r="H3739" s="8">
        <f>VLOOKUP(A3739,[1]!Table1[#All],32,FALSE)</f>
        <v>43678</v>
      </c>
      <c r="I3739" s="8">
        <f>VLOOKUP(A3739,[1]!Table1[#All],33,FALSE)</f>
        <v>45504</v>
      </c>
      <c r="J3739" t="str">
        <f t="shared" ca="1" si="62"/>
        <v>UDO</v>
      </c>
    </row>
    <row r="3740" spans="1:10" x14ac:dyDescent="0.35">
      <c r="A3740" s="5" t="s">
        <v>120</v>
      </c>
      <c r="B3740" s="6">
        <v>44409</v>
      </c>
      <c r="C3740" s="7">
        <v>5920</v>
      </c>
      <c r="D3740" s="7">
        <v>2873.26</v>
      </c>
      <c r="E3740" s="7">
        <v>3046.74</v>
      </c>
      <c r="F3740" t="str">
        <f>VLOOKUP(A3740,[1]!Table1[#All],17,FALSE)</f>
        <v>UNITED STATES</v>
      </c>
      <c r="G3740" t="str">
        <f>VLOOKUP(A3740,[1]!Table1[#All],22,FALSE)</f>
        <v>Georgia Department of Public Health</v>
      </c>
      <c r="H3740" s="8">
        <f>VLOOKUP(A3740,[1]!Table1[#All],32,FALSE)</f>
        <v>43678</v>
      </c>
      <c r="I3740" s="8">
        <f>VLOOKUP(A3740,[1]!Table1[#All],33,FALSE)</f>
        <v>45504</v>
      </c>
      <c r="J3740" t="str">
        <f t="shared" ca="1" si="62"/>
        <v>UDO</v>
      </c>
    </row>
    <row r="3741" spans="1:10" x14ac:dyDescent="0.35">
      <c r="A3741" s="9" t="s">
        <v>120</v>
      </c>
      <c r="B3741" s="10">
        <v>44440</v>
      </c>
      <c r="C3741" s="11">
        <v>5920</v>
      </c>
      <c r="D3741" s="11">
        <v>3207.02</v>
      </c>
      <c r="E3741" s="11">
        <v>2712.98</v>
      </c>
      <c r="F3741" t="str">
        <f>VLOOKUP(A3741,[1]!Table1[#All],17,FALSE)</f>
        <v>UNITED STATES</v>
      </c>
      <c r="G3741" t="str">
        <f>VLOOKUP(A3741,[1]!Table1[#All],22,FALSE)</f>
        <v>Georgia Department of Public Health</v>
      </c>
      <c r="H3741" s="8">
        <f>VLOOKUP(A3741,[1]!Table1[#All],32,FALSE)</f>
        <v>43678</v>
      </c>
      <c r="I3741" s="8">
        <f>VLOOKUP(A3741,[1]!Table1[#All],33,FALSE)</f>
        <v>45504</v>
      </c>
      <c r="J3741" t="str">
        <f t="shared" ca="1" si="62"/>
        <v>UDO</v>
      </c>
    </row>
    <row r="3742" spans="1:10" x14ac:dyDescent="0.35">
      <c r="A3742" s="5" t="s">
        <v>120</v>
      </c>
      <c r="B3742" s="6">
        <v>44470</v>
      </c>
      <c r="C3742" s="7">
        <v>5920</v>
      </c>
      <c r="D3742" s="7">
        <v>3549.76</v>
      </c>
      <c r="E3742" s="7">
        <v>2370.2399999999998</v>
      </c>
      <c r="F3742" t="str">
        <f>VLOOKUP(A3742,[1]!Table1[#All],17,FALSE)</f>
        <v>UNITED STATES</v>
      </c>
      <c r="G3742" t="str">
        <f>VLOOKUP(A3742,[1]!Table1[#All],22,FALSE)</f>
        <v>Georgia Department of Public Health</v>
      </c>
      <c r="H3742" s="8">
        <f>VLOOKUP(A3742,[1]!Table1[#All],32,FALSE)</f>
        <v>43678</v>
      </c>
      <c r="I3742" s="8">
        <f>VLOOKUP(A3742,[1]!Table1[#All],33,FALSE)</f>
        <v>45504</v>
      </c>
      <c r="J3742" t="str">
        <f t="shared" ca="1" si="62"/>
        <v>UDO</v>
      </c>
    </row>
    <row r="3743" spans="1:10" x14ac:dyDescent="0.35">
      <c r="A3743" s="9" t="s">
        <v>120</v>
      </c>
      <c r="B3743" s="10">
        <v>44501</v>
      </c>
      <c r="C3743" s="11">
        <v>5920</v>
      </c>
      <c r="D3743" s="11">
        <v>3865.38</v>
      </c>
      <c r="E3743" s="11">
        <v>2054.62</v>
      </c>
      <c r="F3743" t="str">
        <f>VLOOKUP(A3743,[1]!Table1[#All],17,FALSE)</f>
        <v>UNITED STATES</v>
      </c>
      <c r="G3743" t="str">
        <f>VLOOKUP(A3743,[1]!Table1[#All],22,FALSE)</f>
        <v>Georgia Department of Public Health</v>
      </c>
      <c r="H3743" s="8">
        <f>VLOOKUP(A3743,[1]!Table1[#All],32,FALSE)</f>
        <v>43678</v>
      </c>
      <c r="I3743" s="8">
        <f>VLOOKUP(A3743,[1]!Table1[#All],33,FALSE)</f>
        <v>45504</v>
      </c>
      <c r="J3743" t="str">
        <f t="shared" ca="1" si="62"/>
        <v>UDO</v>
      </c>
    </row>
    <row r="3744" spans="1:10" x14ac:dyDescent="0.35">
      <c r="A3744" s="5" t="s">
        <v>120</v>
      </c>
      <c r="B3744" s="6">
        <v>44531</v>
      </c>
      <c r="C3744" s="7">
        <v>5920</v>
      </c>
      <c r="D3744" s="7">
        <v>4157.01</v>
      </c>
      <c r="E3744" s="7">
        <v>1762.99</v>
      </c>
      <c r="F3744" t="str">
        <f>VLOOKUP(A3744,[1]!Table1[#All],17,FALSE)</f>
        <v>UNITED STATES</v>
      </c>
      <c r="G3744" t="str">
        <f>VLOOKUP(A3744,[1]!Table1[#All],22,FALSE)</f>
        <v>Georgia Department of Public Health</v>
      </c>
      <c r="H3744" s="8">
        <f>VLOOKUP(A3744,[1]!Table1[#All],32,FALSE)</f>
        <v>43678</v>
      </c>
      <c r="I3744" s="8">
        <f>VLOOKUP(A3744,[1]!Table1[#All],33,FALSE)</f>
        <v>45504</v>
      </c>
      <c r="J3744" t="str">
        <f t="shared" ca="1" si="62"/>
        <v>UDO</v>
      </c>
    </row>
    <row r="3745" spans="1:10" x14ac:dyDescent="0.35">
      <c r="A3745" s="9" t="s">
        <v>120</v>
      </c>
      <c r="B3745" s="10">
        <v>44562</v>
      </c>
      <c r="C3745" s="11">
        <v>5920</v>
      </c>
      <c r="D3745" s="11">
        <v>4415.8100000000004</v>
      </c>
      <c r="E3745" s="11">
        <v>1504.19</v>
      </c>
      <c r="F3745" t="str">
        <f>VLOOKUP(A3745,[1]!Table1[#All],17,FALSE)</f>
        <v>UNITED STATES</v>
      </c>
      <c r="G3745" t="str">
        <f>VLOOKUP(A3745,[1]!Table1[#All],22,FALSE)</f>
        <v>Georgia Department of Public Health</v>
      </c>
      <c r="H3745" s="8">
        <f>VLOOKUP(A3745,[1]!Table1[#All],32,FALSE)</f>
        <v>43678</v>
      </c>
      <c r="I3745" s="8">
        <f>VLOOKUP(A3745,[1]!Table1[#All],33,FALSE)</f>
        <v>45504</v>
      </c>
      <c r="J3745" t="str">
        <f t="shared" ca="1" si="62"/>
        <v>UDO</v>
      </c>
    </row>
    <row r="3746" spans="1:10" x14ac:dyDescent="0.35">
      <c r="A3746" s="5" t="s">
        <v>120</v>
      </c>
      <c r="B3746" s="6">
        <v>44593</v>
      </c>
      <c r="C3746" s="7">
        <v>5920</v>
      </c>
      <c r="D3746" s="7">
        <v>4699.49</v>
      </c>
      <c r="E3746" s="7">
        <v>1220.51</v>
      </c>
      <c r="F3746" t="str">
        <f>VLOOKUP(A3746,[1]!Table1[#All],17,FALSE)</f>
        <v>UNITED STATES</v>
      </c>
      <c r="G3746" t="str">
        <f>VLOOKUP(A3746,[1]!Table1[#All],22,FALSE)</f>
        <v>Georgia Department of Public Health</v>
      </c>
      <c r="H3746" s="8">
        <f>VLOOKUP(A3746,[1]!Table1[#All],32,FALSE)</f>
        <v>43678</v>
      </c>
      <c r="I3746" s="8">
        <f>VLOOKUP(A3746,[1]!Table1[#All],33,FALSE)</f>
        <v>45504</v>
      </c>
      <c r="J3746" t="str">
        <f t="shared" ca="1" si="62"/>
        <v>UDO</v>
      </c>
    </row>
    <row r="3747" spans="1:10" x14ac:dyDescent="0.35">
      <c r="A3747" s="9" t="s">
        <v>120</v>
      </c>
      <c r="B3747" s="10">
        <v>44621</v>
      </c>
      <c r="C3747" s="11">
        <v>5920</v>
      </c>
      <c r="D3747" s="11">
        <v>5233.5600000000004</v>
      </c>
      <c r="E3747" s="11">
        <v>686.44</v>
      </c>
      <c r="F3747" t="str">
        <f>VLOOKUP(A3747,[1]!Table1[#All],17,FALSE)</f>
        <v>UNITED STATES</v>
      </c>
      <c r="G3747" t="str">
        <f>VLOOKUP(A3747,[1]!Table1[#All],22,FALSE)</f>
        <v>Georgia Department of Public Health</v>
      </c>
      <c r="H3747" s="8">
        <f>VLOOKUP(A3747,[1]!Table1[#All],32,FALSE)</f>
        <v>43678</v>
      </c>
      <c r="I3747" s="8">
        <f>VLOOKUP(A3747,[1]!Table1[#All],33,FALSE)</f>
        <v>45504</v>
      </c>
      <c r="J3747" t="str">
        <f t="shared" ca="1" si="62"/>
        <v>UDO</v>
      </c>
    </row>
    <row r="3748" spans="1:10" x14ac:dyDescent="0.35">
      <c r="A3748" s="5" t="s">
        <v>120</v>
      </c>
      <c r="B3748" s="6">
        <v>44652</v>
      </c>
      <c r="C3748" s="7">
        <v>5920</v>
      </c>
      <c r="D3748" s="7">
        <v>5572.03</v>
      </c>
      <c r="E3748" s="7">
        <v>347.97</v>
      </c>
      <c r="F3748" t="str">
        <f>VLOOKUP(A3748,[1]!Table1[#All],17,FALSE)</f>
        <v>UNITED STATES</v>
      </c>
      <c r="G3748" t="str">
        <f>VLOOKUP(A3748,[1]!Table1[#All],22,FALSE)</f>
        <v>Georgia Department of Public Health</v>
      </c>
      <c r="H3748" s="8">
        <f>VLOOKUP(A3748,[1]!Table1[#All],32,FALSE)</f>
        <v>43678</v>
      </c>
      <c r="I3748" s="8">
        <f>VLOOKUP(A3748,[1]!Table1[#All],33,FALSE)</f>
        <v>45504</v>
      </c>
      <c r="J3748" t="str">
        <f t="shared" ca="1" si="62"/>
        <v>UDO</v>
      </c>
    </row>
    <row r="3749" spans="1:10" x14ac:dyDescent="0.35">
      <c r="A3749" s="9" t="s">
        <v>120</v>
      </c>
      <c r="B3749" s="10">
        <v>44682</v>
      </c>
      <c r="C3749" s="11">
        <v>5920</v>
      </c>
      <c r="D3749" s="11">
        <v>5920</v>
      </c>
      <c r="E3749" s="11">
        <v>0</v>
      </c>
      <c r="F3749" t="str">
        <f>VLOOKUP(A3749,[1]!Table1[#All],17,FALSE)</f>
        <v>UNITED STATES</v>
      </c>
      <c r="G3749" t="str">
        <f>VLOOKUP(A3749,[1]!Table1[#All],22,FALSE)</f>
        <v>Georgia Department of Public Health</v>
      </c>
      <c r="H3749" s="8">
        <f>VLOOKUP(A3749,[1]!Table1[#All],32,FALSE)</f>
        <v>43678</v>
      </c>
      <c r="I3749" s="8">
        <f>VLOOKUP(A3749,[1]!Table1[#All],33,FALSE)</f>
        <v>45504</v>
      </c>
      <c r="J3749" t="str">
        <f t="shared" ca="1" si="62"/>
        <v>Non UDO</v>
      </c>
    </row>
    <row r="3750" spans="1:10" x14ac:dyDescent="0.35">
      <c r="A3750" s="5" t="s">
        <v>120</v>
      </c>
      <c r="B3750" s="6">
        <v>44713</v>
      </c>
      <c r="C3750" s="7">
        <v>5920</v>
      </c>
      <c r="D3750" s="7">
        <v>5920</v>
      </c>
      <c r="E3750" s="7">
        <v>0</v>
      </c>
      <c r="F3750" t="str">
        <f>VLOOKUP(A3750,[1]!Table1[#All],17,FALSE)</f>
        <v>UNITED STATES</v>
      </c>
      <c r="G3750" t="str">
        <f>VLOOKUP(A3750,[1]!Table1[#All],22,FALSE)</f>
        <v>Georgia Department of Public Health</v>
      </c>
      <c r="H3750" s="8">
        <f>VLOOKUP(A3750,[1]!Table1[#All],32,FALSE)</f>
        <v>43678</v>
      </c>
      <c r="I3750" s="8">
        <f>VLOOKUP(A3750,[1]!Table1[#All],33,FALSE)</f>
        <v>45504</v>
      </c>
      <c r="J3750" t="str">
        <f t="shared" ca="1" si="62"/>
        <v>Non UDO</v>
      </c>
    </row>
    <row r="3751" spans="1:10" x14ac:dyDescent="0.35">
      <c r="A3751" s="9" t="s">
        <v>120</v>
      </c>
      <c r="B3751" s="10">
        <v>44743</v>
      </c>
      <c r="C3751" s="11">
        <v>5920</v>
      </c>
      <c r="D3751" s="11">
        <v>5920</v>
      </c>
      <c r="E3751" s="11">
        <v>0</v>
      </c>
      <c r="F3751" t="str">
        <f>VLOOKUP(A3751,[1]!Table1[#All],17,FALSE)</f>
        <v>UNITED STATES</v>
      </c>
      <c r="G3751" t="str">
        <f>VLOOKUP(A3751,[1]!Table1[#All],22,FALSE)</f>
        <v>Georgia Department of Public Health</v>
      </c>
      <c r="H3751" s="8">
        <f>VLOOKUP(A3751,[1]!Table1[#All],32,FALSE)</f>
        <v>43678</v>
      </c>
      <c r="I3751" s="8">
        <f>VLOOKUP(A3751,[1]!Table1[#All],33,FALSE)</f>
        <v>45504</v>
      </c>
      <c r="J3751" t="str">
        <f t="shared" ca="1" si="62"/>
        <v>Non UDO</v>
      </c>
    </row>
    <row r="3752" spans="1:10" x14ac:dyDescent="0.35">
      <c r="A3752" s="5" t="s">
        <v>120</v>
      </c>
      <c r="B3752" s="6">
        <v>44774</v>
      </c>
      <c r="C3752" s="7">
        <v>5920</v>
      </c>
      <c r="D3752" s="7">
        <v>5920</v>
      </c>
      <c r="E3752" s="7">
        <v>0</v>
      </c>
      <c r="F3752" t="str">
        <f>VLOOKUP(A3752,[1]!Table1[#All],17,FALSE)</f>
        <v>UNITED STATES</v>
      </c>
      <c r="G3752" t="str">
        <f>VLOOKUP(A3752,[1]!Table1[#All],22,FALSE)</f>
        <v>Georgia Department of Public Health</v>
      </c>
      <c r="H3752" s="8">
        <f>VLOOKUP(A3752,[1]!Table1[#All],32,FALSE)</f>
        <v>43678</v>
      </c>
      <c r="I3752" s="8">
        <f>VLOOKUP(A3752,[1]!Table1[#All],33,FALSE)</f>
        <v>45504</v>
      </c>
      <c r="J3752" t="str">
        <f t="shared" ca="1" si="62"/>
        <v>Non UDO</v>
      </c>
    </row>
    <row r="3753" spans="1:10" x14ac:dyDescent="0.35">
      <c r="A3753" s="9" t="s">
        <v>120</v>
      </c>
      <c r="B3753" s="10">
        <v>44805</v>
      </c>
      <c r="C3753" s="11">
        <v>5920</v>
      </c>
      <c r="D3753" s="11">
        <v>5920</v>
      </c>
      <c r="E3753" s="11">
        <v>0</v>
      </c>
      <c r="F3753" t="str">
        <f>VLOOKUP(A3753,[1]!Table1[#All],17,FALSE)</f>
        <v>UNITED STATES</v>
      </c>
      <c r="G3753" t="str">
        <f>VLOOKUP(A3753,[1]!Table1[#All],22,FALSE)</f>
        <v>Georgia Department of Public Health</v>
      </c>
      <c r="H3753" s="8">
        <f>VLOOKUP(A3753,[1]!Table1[#All],32,FALSE)</f>
        <v>43678</v>
      </c>
      <c r="I3753" s="8">
        <f>VLOOKUP(A3753,[1]!Table1[#All],33,FALSE)</f>
        <v>45504</v>
      </c>
      <c r="J3753" t="str">
        <f t="shared" ca="1" si="62"/>
        <v>Non UDO</v>
      </c>
    </row>
    <row r="3754" spans="1:10" x14ac:dyDescent="0.35">
      <c r="A3754" s="5" t="s">
        <v>120</v>
      </c>
      <c r="B3754" s="6">
        <v>44835</v>
      </c>
      <c r="C3754" s="7">
        <v>5920</v>
      </c>
      <c r="D3754" s="7">
        <v>5920</v>
      </c>
      <c r="E3754" s="7">
        <v>0</v>
      </c>
      <c r="F3754" t="str">
        <f>VLOOKUP(A3754,[1]!Table1[#All],17,FALSE)</f>
        <v>UNITED STATES</v>
      </c>
      <c r="G3754" t="str">
        <f>VLOOKUP(A3754,[1]!Table1[#All],22,FALSE)</f>
        <v>Georgia Department of Public Health</v>
      </c>
      <c r="H3754" s="8">
        <f>VLOOKUP(A3754,[1]!Table1[#All],32,FALSE)</f>
        <v>43678</v>
      </c>
      <c r="I3754" s="8">
        <f>VLOOKUP(A3754,[1]!Table1[#All],33,FALSE)</f>
        <v>45504</v>
      </c>
      <c r="J3754" t="str">
        <f t="shared" ca="1" si="62"/>
        <v>Non UDO</v>
      </c>
    </row>
    <row r="3755" spans="1:10" x14ac:dyDescent="0.35">
      <c r="A3755" s="9" t="s">
        <v>120</v>
      </c>
      <c r="B3755" s="10">
        <v>44866</v>
      </c>
      <c r="C3755" s="11">
        <v>5920</v>
      </c>
      <c r="D3755" s="11">
        <v>5920</v>
      </c>
      <c r="E3755" s="11">
        <v>0</v>
      </c>
      <c r="F3755" t="str">
        <f>VLOOKUP(A3755,[1]!Table1[#All],17,FALSE)</f>
        <v>UNITED STATES</v>
      </c>
      <c r="G3755" t="str">
        <f>VLOOKUP(A3755,[1]!Table1[#All],22,FALSE)</f>
        <v>Georgia Department of Public Health</v>
      </c>
      <c r="H3755" s="8">
        <f>VLOOKUP(A3755,[1]!Table1[#All],32,FALSE)</f>
        <v>43678</v>
      </c>
      <c r="I3755" s="8">
        <f>VLOOKUP(A3755,[1]!Table1[#All],33,FALSE)</f>
        <v>45504</v>
      </c>
      <c r="J3755" t="str">
        <f t="shared" ca="1" si="62"/>
        <v>Non UDO</v>
      </c>
    </row>
    <row r="3756" spans="1:10" x14ac:dyDescent="0.35">
      <c r="A3756" s="5" t="s">
        <v>120</v>
      </c>
      <c r="B3756" s="6">
        <v>44896</v>
      </c>
      <c r="C3756" s="7">
        <v>5920</v>
      </c>
      <c r="D3756" s="7">
        <v>5920</v>
      </c>
      <c r="E3756" s="7">
        <v>0</v>
      </c>
      <c r="F3756" t="str">
        <f>VLOOKUP(A3756,[1]!Table1[#All],17,FALSE)</f>
        <v>UNITED STATES</v>
      </c>
      <c r="G3756" t="str">
        <f>VLOOKUP(A3756,[1]!Table1[#All],22,FALSE)</f>
        <v>Georgia Department of Public Health</v>
      </c>
      <c r="H3756" s="8">
        <f>VLOOKUP(A3756,[1]!Table1[#All],32,FALSE)</f>
        <v>43678</v>
      </c>
      <c r="I3756" s="8">
        <f>VLOOKUP(A3756,[1]!Table1[#All],33,FALSE)</f>
        <v>45504</v>
      </c>
      <c r="J3756" t="str">
        <f t="shared" ca="1" si="62"/>
        <v>Non UDO</v>
      </c>
    </row>
    <row r="3757" spans="1:10" x14ac:dyDescent="0.35">
      <c r="A3757" s="9" t="s">
        <v>120</v>
      </c>
      <c r="B3757" s="10">
        <v>44927</v>
      </c>
      <c r="C3757" s="11">
        <v>5920</v>
      </c>
      <c r="D3757" s="11">
        <v>5920</v>
      </c>
      <c r="E3757" s="11">
        <v>0</v>
      </c>
      <c r="F3757" t="str">
        <f>VLOOKUP(A3757,[1]!Table1[#All],17,FALSE)</f>
        <v>UNITED STATES</v>
      </c>
      <c r="G3757" t="str">
        <f>VLOOKUP(A3757,[1]!Table1[#All],22,FALSE)</f>
        <v>Georgia Department of Public Health</v>
      </c>
      <c r="H3757" s="8">
        <f>VLOOKUP(A3757,[1]!Table1[#All],32,FALSE)</f>
        <v>43678</v>
      </c>
      <c r="I3757" s="8">
        <f>VLOOKUP(A3757,[1]!Table1[#All],33,FALSE)</f>
        <v>45504</v>
      </c>
      <c r="J3757" t="str">
        <f t="shared" ca="1" si="62"/>
        <v>Non UDO</v>
      </c>
    </row>
    <row r="3758" spans="1:10" x14ac:dyDescent="0.35">
      <c r="A3758" s="5" t="s">
        <v>120</v>
      </c>
      <c r="B3758" s="6">
        <v>44958</v>
      </c>
      <c r="C3758" s="7">
        <v>5920</v>
      </c>
      <c r="D3758" s="7">
        <v>5920</v>
      </c>
      <c r="E3758" s="7">
        <v>0</v>
      </c>
      <c r="F3758" t="str">
        <f>VLOOKUP(A3758,[1]!Table1[#All],17,FALSE)</f>
        <v>UNITED STATES</v>
      </c>
      <c r="G3758" t="str">
        <f>VLOOKUP(A3758,[1]!Table1[#All],22,FALSE)</f>
        <v>Georgia Department of Public Health</v>
      </c>
      <c r="H3758" s="8">
        <f>VLOOKUP(A3758,[1]!Table1[#All],32,FALSE)</f>
        <v>43678</v>
      </c>
      <c r="I3758" s="8">
        <f>VLOOKUP(A3758,[1]!Table1[#All],33,FALSE)</f>
        <v>45504</v>
      </c>
      <c r="J3758" t="str">
        <f t="shared" ca="1" si="62"/>
        <v>Non UDO</v>
      </c>
    </row>
    <row r="3759" spans="1:10" x14ac:dyDescent="0.35">
      <c r="A3759" s="9" t="s">
        <v>120</v>
      </c>
      <c r="B3759" s="10">
        <v>44986</v>
      </c>
      <c r="C3759" s="11">
        <v>5920</v>
      </c>
      <c r="D3759" s="11">
        <v>5920</v>
      </c>
      <c r="E3759" s="11">
        <v>0</v>
      </c>
      <c r="F3759" t="str">
        <f>VLOOKUP(A3759,[1]!Table1[#All],17,FALSE)</f>
        <v>UNITED STATES</v>
      </c>
      <c r="G3759" t="str">
        <f>VLOOKUP(A3759,[1]!Table1[#All],22,FALSE)</f>
        <v>Georgia Department of Public Health</v>
      </c>
      <c r="H3759" s="8">
        <f>VLOOKUP(A3759,[1]!Table1[#All],32,FALSE)</f>
        <v>43678</v>
      </c>
      <c r="I3759" s="8">
        <f>VLOOKUP(A3759,[1]!Table1[#All],33,FALSE)</f>
        <v>45504</v>
      </c>
      <c r="J3759" t="str">
        <f t="shared" ca="1" si="62"/>
        <v>Non UDO</v>
      </c>
    </row>
    <row r="3760" spans="1:10" x14ac:dyDescent="0.35">
      <c r="A3760" s="5" t="s">
        <v>120</v>
      </c>
      <c r="B3760" s="6">
        <v>45017</v>
      </c>
      <c r="C3760" s="7">
        <v>5920</v>
      </c>
      <c r="D3760" s="7">
        <v>5920</v>
      </c>
      <c r="E3760" s="7">
        <v>0</v>
      </c>
      <c r="F3760" t="str">
        <f>VLOOKUP(A3760,[1]!Table1[#All],17,FALSE)</f>
        <v>UNITED STATES</v>
      </c>
      <c r="G3760" t="str">
        <f>VLOOKUP(A3760,[1]!Table1[#All],22,FALSE)</f>
        <v>Georgia Department of Public Health</v>
      </c>
      <c r="H3760" s="8">
        <f>VLOOKUP(A3760,[1]!Table1[#All],32,FALSE)</f>
        <v>43678</v>
      </c>
      <c r="I3760" s="8">
        <f>VLOOKUP(A3760,[1]!Table1[#All],33,FALSE)</f>
        <v>45504</v>
      </c>
      <c r="J3760" t="str">
        <f t="shared" ca="1" si="62"/>
        <v>Non UDO</v>
      </c>
    </row>
    <row r="3761" spans="1:10" x14ac:dyDescent="0.35">
      <c r="A3761" s="9" t="s">
        <v>120</v>
      </c>
      <c r="B3761" s="10">
        <v>45047</v>
      </c>
      <c r="C3761" s="11">
        <v>5920</v>
      </c>
      <c r="D3761" s="11">
        <v>5920</v>
      </c>
      <c r="E3761" s="11">
        <v>0</v>
      </c>
      <c r="F3761" t="str">
        <f>VLOOKUP(A3761,[1]!Table1[#All],17,FALSE)</f>
        <v>UNITED STATES</v>
      </c>
      <c r="G3761" t="str">
        <f>VLOOKUP(A3761,[1]!Table1[#All],22,FALSE)</f>
        <v>Georgia Department of Public Health</v>
      </c>
      <c r="H3761" s="8">
        <f>VLOOKUP(A3761,[1]!Table1[#All],32,FALSE)</f>
        <v>43678</v>
      </c>
      <c r="I3761" s="8">
        <f>VLOOKUP(A3761,[1]!Table1[#All],33,FALSE)</f>
        <v>45504</v>
      </c>
      <c r="J3761" t="str">
        <f t="shared" ca="1" si="62"/>
        <v>Non UDO</v>
      </c>
    </row>
    <row r="3762" spans="1:10" x14ac:dyDescent="0.35">
      <c r="A3762" s="5" t="s">
        <v>120</v>
      </c>
      <c r="B3762" s="6">
        <v>45078</v>
      </c>
      <c r="C3762" s="7">
        <v>5920</v>
      </c>
      <c r="D3762" s="7">
        <v>5920</v>
      </c>
      <c r="E3762" s="7">
        <v>0</v>
      </c>
      <c r="F3762" t="str">
        <f>VLOOKUP(A3762,[1]!Table1[#All],17,FALSE)</f>
        <v>UNITED STATES</v>
      </c>
      <c r="G3762" t="str">
        <f>VLOOKUP(A3762,[1]!Table1[#All],22,FALSE)</f>
        <v>Georgia Department of Public Health</v>
      </c>
      <c r="H3762" s="8">
        <f>VLOOKUP(A3762,[1]!Table1[#All],32,FALSE)</f>
        <v>43678</v>
      </c>
      <c r="I3762" s="8">
        <f>VLOOKUP(A3762,[1]!Table1[#All],33,FALSE)</f>
        <v>45504</v>
      </c>
      <c r="J3762" t="str">
        <f t="shared" ca="1" si="62"/>
        <v>Non UDO</v>
      </c>
    </row>
    <row r="3763" spans="1:10" x14ac:dyDescent="0.35">
      <c r="A3763" s="9" t="s">
        <v>120</v>
      </c>
      <c r="B3763" s="10">
        <v>45108</v>
      </c>
      <c r="C3763" s="11">
        <v>5920</v>
      </c>
      <c r="D3763" s="11">
        <v>5920</v>
      </c>
      <c r="E3763" s="11">
        <v>0</v>
      </c>
      <c r="F3763" t="str">
        <f>VLOOKUP(A3763,[1]!Table1[#All],17,FALSE)</f>
        <v>UNITED STATES</v>
      </c>
      <c r="G3763" t="str">
        <f>VLOOKUP(A3763,[1]!Table1[#All],22,FALSE)</f>
        <v>Georgia Department of Public Health</v>
      </c>
      <c r="H3763" s="8">
        <f>VLOOKUP(A3763,[1]!Table1[#All],32,FALSE)</f>
        <v>43678</v>
      </c>
      <c r="I3763" s="8">
        <f>VLOOKUP(A3763,[1]!Table1[#All],33,FALSE)</f>
        <v>45504</v>
      </c>
      <c r="J3763" t="str">
        <f t="shared" ca="1" si="62"/>
        <v>Non UDO</v>
      </c>
    </row>
    <row r="3764" spans="1:10" x14ac:dyDescent="0.35">
      <c r="A3764" s="5" t="s">
        <v>120</v>
      </c>
      <c r="B3764" s="6">
        <v>45139</v>
      </c>
      <c r="C3764" s="7">
        <v>5920</v>
      </c>
      <c r="D3764" s="7">
        <v>5920</v>
      </c>
      <c r="E3764" s="7">
        <v>0</v>
      </c>
      <c r="F3764" t="str">
        <f>VLOOKUP(A3764,[1]!Table1[#All],17,FALSE)</f>
        <v>UNITED STATES</v>
      </c>
      <c r="G3764" t="str">
        <f>VLOOKUP(A3764,[1]!Table1[#All],22,FALSE)</f>
        <v>Georgia Department of Public Health</v>
      </c>
      <c r="H3764" s="8">
        <f>VLOOKUP(A3764,[1]!Table1[#All],32,FALSE)</f>
        <v>43678</v>
      </c>
      <c r="I3764" s="8">
        <f>VLOOKUP(A3764,[1]!Table1[#All],33,FALSE)</f>
        <v>45504</v>
      </c>
      <c r="J3764" t="str">
        <f t="shared" ca="1" si="62"/>
        <v>Non UDO</v>
      </c>
    </row>
    <row r="3765" spans="1:10" x14ac:dyDescent="0.35">
      <c r="A3765" s="9" t="s">
        <v>120</v>
      </c>
      <c r="B3765" s="10">
        <v>45170</v>
      </c>
      <c r="C3765" s="11">
        <v>5920</v>
      </c>
      <c r="D3765" s="11">
        <v>5920</v>
      </c>
      <c r="E3765" s="11">
        <v>0</v>
      </c>
      <c r="F3765" t="str">
        <f>VLOOKUP(A3765,[1]!Table1[#All],17,FALSE)</f>
        <v>UNITED STATES</v>
      </c>
      <c r="G3765" t="str">
        <f>VLOOKUP(A3765,[1]!Table1[#All],22,FALSE)</f>
        <v>Georgia Department of Public Health</v>
      </c>
      <c r="H3765" s="8">
        <f>VLOOKUP(A3765,[1]!Table1[#All],32,FALSE)</f>
        <v>43678</v>
      </c>
      <c r="I3765" s="8">
        <f>VLOOKUP(A3765,[1]!Table1[#All],33,FALSE)</f>
        <v>45504</v>
      </c>
      <c r="J3765" t="str">
        <f t="shared" ca="1" si="62"/>
        <v>Non UDO</v>
      </c>
    </row>
    <row r="3766" spans="1:10" x14ac:dyDescent="0.35">
      <c r="A3766" s="5" t="s">
        <v>121</v>
      </c>
      <c r="B3766" s="6">
        <v>44105</v>
      </c>
      <c r="C3766" s="7">
        <v>4000</v>
      </c>
      <c r="D3766" s="7">
        <v>1298.21</v>
      </c>
      <c r="E3766" s="7">
        <v>2701.79</v>
      </c>
      <c r="F3766" t="str">
        <f>VLOOKUP(A3766,[1]!Table1[#All],17,FALSE)</f>
        <v>UNITED STATES</v>
      </c>
      <c r="G3766" t="str">
        <f>VLOOKUP(A3766,[1]!Table1[#All],22,FALSE)</f>
        <v>Health &amp; Human Services, North Carolina Department</v>
      </c>
      <c r="H3766" s="8">
        <f>VLOOKUP(A3766,[1]!Table1[#All],32,FALSE)</f>
        <v>43678</v>
      </c>
      <c r="I3766" s="8">
        <f>VLOOKUP(A3766,[1]!Table1[#All],33,FALSE)</f>
        <v>45504</v>
      </c>
      <c r="J3766" t="str">
        <f t="shared" ca="1" si="62"/>
        <v>UDO</v>
      </c>
    </row>
    <row r="3767" spans="1:10" x14ac:dyDescent="0.35">
      <c r="A3767" s="9" t="s">
        <v>121</v>
      </c>
      <c r="B3767" s="10">
        <v>44136</v>
      </c>
      <c r="C3767" s="11">
        <v>4000</v>
      </c>
      <c r="D3767" s="11">
        <v>2130.9899999999998</v>
      </c>
      <c r="E3767" s="11">
        <v>1869.01</v>
      </c>
      <c r="F3767" t="str">
        <f>VLOOKUP(A3767,[1]!Table1[#All],17,FALSE)</f>
        <v>UNITED STATES</v>
      </c>
      <c r="G3767" t="str">
        <f>VLOOKUP(A3767,[1]!Table1[#All],22,FALSE)</f>
        <v>Health &amp; Human Services, North Carolina Department</v>
      </c>
      <c r="H3767" s="8">
        <f>VLOOKUP(A3767,[1]!Table1[#All],32,FALSE)</f>
        <v>43678</v>
      </c>
      <c r="I3767" s="8">
        <f>VLOOKUP(A3767,[1]!Table1[#All],33,FALSE)</f>
        <v>45504</v>
      </c>
      <c r="J3767" t="str">
        <f t="shared" ca="1" si="62"/>
        <v>UDO</v>
      </c>
    </row>
    <row r="3768" spans="1:10" x14ac:dyDescent="0.35">
      <c r="A3768" s="5" t="s">
        <v>121</v>
      </c>
      <c r="B3768" s="6">
        <v>44166</v>
      </c>
      <c r="C3768" s="7">
        <v>4000</v>
      </c>
      <c r="D3768" s="7">
        <v>2550.06</v>
      </c>
      <c r="E3768" s="7">
        <v>1449.94</v>
      </c>
      <c r="F3768" t="str">
        <f>VLOOKUP(A3768,[1]!Table1[#All],17,FALSE)</f>
        <v>UNITED STATES</v>
      </c>
      <c r="G3768" t="str">
        <f>VLOOKUP(A3768,[1]!Table1[#All],22,FALSE)</f>
        <v>Health &amp; Human Services, North Carolina Department</v>
      </c>
      <c r="H3768" s="8">
        <f>VLOOKUP(A3768,[1]!Table1[#All],32,FALSE)</f>
        <v>43678</v>
      </c>
      <c r="I3768" s="8">
        <f>VLOOKUP(A3768,[1]!Table1[#All],33,FALSE)</f>
        <v>45504</v>
      </c>
      <c r="J3768" t="str">
        <f t="shared" ca="1" si="62"/>
        <v>UDO</v>
      </c>
    </row>
    <row r="3769" spans="1:10" x14ac:dyDescent="0.35">
      <c r="A3769" s="9" t="s">
        <v>121</v>
      </c>
      <c r="B3769" s="10">
        <v>44197</v>
      </c>
      <c r="C3769" s="11">
        <v>4000</v>
      </c>
      <c r="D3769" s="11">
        <v>2939.38</v>
      </c>
      <c r="E3769" s="11">
        <v>1060.6199999999999</v>
      </c>
      <c r="F3769" t="str">
        <f>VLOOKUP(A3769,[1]!Table1[#All],17,FALSE)</f>
        <v>UNITED STATES</v>
      </c>
      <c r="G3769" t="str">
        <f>VLOOKUP(A3769,[1]!Table1[#All],22,FALSE)</f>
        <v>Health &amp; Human Services, North Carolina Department</v>
      </c>
      <c r="H3769" s="8">
        <f>VLOOKUP(A3769,[1]!Table1[#All],32,FALSE)</f>
        <v>43678</v>
      </c>
      <c r="I3769" s="8">
        <f>VLOOKUP(A3769,[1]!Table1[#All],33,FALSE)</f>
        <v>45504</v>
      </c>
      <c r="J3769" t="str">
        <f t="shared" ca="1" si="62"/>
        <v>UDO</v>
      </c>
    </row>
    <row r="3770" spans="1:10" x14ac:dyDescent="0.35">
      <c r="A3770" s="5" t="s">
        <v>121</v>
      </c>
      <c r="B3770" s="6">
        <v>44228</v>
      </c>
      <c r="C3770" s="7">
        <v>4000</v>
      </c>
      <c r="D3770" s="7">
        <v>3056.66</v>
      </c>
      <c r="E3770" s="7">
        <v>943.34</v>
      </c>
      <c r="F3770" t="str">
        <f>VLOOKUP(A3770,[1]!Table1[#All],17,FALSE)</f>
        <v>UNITED STATES</v>
      </c>
      <c r="G3770" t="str">
        <f>VLOOKUP(A3770,[1]!Table1[#All],22,FALSE)</f>
        <v>Health &amp; Human Services, North Carolina Department</v>
      </c>
      <c r="H3770" s="8">
        <f>VLOOKUP(A3770,[1]!Table1[#All],32,FALSE)</f>
        <v>43678</v>
      </c>
      <c r="I3770" s="8">
        <f>VLOOKUP(A3770,[1]!Table1[#All],33,FALSE)</f>
        <v>45504</v>
      </c>
      <c r="J3770" t="str">
        <f t="shared" ca="1" si="62"/>
        <v>UDO</v>
      </c>
    </row>
    <row r="3771" spans="1:10" x14ac:dyDescent="0.35">
      <c r="A3771" s="9" t="s">
        <v>121</v>
      </c>
      <c r="B3771" s="10">
        <v>44256</v>
      </c>
      <c r="C3771" s="11">
        <v>4000</v>
      </c>
      <c r="D3771" s="11">
        <v>3296.04</v>
      </c>
      <c r="E3771" s="11">
        <v>703.96</v>
      </c>
      <c r="F3771" t="str">
        <f>VLOOKUP(A3771,[1]!Table1[#All],17,FALSE)</f>
        <v>UNITED STATES</v>
      </c>
      <c r="G3771" t="str">
        <f>VLOOKUP(A3771,[1]!Table1[#All],22,FALSE)</f>
        <v>Health &amp; Human Services, North Carolina Department</v>
      </c>
      <c r="H3771" s="8">
        <f>VLOOKUP(A3771,[1]!Table1[#All],32,FALSE)</f>
        <v>43678</v>
      </c>
      <c r="I3771" s="8">
        <f>VLOOKUP(A3771,[1]!Table1[#All],33,FALSE)</f>
        <v>45504</v>
      </c>
      <c r="J3771" t="str">
        <f t="shared" ca="1" si="62"/>
        <v>UDO</v>
      </c>
    </row>
    <row r="3772" spans="1:10" x14ac:dyDescent="0.35">
      <c r="A3772" s="5" t="s">
        <v>121</v>
      </c>
      <c r="B3772" s="6">
        <v>44317</v>
      </c>
      <c r="C3772" s="7">
        <v>4000</v>
      </c>
      <c r="D3772" s="7">
        <v>3785.1</v>
      </c>
      <c r="E3772" s="7">
        <v>214.9</v>
      </c>
      <c r="F3772" t="str">
        <f>VLOOKUP(A3772,[1]!Table1[#All],17,FALSE)</f>
        <v>UNITED STATES</v>
      </c>
      <c r="G3772" t="str">
        <f>VLOOKUP(A3772,[1]!Table1[#All],22,FALSE)</f>
        <v>Health &amp; Human Services, North Carolina Department</v>
      </c>
      <c r="H3772" s="8">
        <f>VLOOKUP(A3772,[1]!Table1[#All],32,FALSE)</f>
        <v>43678</v>
      </c>
      <c r="I3772" s="8">
        <f>VLOOKUP(A3772,[1]!Table1[#All],33,FALSE)</f>
        <v>45504</v>
      </c>
      <c r="J3772" t="str">
        <f t="shared" ca="1" si="62"/>
        <v>UDO</v>
      </c>
    </row>
    <row r="3773" spans="1:10" x14ac:dyDescent="0.35">
      <c r="A3773" s="9" t="s">
        <v>121</v>
      </c>
      <c r="B3773" s="10">
        <v>44348</v>
      </c>
      <c r="C3773" s="11">
        <v>4000</v>
      </c>
      <c r="D3773" s="11">
        <v>4000</v>
      </c>
      <c r="E3773" s="11">
        <v>0</v>
      </c>
      <c r="F3773" t="str">
        <f>VLOOKUP(A3773,[1]!Table1[#All],17,FALSE)</f>
        <v>UNITED STATES</v>
      </c>
      <c r="G3773" t="str">
        <f>VLOOKUP(A3773,[1]!Table1[#All],22,FALSE)</f>
        <v>Health &amp; Human Services, North Carolina Department</v>
      </c>
      <c r="H3773" s="8">
        <f>VLOOKUP(A3773,[1]!Table1[#All],32,FALSE)</f>
        <v>43678</v>
      </c>
      <c r="I3773" s="8">
        <f>VLOOKUP(A3773,[1]!Table1[#All],33,FALSE)</f>
        <v>45504</v>
      </c>
      <c r="J3773" t="str">
        <f t="shared" ca="1" si="62"/>
        <v>Non UDO</v>
      </c>
    </row>
    <row r="3774" spans="1:10" x14ac:dyDescent="0.35">
      <c r="A3774" s="5" t="s">
        <v>121</v>
      </c>
      <c r="B3774" s="6">
        <v>44378</v>
      </c>
      <c r="C3774" s="7">
        <v>4000</v>
      </c>
      <c r="D3774" s="7">
        <v>1806.58</v>
      </c>
      <c r="E3774" s="7">
        <v>2193.42</v>
      </c>
      <c r="F3774" t="str">
        <f>VLOOKUP(A3774,[1]!Table1[#All],17,FALSE)</f>
        <v>UNITED STATES</v>
      </c>
      <c r="G3774" t="str">
        <f>VLOOKUP(A3774,[1]!Table1[#All],22,FALSE)</f>
        <v>Health &amp; Human Services, North Carolina Department</v>
      </c>
      <c r="H3774" s="8">
        <f>VLOOKUP(A3774,[1]!Table1[#All],32,FALSE)</f>
        <v>43678</v>
      </c>
      <c r="I3774" s="8">
        <f>VLOOKUP(A3774,[1]!Table1[#All],33,FALSE)</f>
        <v>45504</v>
      </c>
      <c r="J3774" t="str">
        <f t="shared" ca="1" si="62"/>
        <v>UDO</v>
      </c>
    </row>
    <row r="3775" spans="1:10" x14ac:dyDescent="0.35">
      <c r="A3775" s="9" t="s">
        <v>121</v>
      </c>
      <c r="B3775" s="10">
        <v>44409</v>
      </c>
      <c r="C3775" s="11">
        <v>4000</v>
      </c>
      <c r="D3775" s="11">
        <v>2160.13</v>
      </c>
      <c r="E3775" s="11">
        <v>1839.87</v>
      </c>
      <c r="F3775" t="str">
        <f>VLOOKUP(A3775,[1]!Table1[#All],17,FALSE)</f>
        <v>UNITED STATES</v>
      </c>
      <c r="G3775" t="str">
        <f>VLOOKUP(A3775,[1]!Table1[#All],22,FALSE)</f>
        <v>Health &amp; Human Services, North Carolina Department</v>
      </c>
      <c r="H3775" s="8">
        <f>VLOOKUP(A3775,[1]!Table1[#All],32,FALSE)</f>
        <v>43678</v>
      </c>
      <c r="I3775" s="8">
        <f>VLOOKUP(A3775,[1]!Table1[#All],33,FALSE)</f>
        <v>45504</v>
      </c>
      <c r="J3775" t="str">
        <f t="shared" ca="1" si="62"/>
        <v>UDO</v>
      </c>
    </row>
    <row r="3776" spans="1:10" x14ac:dyDescent="0.35">
      <c r="A3776" s="5" t="s">
        <v>121</v>
      </c>
      <c r="B3776" s="6">
        <v>44440</v>
      </c>
      <c r="C3776" s="7">
        <v>4000</v>
      </c>
      <c r="D3776" s="7">
        <v>2212.2199999999998</v>
      </c>
      <c r="E3776" s="7">
        <v>1787.78</v>
      </c>
      <c r="F3776" t="str">
        <f>VLOOKUP(A3776,[1]!Table1[#All],17,FALSE)</f>
        <v>UNITED STATES</v>
      </c>
      <c r="G3776" t="str">
        <f>VLOOKUP(A3776,[1]!Table1[#All],22,FALSE)</f>
        <v>Health &amp; Human Services, North Carolina Department</v>
      </c>
      <c r="H3776" s="8">
        <f>VLOOKUP(A3776,[1]!Table1[#All],32,FALSE)</f>
        <v>43678</v>
      </c>
      <c r="I3776" s="8">
        <f>VLOOKUP(A3776,[1]!Table1[#All],33,FALSE)</f>
        <v>45504</v>
      </c>
      <c r="J3776" t="str">
        <f t="shared" ca="1" si="62"/>
        <v>UDO</v>
      </c>
    </row>
    <row r="3777" spans="1:10" x14ac:dyDescent="0.35">
      <c r="A3777" s="9" t="s">
        <v>121</v>
      </c>
      <c r="B3777" s="10">
        <v>44470</v>
      </c>
      <c r="C3777" s="11">
        <v>4000</v>
      </c>
      <c r="D3777" s="11">
        <v>2490.09</v>
      </c>
      <c r="E3777" s="11">
        <v>1509.91</v>
      </c>
      <c r="F3777" t="str">
        <f>VLOOKUP(A3777,[1]!Table1[#All],17,FALSE)</f>
        <v>UNITED STATES</v>
      </c>
      <c r="G3777" t="str">
        <f>VLOOKUP(A3777,[1]!Table1[#All],22,FALSE)</f>
        <v>Health &amp; Human Services, North Carolina Department</v>
      </c>
      <c r="H3777" s="8">
        <f>VLOOKUP(A3777,[1]!Table1[#All],32,FALSE)</f>
        <v>43678</v>
      </c>
      <c r="I3777" s="8">
        <f>VLOOKUP(A3777,[1]!Table1[#All],33,FALSE)</f>
        <v>45504</v>
      </c>
      <c r="J3777" t="str">
        <f t="shared" ca="1" si="62"/>
        <v>UDO</v>
      </c>
    </row>
    <row r="3778" spans="1:10" x14ac:dyDescent="0.35">
      <c r="A3778" s="5" t="s">
        <v>121</v>
      </c>
      <c r="B3778" s="6">
        <v>44501</v>
      </c>
      <c r="C3778" s="7">
        <v>4000</v>
      </c>
      <c r="D3778" s="7">
        <v>2670.83</v>
      </c>
      <c r="E3778" s="7">
        <v>1329.17</v>
      </c>
      <c r="F3778" t="str">
        <f>VLOOKUP(A3778,[1]!Table1[#All],17,FALSE)</f>
        <v>UNITED STATES</v>
      </c>
      <c r="G3778" t="str">
        <f>VLOOKUP(A3778,[1]!Table1[#All],22,FALSE)</f>
        <v>Health &amp; Human Services, North Carolina Department</v>
      </c>
      <c r="H3778" s="8">
        <f>VLOOKUP(A3778,[1]!Table1[#All],32,FALSE)</f>
        <v>43678</v>
      </c>
      <c r="I3778" s="8">
        <f>VLOOKUP(A3778,[1]!Table1[#All],33,FALSE)</f>
        <v>45504</v>
      </c>
      <c r="J3778" t="str">
        <f t="shared" ca="1" si="62"/>
        <v>UDO</v>
      </c>
    </row>
    <row r="3779" spans="1:10" x14ac:dyDescent="0.35">
      <c r="A3779" s="9" t="s">
        <v>121</v>
      </c>
      <c r="B3779" s="10">
        <v>44531</v>
      </c>
      <c r="C3779" s="11">
        <v>4000</v>
      </c>
      <c r="D3779" s="11">
        <v>2997.91</v>
      </c>
      <c r="E3779" s="11">
        <v>1002.09</v>
      </c>
      <c r="F3779" t="str">
        <f>VLOOKUP(A3779,[1]!Table1[#All],17,FALSE)</f>
        <v>UNITED STATES</v>
      </c>
      <c r="G3779" t="str">
        <f>VLOOKUP(A3779,[1]!Table1[#All],22,FALSE)</f>
        <v>Health &amp; Human Services, North Carolina Department</v>
      </c>
      <c r="H3779" s="8">
        <f>VLOOKUP(A3779,[1]!Table1[#All],32,FALSE)</f>
        <v>43678</v>
      </c>
      <c r="I3779" s="8">
        <f>VLOOKUP(A3779,[1]!Table1[#All],33,FALSE)</f>
        <v>45504</v>
      </c>
      <c r="J3779" t="str">
        <f t="shared" ref="J3779:J3842" ca="1" si="63">IF(AND( E3779&gt;0,TODAY()&gt;I3779),"UDO","Non UDO")</f>
        <v>UDO</v>
      </c>
    </row>
    <row r="3780" spans="1:10" x14ac:dyDescent="0.35">
      <c r="A3780" s="5" t="s">
        <v>121</v>
      </c>
      <c r="B3780" s="6">
        <v>44562</v>
      </c>
      <c r="C3780" s="7">
        <v>4000</v>
      </c>
      <c r="D3780" s="7">
        <v>3167.89</v>
      </c>
      <c r="E3780" s="7">
        <v>832.11</v>
      </c>
      <c r="F3780" t="str">
        <f>VLOOKUP(A3780,[1]!Table1[#All],17,FALSE)</f>
        <v>UNITED STATES</v>
      </c>
      <c r="G3780" t="str">
        <f>VLOOKUP(A3780,[1]!Table1[#All],22,FALSE)</f>
        <v>Health &amp; Human Services, North Carolina Department</v>
      </c>
      <c r="H3780" s="8">
        <f>VLOOKUP(A3780,[1]!Table1[#All],32,FALSE)</f>
        <v>43678</v>
      </c>
      <c r="I3780" s="8">
        <f>VLOOKUP(A3780,[1]!Table1[#All],33,FALSE)</f>
        <v>45504</v>
      </c>
      <c r="J3780" t="str">
        <f t="shared" ca="1" si="63"/>
        <v>UDO</v>
      </c>
    </row>
    <row r="3781" spans="1:10" x14ac:dyDescent="0.35">
      <c r="A3781" s="9" t="s">
        <v>121</v>
      </c>
      <c r="B3781" s="10">
        <v>44593</v>
      </c>
      <c r="C3781" s="11">
        <v>4000</v>
      </c>
      <c r="D3781" s="11">
        <v>3318.08</v>
      </c>
      <c r="E3781" s="11">
        <v>681.92</v>
      </c>
      <c r="F3781" t="str">
        <f>VLOOKUP(A3781,[1]!Table1[#All],17,FALSE)</f>
        <v>UNITED STATES</v>
      </c>
      <c r="G3781" t="str">
        <f>VLOOKUP(A3781,[1]!Table1[#All],22,FALSE)</f>
        <v>Health &amp; Human Services, North Carolina Department</v>
      </c>
      <c r="H3781" s="8">
        <f>VLOOKUP(A3781,[1]!Table1[#All],32,FALSE)</f>
        <v>43678</v>
      </c>
      <c r="I3781" s="8">
        <f>VLOOKUP(A3781,[1]!Table1[#All],33,FALSE)</f>
        <v>45504</v>
      </c>
      <c r="J3781" t="str">
        <f t="shared" ca="1" si="63"/>
        <v>UDO</v>
      </c>
    </row>
    <row r="3782" spans="1:10" x14ac:dyDescent="0.35">
      <c r="A3782" s="5" t="s">
        <v>121</v>
      </c>
      <c r="B3782" s="6">
        <v>44621</v>
      </c>
      <c r="C3782" s="7">
        <v>4000</v>
      </c>
      <c r="D3782" s="7">
        <v>3445.09</v>
      </c>
      <c r="E3782" s="7">
        <v>554.91</v>
      </c>
      <c r="F3782" t="str">
        <f>VLOOKUP(A3782,[1]!Table1[#All],17,FALSE)</f>
        <v>UNITED STATES</v>
      </c>
      <c r="G3782" t="str">
        <f>VLOOKUP(A3782,[1]!Table1[#All],22,FALSE)</f>
        <v>Health &amp; Human Services, North Carolina Department</v>
      </c>
      <c r="H3782" s="8">
        <f>VLOOKUP(A3782,[1]!Table1[#All],32,FALSE)</f>
        <v>43678</v>
      </c>
      <c r="I3782" s="8">
        <f>VLOOKUP(A3782,[1]!Table1[#All],33,FALSE)</f>
        <v>45504</v>
      </c>
      <c r="J3782" t="str">
        <f t="shared" ca="1" si="63"/>
        <v>UDO</v>
      </c>
    </row>
    <row r="3783" spans="1:10" x14ac:dyDescent="0.35">
      <c r="A3783" s="9" t="s">
        <v>121</v>
      </c>
      <c r="B3783" s="10">
        <v>44652</v>
      </c>
      <c r="C3783" s="11">
        <v>4000</v>
      </c>
      <c r="D3783" s="11">
        <v>3734.14</v>
      </c>
      <c r="E3783" s="11">
        <v>265.86</v>
      </c>
      <c r="F3783" t="str">
        <f>VLOOKUP(A3783,[1]!Table1[#All],17,FALSE)</f>
        <v>UNITED STATES</v>
      </c>
      <c r="G3783" t="str">
        <f>VLOOKUP(A3783,[1]!Table1[#All],22,FALSE)</f>
        <v>Health &amp; Human Services, North Carolina Department</v>
      </c>
      <c r="H3783" s="8">
        <f>VLOOKUP(A3783,[1]!Table1[#All],32,FALSE)</f>
        <v>43678</v>
      </c>
      <c r="I3783" s="8">
        <f>VLOOKUP(A3783,[1]!Table1[#All],33,FALSE)</f>
        <v>45504</v>
      </c>
      <c r="J3783" t="str">
        <f t="shared" ca="1" si="63"/>
        <v>UDO</v>
      </c>
    </row>
    <row r="3784" spans="1:10" x14ac:dyDescent="0.35">
      <c r="A3784" s="5" t="s">
        <v>121</v>
      </c>
      <c r="B3784" s="6">
        <v>44682</v>
      </c>
      <c r="C3784" s="7">
        <v>4000</v>
      </c>
      <c r="D3784" s="7">
        <v>3938.34</v>
      </c>
      <c r="E3784" s="7">
        <v>61.66</v>
      </c>
      <c r="F3784" t="str">
        <f>VLOOKUP(A3784,[1]!Table1[#All],17,FALSE)</f>
        <v>UNITED STATES</v>
      </c>
      <c r="G3784" t="str">
        <f>VLOOKUP(A3784,[1]!Table1[#All],22,FALSE)</f>
        <v>Health &amp; Human Services, North Carolina Department</v>
      </c>
      <c r="H3784" s="8">
        <f>VLOOKUP(A3784,[1]!Table1[#All],32,FALSE)</f>
        <v>43678</v>
      </c>
      <c r="I3784" s="8">
        <f>VLOOKUP(A3784,[1]!Table1[#All],33,FALSE)</f>
        <v>45504</v>
      </c>
      <c r="J3784" t="str">
        <f t="shared" ca="1" si="63"/>
        <v>UDO</v>
      </c>
    </row>
    <row r="3785" spans="1:10" x14ac:dyDescent="0.35">
      <c r="A3785" s="9" t="s">
        <v>121</v>
      </c>
      <c r="B3785" s="10">
        <v>44713</v>
      </c>
      <c r="C3785" s="11">
        <v>4000</v>
      </c>
      <c r="D3785" s="11">
        <v>4000</v>
      </c>
      <c r="E3785" s="11">
        <v>0</v>
      </c>
      <c r="F3785" t="str">
        <f>VLOOKUP(A3785,[1]!Table1[#All],17,FALSE)</f>
        <v>UNITED STATES</v>
      </c>
      <c r="G3785" t="str">
        <f>VLOOKUP(A3785,[1]!Table1[#All],22,FALSE)</f>
        <v>Health &amp; Human Services, North Carolina Department</v>
      </c>
      <c r="H3785" s="8">
        <f>VLOOKUP(A3785,[1]!Table1[#All],32,FALSE)</f>
        <v>43678</v>
      </c>
      <c r="I3785" s="8">
        <f>VLOOKUP(A3785,[1]!Table1[#All],33,FALSE)</f>
        <v>45504</v>
      </c>
      <c r="J3785" t="str">
        <f t="shared" ca="1" si="63"/>
        <v>Non UDO</v>
      </c>
    </row>
    <row r="3786" spans="1:10" x14ac:dyDescent="0.35">
      <c r="A3786" s="5" t="s">
        <v>121</v>
      </c>
      <c r="B3786" s="6">
        <v>44743</v>
      </c>
      <c r="C3786" s="7">
        <v>4000</v>
      </c>
      <c r="D3786" s="7">
        <v>3599.49</v>
      </c>
      <c r="E3786" s="7">
        <v>400.51</v>
      </c>
      <c r="F3786" t="str">
        <f>VLOOKUP(A3786,[1]!Table1[#All],17,FALSE)</f>
        <v>UNITED STATES</v>
      </c>
      <c r="G3786" t="str">
        <f>VLOOKUP(A3786,[1]!Table1[#All],22,FALSE)</f>
        <v>Health &amp; Human Services, North Carolina Department</v>
      </c>
      <c r="H3786" s="8">
        <f>VLOOKUP(A3786,[1]!Table1[#All],32,FALSE)</f>
        <v>43678</v>
      </c>
      <c r="I3786" s="8">
        <f>VLOOKUP(A3786,[1]!Table1[#All],33,FALSE)</f>
        <v>45504</v>
      </c>
      <c r="J3786" t="str">
        <f t="shared" ca="1" si="63"/>
        <v>UDO</v>
      </c>
    </row>
    <row r="3787" spans="1:10" x14ac:dyDescent="0.35">
      <c r="A3787" s="9" t="s">
        <v>121</v>
      </c>
      <c r="B3787" s="10">
        <v>44774</v>
      </c>
      <c r="C3787" s="11">
        <v>4000</v>
      </c>
      <c r="D3787" s="11">
        <v>2531.71</v>
      </c>
      <c r="E3787" s="11">
        <v>1468.29</v>
      </c>
      <c r="F3787" t="str">
        <f>VLOOKUP(A3787,[1]!Table1[#All],17,FALSE)</f>
        <v>UNITED STATES</v>
      </c>
      <c r="G3787" t="str">
        <f>VLOOKUP(A3787,[1]!Table1[#All],22,FALSE)</f>
        <v>Health &amp; Human Services, North Carolina Department</v>
      </c>
      <c r="H3787" s="8">
        <f>VLOOKUP(A3787,[1]!Table1[#All],32,FALSE)</f>
        <v>43678</v>
      </c>
      <c r="I3787" s="8">
        <f>VLOOKUP(A3787,[1]!Table1[#All],33,FALSE)</f>
        <v>45504</v>
      </c>
      <c r="J3787" t="str">
        <f t="shared" ca="1" si="63"/>
        <v>UDO</v>
      </c>
    </row>
    <row r="3788" spans="1:10" x14ac:dyDescent="0.35">
      <c r="A3788" s="5" t="s">
        <v>121</v>
      </c>
      <c r="B3788" s="6">
        <v>44805</v>
      </c>
      <c r="C3788" s="7">
        <v>4000</v>
      </c>
      <c r="D3788" s="7">
        <v>2699.13</v>
      </c>
      <c r="E3788" s="7">
        <v>1300.8699999999999</v>
      </c>
      <c r="F3788" t="str">
        <f>VLOOKUP(A3788,[1]!Table1[#All],17,FALSE)</f>
        <v>UNITED STATES</v>
      </c>
      <c r="G3788" t="str">
        <f>VLOOKUP(A3788,[1]!Table1[#All],22,FALSE)</f>
        <v>Health &amp; Human Services, North Carolina Department</v>
      </c>
      <c r="H3788" s="8">
        <f>VLOOKUP(A3788,[1]!Table1[#All],32,FALSE)</f>
        <v>43678</v>
      </c>
      <c r="I3788" s="8">
        <f>VLOOKUP(A3788,[1]!Table1[#All],33,FALSE)</f>
        <v>45504</v>
      </c>
      <c r="J3788" t="str">
        <f t="shared" ca="1" si="63"/>
        <v>UDO</v>
      </c>
    </row>
    <row r="3789" spans="1:10" x14ac:dyDescent="0.35">
      <c r="A3789" s="9" t="s">
        <v>121</v>
      </c>
      <c r="B3789" s="10">
        <v>44835</v>
      </c>
      <c r="C3789" s="11">
        <v>4000</v>
      </c>
      <c r="D3789" s="11">
        <v>2766.13</v>
      </c>
      <c r="E3789" s="11">
        <v>1233.8699999999999</v>
      </c>
      <c r="F3789" t="str">
        <f>VLOOKUP(A3789,[1]!Table1[#All],17,FALSE)</f>
        <v>UNITED STATES</v>
      </c>
      <c r="G3789" t="str">
        <f>VLOOKUP(A3789,[1]!Table1[#All],22,FALSE)</f>
        <v>Health &amp; Human Services, North Carolina Department</v>
      </c>
      <c r="H3789" s="8">
        <f>VLOOKUP(A3789,[1]!Table1[#All],32,FALSE)</f>
        <v>43678</v>
      </c>
      <c r="I3789" s="8">
        <f>VLOOKUP(A3789,[1]!Table1[#All],33,FALSE)</f>
        <v>45504</v>
      </c>
      <c r="J3789" t="str">
        <f t="shared" ca="1" si="63"/>
        <v>UDO</v>
      </c>
    </row>
    <row r="3790" spans="1:10" x14ac:dyDescent="0.35">
      <c r="A3790" s="5" t="s">
        <v>121</v>
      </c>
      <c r="B3790" s="6">
        <v>44866</v>
      </c>
      <c r="C3790" s="7">
        <v>4000</v>
      </c>
      <c r="D3790" s="7">
        <v>2866.51</v>
      </c>
      <c r="E3790" s="7">
        <v>1133.49</v>
      </c>
      <c r="F3790" t="str">
        <f>VLOOKUP(A3790,[1]!Table1[#All],17,FALSE)</f>
        <v>UNITED STATES</v>
      </c>
      <c r="G3790" t="str">
        <f>VLOOKUP(A3790,[1]!Table1[#All],22,FALSE)</f>
        <v>Health &amp; Human Services, North Carolina Department</v>
      </c>
      <c r="H3790" s="8">
        <f>VLOOKUP(A3790,[1]!Table1[#All],32,FALSE)</f>
        <v>43678</v>
      </c>
      <c r="I3790" s="8">
        <f>VLOOKUP(A3790,[1]!Table1[#All],33,FALSE)</f>
        <v>45504</v>
      </c>
      <c r="J3790" t="str">
        <f t="shared" ca="1" si="63"/>
        <v>UDO</v>
      </c>
    </row>
    <row r="3791" spans="1:10" x14ac:dyDescent="0.35">
      <c r="A3791" s="9" t="s">
        <v>121</v>
      </c>
      <c r="B3791" s="10">
        <v>44896</v>
      </c>
      <c r="C3791" s="11">
        <v>4000</v>
      </c>
      <c r="D3791" s="11">
        <v>3054.91</v>
      </c>
      <c r="E3791" s="11">
        <v>945.09</v>
      </c>
      <c r="F3791" t="str">
        <f>VLOOKUP(A3791,[1]!Table1[#All],17,FALSE)</f>
        <v>UNITED STATES</v>
      </c>
      <c r="G3791" t="str">
        <f>VLOOKUP(A3791,[1]!Table1[#All],22,FALSE)</f>
        <v>Health &amp; Human Services, North Carolina Department</v>
      </c>
      <c r="H3791" s="8">
        <f>VLOOKUP(A3791,[1]!Table1[#All],32,FALSE)</f>
        <v>43678</v>
      </c>
      <c r="I3791" s="8">
        <f>VLOOKUP(A3791,[1]!Table1[#All],33,FALSE)</f>
        <v>45504</v>
      </c>
      <c r="J3791" t="str">
        <f t="shared" ca="1" si="63"/>
        <v>UDO</v>
      </c>
    </row>
    <row r="3792" spans="1:10" x14ac:dyDescent="0.35">
      <c r="A3792" s="5" t="s">
        <v>121</v>
      </c>
      <c r="B3792" s="6">
        <v>44927</v>
      </c>
      <c r="C3792" s="7">
        <v>4000</v>
      </c>
      <c r="D3792" s="7">
        <v>3232.09</v>
      </c>
      <c r="E3792" s="7">
        <v>767.91</v>
      </c>
      <c r="F3792" t="str">
        <f>VLOOKUP(A3792,[1]!Table1[#All],17,FALSE)</f>
        <v>UNITED STATES</v>
      </c>
      <c r="G3792" t="str">
        <f>VLOOKUP(A3792,[1]!Table1[#All],22,FALSE)</f>
        <v>Health &amp; Human Services, North Carolina Department</v>
      </c>
      <c r="H3792" s="8">
        <f>VLOOKUP(A3792,[1]!Table1[#All],32,FALSE)</f>
        <v>43678</v>
      </c>
      <c r="I3792" s="8">
        <f>VLOOKUP(A3792,[1]!Table1[#All],33,FALSE)</f>
        <v>45504</v>
      </c>
      <c r="J3792" t="str">
        <f t="shared" ca="1" si="63"/>
        <v>UDO</v>
      </c>
    </row>
    <row r="3793" spans="1:10" x14ac:dyDescent="0.35">
      <c r="A3793" s="9" t="s">
        <v>121</v>
      </c>
      <c r="B3793" s="10">
        <v>44958</v>
      </c>
      <c r="C3793" s="11">
        <v>4000</v>
      </c>
      <c r="D3793" s="11">
        <v>3848.88</v>
      </c>
      <c r="E3793" s="11">
        <v>151.12</v>
      </c>
      <c r="F3793" t="str">
        <f>VLOOKUP(A3793,[1]!Table1[#All],17,FALSE)</f>
        <v>UNITED STATES</v>
      </c>
      <c r="G3793" t="str">
        <f>VLOOKUP(A3793,[1]!Table1[#All],22,FALSE)</f>
        <v>Health &amp; Human Services, North Carolina Department</v>
      </c>
      <c r="H3793" s="8">
        <f>VLOOKUP(A3793,[1]!Table1[#All],32,FALSE)</f>
        <v>43678</v>
      </c>
      <c r="I3793" s="8">
        <f>VLOOKUP(A3793,[1]!Table1[#All],33,FALSE)</f>
        <v>45504</v>
      </c>
      <c r="J3793" t="str">
        <f t="shared" ca="1" si="63"/>
        <v>UDO</v>
      </c>
    </row>
    <row r="3794" spans="1:10" x14ac:dyDescent="0.35">
      <c r="A3794" s="5" t="s">
        <v>121</v>
      </c>
      <c r="B3794" s="6">
        <v>44986</v>
      </c>
      <c r="C3794" s="7">
        <v>4000</v>
      </c>
      <c r="D3794" s="7">
        <v>4000</v>
      </c>
      <c r="E3794" s="7">
        <v>0</v>
      </c>
      <c r="F3794" t="str">
        <f>VLOOKUP(A3794,[1]!Table1[#All],17,FALSE)</f>
        <v>UNITED STATES</v>
      </c>
      <c r="G3794" t="str">
        <f>VLOOKUP(A3794,[1]!Table1[#All],22,FALSE)</f>
        <v>Health &amp; Human Services, North Carolina Department</v>
      </c>
      <c r="H3794" s="8">
        <f>VLOOKUP(A3794,[1]!Table1[#All],32,FALSE)</f>
        <v>43678</v>
      </c>
      <c r="I3794" s="8">
        <f>VLOOKUP(A3794,[1]!Table1[#All],33,FALSE)</f>
        <v>45504</v>
      </c>
      <c r="J3794" t="str">
        <f t="shared" ca="1" si="63"/>
        <v>Non UDO</v>
      </c>
    </row>
    <row r="3795" spans="1:10" x14ac:dyDescent="0.35">
      <c r="A3795" s="9" t="s">
        <v>121</v>
      </c>
      <c r="B3795" s="10">
        <v>45017</v>
      </c>
      <c r="C3795" s="11">
        <v>4000</v>
      </c>
      <c r="D3795" s="11">
        <v>4000</v>
      </c>
      <c r="E3795" s="11">
        <v>0</v>
      </c>
      <c r="F3795" t="str">
        <f>VLOOKUP(A3795,[1]!Table1[#All],17,FALSE)</f>
        <v>UNITED STATES</v>
      </c>
      <c r="G3795" t="str">
        <f>VLOOKUP(A3795,[1]!Table1[#All],22,FALSE)</f>
        <v>Health &amp; Human Services, North Carolina Department</v>
      </c>
      <c r="H3795" s="8">
        <f>VLOOKUP(A3795,[1]!Table1[#All],32,FALSE)</f>
        <v>43678</v>
      </c>
      <c r="I3795" s="8">
        <f>VLOOKUP(A3795,[1]!Table1[#All],33,FALSE)</f>
        <v>45504</v>
      </c>
      <c r="J3795" t="str">
        <f t="shared" ca="1" si="63"/>
        <v>Non UDO</v>
      </c>
    </row>
    <row r="3796" spans="1:10" x14ac:dyDescent="0.35">
      <c r="A3796" s="5" t="s">
        <v>121</v>
      </c>
      <c r="B3796" s="6">
        <v>45047</v>
      </c>
      <c r="C3796" s="7">
        <v>4000</v>
      </c>
      <c r="D3796" s="7">
        <v>4000</v>
      </c>
      <c r="E3796" s="7">
        <v>0</v>
      </c>
      <c r="F3796" t="str">
        <f>VLOOKUP(A3796,[1]!Table1[#All],17,FALSE)</f>
        <v>UNITED STATES</v>
      </c>
      <c r="G3796" t="str">
        <f>VLOOKUP(A3796,[1]!Table1[#All],22,FALSE)</f>
        <v>Health &amp; Human Services, North Carolina Department</v>
      </c>
      <c r="H3796" s="8">
        <f>VLOOKUP(A3796,[1]!Table1[#All],32,FALSE)</f>
        <v>43678</v>
      </c>
      <c r="I3796" s="8">
        <f>VLOOKUP(A3796,[1]!Table1[#All],33,FALSE)</f>
        <v>45504</v>
      </c>
      <c r="J3796" t="str">
        <f t="shared" ca="1" si="63"/>
        <v>Non UDO</v>
      </c>
    </row>
    <row r="3797" spans="1:10" x14ac:dyDescent="0.35">
      <c r="A3797" s="9" t="s">
        <v>121</v>
      </c>
      <c r="B3797" s="10">
        <v>45078</v>
      </c>
      <c r="C3797" s="11">
        <v>4000</v>
      </c>
      <c r="D3797" s="11">
        <v>4000</v>
      </c>
      <c r="E3797" s="11">
        <v>0</v>
      </c>
      <c r="F3797" t="str">
        <f>VLOOKUP(A3797,[1]!Table1[#All],17,FALSE)</f>
        <v>UNITED STATES</v>
      </c>
      <c r="G3797" t="str">
        <f>VLOOKUP(A3797,[1]!Table1[#All],22,FALSE)</f>
        <v>Health &amp; Human Services, North Carolina Department</v>
      </c>
      <c r="H3797" s="8">
        <f>VLOOKUP(A3797,[1]!Table1[#All],32,FALSE)</f>
        <v>43678</v>
      </c>
      <c r="I3797" s="8">
        <f>VLOOKUP(A3797,[1]!Table1[#All],33,FALSE)</f>
        <v>45504</v>
      </c>
      <c r="J3797" t="str">
        <f t="shared" ca="1" si="63"/>
        <v>Non UDO</v>
      </c>
    </row>
    <row r="3798" spans="1:10" x14ac:dyDescent="0.35">
      <c r="A3798" s="5" t="s">
        <v>121</v>
      </c>
      <c r="B3798" s="6">
        <v>45108</v>
      </c>
      <c r="C3798" s="7">
        <v>4000</v>
      </c>
      <c r="D3798" s="7">
        <v>4000</v>
      </c>
      <c r="E3798" s="7">
        <v>0</v>
      </c>
      <c r="F3798" t="str">
        <f>VLOOKUP(A3798,[1]!Table1[#All],17,FALSE)</f>
        <v>UNITED STATES</v>
      </c>
      <c r="G3798" t="str">
        <f>VLOOKUP(A3798,[1]!Table1[#All],22,FALSE)</f>
        <v>Health &amp; Human Services, North Carolina Department</v>
      </c>
      <c r="H3798" s="8">
        <f>VLOOKUP(A3798,[1]!Table1[#All],32,FALSE)</f>
        <v>43678</v>
      </c>
      <c r="I3798" s="8">
        <f>VLOOKUP(A3798,[1]!Table1[#All],33,FALSE)</f>
        <v>45504</v>
      </c>
      <c r="J3798" t="str">
        <f t="shared" ca="1" si="63"/>
        <v>Non UDO</v>
      </c>
    </row>
    <row r="3799" spans="1:10" x14ac:dyDescent="0.35">
      <c r="A3799" s="9" t="s">
        <v>121</v>
      </c>
      <c r="B3799" s="10">
        <v>45139</v>
      </c>
      <c r="C3799" s="11">
        <v>4000</v>
      </c>
      <c r="D3799" s="11">
        <v>4000</v>
      </c>
      <c r="E3799" s="11">
        <v>0</v>
      </c>
      <c r="F3799" t="str">
        <f>VLOOKUP(A3799,[1]!Table1[#All],17,FALSE)</f>
        <v>UNITED STATES</v>
      </c>
      <c r="G3799" t="str">
        <f>VLOOKUP(A3799,[1]!Table1[#All],22,FALSE)</f>
        <v>Health &amp; Human Services, North Carolina Department</v>
      </c>
      <c r="H3799" s="8">
        <f>VLOOKUP(A3799,[1]!Table1[#All],32,FALSE)</f>
        <v>43678</v>
      </c>
      <c r="I3799" s="8">
        <f>VLOOKUP(A3799,[1]!Table1[#All],33,FALSE)</f>
        <v>45504</v>
      </c>
      <c r="J3799" t="str">
        <f t="shared" ca="1" si="63"/>
        <v>Non UDO</v>
      </c>
    </row>
    <row r="3800" spans="1:10" x14ac:dyDescent="0.35">
      <c r="A3800" s="5" t="s">
        <v>121</v>
      </c>
      <c r="B3800" s="6">
        <v>45170</v>
      </c>
      <c r="C3800" s="7">
        <v>4000</v>
      </c>
      <c r="D3800" s="7">
        <v>4000</v>
      </c>
      <c r="E3800" s="7">
        <v>0</v>
      </c>
      <c r="F3800" t="str">
        <f>VLOOKUP(A3800,[1]!Table1[#All],17,FALSE)</f>
        <v>UNITED STATES</v>
      </c>
      <c r="G3800" t="str">
        <f>VLOOKUP(A3800,[1]!Table1[#All],22,FALSE)</f>
        <v>Health &amp; Human Services, North Carolina Department</v>
      </c>
      <c r="H3800" s="8">
        <f>VLOOKUP(A3800,[1]!Table1[#All],32,FALSE)</f>
        <v>43678</v>
      </c>
      <c r="I3800" s="8">
        <f>VLOOKUP(A3800,[1]!Table1[#All],33,FALSE)</f>
        <v>45504</v>
      </c>
      <c r="J3800" t="str">
        <f t="shared" ca="1" si="63"/>
        <v>Non UDO</v>
      </c>
    </row>
    <row r="3801" spans="1:10" x14ac:dyDescent="0.35">
      <c r="A3801" s="9" t="s">
        <v>122</v>
      </c>
      <c r="B3801" s="10">
        <v>44105</v>
      </c>
      <c r="C3801" s="11">
        <v>4100</v>
      </c>
      <c r="D3801" s="11">
        <v>0</v>
      </c>
      <c r="E3801" s="11">
        <v>4100</v>
      </c>
      <c r="F3801" t="str">
        <f>VLOOKUP(A3801,[1]!Table1[#All],17,FALSE)</f>
        <v>UNITED STATES</v>
      </c>
      <c r="G3801" t="str">
        <f>VLOOKUP(A3801,[1]!Table1[#All],22,FALSE)</f>
        <v>WI ST DEPARTMENT OF HEALTH &amp; SOCIAL SERVICES</v>
      </c>
      <c r="H3801" s="8">
        <f>VLOOKUP(A3801,[1]!Table1[#All],32,FALSE)</f>
        <v>43678</v>
      </c>
      <c r="I3801" s="8">
        <f>VLOOKUP(A3801,[1]!Table1[#All],33,FALSE)</f>
        <v>45504</v>
      </c>
      <c r="J3801" t="str">
        <f t="shared" ca="1" si="63"/>
        <v>UDO</v>
      </c>
    </row>
    <row r="3802" spans="1:10" x14ac:dyDescent="0.35">
      <c r="A3802" s="5" t="s">
        <v>122</v>
      </c>
      <c r="B3802" s="6">
        <v>44136</v>
      </c>
      <c r="C3802" s="7">
        <v>4100</v>
      </c>
      <c r="D3802" s="7">
        <v>0</v>
      </c>
      <c r="E3802" s="7">
        <v>4100</v>
      </c>
      <c r="F3802" t="str">
        <f>VLOOKUP(A3802,[1]!Table1[#All],17,FALSE)</f>
        <v>UNITED STATES</v>
      </c>
      <c r="G3802" t="str">
        <f>VLOOKUP(A3802,[1]!Table1[#All],22,FALSE)</f>
        <v>WI ST DEPARTMENT OF HEALTH &amp; SOCIAL SERVICES</v>
      </c>
      <c r="H3802" s="8">
        <f>VLOOKUP(A3802,[1]!Table1[#All],32,FALSE)</f>
        <v>43678</v>
      </c>
      <c r="I3802" s="8">
        <f>VLOOKUP(A3802,[1]!Table1[#All],33,FALSE)</f>
        <v>45504</v>
      </c>
      <c r="J3802" t="str">
        <f t="shared" ca="1" si="63"/>
        <v>UDO</v>
      </c>
    </row>
    <row r="3803" spans="1:10" x14ac:dyDescent="0.35">
      <c r="A3803" s="9" t="s">
        <v>122</v>
      </c>
      <c r="B3803" s="10">
        <v>44166</v>
      </c>
      <c r="C3803" s="11">
        <v>4100</v>
      </c>
      <c r="D3803" s="11">
        <v>0</v>
      </c>
      <c r="E3803" s="11">
        <v>4100</v>
      </c>
      <c r="F3803" t="str">
        <f>VLOOKUP(A3803,[1]!Table1[#All],17,FALSE)</f>
        <v>UNITED STATES</v>
      </c>
      <c r="G3803" t="str">
        <f>VLOOKUP(A3803,[1]!Table1[#All],22,FALSE)</f>
        <v>WI ST DEPARTMENT OF HEALTH &amp; SOCIAL SERVICES</v>
      </c>
      <c r="H3803" s="8">
        <f>VLOOKUP(A3803,[1]!Table1[#All],32,FALSE)</f>
        <v>43678</v>
      </c>
      <c r="I3803" s="8">
        <f>VLOOKUP(A3803,[1]!Table1[#All],33,FALSE)</f>
        <v>45504</v>
      </c>
      <c r="J3803" t="str">
        <f t="shared" ca="1" si="63"/>
        <v>UDO</v>
      </c>
    </row>
    <row r="3804" spans="1:10" x14ac:dyDescent="0.35">
      <c r="A3804" s="5" t="s">
        <v>122</v>
      </c>
      <c r="B3804" s="6">
        <v>44197</v>
      </c>
      <c r="C3804" s="7">
        <v>4100</v>
      </c>
      <c r="D3804" s="7">
        <v>0</v>
      </c>
      <c r="E3804" s="7">
        <v>4100</v>
      </c>
      <c r="F3804" t="str">
        <f>VLOOKUP(A3804,[1]!Table1[#All],17,FALSE)</f>
        <v>UNITED STATES</v>
      </c>
      <c r="G3804" t="str">
        <f>VLOOKUP(A3804,[1]!Table1[#All],22,FALSE)</f>
        <v>WI ST DEPARTMENT OF HEALTH &amp; SOCIAL SERVICES</v>
      </c>
      <c r="H3804" s="8">
        <f>VLOOKUP(A3804,[1]!Table1[#All],32,FALSE)</f>
        <v>43678</v>
      </c>
      <c r="I3804" s="8">
        <f>VLOOKUP(A3804,[1]!Table1[#All],33,FALSE)</f>
        <v>45504</v>
      </c>
      <c r="J3804" t="str">
        <f t="shared" ca="1" si="63"/>
        <v>UDO</v>
      </c>
    </row>
    <row r="3805" spans="1:10" x14ac:dyDescent="0.35">
      <c r="A3805" s="9" t="s">
        <v>122</v>
      </c>
      <c r="B3805" s="10">
        <v>44228</v>
      </c>
      <c r="C3805" s="11">
        <v>4100</v>
      </c>
      <c r="D3805" s="11">
        <v>0</v>
      </c>
      <c r="E3805" s="11">
        <v>4100</v>
      </c>
      <c r="F3805" t="str">
        <f>VLOOKUP(A3805,[1]!Table1[#All],17,FALSE)</f>
        <v>UNITED STATES</v>
      </c>
      <c r="G3805" t="str">
        <f>VLOOKUP(A3805,[1]!Table1[#All],22,FALSE)</f>
        <v>WI ST DEPARTMENT OF HEALTH &amp; SOCIAL SERVICES</v>
      </c>
      <c r="H3805" s="8">
        <f>VLOOKUP(A3805,[1]!Table1[#All],32,FALSE)</f>
        <v>43678</v>
      </c>
      <c r="I3805" s="8">
        <f>VLOOKUP(A3805,[1]!Table1[#All],33,FALSE)</f>
        <v>45504</v>
      </c>
      <c r="J3805" t="str">
        <f t="shared" ca="1" si="63"/>
        <v>UDO</v>
      </c>
    </row>
    <row r="3806" spans="1:10" x14ac:dyDescent="0.35">
      <c r="A3806" s="5" t="s">
        <v>122</v>
      </c>
      <c r="B3806" s="6">
        <v>44256</v>
      </c>
      <c r="C3806" s="7">
        <v>4100</v>
      </c>
      <c r="D3806" s="7">
        <v>0</v>
      </c>
      <c r="E3806" s="7">
        <v>4100</v>
      </c>
      <c r="F3806" t="str">
        <f>VLOOKUP(A3806,[1]!Table1[#All],17,FALSE)</f>
        <v>UNITED STATES</v>
      </c>
      <c r="G3806" t="str">
        <f>VLOOKUP(A3806,[1]!Table1[#All],22,FALSE)</f>
        <v>WI ST DEPARTMENT OF HEALTH &amp; SOCIAL SERVICES</v>
      </c>
      <c r="H3806" s="8">
        <f>VLOOKUP(A3806,[1]!Table1[#All],32,FALSE)</f>
        <v>43678</v>
      </c>
      <c r="I3806" s="8">
        <f>VLOOKUP(A3806,[1]!Table1[#All],33,FALSE)</f>
        <v>45504</v>
      </c>
      <c r="J3806" t="str">
        <f t="shared" ca="1" si="63"/>
        <v>UDO</v>
      </c>
    </row>
    <row r="3807" spans="1:10" x14ac:dyDescent="0.35">
      <c r="A3807" s="9" t="s">
        <v>122</v>
      </c>
      <c r="B3807" s="10">
        <v>44317</v>
      </c>
      <c r="C3807" s="11">
        <v>4100</v>
      </c>
      <c r="D3807" s="11">
        <v>767.48</v>
      </c>
      <c r="E3807" s="11">
        <v>3332.52</v>
      </c>
      <c r="F3807" t="str">
        <f>VLOOKUP(A3807,[1]!Table1[#All],17,FALSE)</f>
        <v>UNITED STATES</v>
      </c>
      <c r="G3807" t="str">
        <f>VLOOKUP(A3807,[1]!Table1[#All],22,FALSE)</f>
        <v>WI ST DEPARTMENT OF HEALTH &amp; SOCIAL SERVICES</v>
      </c>
      <c r="H3807" s="8">
        <f>VLOOKUP(A3807,[1]!Table1[#All],32,FALSE)</f>
        <v>43678</v>
      </c>
      <c r="I3807" s="8">
        <f>VLOOKUP(A3807,[1]!Table1[#All],33,FALSE)</f>
        <v>45504</v>
      </c>
      <c r="J3807" t="str">
        <f t="shared" ca="1" si="63"/>
        <v>UDO</v>
      </c>
    </row>
    <row r="3808" spans="1:10" x14ac:dyDescent="0.35">
      <c r="A3808" s="5" t="s">
        <v>122</v>
      </c>
      <c r="B3808" s="6">
        <v>44348</v>
      </c>
      <c r="C3808" s="7">
        <v>4100</v>
      </c>
      <c r="D3808" s="7">
        <v>968.35</v>
      </c>
      <c r="E3808" s="7">
        <v>3131.65</v>
      </c>
      <c r="F3808" t="str">
        <f>VLOOKUP(A3808,[1]!Table1[#All],17,FALSE)</f>
        <v>UNITED STATES</v>
      </c>
      <c r="G3808" t="str">
        <f>VLOOKUP(A3808,[1]!Table1[#All],22,FALSE)</f>
        <v>WI ST DEPARTMENT OF HEALTH &amp; SOCIAL SERVICES</v>
      </c>
      <c r="H3808" s="8">
        <f>VLOOKUP(A3808,[1]!Table1[#All],32,FALSE)</f>
        <v>43678</v>
      </c>
      <c r="I3808" s="8">
        <f>VLOOKUP(A3808,[1]!Table1[#All],33,FALSE)</f>
        <v>45504</v>
      </c>
      <c r="J3808" t="str">
        <f t="shared" ca="1" si="63"/>
        <v>UDO</v>
      </c>
    </row>
    <row r="3809" spans="1:10" x14ac:dyDescent="0.35">
      <c r="A3809" s="9" t="s">
        <v>122</v>
      </c>
      <c r="B3809" s="10">
        <v>44378</v>
      </c>
      <c r="C3809" s="11">
        <v>4100</v>
      </c>
      <c r="D3809" s="11">
        <v>1490.26</v>
      </c>
      <c r="E3809" s="11">
        <v>2609.7399999999998</v>
      </c>
      <c r="F3809" t="str">
        <f>VLOOKUP(A3809,[1]!Table1[#All],17,FALSE)</f>
        <v>UNITED STATES</v>
      </c>
      <c r="G3809" t="str">
        <f>VLOOKUP(A3809,[1]!Table1[#All],22,FALSE)</f>
        <v>WI ST DEPARTMENT OF HEALTH &amp; SOCIAL SERVICES</v>
      </c>
      <c r="H3809" s="8">
        <f>VLOOKUP(A3809,[1]!Table1[#All],32,FALSE)</f>
        <v>43678</v>
      </c>
      <c r="I3809" s="8">
        <f>VLOOKUP(A3809,[1]!Table1[#All],33,FALSE)</f>
        <v>45504</v>
      </c>
      <c r="J3809" t="str">
        <f t="shared" ca="1" si="63"/>
        <v>UDO</v>
      </c>
    </row>
    <row r="3810" spans="1:10" x14ac:dyDescent="0.35">
      <c r="A3810" s="5" t="s">
        <v>122</v>
      </c>
      <c r="B3810" s="6">
        <v>44409</v>
      </c>
      <c r="C3810" s="7">
        <v>4100</v>
      </c>
      <c r="D3810" s="7">
        <v>1825.07</v>
      </c>
      <c r="E3810" s="7">
        <v>2274.9299999999998</v>
      </c>
      <c r="F3810" t="str">
        <f>VLOOKUP(A3810,[1]!Table1[#All],17,FALSE)</f>
        <v>UNITED STATES</v>
      </c>
      <c r="G3810" t="str">
        <f>VLOOKUP(A3810,[1]!Table1[#All],22,FALSE)</f>
        <v>WI ST DEPARTMENT OF HEALTH &amp; SOCIAL SERVICES</v>
      </c>
      <c r="H3810" s="8">
        <f>VLOOKUP(A3810,[1]!Table1[#All],32,FALSE)</f>
        <v>43678</v>
      </c>
      <c r="I3810" s="8">
        <f>VLOOKUP(A3810,[1]!Table1[#All],33,FALSE)</f>
        <v>45504</v>
      </c>
      <c r="J3810" t="str">
        <f t="shared" ca="1" si="63"/>
        <v>UDO</v>
      </c>
    </row>
    <row r="3811" spans="1:10" x14ac:dyDescent="0.35">
      <c r="A3811" s="9" t="s">
        <v>122</v>
      </c>
      <c r="B3811" s="10">
        <v>44440</v>
      </c>
      <c r="C3811" s="11">
        <v>4100</v>
      </c>
      <c r="D3811" s="11">
        <v>1636.02</v>
      </c>
      <c r="E3811" s="11">
        <v>2463.98</v>
      </c>
      <c r="F3811" t="str">
        <f>VLOOKUP(A3811,[1]!Table1[#All],17,FALSE)</f>
        <v>UNITED STATES</v>
      </c>
      <c r="G3811" t="str">
        <f>VLOOKUP(A3811,[1]!Table1[#All],22,FALSE)</f>
        <v>WI ST DEPARTMENT OF HEALTH &amp; SOCIAL SERVICES</v>
      </c>
      <c r="H3811" s="8">
        <f>VLOOKUP(A3811,[1]!Table1[#All],32,FALSE)</f>
        <v>43678</v>
      </c>
      <c r="I3811" s="8">
        <f>VLOOKUP(A3811,[1]!Table1[#All],33,FALSE)</f>
        <v>45504</v>
      </c>
      <c r="J3811" t="str">
        <f t="shared" ca="1" si="63"/>
        <v>UDO</v>
      </c>
    </row>
    <row r="3812" spans="1:10" x14ac:dyDescent="0.35">
      <c r="A3812" s="5" t="s">
        <v>122</v>
      </c>
      <c r="B3812" s="6">
        <v>44470</v>
      </c>
      <c r="C3812" s="7">
        <v>4100</v>
      </c>
      <c r="D3812" s="7">
        <v>1781.87</v>
      </c>
      <c r="E3812" s="7">
        <v>2318.13</v>
      </c>
      <c r="F3812" t="str">
        <f>VLOOKUP(A3812,[1]!Table1[#All],17,FALSE)</f>
        <v>UNITED STATES</v>
      </c>
      <c r="G3812" t="str">
        <f>VLOOKUP(A3812,[1]!Table1[#All],22,FALSE)</f>
        <v>WI ST DEPARTMENT OF HEALTH &amp; SOCIAL SERVICES</v>
      </c>
      <c r="H3812" s="8">
        <f>VLOOKUP(A3812,[1]!Table1[#All],32,FALSE)</f>
        <v>43678</v>
      </c>
      <c r="I3812" s="8">
        <f>VLOOKUP(A3812,[1]!Table1[#All],33,FALSE)</f>
        <v>45504</v>
      </c>
      <c r="J3812" t="str">
        <f t="shared" ca="1" si="63"/>
        <v>UDO</v>
      </c>
    </row>
    <row r="3813" spans="1:10" x14ac:dyDescent="0.35">
      <c r="A3813" s="9" t="s">
        <v>122</v>
      </c>
      <c r="B3813" s="10">
        <v>44501</v>
      </c>
      <c r="C3813" s="11">
        <v>4100</v>
      </c>
      <c r="D3813" s="11">
        <v>1913.05</v>
      </c>
      <c r="E3813" s="11">
        <v>2186.9499999999998</v>
      </c>
      <c r="F3813" t="str">
        <f>VLOOKUP(A3813,[1]!Table1[#All],17,FALSE)</f>
        <v>UNITED STATES</v>
      </c>
      <c r="G3813" t="str">
        <f>VLOOKUP(A3813,[1]!Table1[#All],22,FALSE)</f>
        <v>WI ST DEPARTMENT OF HEALTH &amp; SOCIAL SERVICES</v>
      </c>
      <c r="H3813" s="8">
        <f>VLOOKUP(A3813,[1]!Table1[#All],32,FALSE)</f>
        <v>43678</v>
      </c>
      <c r="I3813" s="8">
        <f>VLOOKUP(A3813,[1]!Table1[#All],33,FALSE)</f>
        <v>45504</v>
      </c>
      <c r="J3813" t="str">
        <f t="shared" ca="1" si="63"/>
        <v>UDO</v>
      </c>
    </row>
    <row r="3814" spans="1:10" x14ac:dyDescent="0.35">
      <c r="A3814" s="5" t="s">
        <v>122</v>
      </c>
      <c r="B3814" s="6">
        <v>44531</v>
      </c>
      <c r="C3814" s="7">
        <v>4100</v>
      </c>
      <c r="D3814" s="7">
        <v>2046.32</v>
      </c>
      <c r="E3814" s="7">
        <v>2053.6799999999998</v>
      </c>
      <c r="F3814" t="str">
        <f>VLOOKUP(A3814,[1]!Table1[#All],17,FALSE)</f>
        <v>UNITED STATES</v>
      </c>
      <c r="G3814" t="str">
        <f>VLOOKUP(A3814,[1]!Table1[#All],22,FALSE)</f>
        <v>WI ST DEPARTMENT OF HEALTH &amp; SOCIAL SERVICES</v>
      </c>
      <c r="H3814" s="8">
        <f>VLOOKUP(A3814,[1]!Table1[#All],32,FALSE)</f>
        <v>43678</v>
      </c>
      <c r="I3814" s="8">
        <f>VLOOKUP(A3814,[1]!Table1[#All],33,FALSE)</f>
        <v>45504</v>
      </c>
      <c r="J3814" t="str">
        <f t="shared" ca="1" si="63"/>
        <v>UDO</v>
      </c>
    </row>
    <row r="3815" spans="1:10" x14ac:dyDescent="0.35">
      <c r="A3815" s="9" t="s">
        <v>122</v>
      </c>
      <c r="B3815" s="10">
        <v>44562</v>
      </c>
      <c r="C3815" s="11">
        <v>4100</v>
      </c>
      <c r="D3815" s="11">
        <v>2213.5700000000002</v>
      </c>
      <c r="E3815" s="11">
        <v>1886.43</v>
      </c>
      <c r="F3815" t="str">
        <f>VLOOKUP(A3815,[1]!Table1[#All],17,FALSE)</f>
        <v>UNITED STATES</v>
      </c>
      <c r="G3815" t="str">
        <f>VLOOKUP(A3815,[1]!Table1[#All],22,FALSE)</f>
        <v>WI ST DEPARTMENT OF HEALTH &amp; SOCIAL SERVICES</v>
      </c>
      <c r="H3815" s="8">
        <f>VLOOKUP(A3815,[1]!Table1[#All],32,FALSE)</f>
        <v>43678</v>
      </c>
      <c r="I3815" s="8">
        <f>VLOOKUP(A3815,[1]!Table1[#All],33,FALSE)</f>
        <v>45504</v>
      </c>
      <c r="J3815" t="str">
        <f t="shared" ca="1" si="63"/>
        <v>UDO</v>
      </c>
    </row>
    <row r="3816" spans="1:10" x14ac:dyDescent="0.35">
      <c r="A3816" s="5" t="s">
        <v>122</v>
      </c>
      <c r="B3816" s="6">
        <v>44593</v>
      </c>
      <c r="C3816" s="7">
        <v>4100</v>
      </c>
      <c r="D3816" s="7">
        <v>2701.45</v>
      </c>
      <c r="E3816" s="7">
        <v>1398.55</v>
      </c>
      <c r="F3816" t="str">
        <f>VLOOKUP(A3816,[1]!Table1[#All],17,FALSE)</f>
        <v>UNITED STATES</v>
      </c>
      <c r="G3816" t="str">
        <f>VLOOKUP(A3816,[1]!Table1[#All],22,FALSE)</f>
        <v>WI ST DEPARTMENT OF HEALTH &amp; SOCIAL SERVICES</v>
      </c>
      <c r="H3816" s="8">
        <f>VLOOKUP(A3816,[1]!Table1[#All],32,FALSE)</f>
        <v>43678</v>
      </c>
      <c r="I3816" s="8">
        <f>VLOOKUP(A3816,[1]!Table1[#All],33,FALSE)</f>
        <v>45504</v>
      </c>
      <c r="J3816" t="str">
        <f t="shared" ca="1" si="63"/>
        <v>UDO</v>
      </c>
    </row>
    <row r="3817" spans="1:10" x14ac:dyDescent="0.35">
      <c r="A3817" s="9" t="s">
        <v>122</v>
      </c>
      <c r="B3817" s="10">
        <v>44621</v>
      </c>
      <c r="C3817" s="11">
        <v>4100</v>
      </c>
      <c r="D3817" s="11">
        <v>2796.49</v>
      </c>
      <c r="E3817" s="11">
        <v>1303.51</v>
      </c>
      <c r="F3817" t="str">
        <f>VLOOKUP(A3817,[1]!Table1[#All],17,FALSE)</f>
        <v>UNITED STATES</v>
      </c>
      <c r="G3817" t="str">
        <f>VLOOKUP(A3817,[1]!Table1[#All],22,FALSE)</f>
        <v>WI ST DEPARTMENT OF HEALTH &amp; SOCIAL SERVICES</v>
      </c>
      <c r="H3817" s="8">
        <f>VLOOKUP(A3817,[1]!Table1[#All],32,FALSE)</f>
        <v>43678</v>
      </c>
      <c r="I3817" s="8">
        <f>VLOOKUP(A3817,[1]!Table1[#All],33,FALSE)</f>
        <v>45504</v>
      </c>
      <c r="J3817" t="str">
        <f t="shared" ca="1" si="63"/>
        <v>UDO</v>
      </c>
    </row>
    <row r="3818" spans="1:10" x14ac:dyDescent="0.35">
      <c r="A3818" s="5" t="s">
        <v>122</v>
      </c>
      <c r="B3818" s="6">
        <v>44652</v>
      </c>
      <c r="C3818" s="7">
        <v>4100</v>
      </c>
      <c r="D3818" s="7">
        <v>3217.92</v>
      </c>
      <c r="E3818" s="7">
        <v>882.08</v>
      </c>
      <c r="F3818" t="str">
        <f>VLOOKUP(A3818,[1]!Table1[#All],17,FALSE)</f>
        <v>UNITED STATES</v>
      </c>
      <c r="G3818" t="str">
        <f>VLOOKUP(A3818,[1]!Table1[#All],22,FALSE)</f>
        <v>WI ST DEPARTMENT OF HEALTH &amp; SOCIAL SERVICES</v>
      </c>
      <c r="H3818" s="8">
        <f>VLOOKUP(A3818,[1]!Table1[#All],32,FALSE)</f>
        <v>43678</v>
      </c>
      <c r="I3818" s="8">
        <f>VLOOKUP(A3818,[1]!Table1[#All],33,FALSE)</f>
        <v>45504</v>
      </c>
      <c r="J3818" t="str">
        <f t="shared" ca="1" si="63"/>
        <v>UDO</v>
      </c>
    </row>
    <row r="3819" spans="1:10" x14ac:dyDescent="0.35">
      <c r="A3819" s="9" t="s">
        <v>122</v>
      </c>
      <c r="B3819" s="10">
        <v>44682</v>
      </c>
      <c r="C3819" s="11">
        <v>4100</v>
      </c>
      <c r="D3819" s="11">
        <v>3691.68</v>
      </c>
      <c r="E3819" s="11">
        <v>408.32</v>
      </c>
      <c r="F3819" t="str">
        <f>VLOOKUP(A3819,[1]!Table1[#All],17,FALSE)</f>
        <v>UNITED STATES</v>
      </c>
      <c r="G3819" t="str">
        <f>VLOOKUP(A3819,[1]!Table1[#All],22,FALSE)</f>
        <v>WI ST DEPARTMENT OF HEALTH &amp; SOCIAL SERVICES</v>
      </c>
      <c r="H3819" s="8">
        <f>VLOOKUP(A3819,[1]!Table1[#All],32,FALSE)</f>
        <v>43678</v>
      </c>
      <c r="I3819" s="8">
        <f>VLOOKUP(A3819,[1]!Table1[#All],33,FALSE)</f>
        <v>45504</v>
      </c>
      <c r="J3819" t="str">
        <f t="shared" ca="1" si="63"/>
        <v>UDO</v>
      </c>
    </row>
    <row r="3820" spans="1:10" x14ac:dyDescent="0.35">
      <c r="A3820" s="5" t="s">
        <v>122</v>
      </c>
      <c r="B3820" s="6">
        <v>44713</v>
      </c>
      <c r="C3820" s="7">
        <v>4100</v>
      </c>
      <c r="D3820" s="7">
        <v>3822.38</v>
      </c>
      <c r="E3820" s="7">
        <v>277.62</v>
      </c>
      <c r="F3820" t="str">
        <f>VLOOKUP(A3820,[1]!Table1[#All],17,FALSE)</f>
        <v>UNITED STATES</v>
      </c>
      <c r="G3820" t="str">
        <f>VLOOKUP(A3820,[1]!Table1[#All],22,FALSE)</f>
        <v>WI ST DEPARTMENT OF HEALTH &amp; SOCIAL SERVICES</v>
      </c>
      <c r="H3820" s="8">
        <f>VLOOKUP(A3820,[1]!Table1[#All],32,FALSE)</f>
        <v>43678</v>
      </c>
      <c r="I3820" s="8">
        <f>VLOOKUP(A3820,[1]!Table1[#All],33,FALSE)</f>
        <v>45504</v>
      </c>
      <c r="J3820" t="str">
        <f t="shared" ca="1" si="63"/>
        <v>UDO</v>
      </c>
    </row>
    <row r="3821" spans="1:10" x14ac:dyDescent="0.35">
      <c r="A3821" s="9" t="s">
        <v>122</v>
      </c>
      <c r="B3821" s="10">
        <v>44743</v>
      </c>
      <c r="C3821" s="11">
        <v>4100</v>
      </c>
      <c r="D3821" s="11">
        <v>4091.8</v>
      </c>
      <c r="E3821" s="11">
        <v>8.1999999999999993</v>
      </c>
      <c r="F3821" t="str">
        <f>VLOOKUP(A3821,[1]!Table1[#All],17,FALSE)</f>
        <v>UNITED STATES</v>
      </c>
      <c r="G3821" t="str">
        <f>VLOOKUP(A3821,[1]!Table1[#All],22,FALSE)</f>
        <v>WI ST DEPARTMENT OF HEALTH &amp; SOCIAL SERVICES</v>
      </c>
      <c r="H3821" s="8">
        <f>VLOOKUP(A3821,[1]!Table1[#All],32,FALSE)</f>
        <v>43678</v>
      </c>
      <c r="I3821" s="8">
        <f>VLOOKUP(A3821,[1]!Table1[#All],33,FALSE)</f>
        <v>45504</v>
      </c>
      <c r="J3821" t="str">
        <f t="shared" ca="1" si="63"/>
        <v>UDO</v>
      </c>
    </row>
    <row r="3822" spans="1:10" x14ac:dyDescent="0.35">
      <c r="A3822" s="5" t="s">
        <v>122</v>
      </c>
      <c r="B3822" s="6">
        <v>44774</v>
      </c>
      <c r="C3822" s="7">
        <v>4100</v>
      </c>
      <c r="D3822" s="7">
        <v>4100</v>
      </c>
      <c r="E3822" s="7">
        <v>0</v>
      </c>
      <c r="F3822" t="str">
        <f>VLOOKUP(A3822,[1]!Table1[#All],17,FALSE)</f>
        <v>UNITED STATES</v>
      </c>
      <c r="G3822" t="str">
        <f>VLOOKUP(A3822,[1]!Table1[#All],22,FALSE)</f>
        <v>WI ST DEPARTMENT OF HEALTH &amp; SOCIAL SERVICES</v>
      </c>
      <c r="H3822" s="8">
        <f>VLOOKUP(A3822,[1]!Table1[#All],32,FALSE)</f>
        <v>43678</v>
      </c>
      <c r="I3822" s="8">
        <f>VLOOKUP(A3822,[1]!Table1[#All],33,FALSE)</f>
        <v>45504</v>
      </c>
      <c r="J3822" t="str">
        <f t="shared" ca="1" si="63"/>
        <v>Non UDO</v>
      </c>
    </row>
    <row r="3823" spans="1:10" x14ac:dyDescent="0.35">
      <c r="A3823" s="9" t="s">
        <v>122</v>
      </c>
      <c r="B3823" s="10">
        <v>44805</v>
      </c>
      <c r="C3823" s="11">
        <v>4100</v>
      </c>
      <c r="D3823" s="11">
        <v>4100</v>
      </c>
      <c r="E3823" s="11">
        <v>0</v>
      </c>
      <c r="F3823" t="str">
        <f>VLOOKUP(A3823,[1]!Table1[#All],17,FALSE)</f>
        <v>UNITED STATES</v>
      </c>
      <c r="G3823" t="str">
        <f>VLOOKUP(A3823,[1]!Table1[#All],22,FALSE)</f>
        <v>WI ST DEPARTMENT OF HEALTH &amp; SOCIAL SERVICES</v>
      </c>
      <c r="H3823" s="8">
        <f>VLOOKUP(A3823,[1]!Table1[#All],32,FALSE)</f>
        <v>43678</v>
      </c>
      <c r="I3823" s="8">
        <f>VLOOKUP(A3823,[1]!Table1[#All],33,FALSE)</f>
        <v>45504</v>
      </c>
      <c r="J3823" t="str">
        <f t="shared" ca="1" si="63"/>
        <v>Non UDO</v>
      </c>
    </row>
    <row r="3824" spans="1:10" x14ac:dyDescent="0.35">
      <c r="A3824" s="5" t="s">
        <v>122</v>
      </c>
      <c r="B3824" s="6">
        <v>44835</v>
      </c>
      <c r="C3824" s="7">
        <v>4100</v>
      </c>
      <c r="D3824" s="7">
        <v>4100</v>
      </c>
      <c r="E3824" s="7">
        <v>0</v>
      </c>
      <c r="F3824" t="str">
        <f>VLOOKUP(A3824,[1]!Table1[#All],17,FALSE)</f>
        <v>UNITED STATES</v>
      </c>
      <c r="G3824" t="str">
        <f>VLOOKUP(A3824,[1]!Table1[#All],22,FALSE)</f>
        <v>WI ST DEPARTMENT OF HEALTH &amp; SOCIAL SERVICES</v>
      </c>
      <c r="H3824" s="8">
        <f>VLOOKUP(A3824,[1]!Table1[#All],32,FALSE)</f>
        <v>43678</v>
      </c>
      <c r="I3824" s="8">
        <f>VLOOKUP(A3824,[1]!Table1[#All],33,FALSE)</f>
        <v>45504</v>
      </c>
      <c r="J3824" t="str">
        <f t="shared" ca="1" si="63"/>
        <v>Non UDO</v>
      </c>
    </row>
    <row r="3825" spans="1:10" x14ac:dyDescent="0.35">
      <c r="A3825" s="9" t="s">
        <v>122</v>
      </c>
      <c r="B3825" s="10">
        <v>44866</v>
      </c>
      <c r="C3825" s="11">
        <v>4100</v>
      </c>
      <c r="D3825" s="11">
        <v>4100</v>
      </c>
      <c r="E3825" s="11">
        <v>0</v>
      </c>
      <c r="F3825" t="str">
        <f>VLOOKUP(A3825,[1]!Table1[#All],17,FALSE)</f>
        <v>UNITED STATES</v>
      </c>
      <c r="G3825" t="str">
        <f>VLOOKUP(A3825,[1]!Table1[#All],22,FALSE)</f>
        <v>WI ST DEPARTMENT OF HEALTH &amp; SOCIAL SERVICES</v>
      </c>
      <c r="H3825" s="8">
        <f>VLOOKUP(A3825,[1]!Table1[#All],32,FALSE)</f>
        <v>43678</v>
      </c>
      <c r="I3825" s="8">
        <f>VLOOKUP(A3825,[1]!Table1[#All],33,FALSE)</f>
        <v>45504</v>
      </c>
      <c r="J3825" t="str">
        <f t="shared" ca="1" si="63"/>
        <v>Non UDO</v>
      </c>
    </row>
    <row r="3826" spans="1:10" x14ac:dyDescent="0.35">
      <c r="A3826" s="5" t="s">
        <v>122</v>
      </c>
      <c r="B3826" s="6">
        <v>44896</v>
      </c>
      <c r="C3826" s="7">
        <v>4100</v>
      </c>
      <c r="D3826" s="7">
        <v>4100</v>
      </c>
      <c r="E3826" s="7">
        <v>0</v>
      </c>
      <c r="F3826" t="str">
        <f>VLOOKUP(A3826,[1]!Table1[#All],17,FALSE)</f>
        <v>UNITED STATES</v>
      </c>
      <c r="G3826" t="str">
        <f>VLOOKUP(A3826,[1]!Table1[#All],22,FALSE)</f>
        <v>WI ST DEPARTMENT OF HEALTH &amp; SOCIAL SERVICES</v>
      </c>
      <c r="H3826" s="8">
        <f>VLOOKUP(A3826,[1]!Table1[#All],32,FALSE)</f>
        <v>43678</v>
      </c>
      <c r="I3826" s="8">
        <f>VLOOKUP(A3826,[1]!Table1[#All],33,FALSE)</f>
        <v>45504</v>
      </c>
      <c r="J3826" t="str">
        <f t="shared" ca="1" si="63"/>
        <v>Non UDO</v>
      </c>
    </row>
    <row r="3827" spans="1:10" x14ac:dyDescent="0.35">
      <c r="A3827" s="9" t="s">
        <v>122</v>
      </c>
      <c r="B3827" s="10">
        <v>44927</v>
      </c>
      <c r="C3827" s="11">
        <v>4100</v>
      </c>
      <c r="D3827" s="11">
        <v>4100</v>
      </c>
      <c r="E3827" s="11">
        <v>0</v>
      </c>
      <c r="F3827" t="str">
        <f>VLOOKUP(A3827,[1]!Table1[#All],17,FALSE)</f>
        <v>UNITED STATES</v>
      </c>
      <c r="G3827" t="str">
        <f>VLOOKUP(A3827,[1]!Table1[#All],22,FALSE)</f>
        <v>WI ST DEPARTMENT OF HEALTH &amp; SOCIAL SERVICES</v>
      </c>
      <c r="H3827" s="8">
        <f>VLOOKUP(A3827,[1]!Table1[#All],32,FALSE)</f>
        <v>43678</v>
      </c>
      <c r="I3827" s="8">
        <f>VLOOKUP(A3827,[1]!Table1[#All],33,FALSE)</f>
        <v>45504</v>
      </c>
      <c r="J3827" t="str">
        <f t="shared" ca="1" si="63"/>
        <v>Non UDO</v>
      </c>
    </row>
    <row r="3828" spans="1:10" x14ac:dyDescent="0.35">
      <c r="A3828" s="5" t="s">
        <v>122</v>
      </c>
      <c r="B3828" s="6">
        <v>44958</v>
      </c>
      <c r="C3828" s="7">
        <v>4100</v>
      </c>
      <c r="D3828" s="7">
        <v>4100</v>
      </c>
      <c r="E3828" s="7">
        <v>0</v>
      </c>
      <c r="F3828" t="str">
        <f>VLOOKUP(A3828,[1]!Table1[#All],17,FALSE)</f>
        <v>UNITED STATES</v>
      </c>
      <c r="G3828" t="str">
        <f>VLOOKUP(A3828,[1]!Table1[#All],22,FALSE)</f>
        <v>WI ST DEPARTMENT OF HEALTH &amp; SOCIAL SERVICES</v>
      </c>
      <c r="H3828" s="8">
        <f>VLOOKUP(A3828,[1]!Table1[#All],32,FALSE)</f>
        <v>43678</v>
      </c>
      <c r="I3828" s="8">
        <f>VLOOKUP(A3828,[1]!Table1[#All],33,FALSE)</f>
        <v>45504</v>
      </c>
      <c r="J3828" t="str">
        <f t="shared" ca="1" si="63"/>
        <v>Non UDO</v>
      </c>
    </row>
    <row r="3829" spans="1:10" x14ac:dyDescent="0.35">
      <c r="A3829" s="9" t="s">
        <v>122</v>
      </c>
      <c r="B3829" s="10">
        <v>44986</v>
      </c>
      <c r="C3829" s="11">
        <v>4100</v>
      </c>
      <c r="D3829" s="11">
        <v>4100</v>
      </c>
      <c r="E3829" s="11">
        <v>0</v>
      </c>
      <c r="F3829" t="str">
        <f>VLOOKUP(A3829,[1]!Table1[#All],17,FALSE)</f>
        <v>UNITED STATES</v>
      </c>
      <c r="G3829" t="str">
        <f>VLOOKUP(A3829,[1]!Table1[#All],22,FALSE)</f>
        <v>WI ST DEPARTMENT OF HEALTH &amp; SOCIAL SERVICES</v>
      </c>
      <c r="H3829" s="8">
        <f>VLOOKUP(A3829,[1]!Table1[#All],32,FALSE)</f>
        <v>43678</v>
      </c>
      <c r="I3829" s="8">
        <f>VLOOKUP(A3829,[1]!Table1[#All],33,FALSE)</f>
        <v>45504</v>
      </c>
      <c r="J3829" t="str">
        <f t="shared" ca="1" si="63"/>
        <v>Non UDO</v>
      </c>
    </row>
    <row r="3830" spans="1:10" x14ac:dyDescent="0.35">
      <c r="A3830" s="5" t="s">
        <v>122</v>
      </c>
      <c r="B3830" s="6">
        <v>45017</v>
      </c>
      <c r="C3830" s="7">
        <v>4100</v>
      </c>
      <c r="D3830" s="7">
        <v>4100</v>
      </c>
      <c r="E3830" s="7">
        <v>0</v>
      </c>
      <c r="F3830" t="str">
        <f>VLOOKUP(A3830,[1]!Table1[#All],17,FALSE)</f>
        <v>UNITED STATES</v>
      </c>
      <c r="G3830" t="str">
        <f>VLOOKUP(A3830,[1]!Table1[#All],22,FALSE)</f>
        <v>WI ST DEPARTMENT OF HEALTH &amp; SOCIAL SERVICES</v>
      </c>
      <c r="H3830" s="8">
        <f>VLOOKUP(A3830,[1]!Table1[#All],32,FALSE)</f>
        <v>43678</v>
      </c>
      <c r="I3830" s="8">
        <f>VLOOKUP(A3830,[1]!Table1[#All],33,FALSE)</f>
        <v>45504</v>
      </c>
      <c r="J3830" t="str">
        <f t="shared" ca="1" si="63"/>
        <v>Non UDO</v>
      </c>
    </row>
    <row r="3831" spans="1:10" x14ac:dyDescent="0.35">
      <c r="A3831" s="9" t="s">
        <v>122</v>
      </c>
      <c r="B3831" s="10">
        <v>45047</v>
      </c>
      <c r="C3831" s="11">
        <v>4100</v>
      </c>
      <c r="D3831" s="11">
        <v>4100</v>
      </c>
      <c r="E3831" s="11">
        <v>0</v>
      </c>
      <c r="F3831" t="str">
        <f>VLOOKUP(A3831,[1]!Table1[#All],17,FALSE)</f>
        <v>UNITED STATES</v>
      </c>
      <c r="G3831" t="str">
        <f>VLOOKUP(A3831,[1]!Table1[#All],22,FALSE)</f>
        <v>WI ST DEPARTMENT OF HEALTH &amp; SOCIAL SERVICES</v>
      </c>
      <c r="H3831" s="8">
        <f>VLOOKUP(A3831,[1]!Table1[#All],32,FALSE)</f>
        <v>43678</v>
      </c>
      <c r="I3831" s="8">
        <f>VLOOKUP(A3831,[1]!Table1[#All],33,FALSE)</f>
        <v>45504</v>
      </c>
      <c r="J3831" t="str">
        <f t="shared" ca="1" si="63"/>
        <v>Non UDO</v>
      </c>
    </row>
    <row r="3832" spans="1:10" x14ac:dyDescent="0.35">
      <c r="A3832" s="5" t="s">
        <v>122</v>
      </c>
      <c r="B3832" s="6">
        <v>45078</v>
      </c>
      <c r="C3832" s="7">
        <v>4100</v>
      </c>
      <c r="D3832" s="7">
        <v>4100</v>
      </c>
      <c r="E3832" s="7">
        <v>0</v>
      </c>
      <c r="F3832" t="str">
        <f>VLOOKUP(A3832,[1]!Table1[#All],17,FALSE)</f>
        <v>UNITED STATES</v>
      </c>
      <c r="G3832" t="str">
        <f>VLOOKUP(A3832,[1]!Table1[#All],22,FALSE)</f>
        <v>WI ST DEPARTMENT OF HEALTH &amp; SOCIAL SERVICES</v>
      </c>
      <c r="H3832" s="8">
        <f>VLOOKUP(A3832,[1]!Table1[#All],32,FALSE)</f>
        <v>43678</v>
      </c>
      <c r="I3832" s="8">
        <f>VLOOKUP(A3832,[1]!Table1[#All],33,FALSE)</f>
        <v>45504</v>
      </c>
      <c r="J3832" t="str">
        <f t="shared" ca="1" si="63"/>
        <v>Non UDO</v>
      </c>
    </row>
    <row r="3833" spans="1:10" x14ac:dyDescent="0.35">
      <c r="A3833" s="9" t="s">
        <v>122</v>
      </c>
      <c r="B3833" s="10">
        <v>45108</v>
      </c>
      <c r="C3833" s="11">
        <v>4100</v>
      </c>
      <c r="D3833" s="11">
        <v>4100</v>
      </c>
      <c r="E3833" s="11">
        <v>0</v>
      </c>
      <c r="F3833" t="str">
        <f>VLOOKUP(A3833,[1]!Table1[#All],17,FALSE)</f>
        <v>UNITED STATES</v>
      </c>
      <c r="G3833" t="str">
        <f>VLOOKUP(A3833,[1]!Table1[#All],22,FALSE)</f>
        <v>WI ST DEPARTMENT OF HEALTH &amp; SOCIAL SERVICES</v>
      </c>
      <c r="H3833" s="8">
        <f>VLOOKUP(A3833,[1]!Table1[#All],32,FALSE)</f>
        <v>43678</v>
      </c>
      <c r="I3833" s="8">
        <f>VLOOKUP(A3833,[1]!Table1[#All],33,FALSE)</f>
        <v>45504</v>
      </c>
      <c r="J3833" t="str">
        <f t="shared" ca="1" si="63"/>
        <v>Non UDO</v>
      </c>
    </row>
    <row r="3834" spans="1:10" x14ac:dyDescent="0.35">
      <c r="A3834" s="5" t="s">
        <v>122</v>
      </c>
      <c r="B3834" s="6">
        <v>45139</v>
      </c>
      <c r="C3834" s="7">
        <v>4100</v>
      </c>
      <c r="D3834" s="7">
        <v>4100</v>
      </c>
      <c r="E3834" s="7">
        <v>0</v>
      </c>
      <c r="F3834" t="str">
        <f>VLOOKUP(A3834,[1]!Table1[#All],17,FALSE)</f>
        <v>UNITED STATES</v>
      </c>
      <c r="G3834" t="str">
        <f>VLOOKUP(A3834,[1]!Table1[#All],22,FALSE)</f>
        <v>WI ST DEPARTMENT OF HEALTH &amp; SOCIAL SERVICES</v>
      </c>
      <c r="H3834" s="8">
        <f>VLOOKUP(A3834,[1]!Table1[#All],32,FALSE)</f>
        <v>43678</v>
      </c>
      <c r="I3834" s="8">
        <f>VLOOKUP(A3834,[1]!Table1[#All],33,FALSE)</f>
        <v>45504</v>
      </c>
      <c r="J3834" t="str">
        <f t="shared" ca="1" si="63"/>
        <v>Non UDO</v>
      </c>
    </row>
    <row r="3835" spans="1:10" x14ac:dyDescent="0.35">
      <c r="A3835" s="9" t="s">
        <v>122</v>
      </c>
      <c r="B3835" s="10">
        <v>45170</v>
      </c>
      <c r="C3835" s="11">
        <v>4100</v>
      </c>
      <c r="D3835" s="11">
        <v>4100</v>
      </c>
      <c r="E3835" s="11">
        <v>0</v>
      </c>
      <c r="F3835" t="str">
        <f>VLOOKUP(A3835,[1]!Table1[#All],17,FALSE)</f>
        <v>UNITED STATES</v>
      </c>
      <c r="G3835" t="str">
        <f>VLOOKUP(A3835,[1]!Table1[#All],22,FALSE)</f>
        <v>WI ST DEPARTMENT OF HEALTH &amp; SOCIAL SERVICES</v>
      </c>
      <c r="H3835" s="8">
        <f>VLOOKUP(A3835,[1]!Table1[#All],32,FALSE)</f>
        <v>43678</v>
      </c>
      <c r="I3835" s="8">
        <f>VLOOKUP(A3835,[1]!Table1[#All],33,FALSE)</f>
        <v>45504</v>
      </c>
      <c r="J3835" t="str">
        <f t="shared" ca="1" si="63"/>
        <v>Non UDO</v>
      </c>
    </row>
    <row r="3836" spans="1:10" x14ac:dyDescent="0.35">
      <c r="A3836" s="5" t="s">
        <v>123</v>
      </c>
      <c r="B3836" s="6">
        <v>44409</v>
      </c>
      <c r="C3836" s="7">
        <v>4600</v>
      </c>
      <c r="D3836" s="7">
        <v>0</v>
      </c>
      <c r="E3836" s="7">
        <v>4600</v>
      </c>
      <c r="F3836" t="str">
        <f>VLOOKUP(A3836,[1]!Table1[#All],17,FALSE)</f>
        <v>UNITED STATES</v>
      </c>
      <c r="G3836" t="str">
        <f>VLOOKUP(A3836,[1]!Table1[#All],22,FALSE)</f>
        <v>WI ST DEPARTMENT OF HEALTH &amp; SOCIAL SERVICES</v>
      </c>
      <c r="H3836" s="8">
        <f>VLOOKUP(A3836,[1]!Table1[#All],32,FALSE)</f>
        <v>43678</v>
      </c>
      <c r="I3836" s="8">
        <f>VLOOKUP(A3836,[1]!Table1[#All],33,FALSE)</f>
        <v>45504</v>
      </c>
      <c r="J3836" t="str">
        <f t="shared" ca="1" si="63"/>
        <v>UDO</v>
      </c>
    </row>
    <row r="3837" spans="1:10" x14ac:dyDescent="0.35">
      <c r="A3837" s="9" t="s">
        <v>123</v>
      </c>
      <c r="B3837" s="10">
        <v>44440</v>
      </c>
      <c r="C3837" s="11">
        <v>4600</v>
      </c>
      <c r="D3837" s="11">
        <v>0</v>
      </c>
      <c r="E3837" s="11">
        <v>4600</v>
      </c>
      <c r="F3837" t="str">
        <f>VLOOKUP(A3837,[1]!Table1[#All],17,FALSE)</f>
        <v>UNITED STATES</v>
      </c>
      <c r="G3837" t="str">
        <f>VLOOKUP(A3837,[1]!Table1[#All],22,FALSE)</f>
        <v>WI ST DEPARTMENT OF HEALTH &amp; SOCIAL SERVICES</v>
      </c>
      <c r="H3837" s="8">
        <f>VLOOKUP(A3837,[1]!Table1[#All],32,FALSE)</f>
        <v>43678</v>
      </c>
      <c r="I3837" s="8">
        <f>VLOOKUP(A3837,[1]!Table1[#All],33,FALSE)</f>
        <v>45504</v>
      </c>
      <c r="J3837" t="str">
        <f t="shared" ca="1" si="63"/>
        <v>UDO</v>
      </c>
    </row>
    <row r="3838" spans="1:10" x14ac:dyDescent="0.35">
      <c r="A3838" s="5" t="s">
        <v>123</v>
      </c>
      <c r="B3838" s="6">
        <v>44470</v>
      </c>
      <c r="C3838" s="7">
        <v>4600</v>
      </c>
      <c r="D3838" s="7">
        <v>0</v>
      </c>
      <c r="E3838" s="7">
        <v>4600</v>
      </c>
      <c r="F3838" t="str">
        <f>VLOOKUP(A3838,[1]!Table1[#All],17,FALSE)</f>
        <v>UNITED STATES</v>
      </c>
      <c r="G3838" t="str">
        <f>VLOOKUP(A3838,[1]!Table1[#All],22,FALSE)</f>
        <v>WI ST DEPARTMENT OF HEALTH &amp; SOCIAL SERVICES</v>
      </c>
      <c r="H3838" s="8">
        <f>VLOOKUP(A3838,[1]!Table1[#All],32,FALSE)</f>
        <v>43678</v>
      </c>
      <c r="I3838" s="8">
        <f>VLOOKUP(A3838,[1]!Table1[#All],33,FALSE)</f>
        <v>45504</v>
      </c>
      <c r="J3838" t="str">
        <f t="shared" ca="1" si="63"/>
        <v>UDO</v>
      </c>
    </row>
    <row r="3839" spans="1:10" x14ac:dyDescent="0.35">
      <c r="A3839" s="9" t="s">
        <v>123</v>
      </c>
      <c r="B3839" s="10">
        <v>44501</v>
      </c>
      <c r="C3839" s="11">
        <v>4600</v>
      </c>
      <c r="D3839" s="11">
        <v>0</v>
      </c>
      <c r="E3839" s="11">
        <v>4600</v>
      </c>
      <c r="F3839" t="str">
        <f>VLOOKUP(A3839,[1]!Table1[#All],17,FALSE)</f>
        <v>UNITED STATES</v>
      </c>
      <c r="G3839" t="str">
        <f>VLOOKUP(A3839,[1]!Table1[#All],22,FALSE)</f>
        <v>WI ST DEPARTMENT OF HEALTH &amp; SOCIAL SERVICES</v>
      </c>
      <c r="H3839" s="8">
        <f>VLOOKUP(A3839,[1]!Table1[#All],32,FALSE)</f>
        <v>43678</v>
      </c>
      <c r="I3839" s="8">
        <f>VLOOKUP(A3839,[1]!Table1[#All],33,FALSE)</f>
        <v>45504</v>
      </c>
      <c r="J3839" t="str">
        <f t="shared" ca="1" si="63"/>
        <v>UDO</v>
      </c>
    </row>
    <row r="3840" spans="1:10" x14ac:dyDescent="0.35">
      <c r="A3840" s="5" t="s">
        <v>123</v>
      </c>
      <c r="B3840" s="6">
        <v>44531</v>
      </c>
      <c r="C3840" s="7">
        <v>4600</v>
      </c>
      <c r="D3840" s="7">
        <v>0</v>
      </c>
      <c r="E3840" s="7">
        <v>4600</v>
      </c>
      <c r="F3840" t="str">
        <f>VLOOKUP(A3840,[1]!Table1[#All],17,FALSE)</f>
        <v>UNITED STATES</v>
      </c>
      <c r="G3840" t="str">
        <f>VLOOKUP(A3840,[1]!Table1[#All],22,FALSE)</f>
        <v>WI ST DEPARTMENT OF HEALTH &amp; SOCIAL SERVICES</v>
      </c>
      <c r="H3840" s="8">
        <f>VLOOKUP(A3840,[1]!Table1[#All],32,FALSE)</f>
        <v>43678</v>
      </c>
      <c r="I3840" s="8">
        <f>VLOOKUP(A3840,[1]!Table1[#All],33,FALSE)</f>
        <v>45504</v>
      </c>
      <c r="J3840" t="str">
        <f t="shared" ca="1" si="63"/>
        <v>UDO</v>
      </c>
    </row>
    <row r="3841" spans="1:10" x14ac:dyDescent="0.35">
      <c r="A3841" s="9" t="s">
        <v>123</v>
      </c>
      <c r="B3841" s="10">
        <v>44562</v>
      </c>
      <c r="C3841" s="11">
        <v>4600</v>
      </c>
      <c r="D3841" s="11">
        <v>0</v>
      </c>
      <c r="E3841" s="11">
        <v>4600</v>
      </c>
      <c r="F3841" t="str">
        <f>VLOOKUP(A3841,[1]!Table1[#All],17,FALSE)</f>
        <v>UNITED STATES</v>
      </c>
      <c r="G3841" t="str">
        <f>VLOOKUP(A3841,[1]!Table1[#All],22,FALSE)</f>
        <v>WI ST DEPARTMENT OF HEALTH &amp; SOCIAL SERVICES</v>
      </c>
      <c r="H3841" s="8">
        <f>VLOOKUP(A3841,[1]!Table1[#All],32,FALSE)</f>
        <v>43678</v>
      </c>
      <c r="I3841" s="8">
        <f>VLOOKUP(A3841,[1]!Table1[#All],33,FALSE)</f>
        <v>45504</v>
      </c>
      <c r="J3841" t="str">
        <f t="shared" ca="1" si="63"/>
        <v>UDO</v>
      </c>
    </row>
    <row r="3842" spans="1:10" x14ac:dyDescent="0.35">
      <c r="A3842" s="5" t="s">
        <v>123</v>
      </c>
      <c r="B3842" s="6">
        <v>44593</v>
      </c>
      <c r="C3842" s="7">
        <v>4600</v>
      </c>
      <c r="D3842" s="7">
        <v>0</v>
      </c>
      <c r="E3842" s="7">
        <v>4600</v>
      </c>
      <c r="F3842" t="str">
        <f>VLOOKUP(A3842,[1]!Table1[#All],17,FALSE)</f>
        <v>UNITED STATES</v>
      </c>
      <c r="G3842" t="str">
        <f>VLOOKUP(A3842,[1]!Table1[#All],22,FALSE)</f>
        <v>WI ST DEPARTMENT OF HEALTH &amp; SOCIAL SERVICES</v>
      </c>
      <c r="H3842" s="8">
        <f>VLOOKUP(A3842,[1]!Table1[#All],32,FALSE)</f>
        <v>43678</v>
      </c>
      <c r="I3842" s="8">
        <f>VLOOKUP(A3842,[1]!Table1[#All],33,FALSE)</f>
        <v>45504</v>
      </c>
      <c r="J3842" t="str">
        <f t="shared" ca="1" si="63"/>
        <v>UDO</v>
      </c>
    </row>
    <row r="3843" spans="1:10" x14ac:dyDescent="0.35">
      <c r="A3843" s="9" t="s">
        <v>123</v>
      </c>
      <c r="B3843" s="10">
        <v>44621</v>
      </c>
      <c r="C3843" s="11">
        <v>4600</v>
      </c>
      <c r="D3843" s="11">
        <v>0</v>
      </c>
      <c r="E3843" s="11">
        <v>4600</v>
      </c>
      <c r="F3843" t="str">
        <f>VLOOKUP(A3843,[1]!Table1[#All],17,FALSE)</f>
        <v>UNITED STATES</v>
      </c>
      <c r="G3843" t="str">
        <f>VLOOKUP(A3843,[1]!Table1[#All],22,FALSE)</f>
        <v>WI ST DEPARTMENT OF HEALTH &amp; SOCIAL SERVICES</v>
      </c>
      <c r="H3843" s="8">
        <f>VLOOKUP(A3843,[1]!Table1[#All],32,FALSE)</f>
        <v>43678</v>
      </c>
      <c r="I3843" s="8">
        <f>VLOOKUP(A3843,[1]!Table1[#All],33,FALSE)</f>
        <v>45504</v>
      </c>
      <c r="J3843" t="str">
        <f t="shared" ref="J3843:J3906" ca="1" si="64">IF(AND( E3843&gt;0,TODAY()&gt;I3843),"UDO","Non UDO")</f>
        <v>UDO</v>
      </c>
    </row>
    <row r="3844" spans="1:10" x14ac:dyDescent="0.35">
      <c r="A3844" s="5" t="s">
        <v>123</v>
      </c>
      <c r="B3844" s="6">
        <v>44652</v>
      </c>
      <c r="C3844" s="7">
        <v>4600</v>
      </c>
      <c r="D3844" s="7">
        <v>0</v>
      </c>
      <c r="E3844" s="7">
        <v>4600</v>
      </c>
      <c r="F3844" t="str">
        <f>VLOOKUP(A3844,[1]!Table1[#All],17,FALSE)</f>
        <v>UNITED STATES</v>
      </c>
      <c r="G3844" t="str">
        <f>VLOOKUP(A3844,[1]!Table1[#All],22,FALSE)</f>
        <v>WI ST DEPARTMENT OF HEALTH &amp; SOCIAL SERVICES</v>
      </c>
      <c r="H3844" s="8">
        <f>VLOOKUP(A3844,[1]!Table1[#All],32,FALSE)</f>
        <v>43678</v>
      </c>
      <c r="I3844" s="8">
        <f>VLOOKUP(A3844,[1]!Table1[#All],33,FALSE)</f>
        <v>45504</v>
      </c>
      <c r="J3844" t="str">
        <f t="shared" ca="1" si="64"/>
        <v>UDO</v>
      </c>
    </row>
    <row r="3845" spans="1:10" x14ac:dyDescent="0.35">
      <c r="A3845" s="9" t="s">
        <v>123</v>
      </c>
      <c r="B3845" s="10">
        <v>44682</v>
      </c>
      <c r="C3845" s="11">
        <v>4600</v>
      </c>
      <c r="D3845" s="11">
        <v>0</v>
      </c>
      <c r="E3845" s="11">
        <v>4600</v>
      </c>
      <c r="F3845" t="str">
        <f>VLOOKUP(A3845,[1]!Table1[#All],17,FALSE)</f>
        <v>UNITED STATES</v>
      </c>
      <c r="G3845" t="str">
        <f>VLOOKUP(A3845,[1]!Table1[#All],22,FALSE)</f>
        <v>WI ST DEPARTMENT OF HEALTH &amp; SOCIAL SERVICES</v>
      </c>
      <c r="H3845" s="8">
        <f>VLOOKUP(A3845,[1]!Table1[#All],32,FALSE)</f>
        <v>43678</v>
      </c>
      <c r="I3845" s="8">
        <f>VLOOKUP(A3845,[1]!Table1[#All],33,FALSE)</f>
        <v>45504</v>
      </c>
      <c r="J3845" t="str">
        <f t="shared" ca="1" si="64"/>
        <v>UDO</v>
      </c>
    </row>
    <row r="3846" spans="1:10" x14ac:dyDescent="0.35">
      <c r="A3846" s="5" t="s">
        <v>123</v>
      </c>
      <c r="B3846" s="6">
        <v>44713</v>
      </c>
      <c r="C3846" s="7">
        <v>4600</v>
      </c>
      <c r="D3846" s="7">
        <v>0</v>
      </c>
      <c r="E3846" s="7">
        <v>4600</v>
      </c>
      <c r="F3846" t="str">
        <f>VLOOKUP(A3846,[1]!Table1[#All],17,FALSE)</f>
        <v>UNITED STATES</v>
      </c>
      <c r="G3846" t="str">
        <f>VLOOKUP(A3846,[1]!Table1[#All],22,FALSE)</f>
        <v>WI ST DEPARTMENT OF HEALTH &amp; SOCIAL SERVICES</v>
      </c>
      <c r="H3846" s="8">
        <f>VLOOKUP(A3846,[1]!Table1[#All],32,FALSE)</f>
        <v>43678</v>
      </c>
      <c r="I3846" s="8">
        <f>VLOOKUP(A3846,[1]!Table1[#All],33,FALSE)</f>
        <v>45504</v>
      </c>
      <c r="J3846" t="str">
        <f t="shared" ca="1" si="64"/>
        <v>UDO</v>
      </c>
    </row>
    <row r="3847" spans="1:10" x14ac:dyDescent="0.35">
      <c r="A3847" s="9" t="s">
        <v>123</v>
      </c>
      <c r="B3847" s="10">
        <v>44743</v>
      </c>
      <c r="C3847" s="11">
        <v>4600</v>
      </c>
      <c r="D3847" s="11">
        <v>0</v>
      </c>
      <c r="E3847" s="11">
        <v>4600</v>
      </c>
      <c r="F3847" t="str">
        <f>VLOOKUP(A3847,[1]!Table1[#All],17,FALSE)</f>
        <v>UNITED STATES</v>
      </c>
      <c r="G3847" t="str">
        <f>VLOOKUP(A3847,[1]!Table1[#All],22,FALSE)</f>
        <v>WI ST DEPARTMENT OF HEALTH &amp; SOCIAL SERVICES</v>
      </c>
      <c r="H3847" s="8">
        <f>VLOOKUP(A3847,[1]!Table1[#All],32,FALSE)</f>
        <v>43678</v>
      </c>
      <c r="I3847" s="8">
        <f>VLOOKUP(A3847,[1]!Table1[#All],33,FALSE)</f>
        <v>45504</v>
      </c>
      <c r="J3847" t="str">
        <f t="shared" ca="1" si="64"/>
        <v>UDO</v>
      </c>
    </row>
    <row r="3848" spans="1:10" x14ac:dyDescent="0.35">
      <c r="A3848" s="5" t="s">
        <v>123</v>
      </c>
      <c r="B3848" s="6">
        <v>44774</v>
      </c>
      <c r="C3848" s="7">
        <v>4600</v>
      </c>
      <c r="D3848" s="7">
        <v>369.12</v>
      </c>
      <c r="E3848" s="7">
        <v>4230.88</v>
      </c>
      <c r="F3848" t="str">
        <f>VLOOKUP(A3848,[1]!Table1[#All],17,FALSE)</f>
        <v>UNITED STATES</v>
      </c>
      <c r="G3848" t="str">
        <f>VLOOKUP(A3848,[1]!Table1[#All],22,FALSE)</f>
        <v>WI ST DEPARTMENT OF HEALTH &amp; SOCIAL SERVICES</v>
      </c>
      <c r="H3848" s="8">
        <f>VLOOKUP(A3848,[1]!Table1[#All],32,FALSE)</f>
        <v>43678</v>
      </c>
      <c r="I3848" s="8">
        <f>VLOOKUP(A3848,[1]!Table1[#All],33,FALSE)</f>
        <v>45504</v>
      </c>
      <c r="J3848" t="str">
        <f t="shared" ca="1" si="64"/>
        <v>UDO</v>
      </c>
    </row>
    <row r="3849" spans="1:10" x14ac:dyDescent="0.35">
      <c r="A3849" s="9" t="s">
        <v>123</v>
      </c>
      <c r="B3849" s="10">
        <v>44805</v>
      </c>
      <c r="C3849" s="11">
        <v>4600</v>
      </c>
      <c r="D3849" s="11">
        <v>766.94</v>
      </c>
      <c r="E3849" s="11">
        <v>3833.06</v>
      </c>
      <c r="F3849" t="str">
        <f>VLOOKUP(A3849,[1]!Table1[#All],17,FALSE)</f>
        <v>UNITED STATES</v>
      </c>
      <c r="G3849" t="str">
        <f>VLOOKUP(A3849,[1]!Table1[#All],22,FALSE)</f>
        <v>WI ST DEPARTMENT OF HEALTH &amp; SOCIAL SERVICES</v>
      </c>
      <c r="H3849" s="8">
        <f>VLOOKUP(A3849,[1]!Table1[#All],32,FALSE)</f>
        <v>43678</v>
      </c>
      <c r="I3849" s="8">
        <f>VLOOKUP(A3849,[1]!Table1[#All],33,FALSE)</f>
        <v>45504</v>
      </c>
      <c r="J3849" t="str">
        <f t="shared" ca="1" si="64"/>
        <v>UDO</v>
      </c>
    </row>
    <row r="3850" spans="1:10" x14ac:dyDescent="0.35">
      <c r="A3850" s="5" t="s">
        <v>123</v>
      </c>
      <c r="B3850" s="6">
        <v>44835</v>
      </c>
      <c r="C3850" s="7">
        <v>4600</v>
      </c>
      <c r="D3850" s="7">
        <v>1290.29</v>
      </c>
      <c r="E3850" s="7">
        <v>3309.71</v>
      </c>
      <c r="F3850" t="str">
        <f>VLOOKUP(A3850,[1]!Table1[#All],17,FALSE)</f>
        <v>UNITED STATES</v>
      </c>
      <c r="G3850" t="str">
        <f>VLOOKUP(A3850,[1]!Table1[#All],22,FALSE)</f>
        <v>WI ST DEPARTMENT OF HEALTH &amp; SOCIAL SERVICES</v>
      </c>
      <c r="H3850" s="8">
        <f>VLOOKUP(A3850,[1]!Table1[#All],32,FALSE)</f>
        <v>43678</v>
      </c>
      <c r="I3850" s="8">
        <f>VLOOKUP(A3850,[1]!Table1[#All],33,FALSE)</f>
        <v>45504</v>
      </c>
      <c r="J3850" t="str">
        <f t="shared" ca="1" si="64"/>
        <v>UDO</v>
      </c>
    </row>
    <row r="3851" spans="1:10" x14ac:dyDescent="0.35">
      <c r="A3851" s="9" t="s">
        <v>123</v>
      </c>
      <c r="B3851" s="10">
        <v>44866</v>
      </c>
      <c r="C3851" s="11">
        <v>4600</v>
      </c>
      <c r="D3851" s="11">
        <v>1368.5</v>
      </c>
      <c r="E3851" s="11">
        <v>3231.5</v>
      </c>
      <c r="F3851" t="str">
        <f>VLOOKUP(A3851,[1]!Table1[#All],17,FALSE)</f>
        <v>UNITED STATES</v>
      </c>
      <c r="G3851" t="str">
        <f>VLOOKUP(A3851,[1]!Table1[#All],22,FALSE)</f>
        <v>WI ST DEPARTMENT OF HEALTH &amp; SOCIAL SERVICES</v>
      </c>
      <c r="H3851" s="8">
        <f>VLOOKUP(A3851,[1]!Table1[#All],32,FALSE)</f>
        <v>43678</v>
      </c>
      <c r="I3851" s="8">
        <f>VLOOKUP(A3851,[1]!Table1[#All],33,FALSE)</f>
        <v>45504</v>
      </c>
      <c r="J3851" t="str">
        <f t="shared" ca="1" si="64"/>
        <v>UDO</v>
      </c>
    </row>
    <row r="3852" spans="1:10" x14ac:dyDescent="0.35">
      <c r="A3852" s="5" t="s">
        <v>123</v>
      </c>
      <c r="B3852" s="6">
        <v>44896</v>
      </c>
      <c r="C3852" s="7">
        <v>4600</v>
      </c>
      <c r="D3852" s="7">
        <v>1476.01</v>
      </c>
      <c r="E3852" s="7">
        <v>3123.99</v>
      </c>
      <c r="F3852" t="str">
        <f>VLOOKUP(A3852,[1]!Table1[#All],17,FALSE)</f>
        <v>UNITED STATES</v>
      </c>
      <c r="G3852" t="str">
        <f>VLOOKUP(A3852,[1]!Table1[#All],22,FALSE)</f>
        <v>WI ST DEPARTMENT OF HEALTH &amp; SOCIAL SERVICES</v>
      </c>
      <c r="H3852" s="8">
        <f>VLOOKUP(A3852,[1]!Table1[#All],32,FALSE)</f>
        <v>43678</v>
      </c>
      <c r="I3852" s="8">
        <f>VLOOKUP(A3852,[1]!Table1[#All],33,FALSE)</f>
        <v>45504</v>
      </c>
      <c r="J3852" t="str">
        <f t="shared" ca="1" si="64"/>
        <v>UDO</v>
      </c>
    </row>
    <row r="3853" spans="1:10" x14ac:dyDescent="0.35">
      <c r="A3853" s="9" t="s">
        <v>123</v>
      </c>
      <c r="B3853" s="10">
        <v>44927</v>
      </c>
      <c r="C3853" s="11">
        <v>4600</v>
      </c>
      <c r="D3853" s="11">
        <v>2015.84</v>
      </c>
      <c r="E3853" s="11">
        <v>2584.16</v>
      </c>
      <c r="F3853" t="str">
        <f>VLOOKUP(A3853,[1]!Table1[#All],17,FALSE)</f>
        <v>UNITED STATES</v>
      </c>
      <c r="G3853" t="str">
        <f>VLOOKUP(A3853,[1]!Table1[#All],22,FALSE)</f>
        <v>WI ST DEPARTMENT OF HEALTH &amp; SOCIAL SERVICES</v>
      </c>
      <c r="H3853" s="8">
        <f>VLOOKUP(A3853,[1]!Table1[#All],32,FALSE)</f>
        <v>43678</v>
      </c>
      <c r="I3853" s="8">
        <f>VLOOKUP(A3853,[1]!Table1[#All],33,FALSE)</f>
        <v>45504</v>
      </c>
      <c r="J3853" t="str">
        <f t="shared" ca="1" si="64"/>
        <v>UDO</v>
      </c>
    </row>
    <row r="3854" spans="1:10" x14ac:dyDescent="0.35">
      <c r="A3854" s="5" t="s">
        <v>123</v>
      </c>
      <c r="B3854" s="6">
        <v>44958</v>
      </c>
      <c r="C3854" s="7">
        <v>4600</v>
      </c>
      <c r="D3854" s="7">
        <v>2254.83</v>
      </c>
      <c r="E3854" s="7">
        <v>2345.17</v>
      </c>
      <c r="F3854" t="str">
        <f>VLOOKUP(A3854,[1]!Table1[#All],17,FALSE)</f>
        <v>UNITED STATES</v>
      </c>
      <c r="G3854" t="str">
        <f>VLOOKUP(A3854,[1]!Table1[#All],22,FALSE)</f>
        <v>WI ST DEPARTMENT OF HEALTH &amp; SOCIAL SERVICES</v>
      </c>
      <c r="H3854" s="8">
        <f>VLOOKUP(A3854,[1]!Table1[#All],32,FALSE)</f>
        <v>43678</v>
      </c>
      <c r="I3854" s="8">
        <f>VLOOKUP(A3854,[1]!Table1[#All],33,FALSE)</f>
        <v>45504</v>
      </c>
      <c r="J3854" t="str">
        <f t="shared" ca="1" si="64"/>
        <v>UDO</v>
      </c>
    </row>
    <row r="3855" spans="1:10" x14ac:dyDescent="0.35">
      <c r="A3855" s="9" t="s">
        <v>123</v>
      </c>
      <c r="B3855" s="10">
        <v>44986</v>
      </c>
      <c r="C3855" s="11">
        <v>4600</v>
      </c>
      <c r="D3855" s="11">
        <v>2195.65</v>
      </c>
      <c r="E3855" s="11">
        <v>2404.35</v>
      </c>
      <c r="F3855" t="str">
        <f>VLOOKUP(A3855,[1]!Table1[#All],17,FALSE)</f>
        <v>UNITED STATES</v>
      </c>
      <c r="G3855" t="str">
        <f>VLOOKUP(A3855,[1]!Table1[#All],22,FALSE)</f>
        <v>WI ST DEPARTMENT OF HEALTH &amp; SOCIAL SERVICES</v>
      </c>
      <c r="H3855" s="8">
        <f>VLOOKUP(A3855,[1]!Table1[#All],32,FALSE)</f>
        <v>43678</v>
      </c>
      <c r="I3855" s="8">
        <f>VLOOKUP(A3855,[1]!Table1[#All],33,FALSE)</f>
        <v>45504</v>
      </c>
      <c r="J3855" t="str">
        <f t="shared" ca="1" si="64"/>
        <v>UDO</v>
      </c>
    </row>
    <row r="3856" spans="1:10" x14ac:dyDescent="0.35">
      <c r="A3856" s="5" t="s">
        <v>123</v>
      </c>
      <c r="B3856" s="6">
        <v>45017</v>
      </c>
      <c r="C3856" s="7">
        <v>4600</v>
      </c>
      <c r="D3856" s="7">
        <v>2673.94</v>
      </c>
      <c r="E3856" s="7">
        <v>1926.06</v>
      </c>
      <c r="F3856" t="str">
        <f>VLOOKUP(A3856,[1]!Table1[#All],17,FALSE)</f>
        <v>UNITED STATES</v>
      </c>
      <c r="G3856" t="str">
        <f>VLOOKUP(A3856,[1]!Table1[#All],22,FALSE)</f>
        <v>WI ST DEPARTMENT OF HEALTH &amp; SOCIAL SERVICES</v>
      </c>
      <c r="H3856" s="8">
        <f>VLOOKUP(A3856,[1]!Table1[#All],32,FALSE)</f>
        <v>43678</v>
      </c>
      <c r="I3856" s="8">
        <f>VLOOKUP(A3856,[1]!Table1[#All],33,FALSE)</f>
        <v>45504</v>
      </c>
      <c r="J3856" t="str">
        <f t="shared" ca="1" si="64"/>
        <v>UDO</v>
      </c>
    </row>
    <row r="3857" spans="1:10" x14ac:dyDescent="0.35">
      <c r="A3857" s="9" t="s">
        <v>123</v>
      </c>
      <c r="B3857" s="10">
        <v>45047</v>
      </c>
      <c r="C3857" s="11">
        <v>4600</v>
      </c>
      <c r="D3857" s="11">
        <v>3280.56</v>
      </c>
      <c r="E3857" s="11">
        <v>1319.44</v>
      </c>
      <c r="F3857" t="str">
        <f>VLOOKUP(A3857,[1]!Table1[#All],17,FALSE)</f>
        <v>UNITED STATES</v>
      </c>
      <c r="G3857" t="str">
        <f>VLOOKUP(A3857,[1]!Table1[#All],22,FALSE)</f>
        <v>WI ST DEPARTMENT OF HEALTH &amp; SOCIAL SERVICES</v>
      </c>
      <c r="H3857" s="8">
        <f>VLOOKUP(A3857,[1]!Table1[#All],32,FALSE)</f>
        <v>43678</v>
      </c>
      <c r="I3857" s="8">
        <f>VLOOKUP(A3857,[1]!Table1[#All],33,FALSE)</f>
        <v>45504</v>
      </c>
      <c r="J3857" t="str">
        <f t="shared" ca="1" si="64"/>
        <v>UDO</v>
      </c>
    </row>
    <row r="3858" spans="1:10" x14ac:dyDescent="0.35">
      <c r="A3858" s="5" t="s">
        <v>123</v>
      </c>
      <c r="B3858" s="6">
        <v>45078</v>
      </c>
      <c r="C3858" s="7">
        <v>4600</v>
      </c>
      <c r="D3858" s="7">
        <v>3590.08</v>
      </c>
      <c r="E3858" s="7">
        <v>1009.92</v>
      </c>
      <c r="F3858" t="str">
        <f>VLOOKUP(A3858,[1]!Table1[#All],17,FALSE)</f>
        <v>UNITED STATES</v>
      </c>
      <c r="G3858" t="str">
        <f>VLOOKUP(A3858,[1]!Table1[#All],22,FALSE)</f>
        <v>WI ST DEPARTMENT OF HEALTH &amp; SOCIAL SERVICES</v>
      </c>
      <c r="H3858" s="8">
        <f>VLOOKUP(A3858,[1]!Table1[#All],32,FALSE)</f>
        <v>43678</v>
      </c>
      <c r="I3858" s="8">
        <f>VLOOKUP(A3858,[1]!Table1[#All],33,FALSE)</f>
        <v>45504</v>
      </c>
      <c r="J3858" t="str">
        <f t="shared" ca="1" si="64"/>
        <v>UDO</v>
      </c>
    </row>
    <row r="3859" spans="1:10" x14ac:dyDescent="0.35">
      <c r="A3859" s="9" t="s">
        <v>123</v>
      </c>
      <c r="B3859" s="10">
        <v>45108</v>
      </c>
      <c r="C3859" s="11">
        <v>4600</v>
      </c>
      <c r="D3859" s="11">
        <v>4086.74</v>
      </c>
      <c r="E3859" s="11">
        <v>513.26</v>
      </c>
      <c r="F3859" t="str">
        <f>VLOOKUP(A3859,[1]!Table1[#All],17,FALSE)</f>
        <v>UNITED STATES</v>
      </c>
      <c r="G3859" t="str">
        <f>VLOOKUP(A3859,[1]!Table1[#All],22,FALSE)</f>
        <v>WI ST DEPARTMENT OF HEALTH &amp; SOCIAL SERVICES</v>
      </c>
      <c r="H3859" s="8">
        <f>VLOOKUP(A3859,[1]!Table1[#All],32,FALSE)</f>
        <v>43678</v>
      </c>
      <c r="I3859" s="8">
        <f>VLOOKUP(A3859,[1]!Table1[#All],33,FALSE)</f>
        <v>45504</v>
      </c>
      <c r="J3859" t="str">
        <f t="shared" ca="1" si="64"/>
        <v>UDO</v>
      </c>
    </row>
    <row r="3860" spans="1:10" x14ac:dyDescent="0.35">
      <c r="A3860" s="5" t="s">
        <v>123</v>
      </c>
      <c r="B3860" s="6">
        <v>45139</v>
      </c>
      <c r="C3860" s="7">
        <v>4600</v>
      </c>
      <c r="D3860" s="7">
        <v>4366.74</v>
      </c>
      <c r="E3860" s="7">
        <v>233.26</v>
      </c>
      <c r="F3860" t="str">
        <f>VLOOKUP(A3860,[1]!Table1[#All],17,FALSE)</f>
        <v>UNITED STATES</v>
      </c>
      <c r="G3860" t="str">
        <f>VLOOKUP(A3860,[1]!Table1[#All],22,FALSE)</f>
        <v>WI ST DEPARTMENT OF HEALTH &amp; SOCIAL SERVICES</v>
      </c>
      <c r="H3860" s="8">
        <f>VLOOKUP(A3860,[1]!Table1[#All],32,FALSE)</f>
        <v>43678</v>
      </c>
      <c r="I3860" s="8">
        <f>VLOOKUP(A3860,[1]!Table1[#All],33,FALSE)</f>
        <v>45504</v>
      </c>
      <c r="J3860" t="str">
        <f t="shared" ca="1" si="64"/>
        <v>UDO</v>
      </c>
    </row>
    <row r="3861" spans="1:10" x14ac:dyDescent="0.35">
      <c r="A3861" s="9" t="s">
        <v>123</v>
      </c>
      <c r="B3861" s="10">
        <v>45170</v>
      </c>
      <c r="C3861" s="11">
        <v>4600</v>
      </c>
      <c r="D3861" s="11">
        <v>4600</v>
      </c>
      <c r="E3861" s="11">
        <v>0</v>
      </c>
      <c r="F3861" t="str">
        <f>VLOOKUP(A3861,[1]!Table1[#All],17,FALSE)</f>
        <v>UNITED STATES</v>
      </c>
      <c r="G3861" t="str">
        <f>VLOOKUP(A3861,[1]!Table1[#All],22,FALSE)</f>
        <v>WI ST DEPARTMENT OF HEALTH &amp; SOCIAL SERVICES</v>
      </c>
      <c r="H3861" s="8">
        <f>VLOOKUP(A3861,[1]!Table1[#All],32,FALSE)</f>
        <v>43678</v>
      </c>
      <c r="I3861" s="8">
        <f>VLOOKUP(A3861,[1]!Table1[#All],33,FALSE)</f>
        <v>45504</v>
      </c>
      <c r="J3861" t="str">
        <f t="shared" ca="1" si="64"/>
        <v>Non UDO</v>
      </c>
    </row>
    <row r="3862" spans="1:10" x14ac:dyDescent="0.35">
      <c r="A3862" s="5" t="s">
        <v>124</v>
      </c>
      <c r="B3862" s="6">
        <v>44105</v>
      </c>
      <c r="C3862" s="7">
        <v>65760</v>
      </c>
      <c r="D3862" s="7">
        <v>0</v>
      </c>
      <c r="E3862" s="7">
        <v>65760</v>
      </c>
      <c r="F3862" t="str">
        <f>VLOOKUP(A3862,[1]!Table1[#All],17,FALSE)</f>
        <v>UNITED STATES</v>
      </c>
      <c r="G3862" t="str">
        <f>VLOOKUP(A3862,[1]!Table1[#All],22,FALSE)</f>
        <v>PUBLIC HEALTH FOUNDATION ENTERPRISES, INC</v>
      </c>
      <c r="H3862" s="8">
        <f>VLOOKUP(A3862,[1]!Table1[#All],32,FALSE)</f>
        <v>43678</v>
      </c>
      <c r="I3862" s="8">
        <f>VLOOKUP(A3862,[1]!Table1[#All],33,FALSE)</f>
        <v>45504</v>
      </c>
      <c r="J3862" t="str">
        <f t="shared" ca="1" si="64"/>
        <v>UDO</v>
      </c>
    </row>
    <row r="3863" spans="1:10" x14ac:dyDescent="0.35">
      <c r="A3863" s="9" t="s">
        <v>124</v>
      </c>
      <c r="B3863" s="10">
        <v>44136</v>
      </c>
      <c r="C3863" s="11">
        <v>65760</v>
      </c>
      <c r="D3863" s="11">
        <v>0</v>
      </c>
      <c r="E3863" s="11">
        <v>65760</v>
      </c>
      <c r="F3863" t="str">
        <f>VLOOKUP(A3863,[1]!Table1[#All],17,FALSE)</f>
        <v>UNITED STATES</v>
      </c>
      <c r="G3863" t="str">
        <f>VLOOKUP(A3863,[1]!Table1[#All],22,FALSE)</f>
        <v>PUBLIC HEALTH FOUNDATION ENTERPRISES, INC</v>
      </c>
      <c r="H3863" s="8">
        <f>VLOOKUP(A3863,[1]!Table1[#All],32,FALSE)</f>
        <v>43678</v>
      </c>
      <c r="I3863" s="8">
        <f>VLOOKUP(A3863,[1]!Table1[#All],33,FALSE)</f>
        <v>45504</v>
      </c>
      <c r="J3863" t="str">
        <f t="shared" ca="1" si="64"/>
        <v>UDO</v>
      </c>
    </row>
    <row r="3864" spans="1:10" x14ac:dyDescent="0.35">
      <c r="A3864" s="5" t="s">
        <v>124</v>
      </c>
      <c r="B3864" s="6">
        <v>44166</v>
      </c>
      <c r="C3864" s="7">
        <v>65760</v>
      </c>
      <c r="D3864" s="7">
        <v>902.6</v>
      </c>
      <c r="E3864" s="7">
        <v>64857.4</v>
      </c>
      <c r="F3864" t="str">
        <f>VLOOKUP(A3864,[1]!Table1[#All],17,FALSE)</f>
        <v>UNITED STATES</v>
      </c>
      <c r="G3864" t="str">
        <f>VLOOKUP(A3864,[1]!Table1[#All],22,FALSE)</f>
        <v>PUBLIC HEALTH FOUNDATION ENTERPRISES, INC</v>
      </c>
      <c r="H3864" s="8">
        <f>VLOOKUP(A3864,[1]!Table1[#All],32,FALSE)</f>
        <v>43678</v>
      </c>
      <c r="I3864" s="8">
        <f>VLOOKUP(A3864,[1]!Table1[#All],33,FALSE)</f>
        <v>45504</v>
      </c>
      <c r="J3864" t="str">
        <f t="shared" ca="1" si="64"/>
        <v>UDO</v>
      </c>
    </row>
    <row r="3865" spans="1:10" x14ac:dyDescent="0.35">
      <c r="A3865" s="9" t="s">
        <v>124</v>
      </c>
      <c r="B3865" s="10">
        <v>44197</v>
      </c>
      <c r="C3865" s="11">
        <v>65760</v>
      </c>
      <c r="D3865" s="11">
        <v>7593.24</v>
      </c>
      <c r="E3865" s="11">
        <v>58166.76</v>
      </c>
      <c r="F3865" t="str">
        <f>VLOOKUP(A3865,[1]!Table1[#All],17,FALSE)</f>
        <v>UNITED STATES</v>
      </c>
      <c r="G3865" t="str">
        <f>VLOOKUP(A3865,[1]!Table1[#All],22,FALSE)</f>
        <v>PUBLIC HEALTH FOUNDATION ENTERPRISES, INC</v>
      </c>
      <c r="H3865" s="8">
        <f>VLOOKUP(A3865,[1]!Table1[#All],32,FALSE)</f>
        <v>43678</v>
      </c>
      <c r="I3865" s="8">
        <f>VLOOKUP(A3865,[1]!Table1[#All],33,FALSE)</f>
        <v>45504</v>
      </c>
      <c r="J3865" t="str">
        <f t="shared" ca="1" si="64"/>
        <v>UDO</v>
      </c>
    </row>
    <row r="3866" spans="1:10" x14ac:dyDescent="0.35">
      <c r="A3866" s="5" t="s">
        <v>124</v>
      </c>
      <c r="B3866" s="6">
        <v>44228</v>
      </c>
      <c r="C3866" s="7">
        <v>65760</v>
      </c>
      <c r="D3866" s="7">
        <v>11623.18</v>
      </c>
      <c r="E3866" s="7">
        <v>54136.82</v>
      </c>
      <c r="F3866" t="str">
        <f>VLOOKUP(A3866,[1]!Table1[#All],17,FALSE)</f>
        <v>UNITED STATES</v>
      </c>
      <c r="G3866" t="str">
        <f>VLOOKUP(A3866,[1]!Table1[#All],22,FALSE)</f>
        <v>PUBLIC HEALTH FOUNDATION ENTERPRISES, INC</v>
      </c>
      <c r="H3866" s="8">
        <f>VLOOKUP(A3866,[1]!Table1[#All],32,FALSE)</f>
        <v>43678</v>
      </c>
      <c r="I3866" s="8">
        <f>VLOOKUP(A3866,[1]!Table1[#All],33,FALSE)</f>
        <v>45504</v>
      </c>
      <c r="J3866" t="str">
        <f t="shared" ca="1" si="64"/>
        <v>UDO</v>
      </c>
    </row>
    <row r="3867" spans="1:10" x14ac:dyDescent="0.35">
      <c r="A3867" s="9" t="s">
        <v>124</v>
      </c>
      <c r="B3867" s="10">
        <v>44256</v>
      </c>
      <c r="C3867" s="11">
        <v>65760</v>
      </c>
      <c r="D3867" s="11">
        <v>14598</v>
      </c>
      <c r="E3867" s="11">
        <v>51162</v>
      </c>
      <c r="F3867" t="str">
        <f>VLOOKUP(A3867,[1]!Table1[#All],17,FALSE)</f>
        <v>UNITED STATES</v>
      </c>
      <c r="G3867" t="str">
        <f>VLOOKUP(A3867,[1]!Table1[#All],22,FALSE)</f>
        <v>PUBLIC HEALTH FOUNDATION ENTERPRISES, INC</v>
      </c>
      <c r="H3867" s="8">
        <f>VLOOKUP(A3867,[1]!Table1[#All],32,FALSE)</f>
        <v>43678</v>
      </c>
      <c r="I3867" s="8">
        <f>VLOOKUP(A3867,[1]!Table1[#All],33,FALSE)</f>
        <v>45504</v>
      </c>
      <c r="J3867" t="str">
        <f t="shared" ca="1" si="64"/>
        <v>UDO</v>
      </c>
    </row>
    <row r="3868" spans="1:10" x14ac:dyDescent="0.35">
      <c r="A3868" s="5" t="s">
        <v>124</v>
      </c>
      <c r="B3868" s="6">
        <v>44317</v>
      </c>
      <c r="C3868" s="7">
        <v>65760</v>
      </c>
      <c r="D3868" s="7">
        <v>22031.17</v>
      </c>
      <c r="E3868" s="7">
        <v>43728.83</v>
      </c>
      <c r="F3868" t="str">
        <f>VLOOKUP(A3868,[1]!Table1[#All],17,FALSE)</f>
        <v>UNITED STATES</v>
      </c>
      <c r="G3868" t="str">
        <f>VLOOKUP(A3868,[1]!Table1[#All],22,FALSE)</f>
        <v>PUBLIC HEALTH FOUNDATION ENTERPRISES, INC</v>
      </c>
      <c r="H3868" s="8">
        <f>VLOOKUP(A3868,[1]!Table1[#All],32,FALSE)</f>
        <v>43678</v>
      </c>
      <c r="I3868" s="8">
        <f>VLOOKUP(A3868,[1]!Table1[#All],33,FALSE)</f>
        <v>45504</v>
      </c>
      <c r="J3868" t="str">
        <f t="shared" ca="1" si="64"/>
        <v>UDO</v>
      </c>
    </row>
    <row r="3869" spans="1:10" x14ac:dyDescent="0.35">
      <c r="A3869" s="9" t="s">
        <v>124</v>
      </c>
      <c r="B3869" s="10">
        <v>44348</v>
      </c>
      <c r="C3869" s="11">
        <v>65760</v>
      </c>
      <c r="D3869" s="11">
        <v>25791.75</v>
      </c>
      <c r="E3869" s="11">
        <v>39968.25</v>
      </c>
      <c r="F3869" t="str">
        <f>VLOOKUP(A3869,[1]!Table1[#All],17,FALSE)</f>
        <v>UNITED STATES</v>
      </c>
      <c r="G3869" t="str">
        <f>VLOOKUP(A3869,[1]!Table1[#All],22,FALSE)</f>
        <v>PUBLIC HEALTH FOUNDATION ENTERPRISES, INC</v>
      </c>
      <c r="H3869" s="8">
        <f>VLOOKUP(A3869,[1]!Table1[#All],32,FALSE)</f>
        <v>43678</v>
      </c>
      <c r="I3869" s="8">
        <f>VLOOKUP(A3869,[1]!Table1[#All],33,FALSE)</f>
        <v>45504</v>
      </c>
      <c r="J3869" t="str">
        <f t="shared" ca="1" si="64"/>
        <v>UDO</v>
      </c>
    </row>
    <row r="3870" spans="1:10" x14ac:dyDescent="0.35">
      <c r="A3870" s="5" t="s">
        <v>124</v>
      </c>
      <c r="B3870" s="6">
        <v>44378</v>
      </c>
      <c r="C3870" s="7">
        <v>65760</v>
      </c>
      <c r="D3870" s="7">
        <v>28618.44</v>
      </c>
      <c r="E3870" s="7">
        <v>37141.56</v>
      </c>
      <c r="F3870" t="str">
        <f>VLOOKUP(A3870,[1]!Table1[#All],17,FALSE)</f>
        <v>UNITED STATES</v>
      </c>
      <c r="G3870" t="str">
        <f>VLOOKUP(A3870,[1]!Table1[#All],22,FALSE)</f>
        <v>PUBLIC HEALTH FOUNDATION ENTERPRISES, INC</v>
      </c>
      <c r="H3870" s="8">
        <f>VLOOKUP(A3870,[1]!Table1[#All],32,FALSE)</f>
        <v>43678</v>
      </c>
      <c r="I3870" s="8">
        <f>VLOOKUP(A3870,[1]!Table1[#All],33,FALSE)</f>
        <v>45504</v>
      </c>
      <c r="J3870" t="str">
        <f t="shared" ca="1" si="64"/>
        <v>UDO</v>
      </c>
    </row>
    <row r="3871" spans="1:10" x14ac:dyDescent="0.35">
      <c r="A3871" s="9" t="s">
        <v>124</v>
      </c>
      <c r="B3871" s="10">
        <v>44409</v>
      </c>
      <c r="C3871" s="11">
        <v>65760</v>
      </c>
      <c r="D3871" s="11">
        <v>32652.66</v>
      </c>
      <c r="E3871" s="11">
        <v>33107.339999999997</v>
      </c>
      <c r="F3871" t="str">
        <f>VLOOKUP(A3871,[1]!Table1[#All],17,FALSE)</f>
        <v>UNITED STATES</v>
      </c>
      <c r="G3871" t="str">
        <f>VLOOKUP(A3871,[1]!Table1[#All],22,FALSE)</f>
        <v>PUBLIC HEALTH FOUNDATION ENTERPRISES, INC</v>
      </c>
      <c r="H3871" s="8">
        <f>VLOOKUP(A3871,[1]!Table1[#All],32,FALSE)</f>
        <v>43678</v>
      </c>
      <c r="I3871" s="8">
        <f>VLOOKUP(A3871,[1]!Table1[#All],33,FALSE)</f>
        <v>45504</v>
      </c>
      <c r="J3871" t="str">
        <f t="shared" ca="1" si="64"/>
        <v>UDO</v>
      </c>
    </row>
    <row r="3872" spans="1:10" x14ac:dyDescent="0.35">
      <c r="A3872" s="5" t="s">
        <v>124</v>
      </c>
      <c r="B3872" s="6">
        <v>44440</v>
      </c>
      <c r="C3872" s="7">
        <v>65760</v>
      </c>
      <c r="D3872" s="7">
        <v>37962.42</v>
      </c>
      <c r="E3872" s="7">
        <v>27797.58</v>
      </c>
      <c r="F3872" t="str">
        <f>VLOOKUP(A3872,[1]!Table1[#All],17,FALSE)</f>
        <v>UNITED STATES</v>
      </c>
      <c r="G3872" t="str">
        <f>VLOOKUP(A3872,[1]!Table1[#All],22,FALSE)</f>
        <v>PUBLIC HEALTH FOUNDATION ENTERPRISES, INC</v>
      </c>
      <c r="H3872" s="8">
        <f>VLOOKUP(A3872,[1]!Table1[#All],32,FALSE)</f>
        <v>43678</v>
      </c>
      <c r="I3872" s="8">
        <f>VLOOKUP(A3872,[1]!Table1[#All],33,FALSE)</f>
        <v>45504</v>
      </c>
      <c r="J3872" t="str">
        <f t="shared" ca="1" si="64"/>
        <v>UDO</v>
      </c>
    </row>
    <row r="3873" spans="1:10" x14ac:dyDescent="0.35">
      <c r="A3873" s="9" t="s">
        <v>124</v>
      </c>
      <c r="B3873" s="10">
        <v>44470</v>
      </c>
      <c r="C3873" s="11">
        <v>65760</v>
      </c>
      <c r="D3873" s="11">
        <v>40098.74</v>
      </c>
      <c r="E3873" s="11">
        <v>25661.26</v>
      </c>
      <c r="F3873" t="str">
        <f>VLOOKUP(A3873,[1]!Table1[#All],17,FALSE)</f>
        <v>UNITED STATES</v>
      </c>
      <c r="G3873" t="str">
        <f>VLOOKUP(A3873,[1]!Table1[#All],22,FALSE)</f>
        <v>PUBLIC HEALTH FOUNDATION ENTERPRISES, INC</v>
      </c>
      <c r="H3873" s="8">
        <f>VLOOKUP(A3873,[1]!Table1[#All],32,FALSE)</f>
        <v>43678</v>
      </c>
      <c r="I3873" s="8">
        <f>VLOOKUP(A3873,[1]!Table1[#All],33,FALSE)</f>
        <v>45504</v>
      </c>
      <c r="J3873" t="str">
        <f t="shared" ca="1" si="64"/>
        <v>UDO</v>
      </c>
    </row>
    <row r="3874" spans="1:10" x14ac:dyDescent="0.35">
      <c r="A3874" s="5" t="s">
        <v>124</v>
      </c>
      <c r="B3874" s="6">
        <v>44501</v>
      </c>
      <c r="C3874" s="7">
        <v>65760</v>
      </c>
      <c r="D3874" s="7">
        <v>43578.93</v>
      </c>
      <c r="E3874" s="7">
        <v>22181.07</v>
      </c>
      <c r="F3874" t="str">
        <f>VLOOKUP(A3874,[1]!Table1[#All],17,FALSE)</f>
        <v>UNITED STATES</v>
      </c>
      <c r="G3874" t="str">
        <f>VLOOKUP(A3874,[1]!Table1[#All],22,FALSE)</f>
        <v>PUBLIC HEALTH FOUNDATION ENTERPRISES, INC</v>
      </c>
      <c r="H3874" s="8">
        <f>VLOOKUP(A3874,[1]!Table1[#All],32,FALSE)</f>
        <v>43678</v>
      </c>
      <c r="I3874" s="8">
        <f>VLOOKUP(A3874,[1]!Table1[#All],33,FALSE)</f>
        <v>45504</v>
      </c>
      <c r="J3874" t="str">
        <f t="shared" ca="1" si="64"/>
        <v>UDO</v>
      </c>
    </row>
    <row r="3875" spans="1:10" x14ac:dyDescent="0.35">
      <c r="A3875" s="9" t="s">
        <v>124</v>
      </c>
      <c r="B3875" s="10">
        <v>44531</v>
      </c>
      <c r="C3875" s="11">
        <v>65760</v>
      </c>
      <c r="D3875" s="11">
        <v>47067.75</v>
      </c>
      <c r="E3875" s="11">
        <v>18692.25</v>
      </c>
      <c r="F3875" t="str">
        <f>VLOOKUP(A3875,[1]!Table1[#All],17,FALSE)</f>
        <v>UNITED STATES</v>
      </c>
      <c r="G3875" t="str">
        <f>VLOOKUP(A3875,[1]!Table1[#All],22,FALSE)</f>
        <v>PUBLIC HEALTH FOUNDATION ENTERPRISES, INC</v>
      </c>
      <c r="H3875" s="8">
        <f>VLOOKUP(A3875,[1]!Table1[#All],32,FALSE)</f>
        <v>43678</v>
      </c>
      <c r="I3875" s="8">
        <f>VLOOKUP(A3875,[1]!Table1[#All],33,FALSE)</f>
        <v>45504</v>
      </c>
      <c r="J3875" t="str">
        <f t="shared" ca="1" si="64"/>
        <v>UDO</v>
      </c>
    </row>
    <row r="3876" spans="1:10" x14ac:dyDescent="0.35">
      <c r="A3876" s="5" t="s">
        <v>124</v>
      </c>
      <c r="B3876" s="6">
        <v>44562</v>
      </c>
      <c r="C3876" s="7">
        <v>65760</v>
      </c>
      <c r="D3876" s="7">
        <v>50584.31</v>
      </c>
      <c r="E3876" s="7">
        <v>15175.69</v>
      </c>
      <c r="F3876" t="str">
        <f>VLOOKUP(A3876,[1]!Table1[#All],17,FALSE)</f>
        <v>UNITED STATES</v>
      </c>
      <c r="G3876" t="str">
        <f>VLOOKUP(A3876,[1]!Table1[#All],22,FALSE)</f>
        <v>PUBLIC HEALTH FOUNDATION ENTERPRISES, INC</v>
      </c>
      <c r="H3876" s="8">
        <f>VLOOKUP(A3876,[1]!Table1[#All],32,FALSE)</f>
        <v>43678</v>
      </c>
      <c r="I3876" s="8">
        <f>VLOOKUP(A3876,[1]!Table1[#All],33,FALSE)</f>
        <v>45504</v>
      </c>
      <c r="J3876" t="str">
        <f t="shared" ca="1" si="64"/>
        <v>UDO</v>
      </c>
    </row>
    <row r="3877" spans="1:10" x14ac:dyDescent="0.35">
      <c r="A3877" s="9" t="s">
        <v>124</v>
      </c>
      <c r="B3877" s="10">
        <v>44593</v>
      </c>
      <c r="C3877" s="11">
        <v>65760</v>
      </c>
      <c r="D3877" s="11">
        <v>53389.1</v>
      </c>
      <c r="E3877" s="11">
        <v>12370.9</v>
      </c>
      <c r="F3877" t="str">
        <f>VLOOKUP(A3877,[1]!Table1[#All],17,FALSE)</f>
        <v>UNITED STATES</v>
      </c>
      <c r="G3877" t="str">
        <f>VLOOKUP(A3877,[1]!Table1[#All],22,FALSE)</f>
        <v>PUBLIC HEALTH FOUNDATION ENTERPRISES, INC</v>
      </c>
      <c r="H3877" s="8">
        <f>VLOOKUP(A3877,[1]!Table1[#All],32,FALSE)</f>
        <v>43678</v>
      </c>
      <c r="I3877" s="8">
        <f>VLOOKUP(A3877,[1]!Table1[#All],33,FALSE)</f>
        <v>45504</v>
      </c>
      <c r="J3877" t="str">
        <f t="shared" ca="1" si="64"/>
        <v>UDO</v>
      </c>
    </row>
    <row r="3878" spans="1:10" x14ac:dyDescent="0.35">
      <c r="A3878" s="5" t="s">
        <v>124</v>
      </c>
      <c r="B3878" s="6">
        <v>44621</v>
      </c>
      <c r="C3878" s="7">
        <v>65760</v>
      </c>
      <c r="D3878" s="7">
        <v>57690.47</v>
      </c>
      <c r="E3878" s="7">
        <v>8069.53</v>
      </c>
      <c r="F3878" t="str">
        <f>VLOOKUP(A3878,[1]!Table1[#All],17,FALSE)</f>
        <v>UNITED STATES</v>
      </c>
      <c r="G3878" t="str">
        <f>VLOOKUP(A3878,[1]!Table1[#All],22,FALSE)</f>
        <v>PUBLIC HEALTH FOUNDATION ENTERPRISES, INC</v>
      </c>
      <c r="H3878" s="8">
        <f>VLOOKUP(A3878,[1]!Table1[#All],32,FALSE)</f>
        <v>43678</v>
      </c>
      <c r="I3878" s="8">
        <f>VLOOKUP(A3878,[1]!Table1[#All],33,FALSE)</f>
        <v>45504</v>
      </c>
      <c r="J3878" t="str">
        <f t="shared" ca="1" si="64"/>
        <v>UDO</v>
      </c>
    </row>
    <row r="3879" spans="1:10" x14ac:dyDescent="0.35">
      <c r="A3879" s="9" t="s">
        <v>124</v>
      </c>
      <c r="B3879" s="10">
        <v>44652</v>
      </c>
      <c r="C3879" s="11">
        <v>65760</v>
      </c>
      <c r="D3879" s="11">
        <v>61749.74</v>
      </c>
      <c r="E3879" s="11">
        <v>4010.26</v>
      </c>
      <c r="F3879" t="str">
        <f>VLOOKUP(A3879,[1]!Table1[#All],17,FALSE)</f>
        <v>UNITED STATES</v>
      </c>
      <c r="G3879" t="str">
        <f>VLOOKUP(A3879,[1]!Table1[#All],22,FALSE)</f>
        <v>PUBLIC HEALTH FOUNDATION ENTERPRISES, INC</v>
      </c>
      <c r="H3879" s="8">
        <f>VLOOKUP(A3879,[1]!Table1[#All],32,FALSE)</f>
        <v>43678</v>
      </c>
      <c r="I3879" s="8">
        <f>VLOOKUP(A3879,[1]!Table1[#All],33,FALSE)</f>
        <v>45504</v>
      </c>
      <c r="J3879" t="str">
        <f t="shared" ca="1" si="64"/>
        <v>UDO</v>
      </c>
    </row>
    <row r="3880" spans="1:10" x14ac:dyDescent="0.35">
      <c r="A3880" s="5" t="s">
        <v>124</v>
      </c>
      <c r="B3880" s="6">
        <v>44682</v>
      </c>
      <c r="C3880" s="7">
        <v>65760</v>
      </c>
      <c r="D3880" s="7">
        <v>65760</v>
      </c>
      <c r="E3880" s="7">
        <v>0</v>
      </c>
      <c r="F3880" t="str">
        <f>VLOOKUP(A3880,[1]!Table1[#All],17,FALSE)</f>
        <v>UNITED STATES</v>
      </c>
      <c r="G3880" t="str">
        <f>VLOOKUP(A3880,[1]!Table1[#All],22,FALSE)</f>
        <v>PUBLIC HEALTH FOUNDATION ENTERPRISES, INC</v>
      </c>
      <c r="H3880" s="8">
        <f>VLOOKUP(A3880,[1]!Table1[#All],32,FALSE)</f>
        <v>43678</v>
      </c>
      <c r="I3880" s="8">
        <f>VLOOKUP(A3880,[1]!Table1[#All],33,FALSE)</f>
        <v>45504</v>
      </c>
      <c r="J3880" t="str">
        <f t="shared" ca="1" si="64"/>
        <v>Non UDO</v>
      </c>
    </row>
    <row r="3881" spans="1:10" x14ac:dyDescent="0.35">
      <c r="A3881" s="9" t="s">
        <v>124</v>
      </c>
      <c r="B3881" s="10">
        <v>44713</v>
      </c>
      <c r="C3881" s="11">
        <v>65760</v>
      </c>
      <c r="D3881" s="11">
        <v>65760</v>
      </c>
      <c r="E3881" s="11">
        <v>0</v>
      </c>
      <c r="F3881" t="str">
        <f>VLOOKUP(A3881,[1]!Table1[#All],17,FALSE)</f>
        <v>UNITED STATES</v>
      </c>
      <c r="G3881" t="str">
        <f>VLOOKUP(A3881,[1]!Table1[#All],22,FALSE)</f>
        <v>PUBLIC HEALTH FOUNDATION ENTERPRISES, INC</v>
      </c>
      <c r="H3881" s="8">
        <f>VLOOKUP(A3881,[1]!Table1[#All],32,FALSE)</f>
        <v>43678</v>
      </c>
      <c r="I3881" s="8">
        <f>VLOOKUP(A3881,[1]!Table1[#All],33,FALSE)</f>
        <v>45504</v>
      </c>
      <c r="J3881" t="str">
        <f t="shared" ca="1" si="64"/>
        <v>Non UDO</v>
      </c>
    </row>
    <row r="3882" spans="1:10" x14ac:dyDescent="0.35">
      <c r="A3882" s="5" t="s">
        <v>124</v>
      </c>
      <c r="B3882" s="6">
        <v>44743</v>
      </c>
      <c r="C3882" s="7">
        <v>65760</v>
      </c>
      <c r="D3882" s="7">
        <v>65760</v>
      </c>
      <c r="E3882" s="7">
        <v>0</v>
      </c>
      <c r="F3882" t="str">
        <f>VLOOKUP(A3882,[1]!Table1[#All],17,FALSE)</f>
        <v>UNITED STATES</v>
      </c>
      <c r="G3882" t="str">
        <f>VLOOKUP(A3882,[1]!Table1[#All],22,FALSE)</f>
        <v>PUBLIC HEALTH FOUNDATION ENTERPRISES, INC</v>
      </c>
      <c r="H3882" s="8">
        <f>VLOOKUP(A3882,[1]!Table1[#All],32,FALSE)</f>
        <v>43678</v>
      </c>
      <c r="I3882" s="8">
        <f>VLOOKUP(A3882,[1]!Table1[#All],33,FALSE)</f>
        <v>45504</v>
      </c>
      <c r="J3882" t="str">
        <f t="shared" ca="1" si="64"/>
        <v>Non UDO</v>
      </c>
    </row>
    <row r="3883" spans="1:10" x14ac:dyDescent="0.35">
      <c r="A3883" s="9" t="s">
        <v>124</v>
      </c>
      <c r="B3883" s="10">
        <v>44774</v>
      </c>
      <c r="C3883" s="11">
        <v>65760</v>
      </c>
      <c r="D3883" s="11">
        <v>65760</v>
      </c>
      <c r="E3883" s="11">
        <v>0</v>
      </c>
      <c r="F3883" t="str">
        <f>VLOOKUP(A3883,[1]!Table1[#All],17,FALSE)</f>
        <v>UNITED STATES</v>
      </c>
      <c r="G3883" t="str">
        <f>VLOOKUP(A3883,[1]!Table1[#All],22,FALSE)</f>
        <v>PUBLIC HEALTH FOUNDATION ENTERPRISES, INC</v>
      </c>
      <c r="H3883" s="8">
        <f>VLOOKUP(A3883,[1]!Table1[#All],32,FALSE)</f>
        <v>43678</v>
      </c>
      <c r="I3883" s="8">
        <f>VLOOKUP(A3883,[1]!Table1[#All],33,FALSE)</f>
        <v>45504</v>
      </c>
      <c r="J3883" t="str">
        <f t="shared" ca="1" si="64"/>
        <v>Non UDO</v>
      </c>
    </row>
    <row r="3884" spans="1:10" x14ac:dyDescent="0.35">
      <c r="A3884" s="5" t="s">
        <v>124</v>
      </c>
      <c r="B3884" s="6">
        <v>44805</v>
      </c>
      <c r="C3884" s="7">
        <v>65760</v>
      </c>
      <c r="D3884" s="7">
        <v>65760</v>
      </c>
      <c r="E3884" s="7">
        <v>0</v>
      </c>
      <c r="F3884" t="str">
        <f>VLOOKUP(A3884,[1]!Table1[#All],17,FALSE)</f>
        <v>UNITED STATES</v>
      </c>
      <c r="G3884" t="str">
        <f>VLOOKUP(A3884,[1]!Table1[#All],22,FALSE)</f>
        <v>PUBLIC HEALTH FOUNDATION ENTERPRISES, INC</v>
      </c>
      <c r="H3884" s="8">
        <f>VLOOKUP(A3884,[1]!Table1[#All],32,FALSE)</f>
        <v>43678</v>
      </c>
      <c r="I3884" s="8">
        <f>VLOOKUP(A3884,[1]!Table1[#All],33,FALSE)</f>
        <v>45504</v>
      </c>
      <c r="J3884" t="str">
        <f t="shared" ca="1" si="64"/>
        <v>Non UDO</v>
      </c>
    </row>
    <row r="3885" spans="1:10" x14ac:dyDescent="0.35">
      <c r="A3885" s="9" t="s">
        <v>124</v>
      </c>
      <c r="B3885" s="10">
        <v>44835</v>
      </c>
      <c r="C3885" s="11">
        <v>65760</v>
      </c>
      <c r="D3885" s="11">
        <v>65760</v>
      </c>
      <c r="E3885" s="11">
        <v>0</v>
      </c>
      <c r="F3885" t="str">
        <f>VLOOKUP(A3885,[1]!Table1[#All],17,FALSE)</f>
        <v>UNITED STATES</v>
      </c>
      <c r="G3885" t="str">
        <f>VLOOKUP(A3885,[1]!Table1[#All],22,FALSE)</f>
        <v>PUBLIC HEALTH FOUNDATION ENTERPRISES, INC</v>
      </c>
      <c r="H3885" s="8">
        <f>VLOOKUP(A3885,[1]!Table1[#All],32,FALSE)</f>
        <v>43678</v>
      </c>
      <c r="I3885" s="8">
        <f>VLOOKUP(A3885,[1]!Table1[#All],33,FALSE)</f>
        <v>45504</v>
      </c>
      <c r="J3885" t="str">
        <f t="shared" ca="1" si="64"/>
        <v>Non UDO</v>
      </c>
    </row>
    <row r="3886" spans="1:10" x14ac:dyDescent="0.35">
      <c r="A3886" s="5" t="s">
        <v>124</v>
      </c>
      <c r="B3886" s="6">
        <v>44866</v>
      </c>
      <c r="C3886" s="7">
        <v>65760</v>
      </c>
      <c r="D3886" s="7">
        <v>65760</v>
      </c>
      <c r="E3886" s="7">
        <v>0</v>
      </c>
      <c r="F3886" t="str">
        <f>VLOOKUP(A3886,[1]!Table1[#All],17,FALSE)</f>
        <v>UNITED STATES</v>
      </c>
      <c r="G3886" t="str">
        <f>VLOOKUP(A3886,[1]!Table1[#All],22,FALSE)</f>
        <v>PUBLIC HEALTH FOUNDATION ENTERPRISES, INC</v>
      </c>
      <c r="H3886" s="8">
        <f>VLOOKUP(A3886,[1]!Table1[#All],32,FALSE)</f>
        <v>43678</v>
      </c>
      <c r="I3886" s="8">
        <f>VLOOKUP(A3886,[1]!Table1[#All],33,FALSE)</f>
        <v>45504</v>
      </c>
      <c r="J3886" t="str">
        <f t="shared" ca="1" si="64"/>
        <v>Non UDO</v>
      </c>
    </row>
    <row r="3887" spans="1:10" x14ac:dyDescent="0.35">
      <c r="A3887" s="9" t="s">
        <v>124</v>
      </c>
      <c r="B3887" s="10">
        <v>44896</v>
      </c>
      <c r="C3887" s="11">
        <v>65760</v>
      </c>
      <c r="D3887" s="11">
        <v>65760</v>
      </c>
      <c r="E3887" s="11">
        <v>0</v>
      </c>
      <c r="F3887" t="str">
        <f>VLOOKUP(A3887,[1]!Table1[#All],17,FALSE)</f>
        <v>UNITED STATES</v>
      </c>
      <c r="G3887" t="str">
        <f>VLOOKUP(A3887,[1]!Table1[#All],22,FALSE)</f>
        <v>PUBLIC HEALTH FOUNDATION ENTERPRISES, INC</v>
      </c>
      <c r="H3887" s="8">
        <f>VLOOKUP(A3887,[1]!Table1[#All],32,FALSE)</f>
        <v>43678</v>
      </c>
      <c r="I3887" s="8">
        <f>VLOOKUP(A3887,[1]!Table1[#All],33,FALSE)</f>
        <v>45504</v>
      </c>
      <c r="J3887" t="str">
        <f t="shared" ca="1" si="64"/>
        <v>Non UDO</v>
      </c>
    </row>
    <row r="3888" spans="1:10" x14ac:dyDescent="0.35">
      <c r="A3888" s="5" t="s">
        <v>124</v>
      </c>
      <c r="B3888" s="6">
        <v>44927</v>
      </c>
      <c r="C3888" s="7">
        <v>65760</v>
      </c>
      <c r="D3888" s="7">
        <v>65760</v>
      </c>
      <c r="E3888" s="7">
        <v>0</v>
      </c>
      <c r="F3888" t="str">
        <f>VLOOKUP(A3888,[1]!Table1[#All],17,FALSE)</f>
        <v>UNITED STATES</v>
      </c>
      <c r="G3888" t="str">
        <f>VLOOKUP(A3888,[1]!Table1[#All],22,FALSE)</f>
        <v>PUBLIC HEALTH FOUNDATION ENTERPRISES, INC</v>
      </c>
      <c r="H3888" s="8">
        <f>VLOOKUP(A3888,[1]!Table1[#All],32,FALSE)</f>
        <v>43678</v>
      </c>
      <c r="I3888" s="8">
        <f>VLOOKUP(A3888,[1]!Table1[#All],33,FALSE)</f>
        <v>45504</v>
      </c>
      <c r="J3888" t="str">
        <f t="shared" ca="1" si="64"/>
        <v>Non UDO</v>
      </c>
    </row>
    <row r="3889" spans="1:10" x14ac:dyDescent="0.35">
      <c r="A3889" s="9" t="s">
        <v>124</v>
      </c>
      <c r="B3889" s="10">
        <v>44958</v>
      </c>
      <c r="C3889" s="11">
        <v>65760</v>
      </c>
      <c r="D3889" s="11">
        <v>65760</v>
      </c>
      <c r="E3889" s="11">
        <v>0</v>
      </c>
      <c r="F3889" t="str">
        <f>VLOOKUP(A3889,[1]!Table1[#All],17,FALSE)</f>
        <v>UNITED STATES</v>
      </c>
      <c r="G3889" t="str">
        <f>VLOOKUP(A3889,[1]!Table1[#All],22,FALSE)</f>
        <v>PUBLIC HEALTH FOUNDATION ENTERPRISES, INC</v>
      </c>
      <c r="H3889" s="8">
        <f>VLOOKUP(A3889,[1]!Table1[#All],32,FALSE)</f>
        <v>43678</v>
      </c>
      <c r="I3889" s="8">
        <f>VLOOKUP(A3889,[1]!Table1[#All],33,FALSE)</f>
        <v>45504</v>
      </c>
      <c r="J3889" t="str">
        <f t="shared" ca="1" si="64"/>
        <v>Non UDO</v>
      </c>
    </row>
    <row r="3890" spans="1:10" x14ac:dyDescent="0.35">
      <c r="A3890" s="5" t="s">
        <v>124</v>
      </c>
      <c r="B3890" s="6">
        <v>44986</v>
      </c>
      <c r="C3890" s="7">
        <v>65760</v>
      </c>
      <c r="D3890" s="7">
        <v>65760</v>
      </c>
      <c r="E3890" s="7">
        <v>0</v>
      </c>
      <c r="F3890" t="str">
        <f>VLOOKUP(A3890,[1]!Table1[#All],17,FALSE)</f>
        <v>UNITED STATES</v>
      </c>
      <c r="G3890" t="str">
        <f>VLOOKUP(A3890,[1]!Table1[#All],22,FALSE)</f>
        <v>PUBLIC HEALTH FOUNDATION ENTERPRISES, INC</v>
      </c>
      <c r="H3890" s="8">
        <f>VLOOKUP(A3890,[1]!Table1[#All],32,FALSE)</f>
        <v>43678</v>
      </c>
      <c r="I3890" s="8">
        <f>VLOOKUP(A3890,[1]!Table1[#All],33,FALSE)</f>
        <v>45504</v>
      </c>
      <c r="J3890" t="str">
        <f t="shared" ca="1" si="64"/>
        <v>Non UDO</v>
      </c>
    </row>
    <row r="3891" spans="1:10" x14ac:dyDescent="0.35">
      <c r="A3891" s="9" t="s">
        <v>124</v>
      </c>
      <c r="B3891" s="10">
        <v>45017</v>
      </c>
      <c r="C3891" s="11">
        <v>65760</v>
      </c>
      <c r="D3891" s="11">
        <v>65760</v>
      </c>
      <c r="E3891" s="11">
        <v>0</v>
      </c>
      <c r="F3891" t="str">
        <f>VLOOKUP(A3891,[1]!Table1[#All],17,FALSE)</f>
        <v>UNITED STATES</v>
      </c>
      <c r="G3891" t="str">
        <f>VLOOKUP(A3891,[1]!Table1[#All],22,FALSE)</f>
        <v>PUBLIC HEALTH FOUNDATION ENTERPRISES, INC</v>
      </c>
      <c r="H3891" s="8">
        <f>VLOOKUP(A3891,[1]!Table1[#All],32,FALSE)</f>
        <v>43678</v>
      </c>
      <c r="I3891" s="8">
        <f>VLOOKUP(A3891,[1]!Table1[#All],33,FALSE)</f>
        <v>45504</v>
      </c>
      <c r="J3891" t="str">
        <f t="shared" ca="1" si="64"/>
        <v>Non UDO</v>
      </c>
    </row>
    <row r="3892" spans="1:10" x14ac:dyDescent="0.35">
      <c r="A3892" s="5" t="s">
        <v>124</v>
      </c>
      <c r="B3892" s="6">
        <v>45047</v>
      </c>
      <c r="C3892" s="7">
        <v>65760</v>
      </c>
      <c r="D3892" s="7">
        <v>65760</v>
      </c>
      <c r="E3892" s="7">
        <v>0</v>
      </c>
      <c r="F3892" t="str">
        <f>VLOOKUP(A3892,[1]!Table1[#All],17,FALSE)</f>
        <v>UNITED STATES</v>
      </c>
      <c r="G3892" t="str">
        <f>VLOOKUP(A3892,[1]!Table1[#All],22,FALSE)</f>
        <v>PUBLIC HEALTH FOUNDATION ENTERPRISES, INC</v>
      </c>
      <c r="H3892" s="8">
        <f>VLOOKUP(A3892,[1]!Table1[#All],32,FALSE)</f>
        <v>43678</v>
      </c>
      <c r="I3892" s="8">
        <f>VLOOKUP(A3892,[1]!Table1[#All],33,FALSE)</f>
        <v>45504</v>
      </c>
      <c r="J3892" t="str">
        <f t="shared" ca="1" si="64"/>
        <v>Non UDO</v>
      </c>
    </row>
    <row r="3893" spans="1:10" x14ac:dyDescent="0.35">
      <c r="A3893" s="9" t="s">
        <v>124</v>
      </c>
      <c r="B3893" s="10">
        <v>45078</v>
      </c>
      <c r="C3893" s="11">
        <v>65760</v>
      </c>
      <c r="D3893" s="11">
        <v>65760</v>
      </c>
      <c r="E3893" s="11">
        <v>0</v>
      </c>
      <c r="F3893" t="str">
        <f>VLOOKUP(A3893,[1]!Table1[#All],17,FALSE)</f>
        <v>UNITED STATES</v>
      </c>
      <c r="G3893" t="str">
        <f>VLOOKUP(A3893,[1]!Table1[#All],22,FALSE)</f>
        <v>PUBLIC HEALTH FOUNDATION ENTERPRISES, INC</v>
      </c>
      <c r="H3893" s="8">
        <f>VLOOKUP(A3893,[1]!Table1[#All],32,FALSE)</f>
        <v>43678</v>
      </c>
      <c r="I3893" s="8">
        <f>VLOOKUP(A3893,[1]!Table1[#All],33,FALSE)</f>
        <v>45504</v>
      </c>
      <c r="J3893" t="str">
        <f t="shared" ca="1" si="64"/>
        <v>Non UDO</v>
      </c>
    </row>
    <row r="3894" spans="1:10" x14ac:dyDescent="0.35">
      <c r="A3894" s="5" t="s">
        <v>124</v>
      </c>
      <c r="B3894" s="6">
        <v>45108</v>
      </c>
      <c r="C3894" s="7">
        <v>65760</v>
      </c>
      <c r="D3894" s="7">
        <v>65760</v>
      </c>
      <c r="E3894" s="7">
        <v>0</v>
      </c>
      <c r="F3894" t="str">
        <f>VLOOKUP(A3894,[1]!Table1[#All],17,FALSE)</f>
        <v>UNITED STATES</v>
      </c>
      <c r="G3894" t="str">
        <f>VLOOKUP(A3894,[1]!Table1[#All],22,FALSE)</f>
        <v>PUBLIC HEALTH FOUNDATION ENTERPRISES, INC</v>
      </c>
      <c r="H3894" s="8">
        <f>VLOOKUP(A3894,[1]!Table1[#All],32,FALSE)</f>
        <v>43678</v>
      </c>
      <c r="I3894" s="8">
        <f>VLOOKUP(A3894,[1]!Table1[#All],33,FALSE)</f>
        <v>45504</v>
      </c>
      <c r="J3894" t="str">
        <f t="shared" ca="1" si="64"/>
        <v>Non UDO</v>
      </c>
    </row>
    <row r="3895" spans="1:10" x14ac:dyDescent="0.35">
      <c r="A3895" s="9" t="s">
        <v>124</v>
      </c>
      <c r="B3895" s="10">
        <v>45139</v>
      </c>
      <c r="C3895" s="11">
        <v>65760</v>
      </c>
      <c r="D3895" s="11">
        <v>65760</v>
      </c>
      <c r="E3895" s="11">
        <v>0</v>
      </c>
      <c r="F3895" t="str">
        <f>VLOOKUP(A3895,[1]!Table1[#All],17,FALSE)</f>
        <v>UNITED STATES</v>
      </c>
      <c r="G3895" t="str">
        <f>VLOOKUP(A3895,[1]!Table1[#All],22,FALSE)</f>
        <v>PUBLIC HEALTH FOUNDATION ENTERPRISES, INC</v>
      </c>
      <c r="H3895" s="8">
        <f>VLOOKUP(A3895,[1]!Table1[#All],32,FALSE)</f>
        <v>43678</v>
      </c>
      <c r="I3895" s="8">
        <f>VLOOKUP(A3895,[1]!Table1[#All],33,FALSE)</f>
        <v>45504</v>
      </c>
      <c r="J3895" t="str">
        <f t="shared" ca="1" si="64"/>
        <v>Non UDO</v>
      </c>
    </row>
    <row r="3896" spans="1:10" x14ac:dyDescent="0.35">
      <c r="A3896" s="5" t="s">
        <v>124</v>
      </c>
      <c r="B3896" s="6">
        <v>45170</v>
      </c>
      <c r="C3896" s="7">
        <v>65760</v>
      </c>
      <c r="D3896" s="7">
        <v>65760</v>
      </c>
      <c r="E3896" s="7">
        <v>0</v>
      </c>
      <c r="F3896" t="str">
        <f>VLOOKUP(A3896,[1]!Table1[#All],17,FALSE)</f>
        <v>UNITED STATES</v>
      </c>
      <c r="G3896" t="str">
        <f>VLOOKUP(A3896,[1]!Table1[#All],22,FALSE)</f>
        <v>PUBLIC HEALTH FOUNDATION ENTERPRISES, INC</v>
      </c>
      <c r="H3896" s="8">
        <f>VLOOKUP(A3896,[1]!Table1[#All],32,FALSE)</f>
        <v>43678</v>
      </c>
      <c r="I3896" s="8">
        <f>VLOOKUP(A3896,[1]!Table1[#All],33,FALSE)</f>
        <v>45504</v>
      </c>
      <c r="J3896" t="str">
        <f t="shared" ca="1" si="64"/>
        <v>Non UDO</v>
      </c>
    </row>
    <row r="3897" spans="1:10" x14ac:dyDescent="0.35">
      <c r="A3897" s="9" t="s">
        <v>125</v>
      </c>
      <c r="B3897" s="10">
        <v>44409</v>
      </c>
      <c r="C3897" s="11">
        <v>2500</v>
      </c>
      <c r="D3897" s="11">
        <v>0</v>
      </c>
      <c r="E3897" s="11">
        <v>2500</v>
      </c>
      <c r="F3897" t="str">
        <f>VLOOKUP(A3897,[1]!Table1[#All],17,FALSE)</f>
        <v>UNITED STATES</v>
      </c>
      <c r="G3897" t="str">
        <f>VLOOKUP(A3897,[1]!Table1[#All],22,FALSE)</f>
        <v>PUBLIC HEALTH FOUNDATION ENTERPRISES, INC</v>
      </c>
      <c r="H3897" s="8">
        <f>VLOOKUP(A3897,[1]!Table1[#All],32,FALSE)</f>
        <v>43678</v>
      </c>
      <c r="I3897" s="8">
        <f>VLOOKUP(A3897,[1]!Table1[#All],33,FALSE)</f>
        <v>45504</v>
      </c>
      <c r="J3897" t="str">
        <f t="shared" ca="1" si="64"/>
        <v>UDO</v>
      </c>
    </row>
    <row r="3898" spans="1:10" x14ac:dyDescent="0.35">
      <c r="A3898" s="5" t="s">
        <v>125</v>
      </c>
      <c r="B3898" s="6">
        <v>44440</v>
      </c>
      <c r="C3898" s="7">
        <v>2500</v>
      </c>
      <c r="D3898" s="7">
        <v>0</v>
      </c>
      <c r="E3898" s="7">
        <v>2500</v>
      </c>
      <c r="F3898" t="str">
        <f>VLOOKUP(A3898,[1]!Table1[#All],17,FALSE)</f>
        <v>UNITED STATES</v>
      </c>
      <c r="G3898" t="str">
        <f>VLOOKUP(A3898,[1]!Table1[#All],22,FALSE)</f>
        <v>PUBLIC HEALTH FOUNDATION ENTERPRISES, INC</v>
      </c>
      <c r="H3898" s="8">
        <f>VLOOKUP(A3898,[1]!Table1[#All],32,FALSE)</f>
        <v>43678</v>
      </c>
      <c r="I3898" s="8">
        <f>VLOOKUP(A3898,[1]!Table1[#All],33,FALSE)</f>
        <v>45504</v>
      </c>
      <c r="J3898" t="str">
        <f t="shared" ca="1" si="64"/>
        <v>UDO</v>
      </c>
    </row>
    <row r="3899" spans="1:10" x14ac:dyDescent="0.35">
      <c r="A3899" s="9" t="s">
        <v>125</v>
      </c>
      <c r="B3899" s="10">
        <v>44470</v>
      </c>
      <c r="C3899" s="11">
        <v>2500</v>
      </c>
      <c r="D3899" s="11">
        <v>0</v>
      </c>
      <c r="E3899" s="11">
        <v>2500</v>
      </c>
      <c r="F3899" t="str">
        <f>VLOOKUP(A3899,[1]!Table1[#All],17,FALSE)</f>
        <v>UNITED STATES</v>
      </c>
      <c r="G3899" t="str">
        <f>VLOOKUP(A3899,[1]!Table1[#All],22,FALSE)</f>
        <v>PUBLIC HEALTH FOUNDATION ENTERPRISES, INC</v>
      </c>
      <c r="H3899" s="8">
        <f>VLOOKUP(A3899,[1]!Table1[#All],32,FALSE)</f>
        <v>43678</v>
      </c>
      <c r="I3899" s="8">
        <f>VLOOKUP(A3899,[1]!Table1[#All],33,FALSE)</f>
        <v>45504</v>
      </c>
      <c r="J3899" t="str">
        <f t="shared" ca="1" si="64"/>
        <v>UDO</v>
      </c>
    </row>
    <row r="3900" spans="1:10" x14ac:dyDescent="0.35">
      <c r="A3900" s="5" t="s">
        <v>125</v>
      </c>
      <c r="B3900" s="6">
        <v>44501</v>
      </c>
      <c r="C3900" s="7">
        <v>2500</v>
      </c>
      <c r="D3900" s="7">
        <v>0</v>
      </c>
      <c r="E3900" s="7">
        <v>2500</v>
      </c>
      <c r="F3900" t="str">
        <f>VLOOKUP(A3900,[1]!Table1[#All],17,FALSE)</f>
        <v>UNITED STATES</v>
      </c>
      <c r="G3900" t="str">
        <f>VLOOKUP(A3900,[1]!Table1[#All],22,FALSE)</f>
        <v>PUBLIC HEALTH FOUNDATION ENTERPRISES, INC</v>
      </c>
      <c r="H3900" s="8">
        <f>VLOOKUP(A3900,[1]!Table1[#All],32,FALSE)</f>
        <v>43678</v>
      </c>
      <c r="I3900" s="8">
        <f>VLOOKUP(A3900,[1]!Table1[#All],33,FALSE)</f>
        <v>45504</v>
      </c>
      <c r="J3900" t="str">
        <f t="shared" ca="1" si="64"/>
        <v>UDO</v>
      </c>
    </row>
    <row r="3901" spans="1:10" x14ac:dyDescent="0.35">
      <c r="A3901" s="9" t="s">
        <v>125</v>
      </c>
      <c r="B3901" s="10">
        <v>44531</v>
      </c>
      <c r="C3901" s="11">
        <v>2500</v>
      </c>
      <c r="D3901" s="11">
        <v>0</v>
      </c>
      <c r="E3901" s="11">
        <v>2500</v>
      </c>
      <c r="F3901" t="str">
        <f>VLOOKUP(A3901,[1]!Table1[#All],17,FALSE)</f>
        <v>UNITED STATES</v>
      </c>
      <c r="G3901" t="str">
        <f>VLOOKUP(A3901,[1]!Table1[#All],22,FALSE)</f>
        <v>PUBLIC HEALTH FOUNDATION ENTERPRISES, INC</v>
      </c>
      <c r="H3901" s="8">
        <f>VLOOKUP(A3901,[1]!Table1[#All],32,FALSE)</f>
        <v>43678</v>
      </c>
      <c r="I3901" s="8">
        <f>VLOOKUP(A3901,[1]!Table1[#All],33,FALSE)</f>
        <v>45504</v>
      </c>
      <c r="J3901" t="str">
        <f t="shared" ca="1" si="64"/>
        <v>UDO</v>
      </c>
    </row>
    <row r="3902" spans="1:10" x14ac:dyDescent="0.35">
      <c r="A3902" s="5" t="s">
        <v>125</v>
      </c>
      <c r="B3902" s="6">
        <v>44562</v>
      </c>
      <c r="C3902" s="7">
        <v>2500</v>
      </c>
      <c r="D3902" s="7">
        <v>0</v>
      </c>
      <c r="E3902" s="7">
        <v>2500</v>
      </c>
      <c r="F3902" t="str">
        <f>VLOOKUP(A3902,[1]!Table1[#All],17,FALSE)</f>
        <v>UNITED STATES</v>
      </c>
      <c r="G3902" t="str">
        <f>VLOOKUP(A3902,[1]!Table1[#All],22,FALSE)</f>
        <v>PUBLIC HEALTH FOUNDATION ENTERPRISES, INC</v>
      </c>
      <c r="H3902" s="8">
        <f>VLOOKUP(A3902,[1]!Table1[#All],32,FALSE)</f>
        <v>43678</v>
      </c>
      <c r="I3902" s="8">
        <f>VLOOKUP(A3902,[1]!Table1[#All],33,FALSE)</f>
        <v>45504</v>
      </c>
      <c r="J3902" t="str">
        <f t="shared" ca="1" si="64"/>
        <v>UDO</v>
      </c>
    </row>
    <row r="3903" spans="1:10" x14ac:dyDescent="0.35">
      <c r="A3903" s="9" t="s">
        <v>125</v>
      </c>
      <c r="B3903" s="10">
        <v>44593</v>
      </c>
      <c r="C3903" s="11">
        <v>2500</v>
      </c>
      <c r="D3903" s="11">
        <v>0</v>
      </c>
      <c r="E3903" s="11">
        <v>2500</v>
      </c>
      <c r="F3903" t="str">
        <f>VLOOKUP(A3903,[1]!Table1[#All],17,FALSE)</f>
        <v>UNITED STATES</v>
      </c>
      <c r="G3903" t="str">
        <f>VLOOKUP(A3903,[1]!Table1[#All],22,FALSE)</f>
        <v>PUBLIC HEALTH FOUNDATION ENTERPRISES, INC</v>
      </c>
      <c r="H3903" s="8">
        <f>VLOOKUP(A3903,[1]!Table1[#All],32,FALSE)</f>
        <v>43678</v>
      </c>
      <c r="I3903" s="8">
        <f>VLOOKUP(A3903,[1]!Table1[#All],33,FALSE)</f>
        <v>45504</v>
      </c>
      <c r="J3903" t="str">
        <f t="shared" ca="1" si="64"/>
        <v>UDO</v>
      </c>
    </row>
    <row r="3904" spans="1:10" x14ac:dyDescent="0.35">
      <c r="A3904" s="5" t="s">
        <v>125</v>
      </c>
      <c r="B3904" s="6">
        <v>44621</v>
      </c>
      <c r="C3904" s="7">
        <v>2500</v>
      </c>
      <c r="D3904" s="7">
        <v>0</v>
      </c>
      <c r="E3904" s="7">
        <v>2500</v>
      </c>
      <c r="F3904" t="str">
        <f>VLOOKUP(A3904,[1]!Table1[#All],17,FALSE)</f>
        <v>UNITED STATES</v>
      </c>
      <c r="G3904" t="str">
        <f>VLOOKUP(A3904,[1]!Table1[#All],22,FALSE)</f>
        <v>PUBLIC HEALTH FOUNDATION ENTERPRISES, INC</v>
      </c>
      <c r="H3904" s="8">
        <f>VLOOKUP(A3904,[1]!Table1[#All],32,FALSE)</f>
        <v>43678</v>
      </c>
      <c r="I3904" s="8">
        <f>VLOOKUP(A3904,[1]!Table1[#All],33,FALSE)</f>
        <v>45504</v>
      </c>
      <c r="J3904" t="str">
        <f t="shared" ca="1" si="64"/>
        <v>UDO</v>
      </c>
    </row>
    <row r="3905" spans="1:10" x14ac:dyDescent="0.35">
      <c r="A3905" s="9" t="s">
        <v>125</v>
      </c>
      <c r="B3905" s="10">
        <v>44652</v>
      </c>
      <c r="C3905" s="11">
        <v>2500</v>
      </c>
      <c r="D3905" s="11">
        <v>0</v>
      </c>
      <c r="E3905" s="11">
        <v>2500</v>
      </c>
      <c r="F3905" t="str">
        <f>VLOOKUP(A3905,[1]!Table1[#All],17,FALSE)</f>
        <v>UNITED STATES</v>
      </c>
      <c r="G3905" t="str">
        <f>VLOOKUP(A3905,[1]!Table1[#All],22,FALSE)</f>
        <v>PUBLIC HEALTH FOUNDATION ENTERPRISES, INC</v>
      </c>
      <c r="H3905" s="8">
        <f>VLOOKUP(A3905,[1]!Table1[#All],32,FALSE)</f>
        <v>43678</v>
      </c>
      <c r="I3905" s="8">
        <f>VLOOKUP(A3905,[1]!Table1[#All],33,FALSE)</f>
        <v>45504</v>
      </c>
      <c r="J3905" t="str">
        <f t="shared" ca="1" si="64"/>
        <v>UDO</v>
      </c>
    </row>
    <row r="3906" spans="1:10" x14ac:dyDescent="0.35">
      <c r="A3906" s="5" t="s">
        <v>125</v>
      </c>
      <c r="B3906" s="6">
        <v>44682</v>
      </c>
      <c r="C3906" s="7">
        <v>2500</v>
      </c>
      <c r="D3906" s="7">
        <v>9.43</v>
      </c>
      <c r="E3906" s="7">
        <v>2490.5700000000002</v>
      </c>
      <c r="F3906" t="str">
        <f>VLOOKUP(A3906,[1]!Table1[#All],17,FALSE)</f>
        <v>UNITED STATES</v>
      </c>
      <c r="G3906" t="str">
        <f>VLOOKUP(A3906,[1]!Table1[#All],22,FALSE)</f>
        <v>PUBLIC HEALTH FOUNDATION ENTERPRISES, INC</v>
      </c>
      <c r="H3906" s="8">
        <f>VLOOKUP(A3906,[1]!Table1[#All],32,FALSE)</f>
        <v>43678</v>
      </c>
      <c r="I3906" s="8">
        <f>VLOOKUP(A3906,[1]!Table1[#All],33,FALSE)</f>
        <v>45504</v>
      </c>
      <c r="J3906" t="str">
        <f t="shared" ca="1" si="64"/>
        <v>UDO</v>
      </c>
    </row>
    <row r="3907" spans="1:10" x14ac:dyDescent="0.35">
      <c r="A3907" s="9" t="s">
        <v>125</v>
      </c>
      <c r="B3907" s="10">
        <v>44713</v>
      </c>
      <c r="C3907" s="11">
        <v>2500</v>
      </c>
      <c r="D3907" s="11">
        <v>212.53</v>
      </c>
      <c r="E3907" s="11">
        <v>2287.4699999999998</v>
      </c>
      <c r="F3907" t="str">
        <f>VLOOKUP(A3907,[1]!Table1[#All],17,FALSE)</f>
        <v>UNITED STATES</v>
      </c>
      <c r="G3907" t="str">
        <f>VLOOKUP(A3907,[1]!Table1[#All],22,FALSE)</f>
        <v>PUBLIC HEALTH FOUNDATION ENTERPRISES, INC</v>
      </c>
      <c r="H3907" s="8">
        <f>VLOOKUP(A3907,[1]!Table1[#All],32,FALSE)</f>
        <v>43678</v>
      </c>
      <c r="I3907" s="8">
        <f>VLOOKUP(A3907,[1]!Table1[#All],33,FALSE)</f>
        <v>45504</v>
      </c>
      <c r="J3907" t="str">
        <f t="shared" ref="J3907:J3970" ca="1" si="65">IF(AND( E3907&gt;0,TODAY()&gt;I3907),"UDO","Non UDO")</f>
        <v>UDO</v>
      </c>
    </row>
    <row r="3908" spans="1:10" x14ac:dyDescent="0.35">
      <c r="A3908" s="5" t="s">
        <v>125</v>
      </c>
      <c r="B3908" s="6">
        <v>44743</v>
      </c>
      <c r="C3908" s="7">
        <v>2500</v>
      </c>
      <c r="D3908" s="7">
        <v>432.62</v>
      </c>
      <c r="E3908" s="7">
        <v>2067.38</v>
      </c>
      <c r="F3908" t="str">
        <f>VLOOKUP(A3908,[1]!Table1[#All],17,FALSE)</f>
        <v>UNITED STATES</v>
      </c>
      <c r="G3908" t="str">
        <f>VLOOKUP(A3908,[1]!Table1[#All],22,FALSE)</f>
        <v>PUBLIC HEALTH FOUNDATION ENTERPRISES, INC</v>
      </c>
      <c r="H3908" s="8">
        <f>VLOOKUP(A3908,[1]!Table1[#All],32,FALSE)</f>
        <v>43678</v>
      </c>
      <c r="I3908" s="8">
        <f>VLOOKUP(A3908,[1]!Table1[#All],33,FALSE)</f>
        <v>45504</v>
      </c>
      <c r="J3908" t="str">
        <f t="shared" ca="1" si="65"/>
        <v>UDO</v>
      </c>
    </row>
    <row r="3909" spans="1:10" x14ac:dyDescent="0.35">
      <c r="A3909" s="9" t="s">
        <v>125</v>
      </c>
      <c r="B3909" s="10">
        <v>44774</v>
      </c>
      <c r="C3909" s="11">
        <v>2500</v>
      </c>
      <c r="D3909" s="11">
        <v>790.06</v>
      </c>
      <c r="E3909" s="11">
        <v>1709.94</v>
      </c>
      <c r="F3909" t="str">
        <f>VLOOKUP(A3909,[1]!Table1[#All],17,FALSE)</f>
        <v>UNITED STATES</v>
      </c>
      <c r="G3909" t="str">
        <f>VLOOKUP(A3909,[1]!Table1[#All],22,FALSE)</f>
        <v>PUBLIC HEALTH FOUNDATION ENTERPRISES, INC</v>
      </c>
      <c r="H3909" s="8">
        <f>VLOOKUP(A3909,[1]!Table1[#All],32,FALSE)</f>
        <v>43678</v>
      </c>
      <c r="I3909" s="8">
        <f>VLOOKUP(A3909,[1]!Table1[#All],33,FALSE)</f>
        <v>45504</v>
      </c>
      <c r="J3909" t="str">
        <f t="shared" ca="1" si="65"/>
        <v>UDO</v>
      </c>
    </row>
    <row r="3910" spans="1:10" x14ac:dyDescent="0.35">
      <c r="A3910" s="5" t="s">
        <v>125</v>
      </c>
      <c r="B3910" s="6">
        <v>44805</v>
      </c>
      <c r="C3910" s="7">
        <v>2500</v>
      </c>
      <c r="D3910" s="7">
        <v>938.38</v>
      </c>
      <c r="E3910" s="7">
        <v>1561.62</v>
      </c>
      <c r="F3910" t="str">
        <f>VLOOKUP(A3910,[1]!Table1[#All],17,FALSE)</f>
        <v>UNITED STATES</v>
      </c>
      <c r="G3910" t="str">
        <f>VLOOKUP(A3910,[1]!Table1[#All],22,FALSE)</f>
        <v>PUBLIC HEALTH FOUNDATION ENTERPRISES, INC</v>
      </c>
      <c r="H3910" s="8">
        <f>VLOOKUP(A3910,[1]!Table1[#All],32,FALSE)</f>
        <v>43678</v>
      </c>
      <c r="I3910" s="8">
        <f>VLOOKUP(A3910,[1]!Table1[#All],33,FALSE)</f>
        <v>45504</v>
      </c>
      <c r="J3910" t="str">
        <f t="shared" ca="1" si="65"/>
        <v>UDO</v>
      </c>
    </row>
    <row r="3911" spans="1:10" x14ac:dyDescent="0.35">
      <c r="A3911" s="9" t="s">
        <v>125</v>
      </c>
      <c r="B3911" s="10">
        <v>44835</v>
      </c>
      <c r="C3911" s="11">
        <v>2500</v>
      </c>
      <c r="D3911" s="11">
        <v>1170.0899999999999</v>
      </c>
      <c r="E3911" s="11">
        <v>1329.91</v>
      </c>
      <c r="F3911" t="str">
        <f>VLOOKUP(A3911,[1]!Table1[#All],17,FALSE)</f>
        <v>UNITED STATES</v>
      </c>
      <c r="G3911" t="str">
        <f>VLOOKUP(A3911,[1]!Table1[#All],22,FALSE)</f>
        <v>PUBLIC HEALTH FOUNDATION ENTERPRISES, INC</v>
      </c>
      <c r="H3911" s="8">
        <f>VLOOKUP(A3911,[1]!Table1[#All],32,FALSE)</f>
        <v>43678</v>
      </c>
      <c r="I3911" s="8">
        <f>VLOOKUP(A3911,[1]!Table1[#All],33,FALSE)</f>
        <v>45504</v>
      </c>
      <c r="J3911" t="str">
        <f t="shared" ca="1" si="65"/>
        <v>UDO</v>
      </c>
    </row>
    <row r="3912" spans="1:10" x14ac:dyDescent="0.35">
      <c r="A3912" s="5" t="s">
        <v>125</v>
      </c>
      <c r="B3912" s="6">
        <v>44866</v>
      </c>
      <c r="C3912" s="7">
        <v>2500</v>
      </c>
      <c r="D3912" s="7">
        <v>1283.95</v>
      </c>
      <c r="E3912" s="7">
        <v>1216.05</v>
      </c>
      <c r="F3912" t="str">
        <f>VLOOKUP(A3912,[1]!Table1[#All],17,FALSE)</f>
        <v>UNITED STATES</v>
      </c>
      <c r="G3912" t="str">
        <f>VLOOKUP(A3912,[1]!Table1[#All],22,FALSE)</f>
        <v>PUBLIC HEALTH FOUNDATION ENTERPRISES, INC</v>
      </c>
      <c r="H3912" s="8">
        <f>VLOOKUP(A3912,[1]!Table1[#All],32,FALSE)</f>
        <v>43678</v>
      </c>
      <c r="I3912" s="8">
        <f>VLOOKUP(A3912,[1]!Table1[#All],33,FALSE)</f>
        <v>45504</v>
      </c>
      <c r="J3912" t="str">
        <f t="shared" ca="1" si="65"/>
        <v>UDO</v>
      </c>
    </row>
    <row r="3913" spans="1:10" x14ac:dyDescent="0.35">
      <c r="A3913" s="9" t="s">
        <v>125</v>
      </c>
      <c r="B3913" s="10">
        <v>44896</v>
      </c>
      <c r="C3913" s="11">
        <v>2500</v>
      </c>
      <c r="D3913" s="11">
        <v>1406.39</v>
      </c>
      <c r="E3913" s="11">
        <v>1093.6099999999999</v>
      </c>
      <c r="F3913" t="str">
        <f>VLOOKUP(A3913,[1]!Table1[#All],17,FALSE)</f>
        <v>UNITED STATES</v>
      </c>
      <c r="G3913" t="str">
        <f>VLOOKUP(A3913,[1]!Table1[#All],22,FALSE)</f>
        <v>PUBLIC HEALTH FOUNDATION ENTERPRISES, INC</v>
      </c>
      <c r="H3913" s="8">
        <f>VLOOKUP(A3913,[1]!Table1[#All],32,FALSE)</f>
        <v>43678</v>
      </c>
      <c r="I3913" s="8">
        <f>VLOOKUP(A3913,[1]!Table1[#All],33,FALSE)</f>
        <v>45504</v>
      </c>
      <c r="J3913" t="str">
        <f t="shared" ca="1" si="65"/>
        <v>UDO</v>
      </c>
    </row>
    <row r="3914" spans="1:10" x14ac:dyDescent="0.35">
      <c r="A3914" s="5" t="s">
        <v>125</v>
      </c>
      <c r="B3914" s="6">
        <v>44927</v>
      </c>
      <c r="C3914" s="7">
        <v>2500</v>
      </c>
      <c r="D3914" s="7">
        <v>1590.63</v>
      </c>
      <c r="E3914" s="7">
        <v>909.37</v>
      </c>
      <c r="F3914" t="str">
        <f>VLOOKUP(A3914,[1]!Table1[#All],17,FALSE)</f>
        <v>UNITED STATES</v>
      </c>
      <c r="G3914" t="str">
        <f>VLOOKUP(A3914,[1]!Table1[#All],22,FALSE)</f>
        <v>PUBLIC HEALTH FOUNDATION ENTERPRISES, INC</v>
      </c>
      <c r="H3914" s="8">
        <f>VLOOKUP(A3914,[1]!Table1[#All],32,FALSE)</f>
        <v>43678</v>
      </c>
      <c r="I3914" s="8">
        <f>VLOOKUP(A3914,[1]!Table1[#All],33,FALSE)</f>
        <v>45504</v>
      </c>
      <c r="J3914" t="str">
        <f t="shared" ca="1" si="65"/>
        <v>UDO</v>
      </c>
    </row>
    <row r="3915" spans="1:10" x14ac:dyDescent="0.35">
      <c r="A3915" s="9" t="s">
        <v>125</v>
      </c>
      <c r="B3915" s="10">
        <v>44958</v>
      </c>
      <c r="C3915" s="11">
        <v>2500</v>
      </c>
      <c r="D3915" s="11">
        <v>1814.78</v>
      </c>
      <c r="E3915" s="11">
        <v>685.22</v>
      </c>
      <c r="F3915" t="str">
        <f>VLOOKUP(A3915,[1]!Table1[#All],17,FALSE)</f>
        <v>UNITED STATES</v>
      </c>
      <c r="G3915" t="str">
        <f>VLOOKUP(A3915,[1]!Table1[#All],22,FALSE)</f>
        <v>PUBLIC HEALTH FOUNDATION ENTERPRISES, INC</v>
      </c>
      <c r="H3915" s="8">
        <f>VLOOKUP(A3915,[1]!Table1[#All],32,FALSE)</f>
        <v>43678</v>
      </c>
      <c r="I3915" s="8">
        <f>VLOOKUP(A3915,[1]!Table1[#All],33,FALSE)</f>
        <v>45504</v>
      </c>
      <c r="J3915" t="str">
        <f t="shared" ca="1" si="65"/>
        <v>UDO</v>
      </c>
    </row>
    <row r="3916" spans="1:10" x14ac:dyDescent="0.35">
      <c r="A3916" s="5" t="s">
        <v>125</v>
      </c>
      <c r="B3916" s="6">
        <v>44986</v>
      </c>
      <c r="C3916" s="7">
        <v>2500</v>
      </c>
      <c r="D3916" s="7">
        <v>1931.14</v>
      </c>
      <c r="E3916" s="7">
        <v>568.86</v>
      </c>
      <c r="F3916" t="str">
        <f>VLOOKUP(A3916,[1]!Table1[#All],17,FALSE)</f>
        <v>UNITED STATES</v>
      </c>
      <c r="G3916" t="str">
        <f>VLOOKUP(A3916,[1]!Table1[#All],22,FALSE)</f>
        <v>PUBLIC HEALTH FOUNDATION ENTERPRISES, INC</v>
      </c>
      <c r="H3916" s="8">
        <f>VLOOKUP(A3916,[1]!Table1[#All],32,FALSE)</f>
        <v>43678</v>
      </c>
      <c r="I3916" s="8">
        <f>VLOOKUP(A3916,[1]!Table1[#All],33,FALSE)</f>
        <v>45504</v>
      </c>
      <c r="J3916" t="str">
        <f t="shared" ca="1" si="65"/>
        <v>UDO</v>
      </c>
    </row>
    <row r="3917" spans="1:10" x14ac:dyDescent="0.35">
      <c r="A3917" s="9" t="s">
        <v>125</v>
      </c>
      <c r="B3917" s="10">
        <v>45017</v>
      </c>
      <c r="C3917" s="11">
        <v>2500</v>
      </c>
      <c r="D3917" s="11">
        <v>2204.0100000000002</v>
      </c>
      <c r="E3917" s="11">
        <v>295.99</v>
      </c>
      <c r="F3917" t="str">
        <f>VLOOKUP(A3917,[1]!Table1[#All],17,FALSE)</f>
        <v>UNITED STATES</v>
      </c>
      <c r="G3917" t="str">
        <f>VLOOKUP(A3917,[1]!Table1[#All],22,FALSE)</f>
        <v>PUBLIC HEALTH FOUNDATION ENTERPRISES, INC</v>
      </c>
      <c r="H3917" s="8">
        <f>VLOOKUP(A3917,[1]!Table1[#All],32,FALSE)</f>
        <v>43678</v>
      </c>
      <c r="I3917" s="8">
        <f>VLOOKUP(A3917,[1]!Table1[#All],33,FALSE)</f>
        <v>45504</v>
      </c>
      <c r="J3917" t="str">
        <f t="shared" ca="1" si="65"/>
        <v>UDO</v>
      </c>
    </row>
    <row r="3918" spans="1:10" x14ac:dyDescent="0.35">
      <c r="A3918" s="5" t="s">
        <v>125</v>
      </c>
      <c r="B3918" s="6">
        <v>45047</v>
      </c>
      <c r="C3918" s="7">
        <v>2500</v>
      </c>
      <c r="D3918" s="7">
        <v>2343.6</v>
      </c>
      <c r="E3918" s="7">
        <v>156.4</v>
      </c>
      <c r="F3918" t="str">
        <f>VLOOKUP(A3918,[1]!Table1[#All],17,FALSE)</f>
        <v>UNITED STATES</v>
      </c>
      <c r="G3918" t="str">
        <f>VLOOKUP(A3918,[1]!Table1[#All],22,FALSE)</f>
        <v>PUBLIC HEALTH FOUNDATION ENTERPRISES, INC</v>
      </c>
      <c r="H3918" s="8">
        <f>VLOOKUP(A3918,[1]!Table1[#All],32,FALSE)</f>
        <v>43678</v>
      </c>
      <c r="I3918" s="8">
        <f>VLOOKUP(A3918,[1]!Table1[#All],33,FALSE)</f>
        <v>45504</v>
      </c>
      <c r="J3918" t="str">
        <f t="shared" ca="1" si="65"/>
        <v>UDO</v>
      </c>
    </row>
    <row r="3919" spans="1:10" x14ac:dyDescent="0.35">
      <c r="A3919" s="9" t="s">
        <v>125</v>
      </c>
      <c r="B3919" s="10">
        <v>45078</v>
      </c>
      <c r="C3919" s="11">
        <v>2500</v>
      </c>
      <c r="D3919" s="11">
        <v>2500</v>
      </c>
      <c r="E3919" s="11">
        <v>0</v>
      </c>
      <c r="F3919" t="str">
        <f>VLOOKUP(A3919,[1]!Table1[#All],17,FALSE)</f>
        <v>UNITED STATES</v>
      </c>
      <c r="G3919" t="str">
        <f>VLOOKUP(A3919,[1]!Table1[#All],22,FALSE)</f>
        <v>PUBLIC HEALTH FOUNDATION ENTERPRISES, INC</v>
      </c>
      <c r="H3919" s="8">
        <f>VLOOKUP(A3919,[1]!Table1[#All],32,FALSE)</f>
        <v>43678</v>
      </c>
      <c r="I3919" s="8">
        <f>VLOOKUP(A3919,[1]!Table1[#All],33,FALSE)</f>
        <v>45504</v>
      </c>
      <c r="J3919" t="str">
        <f t="shared" ca="1" si="65"/>
        <v>Non UDO</v>
      </c>
    </row>
    <row r="3920" spans="1:10" x14ac:dyDescent="0.35">
      <c r="A3920" s="5" t="s">
        <v>125</v>
      </c>
      <c r="B3920" s="6">
        <v>45108</v>
      </c>
      <c r="C3920" s="7">
        <v>2500</v>
      </c>
      <c r="D3920" s="7">
        <v>2500</v>
      </c>
      <c r="E3920" s="7">
        <v>0</v>
      </c>
      <c r="F3920" t="str">
        <f>VLOOKUP(A3920,[1]!Table1[#All],17,FALSE)</f>
        <v>UNITED STATES</v>
      </c>
      <c r="G3920" t="str">
        <f>VLOOKUP(A3920,[1]!Table1[#All],22,FALSE)</f>
        <v>PUBLIC HEALTH FOUNDATION ENTERPRISES, INC</v>
      </c>
      <c r="H3920" s="8">
        <f>VLOOKUP(A3920,[1]!Table1[#All],32,FALSE)</f>
        <v>43678</v>
      </c>
      <c r="I3920" s="8">
        <f>VLOOKUP(A3920,[1]!Table1[#All],33,FALSE)</f>
        <v>45504</v>
      </c>
      <c r="J3920" t="str">
        <f t="shared" ca="1" si="65"/>
        <v>Non UDO</v>
      </c>
    </row>
    <row r="3921" spans="1:10" x14ac:dyDescent="0.35">
      <c r="A3921" s="9" t="s">
        <v>125</v>
      </c>
      <c r="B3921" s="10">
        <v>45139</v>
      </c>
      <c r="C3921" s="11">
        <v>2500</v>
      </c>
      <c r="D3921" s="11">
        <v>2500</v>
      </c>
      <c r="E3921" s="11">
        <v>0</v>
      </c>
      <c r="F3921" t="str">
        <f>VLOOKUP(A3921,[1]!Table1[#All],17,FALSE)</f>
        <v>UNITED STATES</v>
      </c>
      <c r="G3921" t="str">
        <f>VLOOKUP(A3921,[1]!Table1[#All],22,FALSE)</f>
        <v>PUBLIC HEALTH FOUNDATION ENTERPRISES, INC</v>
      </c>
      <c r="H3921" s="8">
        <f>VLOOKUP(A3921,[1]!Table1[#All],32,FALSE)</f>
        <v>43678</v>
      </c>
      <c r="I3921" s="8">
        <f>VLOOKUP(A3921,[1]!Table1[#All],33,FALSE)</f>
        <v>45504</v>
      </c>
      <c r="J3921" t="str">
        <f t="shared" ca="1" si="65"/>
        <v>Non UDO</v>
      </c>
    </row>
    <row r="3922" spans="1:10" x14ac:dyDescent="0.35">
      <c r="A3922" s="5" t="s">
        <v>125</v>
      </c>
      <c r="B3922" s="6">
        <v>45170</v>
      </c>
      <c r="C3922" s="7">
        <v>2500</v>
      </c>
      <c r="D3922" s="7">
        <v>2500</v>
      </c>
      <c r="E3922" s="7">
        <v>0</v>
      </c>
      <c r="F3922" t="str">
        <f>VLOOKUP(A3922,[1]!Table1[#All],17,FALSE)</f>
        <v>UNITED STATES</v>
      </c>
      <c r="G3922" t="str">
        <f>VLOOKUP(A3922,[1]!Table1[#All],22,FALSE)</f>
        <v>PUBLIC HEALTH FOUNDATION ENTERPRISES, INC</v>
      </c>
      <c r="H3922" s="8">
        <f>VLOOKUP(A3922,[1]!Table1[#All],32,FALSE)</f>
        <v>43678</v>
      </c>
      <c r="I3922" s="8">
        <f>VLOOKUP(A3922,[1]!Table1[#All],33,FALSE)</f>
        <v>45504</v>
      </c>
      <c r="J3922" t="str">
        <f t="shared" ca="1" si="65"/>
        <v>Non UDO</v>
      </c>
    </row>
    <row r="3923" spans="1:10" x14ac:dyDescent="0.35">
      <c r="A3923" s="9" t="s">
        <v>126</v>
      </c>
      <c r="B3923" s="10">
        <v>44105</v>
      </c>
      <c r="C3923" s="11">
        <v>3000</v>
      </c>
      <c r="D3923" s="11">
        <v>0</v>
      </c>
      <c r="E3923" s="11">
        <v>3000</v>
      </c>
      <c r="F3923" t="str">
        <f>VLOOKUP(A3923,[1]!Table1[#All],17,FALSE)</f>
        <v>UNITED STATES</v>
      </c>
      <c r="G3923" t="str">
        <f>VLOOKUP(A3923,[1]!Table1[#All],22,FALSE)</f>
        <v>STATE OF OHIO - DEPARTMENT OF HEALTH</v>
      </c>
      <c r="H3923" s="8">
        <f>VLOOKUP(A3923,[1]!Table1[#All],32,FALSE)</f>
        <v>43678</v>
      </c>
      <c r="I3923" s="8">
        <f>VLOOKUP(A3923,[1]!Table1[#All],33,FALSE)</f>
        <v>45504</v>
      </c>
      <c r="J3923" t="str">
        <f t="shared" ca="1" si="65"/>
        <v>UDO</v>
      </c>
    </row>
    <row r="3924" spans="1:10" x14ac:dyDescent="0.35">
      <c r="A3924" s="5" t="s">
        <v>126</v>
      </c>
      <c r="B3924" s="6">
        <v>44136</v>
      </c>
      <c r="C3924" s="7">
        <v>3000</v>
      </c>
      <c r="D3924" s="7">
        <v>149.99</v>
      </c>
      <c r="E3924" s="7">
        <v>2850.01</v>
      </c>
      <c r="F3924" t="str">
        <f>VLOOKUP(A3924,[1]!Table1[#All],17,FALSE)</f>
        <v>UNITED STATES</v>
      </c>
      <c r="G3924" t="str">
        <f>VLOOKUP(A3924,[1]!Table1[#All],22,FALSE)</f>
        <v>STATE OF OHIO - DEPARTMENT OF HEALTH</v>
      </c>
      <c r="H3924" s="8">
        <f>VLOOKUP(A3924,[1]!Table1[#All],32,FALSE)</f>
        <v>43678</v>
      </c>
      <c r="I3924" s="8">
        <f>VLOOKUP(A3924,[1]!Table1[#All],33,FALSE)</f>
        <v>45504</v>
      </c>
      <c r="J3924" t="str">
        <f t="shared" ca="1" si="65"/>
        <v>UDO</v>
      </c>
    </row>
    <row r="3925" spans="1:10" x14ac:dyDescent="0.35">
      <c r="A3925" s="9" t="s">
        <v>126</v>
      </c>
      <c r="B3925" s="10">
        <v>44166</v>
      </c>
      <c r="C3925" s="11">
        <v>3000</v>
      </c>
      <c r="D3925" s="11">
        <v>343.98</v>
      </c>
      <c r="E3925" s="11">
        <v>2656.02</v>
      </c>
      <c r="F3925" t="str">
        <f>VLOOKUP(A3925,[1]!Table1[#All],17,FALSE)</f>
        <v>UNITED STATES</v>
      </c>
      <c r="G3925" t="str">
        <f>VLOOKUP(A3925,[1]!Table1[#All],22,FALSE)</f>
        <v>STATE OF OHIO - DEPARTMENT OF HEALTH</v>
      </c>
      <c r="H3925" s="8">
        <f>VLOOKUP(A3925,[1]!Table1[#All],32,FALSE)</f>
        <v>43678</v>
      </c>
      <c r="I3925" s="8">
        <f>VLOOKUP(A3925,[1]!Table1[#All],33,FALSE)</f>
        <v>45504</v>
      </c>
      <c r="J3925" t="str">
        <f t="shared" ca="1" si="65"/>
        <v>UDO</v>
      </c>
    </row>
    <row r="3926" spans="1:10" x14ac:dyDescent="0.35">
      <c r="A3926" s="5" t="s">
        <v>126</v>
      </c>
      <c r="B3926" s="6">
        <v>44197</v>
      </c>
      <c r="C3926" s="7">
        <v>3000</v>
      </c>
      <c r="D3926" s="7">
        <v>785.7</v>
      </c>
      <c r="E3926" s="7">
        <v>2214.3000000000002</v>
      </c>
      <c r="F3926" t="str">
        <f>VLOOKUP(A3926,[1]!Table1[#All],17,FALSE)</f>
        <v>UNITED STATES</v>
      </c>
      <c r="G3926" t="str">
        <f>VLOOKUP(A3926,[1]!Table1[#All],22,FALSE)</f>
        <v>STATE OF OHIO - DEPARTMENT OF HEALTH</v>
      </c>
      <c r="H3926" s="8">
        <f>VLOOKUP(A3926,[1]!Table1[#All],32,FALSE)</f>
        <v>43678</v>
      </c>
      <c r="I3926" s="8">
        <f>VLOOKUP(A3926,[1]!Table1[#All],33,FALSE)</f>
        <v>45504</v>
      </c>
      <c r="J3926" t="str">
        <f t="shared" ca="1" si="65"/>
        <v>UDO</v>
      </c>
    </row>
    <row r="3927" spans="1:10" x14ac:dyDescent="0.35">
      <c r="A3927" s="9" t="s">
        <v>126</v>
      </c>
      <c r="B3927" s="10">
        <v>44228</v>
      </c>
      <c r="C3927" s="11">
        <v>3000</v>
      </c>
      <c r="D3927" s="11">
        <v>952.13</v>
      </c>
      <c r="E3927" s="11">
        <v>2047.87</v>
      </c>
      <c r="F3927" t="str">
        <f>VLOOKUP(A3927,[1]!Table1[#All],17,FALSE)</f>
        <v>UNITED STATES</v>
      </c>
      <c r="G3927" t="str">
        <f>VLOOKUP(A3927,[1]!Table1[#All],22,FALSE)</f>
        <v>STATE OF OHIO - DEPARTMENT OF HEALTH</v>
      </c>
      <c r="H3927" s="8">
        <f>VLOOKUP(A3927,[1]!Table1[#All],32,FALSE)</f>
        <v>43678</v>
      </c>
      <c r="I3927" s="8">
        <f>VLOOKUP(A3927,[1]!Table1[#All],33,FALSE)</f>
        <v>45504</v>
      </c>
      <c r="J3927" t="str">
        <f t="shared" ca="1" si="65"/>
        <v>UDO</v>
      </c>
    </row>
    <row r="3928" spans="1:10" x14ac:dyDescent="0.35">
      <c r="A3928" s="5" t="s">
        <v>126</v>
      </c>
      <c r="B3928" s="6">
        <v>44256</v>
      </c>
      <c r="C3928" s="7">
        <v>3000</v>
      </c>
      <c r="D3928" s="7">
        <v>1121.96</v>
      </c>
      <c r="E3928" s="7">
        <v>1878.04</v>
      </c>
      <c r="F3928" t="str">
        <f>VLOOKUP(A3928,[1]!Table1[#All],17,FALSE)</f>
        <v>UNITED STATES</v>
      </c>
      <c r="G3928" t="str">
        <f>VLOOKUP(A3928,[1]!Table1[#All],22,FALSE)</f>
        <v>STATE OF OHIO - DEPARTMENT OF HEALTH</v>
      </c>
      <c r="H3928" s="8">
        <f>VLOOKUP(A3928,[1]!Table1[#All],32,FALSE)</f>
        <v>43678</v>
      </c>
      <c r="I3928" s="8">
        <f>VLOOKUP(A3928,[1]!Table1[#All],33,FALSE)</f>
        <v>45504</v>
      </c>
      <c r="J3928" t="str">
        <f t="shared" ca="1" si="65"/>
        <v>UDO</v>
      </c>
    </row>
    <row r="3929" spans="1:10" x14ac:dyDescent="0.35">
      <c r="A3929" s="9" t="s">
        <v>126</v>
      </c>
      <c r="B3929" s="10">
        <v>44317</v>
      </c>
      <c r="C3929" s="11">
        <v>3000</v>
      </c>
      <c r="D3929" s="11">
        <v>1517.21</v>
      </c>
      <c r="E3929" s="11">
        <v>1482.79</v>
      </c>
      <c r="F3929" t="str">
        <f>VLOOKUP(A3929,[1]!Table1[#All],17,FALSE)</f>
        <v>UNITED STATES</v>
      </c>
      <c r="G3929" t="str">
        <f>VLOOKUP(A3929,[1]!Table1[#All],22,FALSE)</f>
        <v>STATE OF OHIO - DEPARTMENT OF HEALTH</v>
      </c>
      <c r="H3929" s="8">
        <f>VLOOKUP(A3929,[1]!Table1[#All],32,FALSE)</f>
        <v>43678</v>
      </c>
      <c r="I3929" s="8">
        <f>VLOOKUP(A3929,[1]!Table1[#All],33,FALSE)</f>
        <v>45504</v>
      </c>
      <c r="J3929" t="str">
        <f t="shared" ca="1" si="65"/>
        <v>UDO</v>
      </c>
    </row>
    <row r="3930" spans="1:10" x14ac:dyDescent="0.35">
      <c r="A3930" s="5" t="s">
        <v>126</v>
      </c>
      <c r="B3930" s="6">
        <v>44348</v>
      </c>
      <c r="C3930" s="7">
        <v>3000</v>
      </c>
      <c r="D3930" s="7">
        <v>1838.15</v>
      </c>
      <c r="E3930" s="7">
        <v>1161.8499999999999</v>
      </c>
      <c r="F3930" t="str">
        <f>VLOOKUP(A3930,[1]!Table1[#All],17,FALSE)</f>
        <v>UNITED STATES</v>
      </c>
      <c r="G3930" t="str">
        <f>VLOOKUP(A3930,[1]!Table1[#All],22,FALSE)</f>
        <v>STATE OF OHIO - DEPARTMENT OF HEALTH</v>
      </c>
      <c r="H3930" s="8">
        <f>VLOOKUP(A3930,[1]!Table1[#All],32,FALSE)</f>
        <v>43678</v>
      </c>
      <c r="I3930" s="8">
        <f>VLOOKUP(A3930,[1]!Table1[#All],33,FALSE)</f>
        <v>45504</v>
      </c>
      <c r="J3930" t="str">
        <f t="shared" ca="1" si="65"/>
        <v>UDO</v>
      </c>
    </row>
    <row r="3931" spans="1:10" x14ac:dyDescent="0.35">
      <c r="A3931" s="9" t="s">
        <v>126</v>
      </c>
      <c r="B3931" s="10">
        <v>44378</v>
      </c>
      <c r="C3931" s="11">
        <v>3000</v>
      </c>
      <c r="D3931" s="11">
        <v>1933.28</v>
      </c>
      <c r="E3931" s="11">
        <v>1066.72</v>
      </c>
      <c r="F3931" t="str">
        <f>VLOOKUP(A3931,[1]!Table1[#All],17,FALSE)</f>
        <v>UNITED STATES</v>
      </c>
      <c r="G3931" t="str">
        <f>VLOOKUP(A3931,[1]!Table1[#All],22,FALSE)</f>
        <v>STATE OF OHIO - DEPARTMENT OF HEALTH</v>
      </c>
      <c r="H3931" s="8">
        <f>VLOOKUP(A3931,[1]!Table1[#All],32,FALSE)</f>
        <v>43678</v>
      </c>
      <c r="I3931" s="8">
        <f>VLOOKUP(A3931,[1]!Table1[#All],33,FALSE)</f>
        <v>45504</v>
      </c>
      <c r="J3931" t="str">
        <f t="shared" ca="1" si="65"/>
        <v>UDO</v>
      </c>
    </row>
    <row r="3932" spans="1:10" x14ac:dyDescent="0.35">
      <c r="A3932" s="5" t="s">
        <v>126</v>
      </c>
      <c r="B3932" s="6">
        <v>44409</v>
      </c>
      <c r="C3932" s="7">
        <v>3000</v>
      </c>
      <c r="D3932" s="7">
        <v>2077.5</v>
      </c>
      <c r="E3932" s="7">
        <v>922.5</v>
      </c>
      <c r="F3932" t="str">
        <f>VLOOKUP(A3932,[1]!Table1[#All],17,FALSE)</f>
        <v>UNITED STATES</v>
      </c>
      <c r="G3932" t="str">
        <f>VLOOKUP(A3932,[1]!Table1[#All],22,FALSE)</f>
        <v>STATE OF OHIO - DEPARTMENT OF HEALTH</v>
      </c>
      <c r="H3932" s="8">
        <f>VLOOKUP(A3932,[1]!Table1[#All],32,FALSE)</f>
        <v>43678</v>
      </c>
      <c r="I3932" s="8">
        <f>VLOOKUP(A3932,[1]!Table1[#All],33,FALSE)</f>
        <v>45504</v>
      </c>
      <c r="J3932" t="str">
        <f t="shared" ca="1" si="65"/>
        <v>UDO</v>
      </c>
    </row>
    <row r="3933" spans="1:10" x14ac:dyDescent="0.35">
      <c r="A3933" s="9" t="s">
        <v>126</v>
      </c>
      <c r="B3933" s="10">
        <v>44440</v>
      </c>
      <c r="C3933" s="11">
        <v>3000</v>
      </c>
      <c r="D3933" s="11">
        <v>2237.71</v>
      </c>
      <c r="E3933" s="11">
        <v>762.29</v>
      </c>
      <c r="F3933" t="str">
        <f>VLOOKUP(A3933,[1]!Table1[#All],17,FALSE)</f>
        <v>UNITED STATES</v>
      </c>
      <c r="G3933" t="str">
        <f>VLOOKUP(A3933,[1]!Table1[#All],22,FALSE)</f>
        <v>STATE OF OHIO - DEPARTMENT OF HEALTH</v>
      </c>
      <c r="H3933" s="8">
        <f>VLOOKUP(A3933,[1]!Table1[#All],32,FALSE)</f>
        <v>43678</v>
      </c>
      <c r="I3933" s="8">
        <f>VLOOKUP(A3933,[1]!Table1[#All],33,FALSE)</f>
        <v>45504</v>
      </c>
      <c r="J3933" t="str">
        <f t="shared" ca="1" si="65"/>
        <v>UDO</v>
      </c>
    </row>
    <row r="3934" spans="1:10" x14ac:dyDescent="0.35">
      <c r="A3934" s="5" t="s">
        <v>126</v>
      </c>
      <c r="B3934" s="6">
        <v>44470</v>
      </c>
      <c r="C3934" s="7">
        <v>3000</v>
      </c>
      <c r="D3934" s="7">
        <v>2381.44</v>
      </c>
      <c r="E3934" s="7">
        <v>618.55999999999995</v>
      </c>
      <c r="F3934" t="str">
        <f>VLOOKUP(A3934,[1]!Table1[#All],17,FALSE)</f>
        <v>UNITED STATES</v>
      </c>
      <c r="G3934" t="str">
        <f>VLOOKUP(A3934,[1]!Table1[#All],22,FALSE)</f>
        <v>STATE OF OHIO - DEPARTMENT OF HEALTH</v>
      </c>
      <c r="H3934" s="8">
        <f>VLOOKUP(A3934,[1]!Table1[#All],32,FALSE)</f>
        <v>43678</v>
      </c>
      <c r="I3934" s="8">
        <f>VLOOKUP(A3934,[1]!Table1[#All],33,FALSE)</f>
        <v>45504</v>
      </c>
      <c r="J3934" t="str">
        <f t="shared" ca="1" si="65"/>
        <v>UDO</v>
      </c>
    </row>
    <row r="3935" spans="1:10" x14ac:dyDescent="0.35">
      <c r="A3935" s="9" t="s">
        <v>126</v>
      </c>
      <c r="B3935" s="10">
        <v>44501</v>
      </c>
      <c r="C3935" s="11">
        <v>3000</v>
      </c>
      <c r="D3935" s="11">
        <v>2576.48</v>
      </c>
      <c r="E3935" s="11">
        <v>423.52</v>
      </c>
      <c r="F3935" t="str">
        <f>VLOOKUP(A3935,[1]!Table1[#All],17,FALSE)</f>
        <v>UNITED STATES</v>
      </c>
      <c r="G3935" t="str">
        <f>VLOOKUP(A3935,[1]!Table1[#All],22,FALSE)</f>
        <v>STATE OF OHIO - DEPARTMENT OF HEALTH</v>
      </c>
      <c r="H3935" s="8">
        <f>VLOOKUP(A3935,[1]!Table1[#All],32,FALSE)</f>
        <v>43678</v>
      </c>
      <c r="I3935" s="8">
        <f>VLOOKUP(A3935,[1]!Table1[#All],33,FALSE)</f>
        <v>45504</v>
      </c>
      <c r="J3935" t="str">
        <f t="shared" ca="1" si="65"/>
        <v>UDO</v>
      </c>
    </row>
    <row r="3936" spans="1:10" x14ac:dyDescent="0.35">
      <c r="A3936" s="5" t="s">
        <v>126</v>
      </c>
      <c r="B3936" s="6">
        <v>44531</v>
      </c>
      <c r="C3936" s="7">
        <v>3000</v>
      </c>
      <c r="D3936" s="7">
        <v>2734.39</v>
      </c>
      <c r="E3936" s="7">
        <v>265.61</v>
      </c>
      <c r="F3936" t="str">
        <f>VLOOKUP(A3936,[1]!Table1[#All],17,FALSE)</f>
        <v>UNITED STATES</v>
      </c>
      <c r="G3936" t="str">
        <f>VLOOKUP(A3936,[1]!Table1[#All],22,FALSE)</f>
        <v>STATE OF OHIO - DEPARTMENT OF HEALTH</v>
      </c>
      <c r="H3936" s="8">
        <f>VLOOKUP(A3936,[1]!Table1[#All],32,FALSE)</f>
        <v>43678</v>
      </c>
      <c r="I3936" s="8">
        <f>VLOOKUP(A3936,[1]!Table1[#All],33,FALSE)</f>
        <v>45504</v>
      </c>
      <c r="J3936" t="str">
        <f t="shared" ca="1" si="65"/>
        <v>UDO</v>
      </c>
    </row>
    <row r="3937" spans="1:10" x14ac:dyDescent="0.35">
      <c r="A3937" s="9" t="s">
        <v>126</v>
      </c>
      <c r="B3937" s="10">
        <v>44562</v>
      </c>
      <c r="C3937" s="11">
        <v>3000</v>
      </c>
      <c r="D3937" s="11">
        <v>2855.13</v>
      </c>
      <c r="E3937" s="11">
        <v>144.87</v>
      </c>
      <c r="F3937" t="str">
        <f>VLOOKUP(A3937,[1]!Table1[#All],17,FALSE)</f>
        <v>UNITED STATES</v>
      </c>
      <c r="G3937" t="str">
        <f>VLOOKUP(A3937,[1]!Table1[#All],22,FALSE)</f>
        <v>STATE OF OHIO - DEPARTMENT OF HEALTH</v>
      </c>
      <c r="H3937" s="8">
        <f>VLOOKUP(A3937,[1]!Table1[#All],32,FALSE)</f>
        <v>43678</v>
      </c>
      <c r="I3937" s="8">
        <f>VLOOKUP(A3937,[1]!Table1[#All],33,FALSE)</f>
        <v>45504</v>
      </c>
      <c r="J3937" t="str">
        <f t="shared" ca="1" si="65"/>
        <v>UDO</v>
      </c>
    </row>
    <row r="3938" spans="1:10" x14ac:dyDescent="0.35">
      <c r="A3938" s="5" t="s">
        <v>126</v>
      </c>
      <c r="B3938" s="6">
        <v>44593</v>
      </c>
      <c r="C3938" s="7">
        <v>3000</v>
      </c>
      <c r="D3938" s="7">
        <v>3000</v>
      </c>
      <c r="E3938" s="7">
        <v>0</v>
      </c>
      <c r="F3938" t="str">
        <f>VLOOKUP(A3938,[1]!Table1[#All],17,FALSE)</f>
        <v>UNITED STATES</v>
      </c>
      <c r="G3938" t="str">
        <f>VLOOKUP(A3938,[1]!Table1[#All],22,FALSE)</f>
        <v>STATE OF OHIO - DEPARTMENT OF HEALTH</v>
      </c>
      <c r="H3938" s="8">
        <f>VLOOKUP(A3938,[1]!Table1[#All],32,FALSE)</f>
        <v>43678</v>
      </c>
      <c r="I3938" s="8">
        <f>VLOOKUP(A3938,[1]!Table1[#All],33,FALSE)</f>
        <v>45504</v>
      </c>
      <c r="J3938" t="str">
        <f t="shared" ca="1" si="65"/>
        <v>Non UDO</v>
      </c>
    </row>
    <row r="3939" spans="1:10" x14ac:dyDescent="0.35">
      <c r="A3939" s="9" t="s">
        <v>126</v>
      </c>
      <c r="B3939" s="10">
        <v>44621</v>
      </c>
      <c r="C3939" s="11">
        <v>3000</v>
      </c>
      <c r="D3939" s="11">
        <v>3000</v>
      </c>
      <c r="E3939" s="11">
        <v>0</v>
      </c>
      <c r="F3939" t="str">
        <f>VLOOKUP(A3939,[1]!Table1[#All],17,FALSE)</f>
        <v>UNITED STATES</v>
      </c>
      <c r="G3939" t="str">
        <f>VLOOKUP(A3939,[1]!Table1[#All],22,FALSE)</f>
        <v>STATE OF OHIO - DEPARTMENT OF HEALTH</v>
      </c>
      <c r="H3939" s="8">
        <f>VLOOKUP(A3939,[1]!Table1[#All],32,FALSE)</f>
        <v>43678</v>
      </c>
      <c r="I3939" s="8">
        <f>VLOOKUP(A3939,[1]!Table1[#All],33,FALSE)</f>
        <v>45504</v>
      </c>
      <c r="J3939" t="str">
        <f t="shared" ca="1" si="65"/>
        <v>Non UDO</v>
      </c>
    </row>
    <row r="3940" spans="1:10" x14ac:dyDescent="0.35">
      <c r="A3940" s="5" t="s">
        <v>126</v>
      </c>
      <c r="B3940" s="6">
        <v>44652</v>
      </c>
      <c r="C3940" s="7">
        <v>3000</v>
      </c>
      <c r="D3940" s="7">
        <v>3000</v>
      </c>
      <c r="E3940" s="7">
        <v>0</v>
      </c>
      <c r="F3940" t="str">
        <f>VLOOKUP(A3940,[1]!Table1[#All],17,FALSE)</f>
        <v>UNITED STATES</v>
      </c>
      <c r="G3940" t="str">
        <f>VLOOKUP(A3940,[1]!Table1[#All],22,FALSE)</f>
        <v>STATE OF OHIO - DEPARTMENT OF HEALTH</v>
      </c>
      <c r="H3940" s="8">
        <f>VLOOKUP(A3940,[1]!Table1[#All],32,FALSE)</f>
        <v>43678</v>
      </c>
      <c r="I3940" s="8">
        <f>VLOOKUP(A3940,[1]!Table1[#All],33,FALSE)</f>
        <v>45504</v>
      </c>
      <c r="J3940" t="str">
        <f t="shared" ca="1" si="65"/>
        <v>Non UDO</v>
      </c>
    </row>
    <row r="3941" spans="1:10" x14ac:dyDescent="0.35">
      <c r="A3941" s="9" t="s">
        <v>126</v>
      </c>
      <c r="B3941" s="10">
        <v>44682</v>
      </c>
      <c r="C3941" s="11">
        <v>3000</v>
      </c>
      <c r="D3941" s="11">
        <v>3000</v>
      </c>
      <c r="E3941" s="11">
        <v>0</v>
      </c>
      <c r="F3941" t="str">
        <f>VLOOKUP(A3941,[1]!Table1[#All],17,FALSE)</f>
        <v>UNITED STATES</v>
      </c>
      <c r="G3941" t="str">
        <f>VLOOKUP(A3941,[1]!Table1[#All],22,FALSE)</f>
        <v>STATE OF OHIO - DEPARTMENT OF HEALTH</v>
      </c>
      <c r="H3941" s="8">
        <f>VLOOKUP(A3941,[1]!Table1[#All],32,FALSE)</f>
        <v>43678</v>
      </c>
      <c r="I3941" s="8">
        <f>VLOOKUP(A3941,[1]!Table1[#All],33,FALSE)</f>
        <v>45504</v>
      </c>
      <c r="J3941" t="str">
        <f t="shared" ca="1" si="65"/>
        <v>Non UDO</v>
      </c>
    </row>
    <row r="3942" spans="1:10" x14ac:dyDescent="0.35">
      <c r="A3942" s="5" t="s">
        <v>126</v>
      </c>
      <c r="B3942" s="6">
        <v>44713</v>
      </c>
      <c r="C3942" s="7">
        <v>3000</v>
      </c>
      <c r="D3942" s="7">
        <v>3000</v>
      </c>
      <c r="E3942" s="7">
        <v>0</v>
      </c>
      <c r="F3942" t="str">
        <f>VLOOKUP(A3942,[1]!Table1[#All],17,FALSE)</f>
        <v>UNITED STATES</v>
      </c>
      <c r="G3942" t="str">
        <f>VLOOKUP(A3942,[1]!Table1[#All],22,FALSE)</f>
        <v>STATE OF OHIO - DEPARTMENT OF HEALTH</v>
      </c>
      <c r="H3942" s="8">
        <f>VLOOKUP(A3942,[1]!Table1[#All],32,FALSE)</f>
        <v>43678</v>
      </c>
      <c r="I3942" s="8">
        <f>VLOOKUP(A3942,[1]!Table1[#All],33,FALSE)</f>
        <v>45504</v>
      </c>
      <c r="J3942" t="str">
        <f t="shared" ca="1" si="65"/>
        <v>Non UDO</v>
      </c>
    </row>
    <row r="3943" spans="1:10" x14ac:dyDescent="0.35">
      <c r="A3943" s="9" t="s">
        <v>126</v>
      </c>
      <c r="B3943" s="10">
        <v>44743</v>
      </c>
      <c r="C3943" s="11">
        <v>3000</v>
      </c>
      <c r="D3943" s="11">
        <v>3000</v>
      </c>
      <c r="E3943" s="11">
        <v>0</v>
      </c>
      <c r="F3943" t="str">
        <f>VLOOKUP(A3943,[1]!Table1[#All],17,FALSE)</f>
        <v>UNITED STATES</v>
      </c>
      <c r="G3943" t="str">
        <f>VLOOKUP(A3943,[1]!Table1[#All],22,FALSE)</f>
        <v>STATE OF OHIO - DEPARTMENT OF HEALTH</v>
      </c>
      <c r="H3943" s="8">
        <f>VLOOKUP(A3943,[1]!Table1[#All],32,FALSE)</f>
        <v>43678</v>
      </c>
      <c r="I3943" s="8">
        <f>VLOOKUP(A3943,[1]!Table1[#All],33,FALSE)</f>
        <v>45504</v>
      </c>
      <c r="J3943" t="str">
        <f t="shared" ca="1" si="65"/>
        <v>Non UDO</v>
      </c>
    </row>
    <row r="3944" spans="1:10" x14ac:dyDescent="0.35">
      <c r="A3944" s="5" t="s">
        <v>126</v>
      </c>
      <c r="B3944" s="6">
        <v>44774</v>
      </c>
      <c r="C3944" s="7">
        <v>3000</v>
      </c>
      <c r="D3944" s="7">
        <v>3000</v>
      </c>
      <c r="E3944" s="7">
        <v>0</v>
      </c>
      <c r="F3944" t="str">
        <f>VLOOKUP(A3944,[1]!Table1[#All],17,FALSE)</f>
        <v>UNITED STATES</v>
      </c>
      <c r="G3944" t="str">
        <f>VLOOKUP(A3944,[1]!Table1[#All],22,FALSE)</f>
        <v>STATE OF OHIO - DEPARTMENT OF HEALTH</v>
      </c>
      <c r="H3944" s="8">
        <f>VLOOKUP(A3944,[1]!Table1[#All],32,FALSE)</f>
        <v>43678</v>
      </c>
      <c r="I3944" s="8">
        <f>VLOOKUP(A3944,[1]!Table1[#All],33,FALSE)</f>
        <v>45504</v>
      </c>
      <c r="J3944" t="str">
        <f t="shared" ca="1" si="65"/>
        <v>Non UDO</v>
      </c>
    </row>
    <row r="3945" spans="1:10" x14ac:dyDescent="0.35">
      <c r="A3945" s="9" t="s">
        <v>126</v>
      </c>
      <c r="B3945" s="10">
        <v>44805</v>
      </c>
      <c r="C3945" s="11">
        <v>3000</v>
      </c>
      <c r="D3945" s="11">
        <v>3000</v>
      </c>
      <c r="E3945" s="11">
        <v>0</v>
      </c>
      <c r="F3945" t="str">
        <f>VLOOKUP(A3945,[1]!Table1[#All],17,FALSE)</f>
        <v>UNITED STATES</v>
      </c>
      <c r="G3945" t="str">
        <f>VLOOKUP(A3945,[1]!Table1[#All],22,FALSE)</f>
        <v>STATE OF OHIO - DEPARTMENT OF HEALTH</v>
      </c>
      <c r="H3945" s="8">
        <f>VLOOKUP(A3945,[1]!Table1[#All],32,FALSE)</f>
        <v>43678</v>
      </c>
      <c r="I3945" s="8">
        <f>VLOOKUP(A3945,[1]!Table1[#All],33,FALSE)</f>
        <v>45504</v>
      </c>
      <c r="J3945" t="str">
        <f t="shared" ca="1" si="65"/>
        <v>Non UDO</v>
      </c>
    </row>
    <row r="3946" spans="1:10" x14ac:dyDescent="0.35">
      <c r="A3946" s="5" t="s">
        <v>126</v>
      </c>
      <c r="B3946" s="6">
        <v>44835</v>
      </c>
      <c r="C3946" s="7">
        <v>3000</v>
      </c>
      <c r="D3946" s="7">
        <v>3000</v>
      </c>
      <c r="E3946" s="7">
        <v>0</v>
      </c>
      <c r="F3946" t="str">
        <f>VLOOKUP(A3946,[1]!Table1[#All],17,FALSE)</f>
        <v>UNITED STATES</v>
      </c>
      <c r="G3946" t="str">
        <f>VLOOKUP(A3946,[1]!Table1[#All],22,FALSE)</f>
        <v>STATE OF OHIO - DEPARTMENT OF HEALTH</v>
      </c>
      <c r="H3946" s="8">
        <f>VLOOKUP(A3946,[1]!Table1[#All],32,FALSE)</f>
        <v>43678</v>
      </c>
      <c r="I3946" s="8">
        <f>VLOOKUP(A3946,[1]!Table1[#All],33,FALSE)</f>
        <v>45504</v>
      </c>
      <c r="J3946" t="str">
        <f t="shared" ca="1" si="65"/>
        <v>Non UDO</v>
      </c>
    </row>
    <row r="3947" spans="1:10" x14ac:dyDescent="0.35">
      <c r="A3947" s="9" t="s">
        <v>126</v>
      </c>
      <c r="B3947" s="10">
        <v>44866</v>
      </c>
      <c r="C3947" s="11">
        <v>3000</v>
      </c>
      <c r="D3947" s="11">
        <v>3000</v>
      </c>
      <c r="E3947" s="11">
        <v>0</v>
      </c>
      <c r="F3947" t="str">
        <f>VLOOKUP(A3947,[1]!Table1[#All],17,FALSE)</f>
        <v>UNITED STATES</v>
      </c>
      <c r="G3947" t="str">
        <f>VLOOKUP(A3947,[1]!Table1[#All],22,FALSE)</f>
        <v>STATE OF OHIO - DEPARTMENT OF HEALTH</v>
      </c>
      <c r="H3947" s="8">
        <f>VLOOKUP(A3947,[1]!Table1[#All],32,FALSE)</f>
        <v>43678</v>
      </c>
      <c r="I3947" s="8">
        <f>VLOOKUP(A3947,[1]!Table1[#All],33,FALSE)</f>
        <v>45504</v>
      </c>
      <c r="J3947" t="str">
        <f t="shared" ca="1" si="65"/>
        <v>Non UDO</v>
      </c>
    </row>
    <row r="3948" spans="1:10" x14ac:dyDescent="0.35">
      <c r="A3948" s="5" t="s">
        <v>126</v>
      </c>
      <c r="B3948" s="6">
        <v>44896</v>
      </c>
      <c r="C3948" s="7">
        <v>3000</v>
      </c>
      <c r="D3948" s="7">
        <v>3000</v>
      </c>
      <c r="E3948" s="7">
        <v>0</v>
      </c>
      <c r="F3948" t="str">
        <f>VLOOKUP(A3948,[1]!Table1[#All],17,FALSE)</f>
        <v>UNITED STATES</v>
      </c>
      <c r="G3948" t="str">
        <f>VLOOKUP(A3948,[1]!Table1[#All],22,FALSE)</f>
        <v>STATE OF OHIO - DEPARTMENT OF HEALTH</v>
      </c>
      <c r="H3948" s="8">
        <f>VLOOKUP(A3948,[1]!Table1[#All],32,FALSE)</f>
        <v>43678</v>
      </c>
      <c r="I3948" s="8">
        <f>VLOOKUP(A3948,[1]!Table1[#All],33,FALSE)</f>
        <v>45504</v>
      </c>
      <c r="J3948" t="str">
        <f t="shared" ca="1" si="65"/>
        <v>Non UDO</v>
      </c>
    </row>
    <row r="3949" spans="1:10" x14ac:dyDescent="0.35">
      <c r="A3949" s="9" t="s">
        <v>126</v>
      </c>
      <c r="B3949" s="10">
        <v>44927</v>
      </c>
      <c r="C3949" s="11">
        <v>3000</v>
      </c>
      <c r="D3949" s="11">
        <v>3000</v>
      </c>
      <c r="E3949" s="11">
        <v>0</v>
      </c>
      <c r="F3949" t="str">
        <f>VLOOKUP(A3949,[1]!Table1[#All],17,FALSE)</f>
        <v>UNITED STATES</v>
      </c>
      <c r="G3949" t="str">
        <f>VLOOKUP(A3949,[1]!Table1[#All],22,FALSE)</f>
        <v>STATE OF OHIO - DEPARTMENT OF HEALTH</v>
      </c>
      <c r="H3949" s="8">
        <f>VLOOKUP(A3949,[1]!Table1[#All],32,FALSE)</f>
        <v>43678</v>
      </c>
      <c r="I3949" s="8">
        <f>VLOOKUP(A3949,[1]!Table1[#All],33,FALSE)</f>
        <v>45504</v>
      </c>
      <c r="J3949" t="str">
        <f t="shared" ca="1" si="65"/>
        <v>Non UDO</v>
      </c>
    </row>
    <row r="3950" spans="1:10" x14ac:dyDescent="0.35">
      <c r="A3950" s="5" t="s">
        <v>126</v>
      </c>
      <c r="B3950" s="6">
        <v>44958</v>
      </c>
      <c r="C3950" s="7">
        <v>3000</v>
      </c>
      <c r="D3950" s="7">
        <v>3000</v>
      </c>
      <c r="E3950" s="7">
        <v>0</v>
      </c>
      <c r="F3950" t="str">
        <f>VLOOKUP(A3950,[1]!Table1[#All],17,FALSE)</f>
        <v>UNITED STATES</v>
      </c>
      <c r="G3950" t="str">
        <f>VLOOKUP(A3950,[1]!Table1[#All],22,FALSE)</f>
        <v>STATE OF OHIO - DEPARTMENT OF HEALTH</v>
      </c>
      <c r="H3950" s="8">
        <f>VLOOKUP(A3950,[1]!Table1[#All],32,FALSE)</f>
        <v>43678</v>
      </c>
      <c r="I3950" s="8">
        <f>VLOOKUP(A3950,[1]!Table1[#All],33,FALSE)</f>
        <v>45504</v>
      </c>
      <c r="J3950" t="str">
        <f t="shared" ca="1" si="65"/>
        <v>Non UDO</v>
      </c>
    </row>
    <row r="3951" spans="1:10" x14ac:dyDescent="0.35">
      <c r="A3951" s="9" t="s">
        <v>126</v>
      </c>
      <c r="B3951" s="10">
        <v>44986</v>
      </c>
      <c r="C3951" s="11">
        <v>3000</v>
      </c>
      <c r="D3951" s="11">
        <v>3000</v>
      </c>
      <c r="E3951" s="11">
        <v>0</v>
      </c>
      <c r="F3951" t="str">
        <f>VLOOKUP(A3951,[1]!Table1[#All],17,FALSE)</f>
        <v>UNITED STATES</v>
      </c>
      <c r="G3951" t="str">
        <f>VLOOKUP(A3951,[1]!Table1[#All],22,FALSE)</f>
        <v>STATE OF OHIO - DEPARTMENT OF HEALTH</v>
      </c>
      <c r="H3951" s="8">
        <f>VLOOKUP(A3951,[1]!Table1[#All],32,FALSE)</f>
        <v>43678</v>
      </c>
      <c r="I3951" s="8">
        <f>VLOOKUP(A3951,[1]!Table1[#All],33,FALSE)</f>
        <v>45504</v>
      </c>
      <c r="J3951" t="str">
        <f t="shared" ca="1" si="65"/>
        <v>Non UDO</v>
      </c>
    </row>
    <row r="3952" spans="1:10" x14ac:dyDescent="0.35">
      <c r="A3952" s="5" t="s">
        <v>126</v>
      </c>
      <c r="B3952" s="6">
        <v>45017</v>
      </c>
      <c r="C3952" s="7">
        <v>3000</v>
      </c>
      <c r="D3952" s="7">
        <v>3000</v>
      </c>
      <c r="E3952" s="7">
        <v>0</v>
      </c>
      <c r="F3952" t="str">
        <f>VLOOKUP(A3952,[1]!Table1[#All],17,FALSE)</f>
        <v>UNITED STATES</v>
      </c>
      <c r="G3952" t="str">
        <f>VLOOKUP(A3952,[1]!Table1[#All],22,FALSE)</f>
        <v>STATE OF OHIO - DEPARTMENT OF HEALTH</v>
      </c>
      <c r="H3952" s="8">
        <f>VLOOKUP(A3952,[1]!Table1[#All],32,FALSE)</f>
        <v>43678</v>
      </c>
      <c r="I3952" s="8">
        <f>VLOOKUP(A3952,[1]!Table1[#All],33,FALSE)</f>
        <v>45504</v>
      </c>
      <c r="J3952" t="str">
        <f t="shared" ca="1" si="65"/>
        <v>Non UDO</v>
      </c>
    </row>
    <row r="3953" spans="1:10" x14ac:dyDescent="0.35">
      <c r="A3953" s="9" t="s">
        <v>126</v>
      </c>
      <c r="B3953" s="10">
        <v>45047</v>
      </c>
      <c r="C3953" s="11">
        <v>3000</v>
      </c>
      <c r="D3953" s="11">
        <v>3000</v>
      </c>
      <c r="E3953" s="11">
        <v>0</v>
      </c>
      <c r="F3953" t="str">
        <f>VLOOKUP(A3953,[1]!Table1[#All],17,FALSE)</f>
        <v>UNITED STATES</v>
      </c>
      <c r="G3953" t="str">
        <f>VLOOKUP(A3953,[1]!Table1[#All],22,FALSE)</f>
        <v>STATE OF OHIO - DEPARTMENT OF HEALTH</v>
      </c>
      <c r="H3953" s="8">
        <f>VLOOKUP(A3953,[1]!Table1[#All],32,FALSE)</f>
        <v>43678</v>
      </c>
      <c r="I3953" s="8">
        <f>VLOOKUP(A3953,[1]!Table1[#All],33,FALSE)</f>
        <v>45504</v>
      </c>
      <c r="J3953" t="str">
        <f t="shared" ca="1" si="65"/>
        <v>Non UDO</v>
      </c>
    </row>
    <row r="3954" spans="1:10" x14ac:dyDescent="0.35">
      <c r="A3954" s="5" t="s">
        <v>126</v>
      </c>
      <c r="B3954" s="6">
        <v>45078</v>
      </c>
      <c r="C3954" s="7">
        <v>3000</v>
      </c>
      <c r="D3954" s="7">
        <v>3000</v>
      </c>
      <c r="E3954" s="7">
        <v>0</v>
      </c>
      <c r="F3954" t="str">
        <f>VLOOKUP(A3954,[1]!Table1[#All],17,FALSE)</f>
        <v>UNITED STATES</v>
      </c>
      <c r="G3954" t="str">
        <f>VLOOKUP(A3954,[1]!Table1[#All],22,FALSE)</f>
        <v>STATE OF OHIO - DEPARTMENT OF HEALTH</v>
      </c>
      <c r="H3954" s="8">
        <f>VLOOKUP(A3954,[1]!Table1[#All],32,FALSE)</f>
        <v>43678</v>
      </c>
      <c r="I3954" s="8">
        <f>VLOOKUP(A3954,[1]!Table1[#All],33,FALSE)</f>
        <v>45504</v>
      </c>
      <c r="J3954" t="str">
        <f t="shared" ca="1" si="65"/>
        <v>Non UDO</v>
      </c>
    </row>
    <row r="3955" spans="1:10" x14ac:dyDescent="0.35">
      <c r="A3955" s="9" t="s">
        <v>126</v>
      </c>
      <c r="B3955" s="10">
        <v>45108</v>
      </c>
      <c r="C3955" s="11">
        <v>3000</v>
      </c>
      <c r="D3955" s="11">
        <v>3000</v>
      </c>
      <c r="E3955" s="11">
        <v>0</v>
      </c>
      <c r="F3955" t="str">
        <f>VLOOKUP(A3955,[1]!Table1[#All],17,FALSE)</f>
        <v>UNITED STATES</v>
      </c>
      <c r="G3955" t="str">
        <f>VLOOKUP(A3955,[1]!Table1[#All],22,FALSE)</f>
        <v>STATE OF OHIO - DEPARTMENT OF HEALTH</v>
      </c>
      <c r="H3955" s="8">
        <f>VLOOKUP(A3955,[1]!Table1[#All],32,FALSE)</f>
        <v>43678</v>
      </c>
      <c r="I3955" s="8">
        <f>VLOOKUP(A3955,[1]!Table1[#All],33,FALSE)</f>
        <v>45504</v>
      </c>
      <c r="J3955" t="str">
        <f t="shared" ca="1" si="65"/>
        <v>Non UDO</v>
      </c>
    </row>
    <row r="3956" spans="1:10" x14ac:dyDescent="0.35">
      <c r="A3956" s="5" t="s">
        <v>126</v>
      </c>
      <c r="B3956" s="6">
        <v>45139</v>
      </c>
      <c r="C3956" s="7">
        <v>3000</v>
      </c>
      <c r="D3956" s="7">
        <v>3000</v>
      </c>
      <c r="E3956" s="7">
        <v>0</v>
      </c>
      <c r="F3956" t="str">
        <f>VLOOKUP(A3956,[1]!Table1[#All],17,FALSE)</f>
        <v>UNITED STATES</v>
      </c>
      <c r="G3956" t="str">
        <f>VLOOKUP(A3956,[1]!Table1[#All],22,FALSE)</f>
        <v>STATE OF OHIO - DEPARTMENT OF HEALTH</v>
      </c>
      <c r="H3956" s="8">
        <f>VLOOKUP(A3956,[1]!Table1[#All],32,FALSE)</f>
        <v>43678</v>
      </c>
      <c r="I3956" s="8">
        <f>VLOOKUP(A3956,[1]!Table1[#All],33,FALSE)</f>
        <v>45504</v>
      </c>
      <c r="J3956" t="str">
        <f t="shared" ca="1" si="65"/>
        <v>Non UDO</v>
      </c>
    </row>
    <row r="3957" spans="1:10" x14ac:dyDescent="0.35">
      <c r="A3957" s="9" t="s">
        <v>126</v>
      </c>
      <c r="B3957" s="10">
        <v>45170</v>
      </c>
      <c r="C3957" s="11">
        <v>3000</v>
      </c>
      <c r="D3957" s="11">
        <v>3000</v>
      </c>
      <c r="E3957" s="11">
        <v>0</v>
      </c>
      <c r="F3957" t="str">
        <f>VLOOKUP(A3957,[1]!Table1[#All],17,FALSE)</f>
        <v>UNITED STATES</v>
      </c>
      <c r="G3957" t="str">
        <f>VLOOKUP(A3957,[1]!Table1[#All],22,FALSE)</f>
        <v>STATE OF OHIO - DEPARTMENT OF HEALTH</v>
      </c>
      <c r="H3957" s="8">
        <f>VLOOKUP(A3957,[1]!Table1[#All],32,FALSE)</f>
        <v>43678</v>
      </c>
      <c r="I3957" s="8">
        <f>VLOOKUP(A3957,[1]!Table1[#All],33,FALSE)</f>
        <v>45504</v>
      </c>
      <c r="J3957" t="str">
        <f t="shared" ca="1" si="65"/>
        <v>Non UDO</v>
      </c>
    </row>
    <row r="3958" spans="1:10" x14ac:dyDescent="0.35">
      <c r="A3958" s="5" t="s">
        <v>127</v>
      </c>
      <c r="B3958" s="6">
        <v>44409</v>
      </c>
      <c r="C3958" s="7">
        <v>4153</v>
      </c>
      <c r="D3958" s="7">
        <v>0</v>
      </c>
      <c r="E3958" s="7">
        <v>4153</v>
      </c>
      <c r="F3958" t="str">
        <f>VLOOKUP(A3958,[1]!Table1[#All],17,FALSE)</f>
        <v>UNITED STATES</v>
      </c>
      <c r="G3958" t="str">
        <f>VLOOKUP(A3958,[1]!Table1[#All],22,FALSE)</f>
        <v>STATE OF OHIO - DEPARTMENT OF HEALTH</v>
      </c>
      <c r="H3958" s="8">
        <f>VLOOKUP(A3958,[1]!Table1[#All],32,FALSE)</f>
        <v>43678</v>
      </c>
      <c r="I3958" s="8">
        <f>VLOOKUP(A3958,[1]!Table1[#All],33,FALSE)</f>
        <v>45504</v>
      </c>
      <c r="J3958" t="str">
        <f t="shared" ca="1" si="65"/>
        <v>UDO</v>
      </c>
    </row>
    <row r="3959" spans="1:10" x14ac:dyDescent="0.35">
      <c r="A3959" s="9" t="s">
        <v>127</v>
      </c>
      <c r="B3959" s="10">
        <v>44440</v>
      </c>
      <c r="C3959" s="11">
        <v>4153</v>
      </c>
      <c r="D3959" s="11">
        <v>0</v>
      </c>
      <c r="E3959" s="11">
        <v>4153</v>
      </c>
      <c r="F3959" t="str">
        <f>VLOOKUP(A3959,[1]!Table1[#All],17,FALSE)</f>
        <v>UNITED STATES</v>
      </c>
      <c r="G3959" t="str">
        <f>VLOOKUP(A3959,[1]!Table1[#All],22,FALSE)</f>
        <v>STATE OF OHIO - DEPARTMENT OF HEALTH</v>
      </c>
      <c r="H3959" s="8">
        <f>VLOOKUP(A3959,[1]!Table1[#All],32,FALSE)</f>
        <v>43678</v>
      </c>
      <c r="I3959" s="8">
        <f>VLOOKUP(A3959,[1]!Table1[#All],33,FALSE)</f>
        <v>45504</v>
      </c>
      <c r="J3959" t="str">
        <f t="shared" ca="1" si="65"/>
        <v>UDO</v>
      </c>
    </row>
    <row r="3960" spans="1:10" x14ac:dyDescent="0.35">
      <c r="A3960" s="5" t="s">
        <v>127</v>
      </c>
      <c r="B3960" s="6">
        <v>44470</v>
      </c>
      <c r="C3960" s="7">
        <v>4153</v>
      </c>
      <c r="D3960" s="7">
        <v>0</v>
      </c>
      <c r="E3960" s="7">
        <v>4153</v>
      </c>
      <c r="F3960" t="str">
        <f>VLOOKUP(A3960,[1]!Table1[#All],17,FALSE)</f>
        <v>UNITED STATES</v>
      </c>
      <c r="G3960" t="str">
        <f>VLOOKUP(A3960,[1]!Table1[#All],22,FALSE)</f>
        <v>STATE OF OHIO - DEPARTMENT OF HEALTH</v>
      </c>
      <c r="H3960" s="8">
        <f>VLOOKUP(A3960,[1]!Table1[#All],32,FALSE)</f>
        <v>43678</v>
      </c>
      <c r="I3960" s="8">
        <f>VLOOKUP(A3960,[1]!Table1[#All],33,FALSE)</f>
        <v>45504</v>
      </c>
      <c r="J3960" t="str">
        <f t="shared" ca="1" si="65"/>
        <v>UDO</v>
      </c>
    </row>
    <row r="3961" spans="1:10" x14ac:dyDescent="0.35">
      <c r="A3961" s="9" t="s">
        <v>127</v>
      </c>
      <c r="B3961" s="10">
        <v>44501</v>
      </c>
      <c r="C3961" s="11">
        <v>4153</v>
      </c>
      <c r="D3961" s="11">
        <v>0</v>
      </c>
      <c r="E3961" s="11">
        <v>4153</v>
      </c>
      <c r="F3961" t="str">
        <f>VLOOKUP(A3961,[1]!Table1[#All],17,FALSE)</f>
        <v>UNITED STATES</v>
      </c>
      <c r="G3961" t="str">
        <f>VLOOKUP(A3961,[1]!Table1[#All],22,FALSE)</f>
        <v>STATE OF OHIO - DEPARTMENT OF HEALTH</v>
      </c>
      <c r="H3961" s="8">
        <f>VLOOKUP(A3961,[1]!Table1[#All],32,FALSE)</f>
        <v>43678</v>
      </c>
      <c r="I3961" s="8">
        <f>VLOOKUP(A3961,[1]!Table1[#All],33,FALSE)</f>
        <v>45504</v>
      </c>
      <c r="J3961" t="str">
        <f t="shared" ca="1" si="65"/>
        <v>UDO</v>
      </c>
    </row>
    <row r="3962" spans="1:10" x14ac:dyDescent="0.35">
      <c r="A3962" s="5" t="s">
        <v>127</v>
      </c>
      <c r="B3962" s="6">
        <v>44531</v>
      </c>
      <c r="C3962" s="7">
        <v>4153</v>
      </c>
      <c r="D3962" s="7">
        <v>0</v>
      </c>
      <c r="E3962" s="7">
        <v>4153</v>
      </c>
      <c r="F3962" t="str">
        <f>VLOOKUP(A3962,[1]!Table1[#All],17,FALSE)</f>
        <v>UNITED STATES</v>
      </c>
      <c r="G3962" t="str">
        <f>VLOOKUP(A3962,[1]!Table1[#All],22,FALSE)</f>
        <v>STATE OF OHIO - DEPARTMENT OF HEALTH</v>
      </c>
      <c r="H3962" s="8">
        <f>VLOOKUP(A3962,[1]!Table1[#All],32,FALSE)</f>
        <v>43678</v>
      </c>
      <c r="I3962" s="8">
        <f>VLOOKUP(A3962,[1]!Table1[#All],33,FALSE)</f>
        <v>45504</v>
      </c>
      <c r="J3962" t="str">
        <f t="shared" ca="1" si="65"/>
        <v>UDO</v>
      </c>
    </row>
    <row r="3963" spans="1:10" x14ac:dyDescent="0.35">
      <c r="A3963" s="9" t="s">
        <v>127</v>
      </c>
      <c r="B3963" s="10">
        <v>44562</v>
      </c>
      <c r="C3963" s="11">
        <v>4153</v>
      </c>
      <c r="D3963" s="11">
        <v>0</v>
      </c>
      <c r="E3963" s="11">
        <v>4153</v>
      </c>
      <c r="F3963" t="str">
        <f>VLOOKUP(A3963,[1]!Table1[#All],17,FALSE)</f>
        <v>UNITED STATES</v>
      </c>
      <c r="G3963" t="str">
        <f>VLOOKUP(A3963,[1]!Table1[#All],22,FALSE)</f>
        <v>STATE OF OHIO - DEPARTMENT OF HEALTH</v>
      </c>
      <c r="H3963" s="8">
        <f>VLOOKUP(A3963,[1]!Table1[#All],32,FALSE)</f>
        <v>43678</v>
      </c>
      <c r="I3963" s="8">
        <f>VLOOKUP(A3963,[1]!Table1[#All],33,FALSE)</f>
        <v>45504</v>
      </c>
      <c r="J3963" t="str">
        <f t="shared" ca="1" si="65"/>
        <v>UDO</v>
      </c>
    </row>
    <row r="3964" spans="1:10" x14ac:dyDescent="0.35">
      <c r="A3964" s="5" t="s">
        <v>127</v>
      </c>
      <c r="B3964" s="6">
        <v>44593</v>
      </c>
      <c r="C3964" s="7">
        <v>4153</v>
      </c>
      <c r="D3964" s="7">
        <v>119.47</v>
      </c>
      <c r="E3964" s="7">
        <v>4033.53</v>
      </c>
      <c r="F3964" t="str">
        <f>VLOOKUP(A3964,[1]!Table1[#All],17,FALSE)</f>
        <v>UNITED STATES</v>
      </c>
      <c r="G3964" t="str">
        <f>VLOOKUP(A3964,[1]!Table1[#All],22,FALSE)</f>
        <v>STATE OF OHIO - DEPARTMENT OF HEALTH</v>
      </c>
      <c r="H3964" s="8">
        <f>VLOOKUP(A3964,[1]!Table1[#All],32,FALSE)</f>
        <v>43678</v>
      </c>
      <c r="I3964" s="8">
        <f>VLOOKUP(A3964,[1]!Table1[#All],33,FALSE)</f>
        <v>45504</v>
      </c>
      <c r="J3964" t="str">
        <f t="shared" ca="1" si="65"/>
        <v>UDO</v>
      </c>
    </row>
    <row r="3965" spans="1:10" x14ac:dyDescent="0.35">
      <c r="A3965" s="9" t="s">
        <v>127</v>
      </c>
      <c r="B3965" s="10">
        <v>44621</v>
      </c>
      <c r="C3965" s="11">
        <v>4153</v>
      </c>
      <c r="D3965" s="11">
        <v>370.47</v>
      </c>
      <c r="E3965" s="11">
        <v>3782.53</v>
      </c>
      <c r="F3965" t="str">
        <f>VLOOKUP(A3965,[1]!Table1[#All],17,FALSE)</f>
        <v>UNITED STATES</v>
      </c>
      <c r="G3965" t="str">
        <f>VLOOKUP(A3965,[1]!Table1[#All],22,FALSE)</f>
        <v>STATE OF OHIO - DEPARTMENT OF HEALTH</v>
      </c>
      <c r="H3965" s="8">
        <f>VLOOKUP(A3965,[1]!Table1[#All],32,FALSE)</f>
        <v>43678</v>
      </c>
      <c r="I3965" s="8">
        <f>VLOOKUP(A3965,[1]!Table1[#All],33,FALSE)</f>
        <v>45504</v>
      </c>
      <c r="J3965" t="str">
        <f t="shared" ca="1" si="65"/>
        <v>UDO</v>
      </c>
    </row>
    <row r="3966" spans="1:10" x14ac:dyDescent="0.35">
      <c r="A3966" s="5" t="s">
        <v>127</v>
      </c>
      <c r="B3966" s="6">
        <v>44652</v>
      </c>
      <c r="C3966" s="7">
        <v>4153</v>
      </c>
      <c r="D3966" s="7">
        <v>613.25</v>
      </c>
      <c r="E3966" s="7">
        <v>3539.75</v>
      </c>
      <c r="F3966" t="str">
        <f>VLOOKUP(A3966,[1]!Table1[#All],17,FALSE)</f>
        <v>UNITED STATES</v>
      </c>
      <c r="G3966" t="str">
        <f>VLOOKUP(A3966,[1]!Table1[#All],22,FALSE)</f>
        <v>STATE OF OHIO - DEPARTMENT OF HEALTH</v>
      </c>
      <c r="H3966" s="8">
        <f>VLOOKUP(A3966,[1]!Table1[#All],32,FALSE)</f>
        <v>43678</v>
      </c>
      <c r="I3966" s="8">
        <f>VLOOKUP(A3966,[1]!Table1[#All],33,FALSE)</f>
        <v>45504</v>
      </c>
      <c r="J3966" t="str">
        <f t="shared" ca="1" si="65"/>
        <v>UDO</v>
      </c>
    </row>
    <row r="3967" spans="1:10" x14ac:dyDescent="0.35">
      <c r="A3967" s="9" t="s">
        <v>127</v>
      </c>
      <c r="B3967" s="10">
        <v>44682</v>
      </c>
      <c r="C3967" s="11">
        <v>4153</v>
      </c>
      <c r="D3967" s="11">
        <v>663.91</v>
      </c>
      <c r="E3967" s="11">
        <v>3489.09</v>
      </c>
      <c r="F3967" t="str">
        <f>VLOOKUP(A3967,[1]!Table1[#All],17,FALSE)</f>
        <v>UNITED STATES</v>
      </c>
      <c r="G3967" t="str">
        <f>VLOOKUP(A3967,[1]!Table1[#All],22,FALSE)</f>
        <v>STATE OF OHIO - DEPARTMENT OF HEALTH</v>
      </c>
      <c r="H3967" s="8">
        <f>VLOOKUP(A3967,[1]!Table1[#All],32,FALSE)</f>
        <v>43678</v>
      </c>
      <c r="I3967" s="8">
        <f>VLOOKUP(A3967,[1]!Table1[#All],33,FALSE)</f>
        <v>45504</v>
      </c>
      <c r="J3967" t="str">
        <f t="shared" ca="1" si="65"/>
        <v>UDO</v>
      </c>
    </row>
    <row r="3968" spans="1:10" x14ac:dyDescent="0.35">
      <c r="A3968" s="5" t="s">
        <v>127</v>
      </c>
      <c r="B3968" s="6">
        <v>44713</v>
      </c>
      <c r="C3968" s="7">
        <v>4153</v>
      </c>
      <c r="D3968" s="7">
        <v>1112.69</v>
      </c>
      <c r="E3968" s="7">
        <v>3040.31</v>
      </c>
      <c r="F3968" t="str">
        <f>VLOOKUP(A3968,[1]!Table1[#All],17,FALSE)</f>
        <v>UNITED STATES</v>
      </c>
      <c r="G3968" t="str">
        <f>VLOOKUP(A3968,[1]!Table1[#All],22,FALSE)</f>
        <v>STATE OF OHIO - DEPARTMENT OF HEALTH</v>
      </c>
      <c r="H3968" s="8">
        <f>VLOOKUP(A3968,[1]!Table1[#All],32,FALSE)</f>
        <v>43678</v>
      </c>
      <c r="I3968" s="8">
        <f>VLOOKUP(A3968,[1]!Table1[#All],33,FALSE)</f>
        <v>45504</v>
      </c>
      <c r="J3968" t="str">
        <f t="shared" ca="1" si="65"/>
        <v>UDO</v>
      </c>
    </row>
    <row r="3969" spans="1:10" x14ac:dyDescent="0.35">
      <c r="A3969" s="9" t="s">
        <v>127</v>
      </c>
      <c r="B3969" s="10">
        <v>44743</v>
      </c>
      <c r="C3969" s="11">
        <v>4153</v>
      </c>
      <c r="D3969" s="11">
        <v>1397.33</v>
      </c>
      <c r="E3969" s="11">
        <v>2755.67</v>
      </c>
      <c r="F3969" t="str">
        <f>VLOOKUP(A3969,[1]!Table1[#All],17,FALSE)</f>
        <v>UNITED STATES</v>
      </c>
      <c r="G3969" t="str">
        <f>VLOOKUP(A3969,[1]!Table1[#All],22,FALSE)</f>
        <v>STATE OF OHIO - DEPARTMENT OF HEALTH</v>
      </c>
      <c r="H3969" s="8">
        <f>VLOOKUP(A3969,[1]!Table1[#All],32,FALSE)</f>
        <v>43678</v>
      </c>
      <c r="I3969" s="8">
        <f>VLOOKUP(A3969,[1]!Table1[#All],33,FALSE)</f>
        <v>45504</v>
      </c>
      <c r="J3969" t="str">
        <f t="shared" ca="1" si="65"/>
        <v>UDO</v>
      </c>
    </row>
    <row r="3970" spans="1:10" x14ac:dyDescent="0.35">
      <c r="A3970" s="5" t="s">
        <v>127</v>
      </c>
      <c r="B3970" s="6">
        <v>44774</v>
      </c>
      <c r="C3970" s="7">
        <v>4153</v>
      </c>
      <c r="D3970" s="7">
        <v>1585.76</v>
      </c>
      <c r="E3970" s="7">
        <v>2567.2399999999998</v>
      </c>
      <c r="F3970" t="str">
        <f>VLOOKUP(A3970,[1]!Table1[#All],17,FALSE)</f>
        <v>UNITED STATES</v>
      </c>
      <c r="G3970" t="str">
        <f>VLOOKUP(A3970,[1]!Table1[#All],22,FALSE)</f>
        <v>STATE OF OHIO - DEPARTMENT OF HEALTH</v>
      </c>
      <c r="H3970" s="8">
        <f>VLOOKUP(A3970,[1]!Table1[#All],32,FALSE)</f>
        <v>43678</v>
      </c>
      <c r="I3970" s="8">
        <f>VLOOKUP(A3970,[1]!Table1[#All],33,FALSE)</f>
        <v>45504</v>
      </c>
      <c r="J3970" t="str">
        <f t="shared" ca="1" si="65"/>
        <v>UDO</v>
      </c>
    </row>
    <row r="3971" spans="1:10" x14ac:dyDescent="0.35">
      <c r="A3971" s="9" t="s">
        <v>127</v>
      </c>
      <c r="B3971" s="10">
        <v>44805</v>
      </c>
      <c r="C3971" s="11">
        <v>4153</v>
      </c>
      <c r="D3971" s="11">
        <v>1812.41</v>
      </c>
      <c r="E3971" s="11">
        <v>2340.59</v>
      </c>
      <c r="F3971" t="str">
        <f>VLOOKUP(A3971,[1]!Table1[#All],17,FALSE)</f>
        <v>UNITED STATES</v>
      </c>
      <c r="G3971" t="str">
        <f>VLOOKUP(A3971,[1]!Table1[#All],22,FALSE)</f>
        <v>STATE OF OHIO - DEPARTMENT OF HEALTH</v>
      </c>
      <c r="H3971" s="8">
        <f>VLOOKUP(A3971,[1]!Table1[#All],32,FALSE)</f>
        <v>43678</v>
      </c>
      <c r="I3971" s="8">
        <f>VLOOKUP(A3971,[1]!Table1[#All],33,FALSE)</f>
        <v>45504</v>
      </c>
      <c r="J3971" t="str">
        <f t="shared" ref="J3971:J4034" ca="1" si="66">IF(AND( E3971&gt;0,TODAY()&gt;I3971),"UDO","Non UDO")</f>
        <v>UDO</v>
      </c>
    </row>
    <row r="3972" spans="1:10" x14ac:dyDescent="0.35">
      <c r="A3972" s="5" t="s">
        <v>127</v>
      </c>
      <c r="B3972" s="6">
        <v>44835</v>
      </c>
      <c r="C3972" s="7">
        <v>4153</v>
      </c>
      <c r="D3972" s="7">
        <v>2060.63</v>
      </c>
      <c r="E3972" s="7">
        <v>2092.37</v>
      </c>
      <c r="F3972" t="str">
        <f>VLOOKUP(A3972,[1]!Table1[#All],17,FALSE)</f>
        <v>UNITED STATES</v>
      </c>
      <c r="G3972" t="str">
        <f>VLOOKUP(A3972,[1]!Table1[#All],22,FALSE)</f>
        <v>STATE OF OHIO - DEPARTMENT OF HEALTH</v>
      </c>
      <c r="H3972" s="8">
        <f>VLOOKUP(A3972,[1]!Table1[#All],32,FALSE)</f>
        <v>43678</v>
      </c>
      <c r="I3972" s="8">
        <f>VLOOKUP(A3972,[1]!Table1[#All],33,FALSE)</f>
        <v>45504</v>
      </c>
      <c r="J3972" t="str">
        <f t="shared" ca="1" si="66"/>
        <v>UDO</v>
      </c>
    </row>
    <row r="3973" spans="1:10" x14ac:dyDescent="0.35">
      <c r="A3973" s="9" t="s">
        <v>127</v>
      </c>
      <c r="B3973" s="10">
        <v>44866</v>
      </c>
      <c r="C3973" s="11">
        <v>4153</v>
      </c>
      <c r="D3973" s="11">
        <v>2548.34</v>
      </c>
      <c r="E3973" s="11">
        <v>1604.66</v>
      </c>
      <c r="F3973" t="str">
        <f>VLOOKUP(A3973,[1]!Table1[#All],17,FALSE)</f>
        <v>UNITED STATES</v>
      </c>
      <c r="G3973" t="str">
        <f>VLOOKUP(A3973,[1]!Table1[#All],22,FALSE)</f>
        <v>STATE OF OHIO - DEPARTMENT OF HEALTH</v>
      </c>
      <c r="H3973" s="8">
        <f>VLOOKUP(A3973,[1]!Table1[#All],32,FALSE)</f>
        <v>43678</v>
      </c>
      <c r="I3973" s="8">
        <f>VLOOKUP(A3973,[1]!Table1[#All],33,FALSE)</f>
        <v>45504</v>
      </c>
      <c r="J3973" t="str">
        <f t="shared" ca="1" si="66"/>
        <v>UDO</v>
      </c>
    </row>
    <row r="3974" spans="1:10" x14ac:dyDescent="0.35">
      <c r="A3974" s="5" t="s">
        <v>127</v>
      </c>
      <c r="B3974" s="6">
        <v>44896</v>
      </c>
      <c r="C3974" s="7">
        <v>4153</v>
      </c>
      <c r="D3974" s="7">
        <v>2815.74</v>
      </c>
      <c r="E3974" s="7">
        <v>1337.26</v>
      </c>
      <c r="F3974" t="str">
        <f>VLOOKUP(A3974,[1]!Table1[#All],17,FALSE)</f>
        <v>UNITED STATES</v>
      </c>
      <c r="G3974" t="str">
        <f>VLOOKUP(A3974,[1]!Table1[#All],22,FALSE)</f>
        <v>STATE OF OHIO - DEPARTMENT OF HEALTH</v>
      </c>
      <c r="H3974" s="8">
        <f>VLOOKUP(A3974,[1]!Table1[#All],32,FALSE)</f>
        <v>43678</v>
      </c>
      <c r="I3974" s="8">
        <f>VLOOKUP(A3974,[1]!Table1[#All],33,FALSE)</f>
        <v>45504</v>
      </c>
      <c r="J3974" t="str">
        <f t="shared" ca="1" si="66"/>
        <v>UDO</v>
      </c>
    </row>
    <row r="3975" spans="1:10" x14ac:dyDescent="0.35">
      <c r="A3975" s="9" t="s">
        <v>127</v>
      </c>
      <c r="B3975" s="10">
        <v>44927</v>
      </c>
      <c r="C3975" s="11">
        <v>4153</v>
      </c>
      <c r="D3975" s="11">
        <v>3042.34</v>
      </c>
      <c r="E3975" s="11">
        <v>1110.6600000000001</v>
      </c>
      <c r="F3975" t="str">
        <f>VLOOKUP(A3975,[1]!Table1[#All],17,FALSE)</f>
        <v>UNITED STATES</v>
      </c>
      <c r="G3975" t="str">
        <f>VLOOKUP(A3975,[1]!Table1[#All],22,FALSE)</f>
        <v>STATE OF OHIO - DEPARTMENT OF HEALTH</v>
      </c>
      <c r="H3975" s="8">
        <f>VLOOKUP(A3975,[1]!Table1[#All],32,FALSE)</f>
        <v>43678</v>
      </c>
      <c r="I3975" s="8">
        <f>VLOOKUP(A3975,[1]!Table1[#All],33,FALSE)</f>
        <v>45504</v>
      </c>
      <c r="J3975" t="str">
        <f t="shared" ca="1" si="66"/>
        <v>UDO</v>
      </c>
    </row>
    <row r="3976" spans="1:10" x14ac:dyDescent="0.35">
      <c r="A3976" s="5" t="s">
        <v>127</v>
      </c>
      <c r="B3976" s="6">
        <v>44958</v>
      </c>
      <c r="C3976" s="7">
        <v>4153</v>
      </c>
      <c r="D3976" s="7">
        <v>3227.17</v>
      </c>
      <c r="E3976" s="7">
        <v>925.83</v>
      </c>
      <c r="F3976" t="str">
        <f>VLOOKUP(A3976,[1]!Table1[#All],17,FALSE)</f>
        <v>UNITED STATES</v>
      </c>
      <c r="G3976" t="str">
        <f>VLOOKUP(A3976,[1]!Table1[#All],22,FALSE)</f>
        <v>STATE OF OHIO - DEPARTMENT OF HEALTH</v>
      </c>
      <c r="H3976" s="8">
        <f>VLOOKUP(A3976,[1]!Table1[#All],32,FALSE)</f>
        <v>43678</v>
      </c>
      <c r="I3976" s="8">
        <f>VLOOKUP(A3976,[1]!Table1[#All],33,FALSE)</f>
        <v>45504</v>
      </c>
      <c r="J3976" t="str">
        <f t="shared" ca="1" si="66"/>
        <v>UDO</v>
      </c>
    </row>
    <row r="3977" spans="1:10" x14ac:dyDescent="0.35">
      <c r="A3977" s="9" t="s">
        <v>127</v>
      </c>
      <c r="B3977" s="10">
        <v>44986</v>
      </c>
      <c r="C3977" s="11">
        <v>4153</v>
      </c>
      <c r="D3977" s="11">
        <v>3456.32</v>
      </c>
      <c r="E3977" s="11">
        <v>696.68</v>
      </c>
      <c r="F3977" t="str">
        <f>VLOOKUP(A3977,[1]!Table1[#All],17,FALSE)</f>
        <v>UNITED STATES</v>
      </c>
      <c r="G3977" t="str">
        <f>VLOOKUP(A3977,[1]!Table1[#All],22,FALSE)</f>
        <v>STATE OF OHIO - DEPARTMENT OF HEALTH</v>
      </c>
      <c r="H3977" s="8">
        <f>VLOOKUP(A3977,[1]!Table1[#All],32,FALSE)</f>
        <v>43678</v>
      </c>
      <c r="I3977" s="8">
        <f>VLOOKUP(A3977,[1]!Table1[#All],33,FALSE)</f>
        <v>45504</v>
      </c>
      <c r="J3977" t="str">
        <f t="shared" ca="1" si="66"/>
        <v>UDO</v>
      </c>
    </row>
    <row r="3978" spans="1:10" x14ac:dyDescent="0.35">
      <c r="A3978" s="5" t="s">
        <v>127</v>
      </c>
      <c r="B3978" s="6">
        <v>45017</v>
      </c>
      <c r="C3978" s="7">
        <v>4153</v>
      </c>
      <c r="D3978" s="7">
        <v>3667.01</v>
      </c>
      <c r="E3978" s="7">
        <v>485.99</v>
      </c>
      <c r="F3978" t="str">
        <f>VLOOKUP(A3978,[1]!Table1[#All],17,FALSE)</f>
        <v>UNITED STATES</v>
      </c>
      <c r="G3978" t="str">
        <f>VLOOKUP(A3978,[1]!Table1[#All],22,FALSE)</f>
        <v>STATE OF OHIO - DEPARTMENT OF HEALTH</v>
      </c>
      <c r="H3978" s="8">
        <f>VLOOKUP(A3978,[1]!Table1[#All],32,FALSE)</f>
        <v>43678</v>
      </c>
      <c r="I3978" s="8">
        <f>VLOOKUP(A3978,[1]!Table1[#All],33,FALSE)</f>
        <v>45504</v>
      </c>
      <c r="J3978" t="str">
        <f t="shared" ca="1" si="66"/>
        <v>UDO</v>
      </c>
    </row>
    <row r="3979" spans="1:10" x14ac:dyDescent="0.35">
      <c r="A3979" s="9" t="s">
        <v>127</v>
      </c>
      <c r="B3979" s="10">
        <v>45047</v>
      </c>
      <c r="C3979" s="11">
        <v>4153</v>
      </c>
      <c r="D3979" s="11">
        <v>3966.73</v>
      </c>
      <c r="E3979" s="11">
        <v>186.27</v>
      </c>
      <c r="F3979" t="str">
        <f>VLOOKUP(A3979,[1]!Table1[#All],17,FALSE)</f>
        <v>UNITED STATES</v>
      </c>
      <c r="G3979" t="str">
        <f>VLOOKUP(A3979,[1]!Table1[#All],22,FALSE)</f>
        <v>STATE OF OHIO - DEPARTMENT OF HEALTH</v>
      </c>
      <c r="H3979" s="8">
        <f>VLOOKUP(A3979,[1]!Table1[#All],32,FALSE)</f>
        <v>43678</v>
      </c>
      <c r="I3979" s="8">
        <f>VLOOKUP(A3979,[1]!Table1[#All],33,FALSE)</f>
        <v>45504</v>
      </c>
      <c r="J3979" t="str">
        <f t="shared" ca="1" si="66"/>
        <v>UDO</v>
      </c>
    </row>
    <row r="3980" spans="1:10" x14ac:dyDescent="0.35">
      <c r="A3980" s="5" t="s">
        <v>127</v>
      </c>
      <c r="B3980" s="6">
        <v>45078</v>
      </c>
      <c r="C3980" s="7">
        <v>4153</v>
      </c>
      <c r="D3980" s="7">
        <v>4153</v>
      </c>
      <c r="E3980" s="7">
        <v>0</v>
      </c>
      <c r="F3980" t="str">
        <f>VLOOKUP(A3980,[1]!Table1[#All],17,FALSE)</f>
        <v>UNITED STATES</v>
      </c>
      <c r="G3980" t="str">
        <f>VLOOKUP(A3980,[1]!Table1[#All],22,FALSE)</f>
        <v>STATE OF OHIO - DEPARTMENT OF HEALTH</v>
      </c>
      <c r="H3980" s="8">
        <f>VLOOKUP(A3980,[1]!Table1[#All],32,FALSE)</f>
        <v>43678</v>
      </c>
      <c r="I3980" s="8">
        <f>VLOOKUP(A3980,[1]!Table1[#All],33,FALSE)</f>
        <v>45504</v>
      </c>
      <c r="J3980" t="str">
        <f t="shared" ca="1" si="66"/>
        <v>Non UDO</v>
      </c>
    </row>
    <row r="3981" spans="1:10" x14ac:dyDescent="0.35">
      <c r="A3981" s="9" t="s">
        <v>127</v>
      </c>
      <c r="B3981" s="10">
        <v>45108</v>
      </c>
      <c r="C3981" s="11">
        <v>4153</v>
      </c>
      <c r="D3981" s="11">
        <v>4153</v>
      </c>
      <c r="E3981" s="11">
        <v>0</v>
      </c>
      <c r="F3981" t="str">
        <f>VLOOKUP(A3981,[1]!Table1[#All],17,FALSE)</f>
        <v>UNITED STATES</v>
      </c>
      <c r="G3981" t="str">
        <f>VLOOKUP(A3981,[1]!Table1[#All],22,FALSE)</f>
        <v>STATE OF OHIO - DEPARTMENT OF HEALTH</v>
      </c>
      <c r="H3981" s="8">
        <f>VLOOKUP(A3981,[1]!Table1[#All],32,FALSE)</f>
        <v>43678</v>
      </c>
      <c r="I3981" s="8">
        <f>VLOOKUP(A3981,[1]!Table1[#All],33,FALSE)</f>
        <v>45504</v>
      </c>
      <c r="J3981" t="str">
        <f t="shared" ca="1" si="66"/>
        <v>Non UDO</v>
      </c>
    </row>
    <row r="3982" spans="1:10" x14ac:dyDescent="0.35">
      <c r="A3982" s="5" t="s">
        <v>127</v>
      </c>
      <c r="B3982" s="6">
        <v>45139</v>
      </c>
      <c r="C3982" s="7">
        <v>4153</v>
      </c>
      <c r="D3982" s="7">
        <v>4153</v>
      </c>
      <c r="E3982" s="7">
        <v>0</v>
      </c>
      <c r="F3982" t="str">
        <f>VLOOKUP(A3982,[1]!Table1[#All],17,FALSE)</f>
        <v>UNITED STATES</v>
      </c>
      <c r="G3982" t="str">
        <f>VLOOKUP(A3982,[1]!Table1[#All],22,FALSE)</f>
        <v>STATE OF OHIO - DEPARTMENT OF HEALTH</v>
      </c>
      <c r="H3982" s="8">
        <f>VLOOKUP(A3982,[1]!Table1[#All],32,FALSE)</f>
        <v>43678</v>
      </c>
      <c r="I3982" s="8">
        <f>VLOOKUP(A3982,[1]!Table1[#All],33,FALSE)</f>
        <v>45504</v>
      </c>
      <c r="J3982" t="str">
        <f t="shared" ca="1" si="66"/>
        <v>Non UDO</v>
      </c>
    </row>
    <row r="3983" spans="1:10" x14ac:dyDescent="0.35">
      <c r="A3983" s="9" t="s">
        <v>127</v>
      </c>
      <c r="B3983" s="10">
        <v>45170</v>
      </c>
      <c r="C3983" s="11">
        <v>4153</v>
      </c>
      <c r="D3983" s="11">
        <v>4153</v>
      </c>
      <c r="E3983" s="11">
        <v>0</v>
      </c>
      <c r="F3983" t="str">
        <f>VLOOKUP(A3983,[1]!Table1[#All],17,FALSE)</f>
        <v>UNITED STATES</v>
      </c>
      <c r="G3983" t="str">
        <f>VLOOKUP(A3983,[1]!Table1[#All],22,FALSE)</f>
        <v>STATE OF OHIO - DEPARTMENT OF HEALTH</v>
      </c>
      <c r="H3983" s="8">
        <f>VLOOKUP(A3983,[1]!Table1[#All],32,FALSE)</f>
        <v>43678</v>
      </c>
      <c r="I3983" s="8">
        <f>VLOOKUP(A3983,[1]!Table1[#All],33,FALSE)</f>
        <v>45504</v>
      </c>
      <c r="J3983" t="str">
        <f t="shared" ca="1" si="66"/>
        <v>Non UDO</v>
      </c>
    </row>
    <row r="3984" spans="1:10" x14ac:dyDescent="0.35">
      <c r="A3984" s="5" t="s">
        <v>128</v>
      </c>
      <c r="B3984" s="6">
        <v>44105</v>
      </c>
      <c r="C3984" s="7">
        <v>1600</v>
      </c>
      <c r="D3984" s="7">
        <v>0</v>
      </c>
      <c r="E3984" s="7">
        <v>1600</v>
      </c>
      <c r="F3984" t="str">
        <f>VLOOKUP(A3984,[1]!Table1[#All],17,FALSE)</f>
        <v>UNITED STATES</v>
      </c>
      <c r="G3984" t="str">
        <f>VLOOKUP(A3984,[1]!Table1[#All],22,FALSE)</f>
        <v>NE ST DEPT OF HEALTH AND HUMAN SERVICES</v>
      </c>
      <c r="H3984" s="8">
        <f>VLOOKUP(A3984,[1]!Table1[#All],32,FALSE)</f>
        <v>43678</v>
      </c>
      <c r="I3984" s="8">
        <f>VLOOKUP(A3984,[1]!Table1[#All],33,FALSE)</f>
        <v>45504</v>
      </c>
      <c r="J3984" t="str">
        <f t="shared" ca="1" si="66"/>
        <v>UDO</v>
      </c>
    </row>
    <row r="3985" spans="1:10" x14ac:dyDescent="0.35">
      <c r="A3985" s="9" t="s">
        <v>128</v>
      </c>
      <c r="B3985" s="10">
        <v>44136</v>
      </c>
      <c r="C3985" s="11">
        <v>1600</v>
      </c>
      <c r="D3985" s="11">
        <v>0</v>
      </c>
      <c r="E3985" s="11">
        <v>1600</v>
      </c>
      <c r="F3985" t="str">
        <f>VLOOKUP(A3985,[1]!Table1[#All],17,FALSE)</f>
        <v>UNITED STATES</v>
      </c>
      <c r="G3985" t="str">
        <f>VLOOKUP(A3985,[1]!Table1[#All],22,FALSE)</f>
        <v>NE ST DEPT OF HEALTH AND HUMAN SERVICES</v>
      </c>
      <c r="H3985" s="8">
        <f>VLOOKUP(A3985,[1]!Table1[#All],32,FALSE)</f>
        <v>43678</v>
      </c>
      <c r="I3985" s="8">
        <f>VLOOKUP(A3985,[1]!Table1[#All],33,FALSE)</f>
        <v>45504</v>
      </c>
      <c r="J3985" t="str">
        <f t="shared" ca="1" si="66"/>
        <v>UDO</v>
      </c>
    </row>
    <row r="3986" spans="1:10" x14ac:dyDescent="0.35">
      <c r="A3986" s="5" t="s">
        <v>128</v>
      </c>
      <c r="B3986" s="6">
        <v>44166</v>
      </c>
      <c r="C3986" s="7">
        <v>1600</v>
      </c>
      <c r="D3986" s="7">
        <v>0</v>
      </c>
      <c r="E3986" s="7">
        <v>1600</v>
      </c>
      <c r="F3986" t="str">
        <f>VLOOKUP(A3986,[1]!Table1[#All],17,FALSE)</f>
        <v>UNITED STATES</v>
      </c>
      <c r="G3986" t="str">
        <f>VLOOKUP(A3986,[1]!Table1[#All],22,FALSE)</f>
        <v>NE ST DEPT OF HEALTH AND HUMAN SERVICES</v>
      </c>
      <c r="H3986" s="8">
        <f>VLOOKUP(A3986,[1]!Table1[#All],32,FALSE)</f>
        <v>43678</v>
      </c>
      <c r="I3986" s="8">
        <f>VLOOKUP(A3986,[1]!Table1[#All],33,FALSE)</f>
        <v>45504</v>
      </c>
      <c r="J3986" t="str">
        <f t="shared" ca="1" si="66"/>
        <v>UDO</v>
      </c>
    </row>
    <row r="3987" spans="1:10" x14ac:dyDescent="0.35">
      <c r="A3987" s="9" t="s">
        <v>128</v>
      </c>
      <c r="B3987" s="10">
        <v>44197</v>
      </c>
      <c r="C3987" s="11">
        <v>1600</v>
      </c>
      <c r="D3987" s="11">
        <v>35.049999999999997</v>
      </c>
      <c r="E3987" s="11">
        <v>1564.95</v>
      </c>
      <c r="F3987" t="str">
        <f>VLOOKUP(A3987,[1]!Table1[#All],17,FALSE)</f>
        <v>UNITED STATES</v>
      </c>
      <c r="G3987" t="str">
        <f>VLOOKUP(A3987,[1]!Table1[#All],22,FALSE)</f>
        <v>NE ST DEPT OF HEALTH AND HUMAN SERVICES</v>
      </c>
      <c r="H3987" s="8">
        <f>VLOOKUP(A3987,[1]!Table1[#All],32,FALSE)</f>
        <v>43678</v>
      </c>
      <c r="I3987" s="8">
        <f>VLOOKUP(A3987,[1]!Table1[#All],33,FALSE)</f>
        <v>45504</v>
      </c>
      <c r="J3987" t="str">
        <f t="shared" ca="1" si="66"/>
        <v>UDO</v>
      </c>
    </row>
    <row r="3988" spans="1:10" x14ac:dyDescent="0.35">
      <c r="A3988" s="5" t="s">
        <v>128</v>
      </c>
      <c r="B3988" s="6">
        <v>44228</v>
      </c>
      <c r="C3988" s="7">
        <v>1600</v>
      </c>
      <c r="D3988" s="7">
        <v>74.27</v>
      </c>
      <c r="E3988" s="7">
        <v>1525.73</v>
      </c>
      <c r="F3988" t="str">
        <f>VLOOKUP(A3988,[1]!Table1[#All],17,FALSE)</f>
        <v>UNITED STATES</v>
      </c>
      <c r="G3988" t="str">
        <f>VLOOKUP(A3988,[1]!Table1[#All],22,FALSE)</f>
        <v>NE ST DEPT OF HEALTH AND HUMAN SERVICES</v>
      </c>
      <c r="H3988" s="8">
        <f>VLOOKUP(A3988,[1]!Table1[#All],32,FALSE)</f>
        <v>43678</v>
      </c>
      <c r="I3988" s="8">
        <f>VLOOKUP(A3988,[1]!Table1[#All],33,FALSE)</f>
        <v>45504</v>
      </c>
      <c r="J3988" t="str">
        <f t="shared" ca="1" si="66"/>
        <v>UDO</v>
      </c>
    </row>
    <row r="3989" spans="1:10" x14ac:dyDescent="0.35">
      <c r="A3989" s="9" t="s">
        <v>128</v>
      </c>
      <c r="B3989" s="10">
        <v>44256</v>
      </c>
      <c r="C3989" s="11">
        <v>1600</v>
      </c>
      <c r="D3989" s="11">
        <v>89.41</v>
      </c>
      <c r="E3989" s="11">
        <v>1510.59</v>
      </c>
      <c r="F3989" t="str">
        <f>VLOOKUP(A3989,[1]!Table1[#All],17,FALSE)</f>
        <v>UNITED STATES</v>
      </c>
      <c r="G3989" t="str">
        <f>VLOOKUP(A3989,[1]!Table1[#All],22,FALSE)</f>
        <v>NE ST DEPT OF HEALTH AND HUMAN SERVICES</v>
      </c>
      <c r="H3989" s="8">
        <f>VLOOKUP(A3989,[1]!Table1[#All],32,FALSE)</f>
        <v>43678</v>
      </c>
      <c r="I3989" s="8">
        <f>VLOOKUP(A3989,[1]!Table1[#All],33,FALSE)</f>
        <v>45504</v>
      </c>
      <c r="J3989" t="str">
        <f t="shared" ca="1" si="66"/>
        <v>UDO</v>
      </c>
    </row>
    <row r="3990" spans="1:10" x14ac:dyDescent="0.35">
      <c r="A3990" s="5" t="s">
        <v>128</v>
      </c>
      <c r="B3990" s="6">
        <v>44317</v>
      </c>
      <c r="C3990" s="7">
        <v>1600</v>
      </c>
      <c r="D3990" s="7">
        <v>308.02999999999997</v>
      </c>
      <c r="E3990" s="7">
        <v>1291.97</v>
      </c>
      <c r="F3990" t="str">
        <f>VLOOKUP(A3990,[1]!Table1[#All],17,FALSE)</f>
        <v>UNITED STATES</v>
      </c>
      <c r="G3990" t="str">
        <f>VLOOKUP(A3990,[1]!Table1[#All],22,FALSE)</f>
        <v>NE ST DEPT OF HEALTH AND HUMAN SERVICES</v>
      </c>
      <c r="H3990" s="8">
        <f>VLOOKUP(A3990,[1]!Table1[#All],32,FALSE)</f>
        <v>43678</v>
      </c>
      <c r="I3990" s="8">
        <f>VLOOKUP(A3990,[1]!Table1[#All],33,FALSE)</f>
        <v>45504</v>
      </c>
      <c r="J3990" t="str">
        <f t="shared" ca="1" si="66"/>
        <v>UDO</v>
      </c>
    </row>
    <row r="3991" spans="1:10" x14ac:dyDescent="0.35">
      <c r="A3991" s="9" t="s">
        <v>128</v>
      </c>
      <c r="B3991" s="10">
        <v>44348</v>
      </c>
      <c r="C3991" s="11">
        <v>1600</v>
      </c>
      <c r="D3991" s="11">
        <v>362.63</v>
      </c>
      <c r="E3991" s="11">
        <v>1237.3699999999999</v>
      </c>
      <c r="F3991" t="str">
        <f>VLOOKUP(A3991,[1]!Table1[#All],17,FALSE)</f>
        <v>UNITED STATES</v>
      </c>
      <c r="G3991" t="str">
        <f>VLOOKUP(A3991,[1]!Table1[#All],22,FALSE)</f>
        <v>NE ST DEPT OF HEALTH AND HUMAN SERVICES</v>
      </c>
      <c r="H3991" s="8">
        <f>VLOOKUP(A3991,[1]!Table1[#All],32,FALSE)</f>
        <v>43678</v>
      </c>
      <c r="I3991" s="8">
        <f>VLOOKUP(A3991,[1]!Table1[#All],33,FALSE)</f>
        <v>45504</v>
      </c>
      <c r="J3991" t="str">
        <f t="shared" ca="1" si="66"/>
        <v>UDO</v>
      </c>
    </row>
    <row r="3992" spans="1:10" x14ac:dyDescent="0.35">
      <c r="A3992" s="5" t="s">
        <v>128</v>
      </c>
      <c r="B3992" s="6">
        <v>44378</v>
      </c>
      <c r="C3992" s="7">
        <v>1600</v>
      </c>
      <c r="D3992" s="7">
        <v>363.53</v>
      </c>
      <c r="E3992" s="7">
        <v>1236.47</v>
      </c>
      <c r="F3992" t="str">
        <f>VLOOKUP(A3992,[1]!Table1[#All],17,FALSE)</f>
        <v>UNITED STATES</v>
      </c>
      <c r="G3992" t="str">
        <f>VLOOKUP(A3992,[1]!Table1[#All],22,FALSE)</f>
        <v>NE ST DEPT OF HEALTH AND HUMAN SERVICES</v>
      </c>
      <c r="H3992" s="8">
        <f>VLOOKUP(A3992,[1]!Table1[#All],32,FALSE)</f>
        <v>43678</v>
      </c>
      <c r="I3992" s="8">
        <f>VLOOKUP(A3992,[1]!Table1[#All],33,FALSE)</f>
        <v>45504</v>
      </c>
      <c r="J3992" t="str">
        <f t="shared" ca="1" si="66"/>
        <v>UDO</v>
      </c>
    </row>
    <row r="3993" spans="1:10" x14ac:dyDescent="0.35">
      <c r="A3993" s="9" t="s">
        <v>128</v>
      </c>
      <c r="B3993" s="10">
        <v>44409</v>
      </c>
      <c r="C3993" s="11">
        <v>1600</v>
      </c>
      <c r="D3993" s="11">
        <v>391.66</v>
      </c>
      <c r="E3993" s="11">
        <v>1208.3399999999999</v>
      </c>
      <c r="F3993" t="str">
        <f>VLOOKUP(A3993,[1]!Table1[#All],17,FALSE)</f>
        <v>UNITED STATES</v>
      </c>
      <c r="G3993" t="str">
        <f>VLOOKUP(A3993,[1]!Table1[#All],22,FALSE)</f>
        <v>NE ST DEPT OF HEALTH AND HUMAN SERVICES</v>
      </c>
      <c r="H3993" s="8">
        <f>VLOOKUP(A3993,[1]!Table1[#All],32,FALSE)</f>
        <v>43678</v>
      </c>
      <c r="I3993" s="8">
        <f>VLOOKUP(A3993,[1]!Table1[#All],33,FALSE)</f>
        <v>45504</v>
      </c>
      <c r="J3993" t="str">
        <f t="shared" ca="1" si="66"/>
        <v>UDO</v>
      </c>
    </row>
    <row r="3994" spans="1:10" x14ac:dyDescent="0.35">
      <c r="A3994" s="5" t="s">
        <v>128</v>
      </c>
      <c r="B3994" s="6">
        <v>44440</v>
      </c>
      <c r="C3994" s="7">
        <v>1600</v>
      </c>
      <c r="D3994" s="7">
        <v>450.34</v>
      </c>
      <c r="E3994" s="7">
        <v>1149.6600000000001</v>
      </c>
      <c r="F3994" t="str">
        <f>VLOOKUP(A3994,[1]!Table1[#All],17,FALSE)</f>
        <v>UNITED STATES</v>
      </c>
      <c r="G3994" t="str">
        <f>VLOOKUP(A3994,[1]!Table1[#All],22,FALSE)</f>
        <v>NE ST DEPT OF HEALTH AND HUMAN SERVICES</v>
      </c>
      <c r="H3994" s="8">
        <f>VLOOKUP(A3994,[1]!Table1[#All],32,FALSE)</f>
        <v>43678</v>
      </c>
      <c r="I3994" s="8">
        <f>VLOOKUP(A3994,[1]!Table1[#All],33,FALSE)</f>
        <v>45504</v>
      </c>
      <c r="J3994" t="str">
        <f t="shared" ca="1" si="66"/>
        <v>UDO</v>
      </c>
    </row>
    <row r="3995" spans="1:10" x14ac:dyDescent="0.35">
      <c r="A3995" s="9" t="s">
        <v>128</v>
      </c>
      <c r="B3995" s="10">
        <v>44470</v>
      </c>
      <c r="C3995" s="11">
        <v>1600</v>
      </c>
      <c r="D3995" s="11">
        <v>914.55</v>
      </c>
      <c r="E3995" s="11">
        <v>685.45</v>
      </c>
      <c r="F3995" t="str">
        <f>VLOOKUP(A3995,[1]!Table1[#All],17,FALSE)</f>
        <v>UNITED STATES</v>
      </c>
      <c r="G3995" t="str">
        <f>VLOOKUP(A3995,[1]!Table1[#All],22,FALSE)</f>
        <v>NE ST DEPT OF HEALTH AND HUMAN SERVICES</v>
      </c>
      <c r="H3995" s="8">
        <f>VLOOKUP(A3995,[1]!Table1[#All],32,FALSE)</f>
        <v>43678</v>
      </c>
      <c r="I3995" s="8">
        <f>VLOOKUP(A3995,[1]!Table1[#All],33,FALSE)</f>
        <v>45504</v>
      </c>
      <c r="J3995" t="str">
        <f t="shared" ca="1" si="66"/>
        <v>UDO</v>
      </c>
    </row>
    <row r="3996" spans="1:10" x14ac:dyDescent="0.35">
      <c r="A3996" s="5" t="s">
        <v>128</v>
      </c>
      <c r="B3996" s="6">
        <v>44501</v>
      </c>
      <c r="C3996" s="7">
        <v>1600</v>
      </c>
      <c r="D3996" s="7">
        <v>961.31</v>
      </c>
      <c r="E3996" s="7">
        <v>638.69000000000005</v>
      </c>
      <c r="F3996" t="str">
        <f>VLOOKUP(A3996,[1]!Table1[#All],17,FALSE)</f>
        <v>UNITED STATES</v>
      </c>
      <c r="G3996" t="str">
        <f>VLOOKUP(A3996,[1]!Table1[#All],22,FALSE)</f>
        <v>NE ST DEPT OF HEALTH AND HUMAN SERVICES</v>
      </c>
      <c r="H3996" s="8">
        <f>VLOOKUP(A3996,[1]!Table1[#All],32,FALSE)</f>
        <v>43678</v>
      </c>
      <c r="I3996" s="8">
        <f>VLOOKUP(A3996,[1]!Table1[#All],33,FALSE)</f>
        <v>45504</v>
      </c>
      <c r="J3996" t="str">
        <f t="shared" ca="1" si="66"/>
        <v>UDO</v>
      </c>
    </row>
    <row r="3997" spans="1:10" x14ac:dyDescent="0.35">
      <c r="A3997" s="9" t="s">
        <v>128</v>
      </c>
      <c r="B3997" s="10">
        <v>44531</v>
      </c>
      <c r="C3997" s="11">
        <v>1600</v>
      </c>
      <c r="D3997" s="11">
        <v>1090.06</v>
      </c>
      <c r="E3997" s="11">
        <v>509.94</v>
      </c>
      <c r="F3997" t="str">
        <f>VLOOKUP(A3997,[1]!Table1[#All],17,FALSE)</f>
        <v>UNITED STATES</v>
      </c>
      <c r="G3997" t="str">
        <f>VLOOKUP(A3997,[1]!Table1[#All],22,FALSE)</f>
        <v>NE ST DEPT OF HEALTH AND HUMAN SERVICES</v>
      </c>
      <c r="H3997" s="8">
        <f>VLOOKUP(A3997,[1]!Table1[#All],32,FALSE)</f>
        <v>43678</v>
      </c>
      <c r="I3997" s="8">
        <f>VLOOKUP(A3997,[1]!Table1[#All],33,FALSE)</f>
        <v>45504</v>
      </c>
      <c r="J3997" t="str">
        <f t="shared" ca="1" si="66"/>
        <v>UDO</v>
      </c>
    </row>
    <row r="3998" spans="1:10" x14ac:dyDescent="0.35">
      <c r="A3998" s="5" t="s">
        <v>128</v>
      </c>
      <c r="B3998" s="6">
        <v>44562</v>
      </c>
      <c r="C3998" s="7">
        <v>1600</v>
      </c>
      <c r="D3998" s="7">
        <v>1158.06</v>
      </c>
      <c r="E3998" s="7">
        <v>441.94</v>
      </c>
      <c r="F3998" t="str">
        <f>VLOOKUP(A3998,[1]!Table1[#All],17,FALSE)</f>
        <v>UNITED STATES</v>
      </c>
      <c r="G3998" t="str">
        <f>VLOOKUP(A3998,[1]!Table1[#All],22,FALSE)</f>
        <v>NE ST DEPT OF HEALTH AND HUMAN SERVICES</v>
      </c>
      <c r="H3998" s="8">
        <f>VLOOKUP(A3998,[1]!Table1[#All],32,FALSE)</f>
        <v>43678</v>
      </c>
      <c r="I3998" s="8">
        <f>VLOOKUP(A3998,[1]!Table1[#All],33,FALSE)</f>
        <v>45504</v>
      </c>
      <c r="J3998" t="str">
        <f t="shared" ca="1" si="66"/>
        <v>UDO</v>
      </c>
    </row>
    <row r="3999" spans="1:10" x14ac:dyDescent="0.35">
      <c r="A3999" s="9" t="s">
        <v>128</v>
      </c>
      <c r="B3999" s="10">
        <v>44593</v>
      </c>
      <c r="C3999" s="11">
        <v>1600</v>
      </c>
      <c r="D3999" s="11">
        <v>1191.32</v>
      </c>
      <c r="E3999" s="11">
        <v>408.68</v>
      </c>
      <c r="F3999" t="str">
        <f>VLOOKUP(A3999,[1]!Table1[#All],17,FALSE)</f>
        <v>UNITED STATES</v>
      </c>
      <c r="G3999" t="str">
        <f>VLOOKUP(A3999,[1]!Table1[#All],22,FALSE)</f>
        <v>NE ST DEPT OF HEALTH AND HUMAN SERVICES</v>
      </c>
      <c r="H3999" s="8">
        <f>VLOOKUP(A3999,[1]!Table1[#All],32,FALSE)</f>
        <v>43678</v>
      </c>
      <c r="I3999" s="8">
        <f>VLOOKUP(A3999,[1]!Table1[#All],33,FALSE)</f>
        <v>45504</v>
      </c>
      <c r="J3999" t="str">
        <f t="shared" ca="1" si="66"/>
        <v>UDO</v>
      </c>
    </row>
    <row r="4000" spans="1:10" x14ac:dyDescent="0.35">
      <c r="A4000" s="5" t="s">
        <v>128</v>
      </c>
      <c r="B4000" s="6">
        <v>44621</v>
      </c>
      <c r="C4000" s="7">
        <v>1600</v>
      </c>
      <c r="D4000" s="7">
        <v>1226.02</v>
      </c>
      <c r="E4000" s="7">
        <v>373.98</v>
      </c>
      <c r="F4000" t="str">
        <f>VLOOKUP(A4000,[1]!Table1[#All],17,FALSE)</f>
        <v>UNITED STATES</v>
      </c>
      <c r="G4000" t="str">
        <f>VLOOKUP(A4000,[1]!Table1[#All],22,FALSE)</f>
        <v>NE ST DEPT OF HEALTH AND HUMAN SERVICES</v>
      </c>
      <c r="H4000" s="8">
        <f>VLOOKUP(A4000,[1]!Table1[#All],32,FALSE)</f>
        <v>43678</v>
      </c>
      <c r="I4000" s="8">
        <f>VLOOKUP(A4000,[1]!Table1[#All],33,FALSE)</f>
        <v>45504</v>
      </c>
      <c r="J4000" t="str">
        <f t="shared" ca="1" si="66"/>
        <v>UDO</v>
      </c>
    </row>
    <row r="4001" spans="1:10" x14ac:dyDescent="0.35">
      <c r="A4001" s="9" t="s">
        <v>128</v>
      </c>
      <c r="B4001" s="10">
        <v>44652</v>
      </c>
      <c r="C4001" s="11">
        <v>1600</v>
      </c>
      <c r="D4001" s="11">
        <v>1259.3399999999999</v>
      </c>
      <c r="E4001" s="11">
        <v>340.66</v>
      </c>
      <c r="F4001" t="str">
        <f>VLOOKUP(A4001,[1]!Table1[#All],17,FALSE)</f>
        <v>UNITED STATES</v>
      </c>
      <c r="G4001" t="str">
        <f>VLOOKUP(A4001,[1]!Table1[#All],22,FALSE)</f>
        <v>NE ST DEPT OF HEALTH AND HUMAN SERVICES</v>
      </c>
      <c r="H4001" s="8">
        <f>VLOOKUP(A4001,[1]!Table1[#All],32,FALSE)</f>
        <v>43678</v>
      </c>
      <c r="I4001" s="8">
        <f>VLOOKUP(A4001,[1]!Table1[#All],33,FALSE)</f>
        <v>45504</v>
      </c>
      <c r="J4001" t="str">
        <f t="shared" ca="1" si="66"/>
        <v>UDO</v>
      </c>
    </row>
    <row r="4002" spans="1:10" x14ac:dyDescent="0.35">
      <c r="A4002" s="5" t="s">
        <v>128</v>
      </c>
      <c r="B4002" s="6">
        <v>44682</v>
      </c>
      <c r="C4002" s="7">
        <v>1600</v>
      </c>
      <c r="D4002" s="7">
        <v>1282.1400000000001</v>
      </c>
      <c r="E4002" s="7">
        <v>317.86</v>
      </c>
      <c r="F4002" t="str">
        <f>VLOOKUP(A4002,[1]!Table1[#All],17,FALSE)</f>
        <v>UNITED STATES</v>
      </c>
      <c r="G4002" t="str">
        <f>VLOOKUP(A4002,[1]!Table1[#All],22,FALSE)</f>
        <v>NE ST DEPT OF HEALTH AND HUMAN SERVICES</v>
      </c>
      <c r="H4002" s="8">
        <f>VLOOKUP(A4002,[1]!Table1[#All],32,FALSE)</f>
        <v>43678</v>
      </c>
      <c r="I4002" s="8">
        <f>VLOOKUP(A4002,[1]!Table1[#All],33,FALSE)</f>
        <v>45504</v>
      </c>
      <c r="J4002" t="str">
        <f t="shared" ca="1" si="66"/>
        <v>UDO</v>
      </c>
    </row>
    <row r="4003" spans="1:10" x14ac:dyDescent="0.35">
      <c r="A4003" s="9" t="s">
        <v>128</v>
      </c>
      <c r="B4003" s="10">
        <v>44713</v>
      </c>
      <c r="C4003" s="11">
        <v>1600</v>
      </c>
      <c r="D4003" s="11">
        <v>1385.78</v>
      </c>
      <c r="E4003" s="11">
        <v>214.22</v>
      </c>
      <c r="F4003" t="str">
        <f>VLOOKUP(A4003,[1]!Table1[#All],17,FALSE)</f>
        <v>UNITED STATES</v>
      </c>
      <c r="G4003" t="str">
        <f>VLOOKUP(A4003,[1]!Table1[#All],22,FALSE)</f>
        <v>NE ST DEPT OF HEALTH AND HUMAN SERVICES</v>
      </c>
      <c r="H4003" s="8">
        <f>VLOOKUP(A4003,[1]!Table1[#All],32,FALSE)</f>
        <v>43678</v>
      </c>
      <c r="I4003" s="8">
        <f>VLOOKUP(A4003,[1]!Table1[#All],33,FALSE)</f>
        <v>45504</v>
      </c>
      <c r="J4003" t="str">
        <f t="shared" ca="1" si="66"/>
        <v>UDO</v>
      </c>
    </row>
    <row r="4004" spans="1:10" x14ac:dyDescent="0.35">
      <c r="A4004" s="5" t="s">
        <v>128</v>
      </c>
      <c r="B4004" s="6">
        <v>44743</v>
      </c>
      <c r="C4004" s="7">
        <v>1600</v>
      </c>
      <c r="D4004" s="7">
        <v>1400.16</v>
      </c>
      <c r="E4004" s="7">
        <v>199.84</v>
      </c>
      <c r="F4004" t="str">
        <f>VLOOKUP(A4004,[1]!Table1[#All],17,FALSE)</f>
        <v>UNITED STATES</v>
      </c>
      <c r="G4004" t="str">
        <f>VLOOKUP(A4004,[1]!Table1[#All],22,FALSE)</f>
        <v>NE ST DEPT OF HEALTH AND HUMAN SERVICES</v>
      </c>
      <c r="H4004" s="8">
        <f>VLOOKUP(A4004,[1]!Table1[#All],32,FALSE)</f>
        <v>43678</v>
      </c>
      <c r="I4004" s="8">
        <f>VLOOKUP(A4004,[1]!Table1[#All],33,FALSE)</f>
        <v>45504</v>
      </c>
      <c r="J4004" t="str">
        <f t="shared" ca="1" si="66"/>
        <v>UDO</v>
      </c>
    </row>
    <row r="4005" spans="1:10" x14ac:dyDescent="0.35">
      <c r="A4005" s="9" t="s">
        <v>128</v>
      </c>
      <c r="B4005" s="10">
        <v>44774</v>
      </c>
      <c r="C4005" s="11">
        <v>1600</v>
      </c>
      <c r="D4005" s="11">
        <v>1507.06</v>
      </c>
      <c r="E4005" s="11">
        <v>92.94</v>
      </c>
      <c r="F4005" t="str">
        <f>VLOOKUP(A4005,[1]!Table1[#All],17,FALSE)</f>
        <v>UNITED STATES</v>
      </c>
      <c r="G4005" t="str">
        <f>VLOOKUP(A4005,[1]!Table1[#All],22,FALSE)</f>
        <v>NE ST DEPT OF HEALTH AND HUMAN SERVICES</v>
      </c>
      <c r="H4005" s="8">
        <f>VLOOKUP(A4005,[1]!Table1[#All],32,FALSE)</f>
        <v>43678</v>
      </c>
      <c r="I4005" s="8">
        <f>VLOOKUP(A4005,[1]!Table1[#All],33,FALSE)</f>
        <v>45504</v>
      </c>
      <c r="J4005" t="str">
        <f t="shared" ca="1" si="66"/>
        <v>UDO</v>
      </c>
    </row>
    <row r="4006" spans="1:10" x14ac:dyDescent="0.35">
      <c r="A4006" s="5" t="s">
        <v>128</v>
      </c>
      <c r="B4006" s="6">
        <v>44805</v>
      </c>
      <c r="C4006" s="7">
        <v>1600</v>
      </c>
      <c r="D4006" s="7">
        <v>1537.56</v>
      </c>
      <c r="E4006" s="7">
        <v>62.44</v>
      </c>
      <c r="F4006" t="str">
        <f>VLOOKUP(A4006,[1]!Table1[#All],17,FALSE)</f>
        <v>UNITED STATES</v>
      </c>
      <c r="G4006" t="str">
        <f>VLOOKUP(A4006,[1]!Table1[#All],22,FALSE)</f>
        <v>NE ST DEPT OF HEALTH AND HUMAN SERVICES</v>
      </c>
      <c r="H4006" s="8">
        <f>VLOOKUP(A4006,[1]!Table1[#All],32,FALSE)</f>
        <v>43678</v>
      </c>
      <c r="I4006" s="8">
        <f>VLOOKUP(A4006,[1]!Table1[#All],33,FALSE)</f>
        <v>45504</v>
      </c>
      <c r="J4006" t="str">
        <f t="shared" ca="1" si="66"/>
        <v>UDO</v>
      </c>
    </row>
    <row r="4007" spans="1:10" x14ac:dyDescent="0.35">
      <c r="A4007" s="9" t="s">
        <v>128</v>
      </c>
      <c r="B4007" s="10">
        <v>44835</v>
      </c>
      <c r="C4007" s="11">
        <v>1600</v>
      </c>
      <c r="D4007" s="11">
        <v>1600</v>
      </c>
      <c r="E4007" s="11">
        <v>0</v>
      </c>
      <c r="F4007" t="str">
        <f>VLOOKUP(A4007,[1]!Table1[#All],17,FALSE)</f>
        <v>UNITED STATES</v>
      </c>
      <c r="G4007" t="str">
        <f>VLOOKUP(A4007,[1]!Table1[#All],22,FALSE)</f>
        <v>NE ST DEPT OF HEALTH AND HUMAN SERVICES</v>
      </c>
      <c r="H4007" s="8">
        <f>VLOOKUP(A4007,[1]!Table1[#All],32,FALSE)</f>
        <v>43678</v>
      </c>
      <c r="I4007" s="8">
        <f>VLOOKUP(A4007,[1]!Table1[#All],33,FALSE)</f>
        <v>45504</v>
      </c>
      <c r="J4007" t="str">
        <f t="shared" ca="1" si="66"/>
        <v>Non UDO</v>
      </c>
    </row>
    <row r="4008" spans="1:10" x14ac:dyDescent="0.35">
      <c r="A4008" s="5" t="s">
        <v>128</v>
      </c>
      <c r="B4008" s="6">
        <v>44866</v>
      </c>
      <c r="C4008" s="7">
        <v>1600</v>
      </c>
      <c r="D4008" s="7">
        <v>1600</v>
      </c>
      <c r="E4008" s="7">
        <v>0</v>
      </c>
      <c r="F4008" t="str">
        <f>VLOOKUP(A4008,[1]!Table1[#All],17,FALSE)</f>
        <v>UNITED STATES</v>
      </c>
      <c r="G4008" t="str">
        <f>VLOOKUP(A4008,[1]!Table1[#All],22,FALSE)</f>
        <v>NE ST DEPT OF HEALTH AND HUMAN SERVICES</v>
      </c>
      <c r="H4008" s="8">
        <f>VLOOKUP(A4008,[1]!Table1[#All],32,FALSE)</f>
        <v>43678</v>
      </c>
      <c r="I4008" s="8">
        <f>VLOOKUP(A4008,[1]!Table1[#All],33,FALSE)</f>
        <v>45504</v>
      </c>
      <c r="J4008" t="str">
        <f t="shared" ca="1" si="66"/>
        <v>Non UDO</v>
      </c>
    </row>
    <row r="4009" spans="1:10" x14ac:dyDescent="0.35">
      <c r="A4009" s="9" t="s">
        <v>128</v>
      </c>
      <c r="B4009" s="10">
        <v>44896</v>
      </c>
      <c r="C4009" s="11">
        <v>1600</v>
      </c>
      <c r="D4009" s="11">
        <v>1600</v>
      </c>
      <c r="E4009" s="11">
        <v>0</v>
      </c>
      <c r="F4009" t="str">
        <f>VLOOKUP(A4009,[1]!Table1[#All],17,FALSE)</f>
        <v>UNITED STATES</v>
      </c>
      <c r="G4009" t="str">
        <f>VLOOKUP(A4009,[1]!Table1[#All],22,FALSE)</f>
        <v>NE ST DEPT OF HEALTH AND HUMAN SERVICES</v>
      </c>
      <c r="H4009" s="8">
        <f>VLOOKUP(A4009,[1]!Table1[#All],32,FALSE)</f>
        <v>43678</v>
      </c>
      <c r="I4009" s="8">
        <f>VLOOKUP(A4009,[1]!Table1[#All],33,FALSE)</f>
        <v>45504</v>
      </c>
      <c r="J4009" t="str">
        <f t="shared" ca="1" si="66"/>
        <v>Non UDO</v>
      </c>
    </row>
    <row r="4010" spans="1:10" x14ac:dyDescent="0.35">
      <c r="A4010" s="5" t="s">
        <v>128</v>
      </c>
      <c r="B4010" s="6">
        <v>44927</v>
      </c>
      <c r="C4010" s="7">
        <v>1600</v>
      </c>
      <c r="D4010" s="7">
        <v>1600</v>
      </c>
      <c r="E4010" s="7">
        <v>0</v>
      </c>
      <c r="F4010" t="str">
        <f>VLOOKUP(A4010,[1]!Table1[#All],17,FALSE)</f>
        <v>UNITED STATES</v>
      </c>
      <c r="G4010" t="str">
        <f>VLOOKUP(A4010,[1]!Table1[#All],22,FALSE)</f>
        <v>NE ST DEPT OF HEALTH AND HUMAN SERVICES</v>
      </c>
      <c r="H4010" s="8">
        <f>VLOOKUP(A4010,[1]!Table1[#All],32,FALSE)</f>
        <v>43678</v>
      </c>
      <c r="I4010" s="8">
        <f>VLOOKUP(A4010,[1]!Table1[#All],33,FALSE)</f>
        <v>45504</v>
      </c>
      <c r="J4010" t="str">
        <f t="shared" ca="1" si="66"/>
        <v>Non UDO</v>
      </c>
    </row>
    <row r="4011" spans="1:10" x14ac:dyDescent="0.35">
      <c r="A4011" s="9" t="s">
        <v>128</v>
      </c>
      <c r="B4011" s="10">
        <v>44958</v>
      </c>
      <c r="C4011" s="11">
        <v>1600</v>
      </c>
      <c r="D4011" s="11">
        <v>1600</v>
      </c>
      <c r="E4011" s="11">
        <v>0</v>
      </c>
      <c r="F4011" t="str">
        <f>VLOOKUP(A4011,[1]!Table1[#All],17,FALSE)</f>
        <v>UNITED STATES</v>
      </c>
      <c r="G4011" t="str">
        <f>VLOOKUP(A4011,[1]!Table1[#All],22,FALSE)</f>
        <v>NE ST DEPT OF HEALTH AND HUMAN SERVICES</v>
      </c>
      <c r="H4011" s="8">
        <f>VLOOKUP(A4011,[1]!Table1[#All],32,FALSE)</f>
        <v>43678</v>
      </c>
      <c r="I4011" s="8">
        <f>VLOOKUP(A4011,[1]!Table1[#All],33,FALSE)</f>
        <v>45504</v>
      </c>
      <c r="J4011" t="str">
        <f t="shared" ca="1" si="66"/>
        <v>Non UDO</v>
      </c>
    </row>
    <row r="4012" spans="1:10" x14ac:dyDescent="0.35">
      <c r="A4012" s="5" t="s">
        <v>128</v>
      </c>
      <c r="B4012" s="6">
        <v>44986</v>
      </c>
      <c r="C4012" s="7">
        <v>1600</v>
      </c>
      <c r="D4012" s="7">
        <v>1600</v>
      </c>
      <c r="E4012" s="7">
        <v>0</v>
      </c>
      <c r="F4012" t="str">
        <f>VLOOKUP(A4012,[1]!Table1[#All],17,FALSE)</f>
        <v>UNITED STATES</v>
      </c>
      <c r="G4012" t="str">
        <f>VLOOKUP(A4012,[1]!Table1[#All],22,FALSE)</f>
        <v>NE ST DEPT OF HEALTH AND HUMAN SERVICES</v>
      </c>
      <c r="H4012" s="8">
        <f>VLOOKUP(A4012,[1]!Table1[#All],32,FALSE)</f>
        <v>43678</v>
      </c>
      <c r="I4012" s="8">
        <f>VLOOKUP(A4012,[1]!Table1[#All],33,FALSE)</f>
        <v>45504</v>
      </c>
      <c r="J4012" t="str">
        <f t="shared" ca="1" si="66"/>
        <v>Non UDO</v>
      </c>
    </row>
    <row r="4013" spans="1:10" x14ac:dyDescent="0.35">
      <c r="A4013" s="9" t="s">
        <v>128</v>
      </c>
      <c r="B4013" s="10">
        <v>45017</v>
      </c>
      <c r="C4013" s="11">
        <v>1600</v>
      </c>
      <c r="D4013" s="11">
        <v>1600</v>
      </c>
      <c r="E4013" s="11">
        <v>0</v>
      </c>
      <c r="F4013" t="str">
        <f>VLOOKUP(A4013,[1]!Table1[#All],17,FALSE)</f>
        <v>UNITED STATES</v>
      </c>
      <c r="G4013" t="str">
        <f>VLOOKUP(A4013,[1]!Table1[#All],22,FALSE)</f>
        <v>NE ST DEPT OF HEALTH AND HUMAN SERVICES</v>
      </c>
      <c r="H4013" s="8">
        <f>VLOOKUP(A4013,[1]!Table1[#All],32,FALSE)</f>
        <v>43678</v>
      </c>
      <c r="I4013" s="8">
        <f>VLOOKUP(A4013,[1]!Table1[#All],33,FALSE)</f>
        <v>45504</v>
      </c>
      <c r="J4013" t="str">
        <f t="shared" ca="1" si="66"/>
        <v>Non UDO</v>
      </c>
    </row>
    <row r="4014" spans="1:10" x14ac:dyDescent="0.35">
      <c r="A4014" s="5" t="s">
        <v>128</v>
      </c>
      <c r="B4014" s="6">
        <v>45047</v>
      </c>
      <c r="C4014" s="7">
        <v>1600</v>
      </c>
      <c r="D4014" s="7">
        <v>1600</v>
      </c>
      <c r="E4014" s="7">
        <v>0</v>
      </c>
      <c r="F4014" t="str">
        <f>VLOOKUP(A4014,[1]!Table1[#All],17,FALSE)</f>
        <v>UNITED STATES</v>
      </c>
      <c r="G4014" t="str">
        <f>VLOOKUP(A4014,[1]!Table1[#All],22,FALSE)</f>
        <v>NE ST DEPT OF HEALTH AND HUMAN SERVICES</v>
      </c>
      <c r="H4014" s="8">
        <f>VLOOKUP(A4014,[1]!Table1[#All],32,FALSE)</f>
        <v>43678</v>
      </c>
      <c r="I4014" s="8">
        <f>VLOOKUP(A4014,[1]!Table1[#All],33,FALSE)</f>
        <v>45504</v>
      </c>
      <c r="J4014" t="str">
        <f t="shared" ca="1" si="66"/>
        <v>Non UDO</v>
      </c>
    </row>
    <row r="4015" spans="1:10" x14ac:dyDescent="0.35">
      <c r="A4015" s="9" t="s">
        <v>128</v>
      </c>
      <c r="B4015" s="10">
        <v>45078</v>
      </c>
      <c r="C4015" s="11">
        <v>1600</v>
      </c>
      <c r="D4015" s="11">
        <v>1600</v>
      </c>
      <c r="E4015" s="11">
        <v>0</v>
      </c>
      <c r="F4015" t="str">
        <f>VLOOKUP(A4015,[1]!Table1[#All],17,FALSE)</f>
        <v>UNITED STATES</v>
      </c>
      <c r="G4015" t="str">
        <f>VLOOKUP(A4015,[1]!Table1[#All],22,FALSE)</f>
        <v>NE ST DEPT OF HEALTH AND HUMAN SERVICES</v>
      </c>
      <c r="H4015" s="8">
        <f>VLOOKUP(A4015,[1]!Table1[#All],32,FALSE)</f>
        <v>43678</v>
      </c>
      <c r="I4015" s="8">
        <f>VLOOKUP(A4015,[1]!Table1[#All],33,FALSE)</f>
        <v>45504</v>
      </c>
      <c r="J4015" t="str">
        <f t="shared" ca="1" si="66"/>
        <v>Non UDO</v>
      </c>
    </row>
    <row r="4016" spans="1:10" x14ac:dyDescent="0.35">
      <c r="A4016" s="5" t="s">
        <v>128</v>
      </c>
      <c r="B4016" s="6">
        <v>45108</v>
      </c>
      <c r="C4016" s="7">
        <v>1600</v>
      </c>
      <c r="D4016" s="7">
        <v>1600</v>
      </c>
      <c r="E4016" s="7">
        <v>0</v>
      </c>
      <c r="F4016" t="str">
        <f>VLOOKUP(A4016,[1]!Table1[#All],17,FALSE)</f>
        <v>UNITED STATES</v>
      </c>
      <c r="G4016" t="str">
        <f>VLOOKUP(A4016,[1]!Table1[#All],22,FALSE)</f>
        <v>NE ST DEPT OF HEALTH AND HUMAN SERVICES</v>
      </c>
      <c r="H4016" s="8">
        <f>VLOOKUP(A4016,[1]!Table1[#All],32,FALSE)</f>
        <v>43678</v>
      </c>
      <c r="I4016" s="8">
        <f>VLOOKUP(A4016,[1]!Table1[#All],33,FALSE)</f>
        <v>45504</v>
      </c>
      <c r="J4016" t="str">
        <f t="shared" ca="1" si="66"/>
        <v>Non UDO</v>
      </c>
    </row>
    <row r="4017" spans="1:10" x14ac:dyDescent="0.35">
      <c r="A4017" s="9" t="s">
        <v>128</v>
      </c>
      <c r="B4017" s="10">
        <v>45139</v>
      </c>
      <c r="C4017" s="11">
        <v>1600</v>
      </c>
      <c r="D4017" s="11">
        <v>1600</v>
      </c>
      <c r="E4017" s="11">
        <v>0</v>
      </c>
      <c r="F4017" t="str">
        <f>VLOOKUP(A4017,[1]!Table1[#All],17,FALSE)</f>
        <v>UNITED STATES</v>
      </c>
      <c r="G4017" t="str">
        <f>VLOOKUP(A4017,[1]!Table1[#All],22,FALSE)</f>
        <v>NE ST DEPT OF HEALTH AND HUMAN SERVICES</v>
      </c>
      <c r="H4017" s="8">
        <f>VLOOKUP(A4017,[1]!Table1[#All],32,FALSE)</f>
        <v>43678</v>
      </c>
      <c r="I4017" s="8">
        <f>VLOOKUP(A4017,[1]!Table1[#All],33,FALSE)</f>
        <v>45504</v>
      </c>
      <c r="J4017" t="str">
        <f t="shared" ca="1" si="66"/>
        <v>Non UDO</v>
      </c>
    </row>
    <row r="4018" spans="1:10" x14ac:dyDescent="0.35">
      <c r="A4018" s="5" t="s">
        <v>128</v>
      </c>
      <c r="B4018" s="6">
        <v>45170</v>
      </c>
      <c r="C4018" s="7">
        <v>1600</v>
      </c>
      <c r="D4018" s="7">
        <v>1600</v>
      </c>
      <c r="E4018" s="7">
        <v>0</v>
      </c>
      <c r="F4018" t="str">
        <f>VLOOKUP(A4018,[1]!Table1[#All],17,FALSE)</f>
        <v>UNITED STATES</v>
      </c>
      <c r="G4018" t="str">
        <f>VLOOKUP(A4018,[1]!Table1[#All],22,FALSE)</f>
        <v>NE ST DEPT OF HEALTH AND HUMAN SERVICES</v>
      </c>
      <c r="H4018" s="8">
        <f>VLOOKUP(A4018,[1]!Table1[#All],32,FALSE)</f>
        <v>43678</v>
      </c>
      <c r="I4018" s="8">
        <f>VLOOKUP(A4018,[1]!Table1[#All],33,FALSE)</f>
        <v>45504</v>
      </c>
      <c r="J4018" t="str">
        <f t="shared" ca="1" si="66"/>
        <v>Non UDO</v>
      </c>
    </row>
    <row r="4019" spans="1:10" x14ac:dyDescent="0.35">
      <c r="A4019" s="9" t="s">
        <v>129</v>
      </c>
      <c r="B4019" s="10">
        <v>44409</v>
      </c>
      <c r="C4019" s="11">
        <v>4500</v>
      </c>
      <c r="D4019" s="11">
        <v>0</v>
      </c>
      <c r="E4019" s="11">
        <v>4500</v>
      </c>
      <c r="F4019" t="str">
        <f>VLOOKUP(A4019,[1]!Table1[#All],17,FALSE)</f>
        <v>UNITED STATES</v>
      </c>
      <c r="G4019" t="str">
        <f>VLOOKUP(A4019,[1]!Table1[#All],22,FALSE)</f>
        <v>NE ST DEPT OF HEALTH AND HUMAN SERVICES</v>
      </c>
      <c r="H4019" s="8">
        <f>VLOOKUP(A4019,[1]!Table1[#All],32,FALSE)</f>
        <v>43678</v>
      </c>
      <c r="I4019" s="8">
        <f>VLOOKUP(A4019,[1]!Table1[#All],33,FALSE)</f>
        <v>45504</v>
      </c>
      <c r="J4019" t="str">
        <f t="shared" ca="1" si="66"/>
        <v>UDO</v>
      </c>
    </row>
    <row r="4020" spans="1:10" x14ac:dyDescent="0.35">
      <c r="A4020" s="5" t="s">
        <v>129</v>
      </c>
      <c r="B4020" s="6">
        <v>44440</v>
      </c>
      <c r="C4020" s="7">
        <v>4500</v>
      </c>
      <c r="D4020" s="7">
        <v>0</v>
      </c>
      <c r="E4020" s="7">
        <v>4500</v>
      </c>
      <c r="F4020" t="str">
        <f>VLOOKUP(A4020,[1]!Table1[#All],17,FALSE)</f>
        <v>UNITED STATES</v>
      </c>
      <c r="G4020" t="str">
        <f>VLOOKUP(A4020,[1]!Table1[#All],22,FALSE)</f>
        <v>NE ST DEPT OF HEALTH AND HUMAN SERVICES</v>
      </c>
      <c r="H4020" s="8">
        <f>VLOOKUP(A4020,[1]!Table1[#All],32,FALSE)</f>
        <v>43678</v>
      </c>
      <c r="I4020" s="8">
        <f>VLOOKUP(A4020,[1]!Table1[#All],33,FALSE)</f>
        <v>45504</v>
      </c>
      <c r="J4020" t="str">
        <f t="shared" ca="1" si="66"/>
        <v>UDO</v>
      </c>
    </row>
    <row r="4021" spans="1:10" x14ac:dyDescent="0.35">
      <c r="A4021" s="9" t="s">
        <v>129</v>
      </c>
      <c r="B4021" s="10">
        <v>44470</v>
      </c>
      <c r="C4021" s="11">
        <v>4500</v>
      </c>
      <c r="D4021" s="11">
        <v>0</v>
      </c>
      <c r="E4021" s="11">
        <v>4500</v>
      </c>
      <c r="F4021" t="str">
        <f>VLOOKUP(A4021,[1]!Table1[#All],17,FALSE)</f>
        <v>UNITED STATES</v>
      </c>
      <c r="G4021" t="str">
        <f>VLOOKUP(A4021,[1]!Table1[#All],22,FALSE)</f>
        <v>NE ST DEPT OF HEALTH AND HUMAN SERVICES</v>
      </c>
      <c r="H4021" s="8">
        <f>VLOOKUP(A4021,[1]!Table1[#All],32,FALSE)</f>
        <v>43678</v>
      </c>
      <c r="I4021" s="8">
        <f>VLOOKUP(A4021,[1]!Table1[#All],33,FALSE)</f>
        <v>45504</v>
      </c>
      <c r="J4021" t="str">
        <f t="shared" ca="1" si="66"/>
        <v>UDO</v>
      </c>
    </row>
    <row r="4022" spans="1:10" x14ac:dyDescent="0.35">
      <c r="A4022" s="5" t="s">
        <v>129</v>
      </c>
      <c r="B4022" s="6">
        <v>44501</v>
      </c>
      <c r="C4022" s="7">
        <v>4500</v>
      </c>
      <c r="D4022" s="7">
        <v>0</v>
      </c>
      <c r="E4022" s="7">
        <v>4500</v>
      </c>
      <c r="F4022" t="str">
        <f>VLOOKUP(A4022,[1]!Table1[#All],17,FALSE)</f>
        <v>UNITED STATES</v>
      </c>
      <c r="G4022" t="str">
        <f>VLOOKUP(A4022,[1]!Table1[#All],22,FALSE)</f>
        <v>NE ST DEPT OF HEALTH AND HUMAN SERVICES</v>
      </c>
      <c r="H4022" s="8">
        <f>VLOOKUP(A4022,[1]!Table1[#All],32,FALSE)</f>
        <v>43678</v>
      </c>
      <c r="I4022" s="8">
        <f>VLOOKUP(A4022,[1]!Table1[#All],33,FALSE)</f>
        <v>45504</v>
      </c>
      <c r="J4022" t="str">
        <f t="shared" ca="1" si="66"/>
        <v>UDO</v>
      </c>
    </row>
    <row r="4023" spans="1:10" x14ac:dyDescent="0.35">
      <c r="A4023" s="9" t="s">
        <v>129</v>
      </c>
      <c r="B4023" s="10">
        <v>44531</v>
      </c>
      <c r="C4023" s="11">
        <v>4500</v>
      </c>
      <c r="D4023" s="11">
        <v>0</v>
      </c>
      <c r="E4023" s="11">
        <v>4500</v>
      </c>
      <c r="F4023" t="str">
        <f>VLOOKUP(A4023,[1]!Table1[#All],17,FALSE)</f>
        <v>UNITED STATES</v>
      </c>
      <c r="G4023" t="str">
        <f>VLOOKUP(A4023,[1]!Table1[#All],22,FALSE)</f>
        <v>NE ST DEPT OF HEALTH AND HUMAN SERVICES</v>
      </c>
      <c r="H4023" s="8">
        <f>VLOOKUP(A4023,[1]!Table1[#All],32,FALSE)</f>
        <v>43678</v>
      </c>
      <c r="I4023" s="8">
        <f>VLOOKUP(A4023,[1]!Table1[#All],33,FALSE)</f>
        <v>45504</v>
      </c>
      <c r="J4023" t="str">
        <f t="shared" ca="1" si="66"/>
        <v>UDO</v>
      </c>
    </row>
    <row r="4024" spans="1:10" x14ac:dyDescent="0.35">
      <c r="A4024" s="5" t="s">
        <v>129</v>
      </c>
      <c r="B4024" s="6">
        <v>44562</v>
      </c>
      <c r="C4024" s="7">
        <v>4500</v>
      </c>
      <c r="D4024" s="7">
        <v>0</v>
      </c>
      <c r="E4024" s="7">
        <v>4500</v>
      </c>
      <c r="F4024" t="str">
        <f>VLOOKUP(A4024,[1]!Table1[#All],17,FALSE)</f>
        <v>UNITED STATES</v>
      </c>
      <c r="G4024" t="str">
        <f>VLOOKUP(A4024,[1]!Table1[#All],22,FALSE)</f>
        <v>NE ST DEPT OF HEALTH AND HUMAN SERVICES</v>
      </c>
      <c r="H4024" s="8">
        <f>VLOOKUP(A4024,[1]!Table1[#All],32,FALSE)</f>
        <v>43678</v>
      </c>
      <c r="I4024" s="8">
        <f>VLOOKUP(A4024,[1]!Table1[#All],33,FALSE)</f>
        <v>45504</v>
      </c>
      <c r="J4024" t="str">
        <f t="shared" ca="1" si="66"/>
        <v>UDO</v>
      </c>
    </row>
    <row r="4025" spans="1:10" x14ac:dyDescent="0.35">
      <c r="A4025" s="9" t="s">
        <v>129</v>
      </c>
      <c r="B4025" s="10">
        <v>44593</v>
      </c>
      <c r="C4025" s="11">
        <v>4500</v>
      </c>
      <c r="D4025" s="11">
        <v>0</v>
      </c>
      <c r="E4025" s="11">
        <v>4500</v>
      </c>
      <c r="F4025" t="str">
        <f>VLOOKUP(A4025,[1]!Table1[#All],17,FALSE)</f>
        <v>UNITED STATES</v>
      </c>
      <c r="G4025" t="str">
        <f>VLOOKUP(A4025,[1]!Table1[#All],22,FALSE)</f>
        <v>NE ST DEPT OF HEALTH AND HUMAN SERVICES</v>
      </c>
      <c r="H4025" s="8">
        <f>VLOOKUP(A4025,[1]!Table1[#All],32,FALSE)</f>
        <v>43678</v>
      </c>
      <c r="I4025" s="8">
        <f>VLOOKUP(A4025,[1]!Table1[#All],33,FALSE)</f>
        <v>45504</v>
      </c>
      <c r="J4025" t="str">
        <f t="shared" ca="1" si="66"/>
        <v>UDO</v>
      </c>
    </row>
    <row r="4026" spans="1:10" x14ac:dyDescent="0.35">
      <c r="A4026" s="5" t="s">
        <v>129</v>
      </c>
      <c r="B4026" s="6">
        <v>44621</v>
      </c>
      <c r="C4026" s="7">
        <v>4500</v>
      </c>
      <c r="D4026" s="7">
        <v>0</v>
      </c>
      <c r="E4026" s="7">
        <v>4500</v>
      </c>
      <c r="F4026" t="str">
        <f>VLOOKUP(A4026,[1]!Table1[#All],17,FALSE)</f>
        <v>UNITED STATES</v>
      </c>
      <c r="G4026" t="str">
        <f>VLOOKUP(A4026,[1]!Table1[#All],22,FALSE)</f>
        <v>NE ST DEPT OF HEALTH AND HUMAN SERVICES</v>
      </c>
      <c r="H4026" s="8">
        <f>VLOOKUP(A4026,[1]!Table1[#All],32,FALSE)</f>
        <v>43678</v>
      </c>
      <c r="I4026" s="8">
        <f>VLOOKUP(A4026,[1]!Table1[#All],33,FALSE)</f>
        <v>45504</v>
      </c>
      <c r="J4026" t="str">
        <f t="shared" ca="1" si="66"/>
        <v>UDO</v>
      </c>
    </row>
    <row r="4027" spans="1:10" x14ac:dyDescent="0.35">
      <c r="A4027" s="9" t="s">
        <v>129</v>
      </c>
      <c r="B4027" s="10">
        <v>44652</v>
      </c>
      <c r="C4027" s="11">
        <v>4500</v>
      </c>
      <c r="D4027" s="11">
        <v>0</v>
      </c>
      <c r="E4027" s="11">
        <v>4500</v>
      </c>
      <c r="F4027" t="str">
        <f>VLOOKUP(A4027,[1]!Table1[#All],17,FALSE)</f>
        <v>UNITED STATES</v>
      </c>
      <c r="G4027" t="str">
        <f>VLOOKUP(A4027,[1]!Table1[#All],22,FALSE)</f>
        <v>NE ST DEPT OF HEALTH AND HUMAN SERVICES</v>
      </c>
      <c r="H4027" s="8">
        <f>VLOOKUP(A4027,[1]!Table1[#All],32,FALSE)</f>
        <v>43678</v>
      </c>
      <c r="I4027" s="8">
        <f>VLOOKUP(A4027,[1]!Table1[#All],33,FALSE)</f>
        <v>45504</v>
      </c>
      <c r="J4027" t="str">
        <f t="shared" ca="1" si="66"/>
        <v>UDO</v>
      </c>
    </row>
    <row r="4028" spans="1:10" x14ac:dyDescent="0.35">
      <c r="A4028" s="5" t="s">
        <v>129</v>
      </c>
      <c r="B4028" s="6">
        <v>44682</v>
      </c>
      <c r="C4028" s="7">
        <v>4500</v>
      </c>
      <c r="D4028" s="7">
        <v>0</v>
      </c>
      <c r="E4028" s="7">
        <v>4500</v>
      </c>
      <c r="F4028" t="str">
        <f>VLOOKUP(A4028,[1]!Table1[#All],17,FALSE)</f>
        <v>UNITED STATES</v>
      </c>
      <c r="G4028" t="str">
        <f>VLOOKUP(A4028,[1]!Table1[#All],22,FALSE)</f>
        <v>NE ST DEPT OF HEALTH AND HUMAN SERVICES</v>
      </c>
      <c r="H4028" s="8">
        <f>VLOOKUP(A4028,[1]!Table1[#All],32,FALSE)</f>
        <v>43678</v>
      </c>
      <c r="I4028" s="8">
        <f>VLOOKUP(A4028,[1]!Table1[#All],33,FALSE)</f>
        <v>45504</v>
      </c>
      <c r="J4028" t="str">
        <f t="shared" ca="1" si="66"/>
        <v>UDO</v>
      </c>
    </row>
    <row r="4029" spans="1:10" x14ac:dyDescent="0.35">
      <c r="A4029" s="9" t="s">
        <v>129</v>
      </c>
      <c r="B4029" s="10">
        <v>44713</v>
      </c>
      <c r="C4029" s="11">
        <v>4500</v>
      </c>
      <c r="D4029" s="11">
        <v>0</v>
      </c>
      <c r="E4029" s="11">
        <v>4500</v>
      </c>
      <c r="F4029" t="str">
        <f>VLOOKUP(A4029,[1]!Table1[#All],17,FALSE)</f>
        <v>UNITED STATES</v>
      </c>
      <c r="G4029" t="str">
        <f>VLOOKUP(A4029,[1]!Table1[#All],22,FALSE)</f>
        <v>NE ST DEPT OF HEALTH AND HUMAN SERVICES</v>
      </c>
      <c r="H4029" s="8">
        <f>VLOOKUP(A4029,[1]!Table1[#All],32,FALSE)</f>
        <v>43678</v>
      </c>
      <c r="I4029" s="8">
        <f>VLOOKUP(A4029,[1]!Table1[#All],33,FALSE)</f>
        <v>45504</v>
      </c>
      <c r="J4029" t="str">
        <f t="shared" ca="1" si="66"/>
        <v>UDO</v>
      </c>
    </row>
    <row r="4030" spans="1:10" x14ac:dyDescent="0.35">
      <c r="A4030" s="5" t="s">
        <v>129</v>
      </c>
      <c r="B4030" s="6">
        <v>44743</v>
      </c>
      <c r="C4030" s="7">
        <v>4500</v>
      </c>
      <c r="D4030" s="7">
        <v>0</v>
      </c>
      <c r="E4030" s="7">
        <v>4500</v>
      </c>
      <c r="F4030" t="str">
        <f>VLOOKUP(A4030,[1]!Table1[#All],17,FALSE)</f>
        <v>UNITED STATES</v>
      </c>
      <c r="G4030" t="str">
        <f>VLOOKUP(A4030,[1]!Table1[#All],22,FALSE)</f>
        <v>NE ST DEPT OF HEALTH AND HUMAN SERVICES</v>
      </c>
      <c r="H4030" s="8">
        <f>VLOOKUP(A4030,[1]!Table1[#All],32,FALSE)</f>
        <v>43678</v>
      </c>
      <c r="I4030" s="8">
        <f>VLOOKUP(A4030,[1]!Table1[#All],33,FALSE)</f>
        <v>45504</v>
      </c>
      <c r="J4030" t="str">
        <f t="shared" ca="1" si="66"/>
        <v>UDO</v>
      </c>
    </row>
    <row r="4031" spans="1:10" x14ac:dyDescent="0.35">
      <c r="A4031" s="9" t="s">
        <v>129</v>
      </c>
      <c r="B4031" s="10">
        <v>44774</v>
      </c>
      <c r="C4031" s="11">
        <v>4500</v>
      </c>
      <c r="D4031" s="11">
        <v>0</v>
      </c>
      <c r="E4031" s="11">
        <v>4500</v>
      </c>
      <c r="F4031" t="str">
        <f>VLOOKUP(A4031,[1]!Table1[#All],17,FALSE)</f>
        <v>UNITED STATES</v>
      </c>
      <c r="G4031" t="str">
        <f>VLOOKUP(A4031,[1]!Table1[#All],22,FALSE)</f>
        <v>NE ST DEPT OF HEALTH AND HUMAN SERVICES</v>
      </c>
      <c r="H4031" s="8">
        <f>VLOOKUP(A4031,[1]!Table1[#All],32,FALSE)</f>
        <v>43678</v>
      </c>
      <c r="I4031" s="8">
        <f>VLOOKUP(A4031,[1]!Table1[#All],33,FALSE)</f>
        <v>45504</v>
      </c>
      <c r="J4031" t="str">
        <f t="shared" ca="1" si="66"/>
        <v>UDO</v>
      </c>
    </row>
    <row r="4032" spans="1:10" x14ac:dyDescent="0.35">
      <c r="A4032" s="5" t="s">
        <v>129</v>
      </c>
      <c r="B4032" s="6">
        <v>44805</v>
      </c>
      <c r="C4032" s="7">
        <v>4500</v>
      </c>
      <c r="D4032" s="7">
        <v>0</v>
      </c>
      <c r="E4032" s="7">
        <v>4500</v>
      </c>
      <c r="F4032" t="str">
        <f>VLOOKUP(A4032,[1]!Table1[#All],17,FALSE)</f>
        <v>UNITED STATES</v>
      </c>
      <c r="G4032" t="str">
        <f>VLOOKUP(A4032,[1]!Table1[#All],22,FALSE)</f>
        <v>NE ST DEPT OF HEALTH AND HUMAN SERVICES</v>
      </c>
      <c r="H4032" s="8">
        <f>VLOOKUP(A4032,[1]!Table1[#All],32,FALSE)</f>
        <v>43678</v>
      </c>
      <c r="I4032" s="8">
        <f>VLOOKUP(A4032,[1]!Table1[#All],33,FALSE)</f>
        <v>45504</v>
      </c>
      <c r="J4032" t="str">
        <f t="shared" ca="1" si="66"/>
        <v>UDO</v>
      </c>
    </row>
    <row r="4033" spans="1:10" x14ac:dyDescent="0.35">
      <c r="A4033" s="9" t="s">
        <v>129</v>
      </c>
      <c r="B4033" s="10">
        <v>44835</v>
      </c>
      <c r="C4033" s="11">
        <v>4500</v>
      </c>
      <c r="D4033" s="11">
        <v>200.8</v>
      </c>
      <c r="E4033" s="11">
        <v>4299.2</v>
      </c>
      <c r="F4033" t="str">
        <f>VLOOKUP(A4033,[1]!Table1[#All],17,FALSE)</f>
        <v>UNITED STATES</v>
      </c>
      <c r="G4033" t="str">
        <f>VLOOKUP(A4033,[1]!Table1[#All],22,FALSE)</f>
        <v>NE ST DEPT OF HEALTH AND HUMAN SERVICES</v>
      </c>
      <c r="H4033" s="8">
        <f>VLOOKUP(A4033,[1]!Table1[#All],32,FALSE)</f>
        <v>43678</v>
      </c>
      <c r="I4033" s="8">
        <f>VLOOKUP(A4033,[1]!Table1[#All],33,FALSE)</f>
        <v>45504</v>
      </c>
      <c r="J4033" t="str">
        <f t="shared" ca="1" si="66"/>
        <v>UDO</v>
      </c>
    </row>
    <row r="4034" spans="1:10" x14ac:dyDescent="0.35">
      <c r="A4034" s="5" t="s">
        <v>129</v>
      </c>
      <c r="B4034" s="6">
        <v>44866</v>
      </c>
      <c r="C4034" s="7">
        <v>4500</v>
      </c>
      <c r="D4034" s="7">
        <v>319.91000000000003</v>
      </c>
      <c r="E4034" s="7">
        <v>4180.09</v>
      </c>
      <c r="F4034" t="str">
        <f>VLOOKUP(A4034,[1]!Table1[#All],17,FALSE)</f>
        <v>UNITED STATES</v>
      </c>
      <c r="G4034" t="str">
        <f>VLOOKUP(A4034,[1]!Table1[#All],22,FALSE)</f>
        <v>NE ST DEPT OF HEALTH AND HUMAN SERVICES</v>
      </c>
      <c r="H4034" s="8">
        <f>VLOOKUP(A4034,[1]!Table1[#All],32,FALSE)</f>
        <v>43678</v>
      </c>
      <c r="I4034" s="8">
        <f>VLOOKUP(A4034,[1]!Table1[#All],33,FALSE)</f>
        <v>45504</v>
      </c>
      <c r="J4034" t="str">
        <f t="shared" ca="1" si="66"/>
        <v>UDO</v>
      </c>
    </row>
    <row r="4035" spans="1:10" x14ac:dyDescent="0.35">
      <c r="A4035" s="9" t="s">
        <v>129</v>
      </c>
      <c r="B4035" s="10">
        <v>44896</v>
      </c>
      <c r="C4035" s="11">
        <v>4500</v>
      </c>
      <c r="D4035" s="11">
        <v>1351.26</v>
      </c>
      <c r="E4035" s="11">
        <v>3148.74</v>
      </c>
      <c r="F4035" t="str">
        <f>VLOOKUP(A4035,[1]!Table1[#All],17,FALSE)</f>
        <v>UNITED STATES</v>
      </c>
      <c r="G4035" t="str">
        <f>VLOOKUP(A4035,[1]!Table1[#All],22,FALSE)</f>
        <v>NE ST DEPT OF HEALTH AND HUMAN SERVICES</v>
      </c>
      <c r="H4035" s="8">
        <f>VLOOKUP(A4035,[1]!Table1[#All],32,FALSE)</f>
        <v>43678</v>
      </c>
      <c r="I4035" s="8">
        <f>VLOOKUP(A4035,[1]!Table1[#All],33,FALSE)</f>
        <v>45504</v>
      </c>
      <c r="J4035" t="str">
        <f t="shared" ref="J4035:J4098" ca="1" si="67">IF(AND( E4035&gt;0,TODAY()&gt;I4035),"UDO","Non UDO")</f>
        <v>UDO</v>
      </c>
    </row>
    <row r="4036" spans="1:10" x14ac:dyDescent="0.35">
      <c r="A4036" s="5" t="s">
        <v>129</v>
      </c>
      <c r="B4036" s="6">
        <v>44927</v>
      </c>
      <c r="C4036" s="7">
        <v>4500</v>
      </c>
      <c r="D4036" s="7">
        <v>1706.11</v>
      </c>
      <c r="E4036" s="7">
        <v>2793.89</v>
      </c>
      <c r="F4036" t="str">
        <f>VLOOKUP(A4036,[1]!Table1[#All],17,FALSE)</f>
        <v>UNITED STATES</v>
      </c>
      <c r="G4036" t="str">
        <f>VLOOKUP(A4036,[1]!Table1[#All],22,FALSE)</f>
        <v>NE ST DEPT OF HEALTH AND HUMAN SERVICES</v>
      </c>
      <c r="H4036" s="8">
        <f>VLOOKUP(A4036,[1]!Table1[#All],32,FALSE)</f>
        <v>43678</v>
      </c>
      <c r="I4036" s="8">
        <f>VLOOKUP(A4036,[1]!Table1[#All],33,FALSE)</f>
        <v>45504</v>
      </c>
      <c r="J4036" t="str">
        <f t="shared" ca="1" si="67"/>
        <v>UDO</v>
      </c>
    </row>
    <row r="4037" spans="1:10" x14ac:dyDescent="0.35">
      <c r="A4037" s="9" t="s">
        <v>129</v>
      </c>
      <c r="B4037" s="10">
        <v>44958</v>
      </c>
      <c r="C4037" s="11">
        <v>4500</v>
      </c>
      <c r="D4037" s="11">
        <v>1979.32</v>
      </c>
      <c r="E4037" s="11">
        <v>2520.6799999999998</v>
      </c>
      <c r="F4037" t="str">
        <f>VLOOKUP(A4037,[1]!Table1[#All],17,FALSE)</f>
        <v>UNITED STATES</v>
      </c>
      <c r="G4037" t="str">
        <f>VLOOKUP(A4037,[1]!Table1[#All],22,FALSE)</f>
        <v>NE ST DEPT OF HEALTH AND HUMAN SERVICES</v>
      </c>
      <c r="H4037" s="8">
        <f>VLOOKUP(A4037,[1]!Table1[#All],32,FALSE)</f>
        <v>43678</v>
      </c>
      <c r="I4037" s="8">
        <f>VLOOKUP(A4037,[1]!Table1[#All],33,FALSE)</f>
        <v>45504</v>
      </c>
      <c r="J4037" t="str">
        <f t="shared" ca="1" si="67"/>
        <v>UDO</v>
      </c>
    </row>
    <row r="4038" spans="1:10" x14ac:dyDescent="0.35">
      <c r="A4038" s="5" t="s">
        <v>129</v>
      </c>
      <c r="B4038" s="6">
        <v>44986</v>
      </c>
      <c r="C4038" s="7">
        <v>4500</v>
      </c>
      <c r="D4038" s="7">
        <v>2350.96</v>
      </c>
      <c r="E4038" s="7">
        <v>2149.04</v>
      </c>
      <c r="F4038" t="str">
        <f>VLOOKUP(A4038,[1]!Table1[#All],17,FALSE)</f>
        <v>UNITED STATES</v>
      </c>
      <c r="G4038" t="str">
        <f>VLOOKUP(A4038,[1]!Table1[#All],22,FALSE)</f>
        <v>NE ST DEPT OF HEALTH AND HUMAN SERVICES</v>
      </c>
      <c r="H4038" s="8">
        <f>VLOOKUP(A4038,[1]!Table1[#All],32,FALSE)</f>
        <v>43678</v>
      </c>
      <c r="I4038" s="8">
        <f>VLOOKUP(A4038,[1]!Table1[#All],33,FALSE)</f>
        <v>45504</v>
      </c>
      <c r="J4038" t="str">
        <f t="shared" ca="1" si="67"/>
        <v>UDO</v>
      </c>
    </row>
    <row r="4039" spans="1:10" x14ac:dyDescent="0.35">
      <c r="A4039" s="9" t="s">
        <v>129</v>
      </c>
      <c r="B4039" s="10">
        <v>45017</v>
      </c>
      <c r="C4039" s="11">
        <v>4500</v>
      </c>
      <c r="D4039" s="11">
        <v>2574.6</v>
      </c>
      <c r="E4039" s="11">
        <v>1925.4</v>
      </c>
      <c r="F4039" t="str">
        <f>VLOOKUP(A4039,[1]!Table1[#All],17,FALSE)</f>
        <v>UNITED STATES</v>
      </c>
      <c r="G4039" t="str">
        <f>VLOOKUP(A4039,[1]!Table1[#All],22,FALSE)</f>
        <v>NE ST DEPT OF HEALTH AND HUMAN SERVICES</v>
      </c>
      <c r="H4039" s="8">
        <f>VLOOKUP(A4039,[1]!Table1[#All],32,FALSE)</f>
        <v>43678</v>
      </c>
      <c r="I4039" s="8">
        <f>VLOOKUP(A4039,[1]!Table1[#All],33,FALSE)</f>
        <v>45504</v>
      </c>
      <c r="J4039" t="str">
        <f t="shared" ca="1" si="67"/>
        <v>UDO</v>
      </c>
    </row>
    <row r="4040" spans="1:10" x14ac:dyDescent="0.35">
      <c r="A4040" s="5" t="s">
        <v>129</v>
      </c>
      <c r="B4040" s="6">
        <v>45047</v>
      </c>
      <c r="C4040" s="7">
        <v>4500</v>
      </c>
      <c r="D4040" s="7">
        <v>2600.25</v>
      </c>
      <c r="E4040" s="7">
        <v>1899.75</v>
      </c>
      <c r="F4040" t="str">
        <f>VLOOKUP(A4040,[1]!Table1[#All],17,FALSE)</f>
        <v>UNITED STATES</v>
      </c>
      <c r="G4040" t="str">
        <f>VLOOKUP(A4040,[1]!Table1[#All],22,FALSE)</f>
        <v>NE ST DEPT OF HEALTH AND HUMAN SERVICES</v>
      </c>
      <c r="H4040" s="8">
        <f>VLOOKUP(A4040,[1]!Table1[#All],32,FALSE)</f>
        <v>43678</v>
      </c>
      <c r="I4040" s="8">
        <f>VLOOKUP(A4040,[1]!Table1[#All],33,FALSE)</f>
        <v>45504</v>
      </c>
      <c r="J4040" t="str">
        <f t="shared" ca="1" si="67"/>
        <v>UDO</v>
      </c>
    </row>
    <row r="4041" spans="1:10" x14ac:dyDescent="0.35">
      <c r="A4041" s="9" t="s">
        <v>129</v>
      </c>
      <c r="B4041" s="10">
        <v>45078</v>
      </c>
      <c r="C4041" s="11">
        <v>4500</v>
      </c>
      <c r="D4041" s="11">
        <v>2683.36</v>
      </c>
      <c r="E4041" s="11">
        <v>1816.64</v>
      </c>
      <c r="F4041" t="str">
        <f>VLOOKUP(A4041,[1]!Table1[#All],17,FALSE)</f>
        <v>UNITED STATES</v>
      </c>
      <c r="G4041" t="str">
        <f>VLOOKUP(A4041,[1]!Table1[#All],22,FALSE)</f>
        <v>NE ST DEPT OF HEALTH AND HUMAN SERVICES</v>
      </c>
      <c r="H4041" s="8">
        <f>VLOOKUP(A4041,[1]!Table1[#All],32,FALSE)</f>
        <v>43678</v>
      </c>
      <c r="I4041" s="8">
        <f>VLOOKUP(A4041,[1]!Table1[#All],33,FALSE)</f>
        <v>45504</v>
      </c>
      <c r="J4041" t="str">
        <f t="shared" ca="1" si="67"/>
        <v>UDO</v>
      </c>
    </row>
    <row r="4042" spans="1:10" x14ac:dyDescent="0.35">
      <c r="A4042" s="5" t="s">
        <v>129</v>
      </c>
      <c r="B4042" s="6">
        <v>45108</v>
      </c>
      <c r="C4042" s="7">
        <v>4500</v>
      </c>
      <c r="D4042" s="7">
        <v>2786.69</v>
      </c>
      <c r="E4042" s="7">
        <v>1713.31</v>
      </c>
      <c r="F4042" t="str">
        <f>VLOOKUP(A4042,[1]!Table1[#All],17,FALSE)</f>
        <v>UNITED STATES</v>
      </c>
      <c r="G4042" t="str">
        <f>VLOOKUP(A4042,[1]!Table1[#All],22,FALSE)</f>
        <v>NE ST DEPT OF HEALTH AND HUMAN SERVICES</v>
      </c>
      <c r="H4042" s="8">
        <f>VLOOKUP(A4042,[1]!Table1[#All],32,FALSE)</f>
        <v>43678</v>
      </c>
      <c r="I4042" s="8">
        <f>VLOOKUP(A4042,[1]!Table1[#All],33,FALSE)</f>
        <v>45504</v>
      </c>
      <c r="J4042" t="str">
        <f t="shared" ca="1" si="67"/>
        <v>UDO</v>
      </c>
    </row>
    <row r="4043" spans="1:10" x14ac:dyDescent="0.35">
      <c r="A4043" s="9" t="s">
        <v>129</v>
      </c>
      <c r="B4043" s="10">
        <v>45139</v>
      </c>
      <c r="C4043" s="11">
        <v>4500</v>
      </c>
      <c r="D4043" s="11">
        <v>3418.87</v>
      </c>
      <c r="E4043" s="11">
        <v>1081.1300000000001</v>
      </c>
      <c r="F4043" t="str">
        <f>VLOOKUP(A4043,[1]!Table1[#All],17,FALSE)</f>
        <v>UNITED STATES</v>
      </c>
      <c r="G4043" t="str">
        <f>VLOOKUP(A4043,[1]!Table1[#All],22,FALSE)</f>
        <v>NE ST DEPT OF HEALTH AND HUMAN SERVICES</v>
      </c>
      <c r="H4043" s="8">
        <f>VLOOKUP(A4043,[1]!Table1[#All],32,FALSE)</f>
        <v>43678</v>
      </c>
      <c r="I4043" s="8">
        <f>VLOOKUP(A4043,[1]!Table1[#All],33,FALSE)</f>
        <v>45504</v>
      </c>
      <c r="J4043" t="str">
        <f t="shared" ca="1" si="67"/>
        <v>UDO</v>
      </c>
    </row>
    <row r="4044" spans="1:10" x14ac:dyDescent="0.35">
      <c r="A4044" s="5" t="s">
        <v>129</v>
      </c>
      <c r="B4044" s="6">
        <v>45170</v>
      </c>
      <c r="C4044" s="7">
        <v>4500</v>
      </c>
      <c r="D4044" s="7">
        <v>3714.34</v>
      </c>
      <c r="E4044" s="7">
        <v>785.66</v>
      </c>
      <c r="F4044" t="str">
        <f>VLOOKUP(A4044,[1]!Table1[#All],17,FALSE)</f>
        <v>UNITED STATES</v>
      </c>
      <c r="G4044" t="str">
        <f>VLOOKUP(A4044,[1]!Table1[#All],22,FALSE)</f>
        <v>NE ST DEPT OF HEALTH AND HUMAN SERVICES</v>
      </c>
      <c r="H4044" s="8">
        <f>VLOOKUP(A4044,[1]!Table1[#All],32,FALSE)</f>
        <v>43678</v>
      </c>
      <c r="I4044" s="8">
        <f>VLOOKUP(A4044,[1]!Table1[#All],33,FALSE)</f>
        <v>45504</v>
      </c>
      <c r="J4044" t="str">
        <f t="shared" ca="1" si="67"/>
        <v>UDO</v>
      </c>
    </row>
    <row r="4045" spans="1:10" x14ac:dyDescent="0.35">
      <c r="A4045" s="9" t="s">
        <v>130</v>
      </c>
      <c r="B4045" s="10">
        <v>44409</v>
      </c>
      <c r="C4045" s="11">
        <v>2846</v>
      </c>
      <c r="D4045" s="11">
        <v>0</v>
      </c>
      <c r="E4045" s="11">
        <v>2846</v>
      </c>
      <c r="F4045" t="str">
        <f>VLOOKUP(A4045,[1]!Table1[#All],17,FALSE)</f>
        <v>UNITED STATES</v>
      </c>
      <c r="G4045" t="str">
        <f>VLOOKUP(A4045,[1]!Table1[#All],22,FALSE)</f>
        <v>PUBLIC HEALTH AND ENVIRONMENT, COLORADO DEPARTMENT OF</v>
      </c>
      <c r="H4045" s="8">
        <f>VLOOKUP(A4045,[1]!Table1[#All],32,FALSE)</f>
        <v>43678</v>
      </c>
      <c r="I4045" s="8">
        <f>VLOOKUP(A4045,[1]!Table1[#All],33,FALSE)</f>
        <v>45504</v>
      </c>
      <c r="J4045" t="str">
        <f t="shared" ca="1" si="67"/>
        <v>UDO</v>
      </c>
    </row>
    <row r="4046" spans="1:10" x14ac:dyDescent="0.35">
      <c r="A4046" s="5" t="s">
        <v>130</v>
      </c>
      <c r="B4046" s="6">
        <v>44440</v>
      </c>
      <c r="C4046" s="7">
        <v>2846</v>
      </c>
      <c r="D4046" s="7">
        <v>0</v>
      </c>
      <c r="E4046" s="7">
        <v>2846</v>
      </c>
      <c r="F4046" t="str">
        <f>VLOOKUP(A4046,[1]!Table1[#All],17,FALSE)</f>
        <v>UNITED STATES</v>
      </c>
      <c r="G4046" t="str">
        <f>VLOOKUP(A4046,[1]!Table1[#All],22,FALSE)</f>
        <v>PUBLIC HEALTH AND ENVIRONMENT, COLORADO DEPARTMENT OF</v>
      </c>
      <c r="H4046" s="8">
        <f>VLOOKUP(A4046,[1]!Table1[#All],32,FALSE)</f>
        <v>43678</v>
      </c>
      <c r="I4046" s="8">
        <f>VLOOKUP(A4046,[1]!Table1[#All],33,FALSE)</f>
        <v>45504</v>
      </c>
      <c r="J4046" t="str">
        <f t="shared" ca="1" si="67"/>
        <v>UDO</v>
      </c>
    </row>
    <row r="4047" spans="1:10" x14ac:dyDescent="0.35">
      <c r="A4047" s="9" t="s">
        <v>130</v>
      </c>
      <c r="B4047" s="10">
        <v>44470</v>
      </c>
      <c r="C4047" s="11">
        <v>2846</v>
      </c>
      <c r="D4047" s="11">
        <v>0</v>
      </c>
      <c r="E4047" s="11">
        <v>2846</v>
      </c>
      <c r="F4047" t="str">
        <f>VLOOKUP(A4047,[1]!Table1[#All],17,FALSE)</f>
        <v>UNITED STATES</v>
      </c>
      <c r="G4047" t="str">
        <f>VLOOKUP(A4047,[1]!Table1[#All],22,FALSE)</f>
        <v>PUBLIC HEALTH AND ENVIRONMENT, COLORADO DEPARTMENT OF</v>
      </c>
      <c r="H4047" s="8">
        <f>VLOOKUP(A4047,[1]!Table1[#All],32,FALSE)</f>
        <v>43678</v>
      </c>
      <c r="I4047" s="8">
        <f>VLOOKUP(A4047,[1]!Table1[#All],33,FALSE)</f>
        <v>45504</v>
      </c>
      <c r="J4047" t="str">
        <f t="shared" ca="1" si="67"/>
        <v>UDO</v>
      </c>
    </row>
    <row r="4048" spans="1:10" x14ac:dyDescent="0.35">
      <c r="A4048" s="5" t="s">
        <v>130</v>
      </c>
      <c r="B4048" s="6">
        <v>44501</v>
      </c>
      <c r="C4048" s="7">
        <v>2846</v>
      </c>
      <c r="D4048" s="7">
        <v>0</v>
      </c>
      <c r="E4048" s="7">
        <v>2846</v>
      </c>
      <c r="F4048" t="str">
        <f>VLOOKUP(A4048,[1]!Table1[#All],17,FALSE)</f>
        <v>UNITED STATES</v>
      </c>
      <c r="G4048" t="str">
        <f>VLOOKUP(A4048,[1]!Table1[#All],22,FALSE)</f>
        <v>PUBLIC HEALTH AND ENVIRONMENT, COLORADO DEPARTMENT OF</v>
      </c>
      <c r="H4048" s="8">
        <f>VLOOKUP(A4048,[1]!Table1[#All],32,FALSE)</f>
        <v>43678</v>
      </c>
      <c r="I4048" s="8">
        <f>VLOOKUP(A4048,[1]!Table1[#All],33,FALSE)</f>
        <v>45504</v>
      </c>
      <c r="J4048" t="str">
        <f t="shared" ca="1" si="67"/>
        <v>UDO</v>
      </c>
    </row>
    <row r="4049" spans="1:10" x14ac:dyDescent="0.35">
      <c r="A4049" s="9" t="s">
        <v>130</v>
      </c>
      <c r="B4049" s="10">
        <v>44531</v>
      </c>
      <c r="C4049" s="11">
        <v>2846</v>
      </c>
      <c r="D4049" s="11">
        <v>0</v>
      </c>
      <c r="E4049" s="11">
        <v>2846</v>
      </c>
      <c r="F4049" t="str">
        <f>VLOOKUP(A4049,[1]!Table1[#All],17,FALSE)</f>
        <v>UNITED STATES</v>
      </c>
      <c r="G4049" t="str">
        <f>VLOOKUP(A4049,[1]!Table1[#All],22,FALSE)</f>
        <v>PUBLIC HEALTH AND ENVIRONMENT, COLORADO DEPARTMENT OF</v>
      </c>
      <c r="H4049" s="8">
        <f>VLOOKUP(A4049,[1]!Table1[#All],32,FALSE)</f>
        <v>43678</v>
      </c>
      <c r="I4049" s="8">
        <f>VLOOKUP(A4049,[1]!Table1[#All],33,FALSE)</f>
        <v>45504</v>
      </c>
      <c r="J4049" t="str">
        <f t="shared" ca="1" si="67"/>
        <v>UDO</v>
      </c>
    </row>
    <row r="4050" spans="1:10" x14ac:dyDescent="0.35">
      <c r="A4050" s="5" t="s">
        <v>130</v>
      </c>
      <c r="B4050" s="6">
        <v>44562</v>
      </c>
      <c r="C4050" s="7">
        <v>2846</v>
      </c>
      <c r="D4050" s="7">
        <v>0</v>
      </c>
      <c r="E4050" s="7">
        <v>2846</v>
      </c>
      <c r="F4050" t="str">
        <f>VLOOKUP(A4050,[1]!Table1[#All],17,FALSE)</f>
        <v>UNITED STATES</v>
      </c>
      <c r="G4050" t="str">
        <f>VLOOKUP(A4050,[1]!Table1[#All],22,FALSE)</f>
        <v>PUBLIC HEALTH AND ENVIRONMENT, COLORADO DEPARTMENT OF</v>
      </c>
      <c r="H4050" s="8">
        <f>VLOOKUP(A4050,[1]!Table1[#All],32,FALSE)</f>
        <v>43678</v>
      </c>
      <c r="I4050" s="8">
        <f>VLOOKUP(A4050,[1]!Table1[#All],33,FALSE)</f>
        <v>45504</v>
      </c>
      <c r="J4050" t="str">
        <f t="shared" ca="1" si="67"/>
        <v>UDO</v>
      </c>
    </row>
    <row r="4051" spans="1:10" x14ac:dyDescent="0.35">
      <c r="A4051" s="9" t="s">
        <v>130</v>
      </c>
      <c r="B4051" s="10">
        <v>44593</v>
      </c>
      <c r="C4051" s="11">
        <v>2846</v>
      </c>
      <c r="D4051" s="11">
        <v>0</v>
      </c>
      <c r="E4051" s="11">
        <v>2846</v>
      </c>
      <c r="F4051" t="str">
        <f>VLOOKUP(A4051,[1]!Table1[#All],17,FALSE)</f>
        <v>UNITED STATES</v>
      </c>
      <c r="G4051" t="str">
        <f>VLOOKUP(A4051,[1]!Table1[#All],22,FALSE)</f>
        <v>PUBLIC HEALTH AND ENVIRONMENT, COLORADO DEPARTMENT OF</v>
      </c>
      <c r="H4051" s="8">
        <f>VLOOKUP(A4051,[1]!Table1[#All],32,FALSE)</f>
        <v>43678</v>
      </c>
      <c r="I4051" s="8">
        <f>VLOOKUP(A4051,[1]!Table1[#All],33,FALSE)</f>
        <v>45504</v>
      </c>
      <c r="J4051" t="str">
        <f t="shared" ca="1" si="67"/>
        <v>UDO</v>
      </c>
    </row>
    <row r="4052" spans="1:10" x14ac:dyDescent="0.35">
      <c r="A4052" s="5" t="s">
        <v>130</v>
      </c>
      <c r="B4052" s="6">
        <v>44621</v>
      </c>
      <c r="C4052" s="7">
        <v>2846</v>
      </c>
      <c r="D4052" s="7">
        <v>0</v>
      </c>
      <c r="E4052" s="7">
        <v>2846</v>
      </c>
      <c r="F4052" t="str">
        <f>VLOOKUP(A4052,[1]!Table1[#All],17,FALSE)</f>
        <v>UNITED STATES</v>
      </c>
      <c r="G4052" t="str">
        <f>VLOOKUP(A4052,[1]!Table1[#All],22,FALSE)</f>
        <v>PUBLIC HEALTH AND ENVIRONMENT, COLORADO DEPARTMENT OF</v>
      </c>
      <c r="H4052" s="8">
        <f>VLOOKUP(A4052,[1]!Table1[#All],32,FALSE)</f>
        <v>43678</v>
      </c>
      <c r="I4052" s="8">
        <f>VLOOKUP(A4052,[1]!Table1[#All],33,FALSE)</f>
        <v>45504</v>
      </c>
      <c r="J4052" t="str">
        <f t="shared" ca="1" si="67"/>
        <v>UDO</v>
      </c>
    </row>
    <row r="4053" spans="1:10" x14ac:dyDescent="0.35">
      <c r="A4053" s="9" t="s">
        <v>130</v>
      </c>
      <c r="B4053" s="10">
        <v>44652</v>
      </c>
      <c r="C4053" s="11">
        <v>2846</v>
      </c>
      <c r="D4053" s="11">
        <v>0</v>
      </c>
      <c r="E4053" s="11">
        <v>2846</v>
      </c>
      <c r="F4053" t="str">
        <f>VLOOKUP(A4053,[1]!Table1[#All],17,FALSE)</f>
        <v>UNITED STATES</v>
      </c>
      <c r="G4053" t="str">
        <f>VLOOKUP(A4053,[1]!Table1[#All],22,FALSE)</f>
        <v>PUBLIC HEALTH AND ENVIRONMENT, COLORADO DEPARTMENT OF</v>
      </c>
      <c r="H4053" s="8">
        <f>VLOOKUP(A4053,[1]!Table1[#All],32,FALSE)</f>
        <v>43678</v>
      </c>
      <c r="I4053" s="8">
        <f>VLOOKUP(A4053,[1]!Table1[#All],33,FALSE)</f>
        <v>45504</v>
      </c>
      <c r="J4053" t="str">
        <f t="shared" ca="1" si="67"/>
        <v>UDO</v>
      </c>
    </row>
    <row r="4054" spans="1:10" x14ac:dyDescent="0.35">
      <c r="A4054" s="5" t="s">
        <v>130</v>
      </c>
      <c r="B4054" s="6">
        <v>44682</v>
      </c>
      <c r="C4054" s="7">
        <v>2846</v>
      </c>
      <c r="D4054" s="7">
        <v>0</v>
      </c>
      <c r="E4054" s="7">
        <v>2846</v>
      </c>
      <c r="F4054" t="str">
        <f>VLOOKUP(A4054,[1]!Table1[#All],17,FALSE)</f>
        <v>UNITED STATES</v>
      </c>
      <c r="G4054" t="str">
        <f>VLOOKUP(A4054,[1]!Table1[#All],22,FALSE)</f>
        <v>PUBLIC HEALTH AND ENVIRONMENT, COLORADO DEPARTMENT OF</v>
      </c>
      <c r="H4054" s="8">
        <f>VLOOKUP(A4054,[1]!Table1[#All],32,FALSE)</f>
        <v>43678</v>
      </c>
      <c r="I4054" s="8">
        <f>VLOOKUP(A4054,[1]!Table1[#All],33,FALSE)</f>
        <v>45504</v>
      </c>
      <c r="J4054" t="str">
        <f t="shared" ca="1" si="67"/>
        <v>UDO</v>
      </c>
    </row>
    <row r="4055" spans="1:10" x14ac:dyDescent="0.35">
      <c r="A4055" s="9" t="s">
        <v>130</v>
      </c>
      <c r="B4055" s="10">
        <v>44713</v>
      </c>
      <c r="C4055" s="11">
        <v>2846</v>
      </c>
      <c r="D4055" s="11">
        <v>99.91</v>
      </c>
      <c r="E4055" s="11">
        <v>2746.09</v>
      </c>
      <c r="F4055" t="str">
        <f>VLOOKUP(A4055,[1]!Table1[#All],17,FALSE)</f>
        <v>UNITED STATES</v>
      </c>
      <c r="G4055" t="str">
        <f>VLOOKUP(A4055,[1]!Table1[#All],22,FALSE)</f>
        <v>PUBLIC HEALTH AND ENVIRONMENT, COLORADO DEPARTMENT OF</v>
      </c>
      <c r="H4055" s="8">
        <f>VLOOKUP(A4055,[1]!Table1[#All],32,FALSE)</f>
        <v>43678</v>
      </c>
      <c r="I4055" s="8">
        <f>VLOOKUP(A4055,[1]!Table1[#All],33,FALSE)</f>
        <v>45504</v>
      </c>
      <c r="J4055" t="str">
        <f t="shared" ca="1" si="67"/>
        <v>UDO</v>
      </c>
    </row>
    <row r="4056" spans="1:10" x14ac:dyDescent="0.35">
      <c r="A4056" s="5" t="s">
        <v>130</v>
      </c>
      <c r="B4056" s="6">
        <v>44743</v>
      </c>
      <c r="C4056" s="7">
        <v>2846</v>
      </c>
      <c r="D4056" s="7">
        <v>127.59</v>
      </c>
      <c r="E4056" s="7">
        <v>2718.41</v>
      </c>
      <c r="F4056" t="str">
        <f>VLOOKUP(A4056,[1]!Table1[#All],17,FALSE)</f>
        <v>UNITED STATES</v>
      </c>
      <c r="G4056" t="str">
        <f>VLOOKUP(A4056,[1]!Table1[#All],22,FALSE)</f>
        <v>PUBLIC HEALTH AND ENVIRONMENT, COLORADO DEPARTMENT OF</v>
      </c>
      <c r="H4056" s="8">
        <f>VLOOKUP(A4056,[1]!Table1[#All],32,FALSE)</f>
        <v>43678</v>
      </c>
      <c r="I4056" s="8">
        <f>VLOOKUP(A4056,[1]!Table1[#All],33,FALSE)</f>
        <v>45504</v>
      </c>
      <c r="J4056" t="str">
        <f t="shared" ca="1" si="67"/>
        <v>UDO</v>
      </c>
    </row>
    <row r="4057" spans="1:10" x14ac:dyDescent="0.35">
      <c r="A4057" s="9" t="s">
        <v>130</v>
      </c>
      <c r="B4057" s="10">
        <v>44774</v>
      </c>
      <c r="C4057" s="11">
        <v>2846</v>
      </c>
      <c r="D4057" s="11">
        <v>438.13</v>
      </c>
      <c r="E4057" s="11">
        <v>2407.87</v>
      </c>
      <c r="F4057" t="str">
        <f>VLOOKUP(A4057,[1]!Table1[#All],17,FALSE)</f>
        <v>UNITED STATES</v>
      </c>
      <c r="G4057" t="str">
        <f>VLOOKUP(A4057,[1]!Table1[#All],22,FALSE)</f>
        <v>PUBLIC HEALTH AND ENVIRONMENT, COLORADO DEPARTMENT OF</v>
      </c>
      <c r="H4057" s="8">
        <f>VLOOKUP(A4057,[1]!Table1[#All],32,FALSE)</f>
        <v>43678</v>
      </c>
      <c r="I4057" s="8">
        <f>VLOOKUP(A4057,[1]!Table1[#All],33,FALSE)</f>
        <v>45504</v>
      </c>
      <c r="J4057" t="str">
        <f t="shared" ca="1" si="67"/>
        <v>UDO</v>
      </c>
    </row>
    <row r="4058" spans="1:10" x14ac:dyDescent="0.35">
      <c r="A4058" s="5" t="s">
        <v>130</v>
      </c>
      <c r="B4058" s="6">
        <v>44805</v>
      </c>
      <c r="C4058" s="7">
        <v>2846</v>
      </c>
      <c r="D4058" s="7">
        <v>595.44000000000005</v>
      </c>
      <c r="E4058" s="7">
        <v>2250.56</v>
      </c>
      <c r="F4058" t="str">
        <f>VLOOKUP(A4058,[1]!Table1[#All],17,FALSE)</f>
        <v>UNITED STATES</v>
      </c>
      <c r="G4058" t="str">
        <f>VLOOKUP(A4058,[1]!Table1[#All],22,FALSE)</f>
        <v>PUBLIC HEALTH AND ENVIRONMENT, COLORADO DEPARTMENT OF</v>
      </c>
      <c r="H4058" s="8">
        <f>VLOOKUP(A4058,[1]!Table1[#All],32,FALSE)</f>
        <v>43678</v>
      </c>
      <c r="I4058" s="8">
        <f>VLOOKUP(A4058,[1]!Table1[#All],33,FALSE)</f>
        <v>45504</v>
      </c>
      <c r="J4058" t="str">
        <f t="shared" ca="1" si="67"/>
        <v>UDO</v>
      </c>
    </row>
    <row r="4059" spans="1:10" x14ac:dyDescent="0.35">
      <c r="A4059" s="9" t="s">
        <v>130</v>
      </c>
      <c r="B4059" s="10">
        <v>44835</v>
      </c>
      <c r="C4059" s="11">
        <v>2846</v>
      </c>
      <c r="D4059" s="11">
        <v>814.17</v>
      </c>
      <c r="E4059" s="11">
        <v>2031.83</v>
      </c>
      <c r="F4059" t="str">
        <f>VLOOKUP(A4059,[1]!Table1[#All],17,FALSE)</f>
        <v>UNITED STATES</v>
      </c>
      <c r="G4059" t="str">
        <f>VLOOKUP(A4059,[1]!Table1[#All],22,FALSE)</f>
        <v>PUBLIC HEALTH AND ENVIRONMENT, COLORADO DEPARTMENT OF</v>
      </c>
      <c r="H4059" s="8">
        <f>VLOOKUP(A4059,[1]!Table1[#All],32,FALSE)</f>
        <v>43678</v>
      </c>
      <c r="I4059" s="8">
        <f>VLOOKUP(A4059,[1]!Table1[#All],33,FALSE)</f>
        <v>45504</v>
      </c>
      <c r="J4059" t="str">
        <f t="shared" ca="1" si="67"/>
        <v>UDO</v>
      </c>
    </row>
    <row r="4060" spans="1:10" x14ac:dyDescent="0.35">
      <c r="A4060" s="5" t="s">
        <v>130</v>
      </c>
      <c r="B4060" s="6">
        <v>44866</v>
      </c>
      <c r="C4060" s="7">
        <v>2846</v>
      </c>
      <c r="D4060" s="7">
        <v>941.25</v>
      </c>
      <c r="E4060" s="7">
        <v>1904.75</v>
      </c>
      <c r="F4060" t="str">
        <f>VLOOKUP(A4060,[1]!Table1[#All],17,FALSE)</f>
        <v>UNITED STATES</v>
      </c>
      <c r="G4060" t="str">
        <f>VLOOKUP(A4060,[1]!Table1[#All],22,FALSE)</f>
        <v>PUBLIC HEALTH AND ENVIRONMENT, COLORADO DEPARTMENT OF</v>
      </c>
      <c r="H4060" s="8">
        <f>VLOOKUP(A4060,[1]!Table1[#All],32,FALSE)</f>
        <v>43678</v>
      </c>
      <c r="I4060" s="8">
        <f>VLOOKUP(A4060,[1]!Table1[#All],33,FALSE)</f>
        <v>45504</v>
      </c>
      <c r="J4060" t="str">
        <f t="shared" ca="1" si="67"/>
        <v>UDO</v>
      </c>
    </row>
    <row r="4061" spans="1:10" x14ac:dyDescent="0.35">
      <c r="A4061" s="9" t="s">
        <v>130</v>
      </c>
      <c r="B4061" s="10">
        <v>44896</v>
      </c>
      <c r="C4061" s="11">
        <v>2846</v>
      </c>
      <c r="D4061" s="11">
        <v>1121.1400000000001</v>
      </c>
      <c r="E4061" s="11">
        <v>1724.86</v>
      </c>
      <c r="F4061" t="str">
        <f>VLOOKUP(A4061,[1]!Table1[#All],17,FALSE)</f>
        <v>UNITED STATES</v>
      </c>
      <c r="G4061" t="str">
        <f>VLOOKUP(A4061,[1]!Table1[#All],22,FALSE)</f>
        <v>PUBLIC HEALTH AND ENVIRONMENT, COLORADO DEPARTMENT OF</v>
      </c>
      <c r="H4061" s="8">
        <f>VLOOKUP(A4061,[1]!Table1[#All],32,FALSE)</f>
        <v>43678</v>
      </c>
      <c r="I4061" s="8">
        <f>VLOOKUP(A4061,[1]!Table1[#All],33,FALSE)</f>
        <v>45504</v>
      </c>
      <c r="J4061" t="str">
        <f t="shared" ca="1" si="67"/>
        <v>UDO</v>
      </c>
    </row>
    <row r="4062" spans="1:10" x14ac:dyDescent="0.35">
      <c r="A4062" s="5" t="s">
        <v>130</v>
      </c>
      <c r="B4062" s="6">
        <v>44927</v>
      </c>
      <c r="C4062" s="7">
        <v>2846</v>
      </c>
      <c r="D4062" s="7">
        <v>1303.74</v>
      </c>
      <c r="E4062" s="7">
        <v>1542.26</v>
      </c>
      <c r="F4062" t="str">
        <f>VLOOKUP(A4062,[1]!Table1[#All],17,FALSE)</f>
        <v>UNITED STATES</v>
      </c>
      <c r="G4062" t="str">
        <f>VLOOKUP(A4062,[1]!Table1[#All],22,FALSE)</f>
        <v>PUBLIC HEALTH AND ENVIRONMENT, COLORADO DEPARTMENT OF</v>
      </c>
      <c r="H4062" s="8">
        <f>VLOOKUP(A4062,[1]!Table1[#All],32,FALSE)</f>
        <v>43678</v>
      </c>
      <c r="I4062" s="8">
        <f>VLOOKUP(A4062,[1]!Table1[#All],33,FALSE)</f>
        <v>45504</v>
      </c>
      <c r="J4062" t="str">
        <f t="shared" ca="1" si="67"/>
        <v>UDO</v>
      </c>
    </row>
    <row r="4063" spans="1:10" x14ac:dyDescent="0.35">
      <c r="A4063" s="9" t="s">
        <v>130</v>
      </c>
      <c r="B4063" s="10">
        <v>44958</v>
      </c>
      <c r="C4063" s="11">
        <v>2846</v>
      </c>
      <c r="D4063" s="11">
        <v>1500.17</v>
      </c>
      <c r="E4063" s="11">
        <v>1345.83</v>
      </c>
      <c r="F4063" t="str">
        <f>VLOOKUP(A4063,[1]!Table1[#All],17,FALSE)</f>
        <v>UNITED STATES</v>
      </c>
      <c r="G4063" t="str">
        <f>VLOOKUP(A4063,[1]!Table1[#All],22,FALSE)</f>
        <v>PUBLIC HEALTH AND ENVIRONMENT, COLORADO DEPARTMENT OF</v>
      </c>
      <c r="H4063" s="8">
        <f>VLOOKUP(A4063,[1]!Table1[#All],32,FALSE)</f>
        <v>43678</v>
      </c>
      <c r="I4063" s="8">
        <f>VLOOKUP(A4063,[1]!Table1[#All],33,FALSE)</f>
        <v>45504</v>
      </c>
      <c r="J4063" t="str">
        <f t="shared" ca="1" si="67"/>
        <v>UDO</v>
      </c>
    </row>
    <row r="4064" spans="1:10" x14ac:dyDescent="0.35">
      <c r="A4064" s="5" t="s">
        <v>130</v>
      </c>
      <c r="B4064" s="6">
        <v>44986</v>
      </c>
      <c r="C4064" s="7">
        <v>2846</v>
      </c>
      <c r="D4064" s="7">
        <v>1659.97</v>
      </c>
      <c r="E4064" s="7">
        <v>1186.03</v>
      </c>
      <c r="F4064" t="str">
        <f>VLOOKUP(A4064,[1]!Table1[#All],17,FALSE)</f>
        <v>UNITED STATES</v>
      </c>
      <c r="G4064" t="str">
        <f>VLOOKUP(A4064,[1]!Table1[#All],22,FALSE)</f>
        <v>PUBLIC HEALTH AND ENVIRONMENT, COLORADO DEPARTMENT OF</v>
      </c>
      <c r="H4064" s="8">
        <f>VLOOKUP(A4064,[1]!Table1[#All],32,FALSE)</f>
        <v>43678</v>
      </c>
      <c r="I4064" s="8">
        <f>VLOOKUP(A4064,[1]!Table1[#All],33,FALSE)</f>
        <v>45504</v>
      </c>
      <c r="J4064" t="str">
        <f t="shared" ca="1" si="67"/>
        <v>UDO</v>
      </c>
    </row>
    <row r="4065" spans="1:10" x14ac:dyDescent="0.35">
      <c r="A4065" s="9" t="s">
        <v>130</v>
      </c>
      <c r="B4065" s="10">
        <v>45017</v>
      </c>
      <c r="C4065" s="11">
        <v>2846</v>
      </c>
      <c r="D4065" s="11">
        <v>1897.07</v>
      </c>
      <c r="E4065" s="11">
        <v>948.93</v>
      </c>
      <c r="F4065" t="str">
        <f>VLOOKUP(A4065,[1]!Table1[#All],17,FALSE)</f>
        <v>UNITED STATES</v>
      </c>
      <c r="G4065" t="str">
        <f>VLOOKUP(A4065,[1]!Table1[#All],22,FALSE)</f>
        <v>PUBLIC HEALTH AND ENVIRONMENT, COLORADO DEPARTMENT OF</v>
      </c>
      <c r="H4065" s="8">
        <f>VLOOKUP(A4065,[1]!Table1[#All],32,FALSE)</f>
        <v>43678</v>
      </c>
      <c r="I4065" s="8">
        <f>VLOOKUP(A4065,[1]!Table1[#All],33,FALSE)</f>
        <v>45504</v>
      </c>
      <c r="J4065" t="str">
        <f t="shared" ca="1" si="67"/>
        <v>UDO</v>
      </c>
    </row>
    <row r="4066" spans="1:10" x14ac:dyDescent="0.35">
      <c r="A4066" s="5" t="s">
        <v>130</v>
      </c>
      <c r="B4066" s="6">
        <v>45047</v>
      </c>
      <c r="C4066" s="7">
        <v>2846</v>
      </c>
      <c r="D4066" s="7">
        <v>2213.9899999999998</v>
      </c>
      <c r="E4066" s="7">
        <v>632.01</v>
      </c>
      <c r="F4066" t="str">
        <f>VLOOKUP(A4066,[1]!Table1[#All],17,FALSE)</f>
        <v>UNITED STATES</v>
      </c>
      <c r="G4066" t="str">
        <f>VLOOKUP(A4066,[1]!Table1[#All],22,FALSE)</f>
        <v>PUBLIC HEALTH AND ENVIRONMENT, COLORADO DEPARTMENT OF</v>
      </c>
      <c r="H4066" s="8">
        <f>VLOOKUP(A4066,[1]!Table1[#All],32,FALSE)</f>
        <v>43678</v>
      </c>
      <c r="I4066" s="8">
        <f>VLOOKUP(A4066,[1]!Table1[#All],33,FALSE)</f>
        <v>45504</v>
      </c>
      <c r="J4066" t="str">
        <f t="shared" ca="1" si="67"/>
        <v>UDO</v>
      </c>
    </row>
    <row r="4067" spans="1:10" x14ac:dyDescent="0.35">
      <c r="A4067" s="9" t="s">
        <v>130</v>
      </c>
      <c r="B4067" s="10">
        <v>45078</v>
      </c>
      <c r="C4067" s="11">
        <v>2846</v>
      </c>
      <c r="D4067" s="11">
        <v>2386.4</v>
      </c>
      <c r="E4067" s="11">
        <v>459.6</v>
      </c>
      <c r="F4067" t="str">
        <f>VLOOKUP(A4067,[1]!Table1[#All],17,FALSE)</f>
        <v>UNITED STATES</v>
      </c>
      <c r="G4067" t="str">
        <f>VLOOKUP(A4067,[1]!Table1[#All],22,FALSE)</f>
        <v>PUBLIC HEALTH AND ENVIRONMENT, COLORADO DEPARTMENT OF</v>
      </c>
      <c r="H4067" s="8">
        <f>VLOOKUP(A4067,[1]!Table1[#All],32,FALSE)</f>
        <v>43678</v>
      </c>
      <c r="I4067" s="8">
        <f>VLOOKUP(A4067,[1]!Table1[#All],33,FALSE)</f>
        <v>45504</v>
      </c>
      <c r="J4067" t="str">
        <f t="shared" ca="1" si="67"/>
        <v>UDO</v>
      </c>
    </row>
    <row r="4068" spans="1:10" x14ac:dyDescent="0.35">
      <c r="A4068" s="5" t="s">
        <v>130</v>
      </c>
      <c r="B4068" s="6">
        <v>45108</v>
      </c>
      <c r="C4068" s="7">
        <v>2846</v>
      </c>
      <c r="D4068" s="7">
        <v>2787.87</v>
      </c>
      <c r="E4068" s="7">
        <v>58.13</v>
      </c>
      <c r="F4068" t="str">
        <f>VLOOKUP(A4068,[1]!Table1[#All],17,FALSE)</f>
        <v>UNITED STATES</v>
      </c>
      <c r="G4068" t="str">
        <f>VLOOKUP(A4068,[1]!Table1[#All],22,FALSE)</f>
        <v>PUBLIC HEALTH AND ENVIRONMENT, COLORADO DEPARTMENT OF</v>
      </c>
      <c r="H4068" s="8">
        <f>VLOOKUP(A4068,[1]!Table1[#All],32,FALSE)</f>
        <v>43678</v>
      </c>
      <c r="I4068" s="8">
        <f>VLOOKUP(A4068,[1]!Table1[#All],33,FALSE)</f>
        <v>45504</v>
      </c>
      <c r="J4068" t="str">
        <f t="shared" ca="1" si="67"/>
        <v>UDO</v>
      </c>
    </row>
    <row r="4069" spans="1:10" x14ac:dyDescent="0.35">
      <c r="A4069" s="9" t="s">
        <v>130</v>
      </c>
      <c r="B4069" s="10">
        <v>45139</v>
      </c>
      <c r="C4069" s="11">
        <v>2846</v>
      </c>
      <c r="D4069" s="11">
        <v>2787.87</v>
      </c>
      <c r="E4069" s="11">
        <v>58.13</v>
      </c>
      <c r="F4069" t="str">
        <f>VLOOKUP(A4069,[1]!Table1[#All],17,FALSE)</f>
        <v>UNITED STATES</v>
      </c>
      <c r="G4069" t="str">
        <f>VLOOKUP(A4069,[1]!Table1[#All],22,FALSE)</f>
        <v>PUBLIC HEALTH AND ENVIRONMENT, COLORADO DEPARTMENT OF</v>
      </c>
      <c r="H4069" s="8">
        <f>VLOOKUP(A4069,[1]!Table1[#All],32,FALSE)</f>
        <v>43678</v>
      </c>
      <c r="I4069" s="8">
        <f>VLOOKUP(A4069,[1]!Table1[#All],33,FALSE)</f>
        <v>45504</v>
      </c>
      <c r="J4069" t="str">
        <f t="shared" ca="1" si="67"/>
        <v>UDO</v>
      </c>
    </row>
    <row r="4070" spans="1:10" x14ac:dyDescent="0.35">
      <c r="A4070" s="5" t="s">
        <v>130</v>
      </c>
      <c r="B4070" s="6">
        <v>45170</v>
      </c>
      <c r="C4070" s="7">
        <v>2846</v>
      </c>
      <c r="D4070" s="7">
        <v>2846</v>
      </c>
      <c r="E4070" s="7">
        <v>0</v>
      </c>
      <c r="F4070" t="str">
        <f>VLOOKUP(A4070,[1]!Table1[#All],17,FALSE)</f>
        <v>UNITED STATES</v>
      </c>
      <c r="G4070" t="str">
        <f>VLOOKUP(A4070,[1]!Table1[#All],22,FALSE)</f>
        <v>PUBLIC HEALTH AND ENVIRONMENT, COLORADO DEPARTMENT OF</v>
      </c>
      <c r="H4070" s="8">
        <f>VLOOKUP(A4070,[1]!Table1[#All],32,FALSE)</f>
        <v>43678</v>
      </c>
      <c r="I4070" s="8">
        <f>VLOOKUP(A4070,[1]!Table1[#All],33,FALSE)</f>
        <v>45504</v>
      </c>
      <c r="J4070" t="str">
        <f t="shared" ca="1" si="67"/>
        <v>Non UDO</v>
      </c>
    </row>
    <row r="4071" spans="1:10" x14ac:dyDescent="0.35">
      <c r="A4071" s="9" t="s">
        <v>131</v>
      </c>
      <c r="B4071" s="10">
        <v>44105</v>
      </c>
      <c r="C4071" s="11">
        <v>7484</v>
      </c>
      <c r="D4071" s="11">
        <v>0</v>
      </c>
      <c r="E4071" s="11">
        <v>7484</v>
      </c>
      <c r="F4071" t="str">
        <f>VLOOKUP(A4071,[1]!Table1[#All],17,FALSE)</f>
        <v>UNITED STATES</v>
      </c>
      <c r="G4071" t="str">
        <f>VLOOKUP(A4071,[1]!Table1[#All],22,FALSE)</f>
        <v>HI ST DEPARTMENT OF HEALTH</v>
      </c>
      <c r="H4071" s="8">
        <f>VLOOKUP(A4071,[1]!Table1[#All],32,FALSE)</f>
        <v>43678</v>
      </c>
      <c r="I4071" s="8">
        <f>VLOOKUP(A4071,[1]!Table1[#All],33,FALSE)</f>
        <v>45504</v>
      </c>
      <c r="J4071" t="str">
        <f t="shared" ca="1" si="67"/>
        <v>UDO</v>
      </c>
    </row>
    <row r="4072" spans="1:10" x14ac:dyDescent="0.35">
      <c r="A4072" s="5" t="s">
        <v>131</v>
      </c>
      <c r="B4072" s="6">
        <v>44136</v>
      </c>
      <c r="C4072" s="7">
        <v>7484</v>
      </c>
      <c r="D4072" s="7">
        <v>0</v>
      </c>
      <c r="E4072" s="7">
        <v>7484</v>
      </c>
      <c r="F4072" t="str">
        <f>VLOOKUP(A4072,[1]!Table1[#All],17,FALSE)</f>
        <v>UNITED STATES</v>
      </c>
      <c r="G4072" t="str">
        <f>VLOOKUP(A4072,[1]!Table1[#All],22,FALSE)</f>
        <v>HI ST DEPARTMENT OF HEALTH</v>
      </c>
      <c r="H4072" s="8">
        <f>VLOOKUP(A4072,[1]!Table1[#All],32,FALSE)</f>
        <v>43678</v>
      </c>
      <c r="I4072" s="8">
        <f>VLOOKUP(A4072,[1]!Table1[#All],33,FALSE)</f>
        <v>45504</v>
      </c>
      <c r="J4072" t="str">
        <f t="shared" ca="1" si="67"/>
        <v>UDO</v>
      </c>
    </row>
    <row r="4073" spans="1:10" x14ac:dyDescent="0.35">
      <c r="A4073" s="9" t="s">
        <v>131</v>
      </c>
      <c r="B4073" s="10">
        <v>44166</v>
      </c>
      <c r="C4073" s="11">
        <v>7484</v>
      </c>
      <c r="D4073" s="11">
        <v>0</v>
      </c>
      <c r="E4073" s="11">
        <v>7484</v>
      </c>
      <c r="F4073" t="str">
        <f>VLOOKUP(A4073,[1]!Table1[#All],17,FALSE)</f>
        <v>UNITED STATES</v>
      </c>
      <c r="G4073" t="str">
        <f>VLOOKUP(A4073,[1]!Table1[#All],22,FALSE)</f>
        <v>HI ST DEPARTMENT OF HEALTH</v>
      </c>
      <c r="H4073" s="8">
        <f>VLOOKUP(A4073,[1]!Table1[#All],32,FALSE)</f>
        <v>43678</v>
      </c>
      <c r="I4073" s="8">
        <f>VLOOKUP(A4073,[1]!Table1[#All],33,FALSE)</f>
        <v>45504</v>
      </c>
      <c r="J4073" t="str">
        <f t="shared" ca="1" si="67"/>
        <v>UDO</v>
      </c>
    </row>
    <row r="4074" spans="1:10" x14ac:dyDescent="0.35">
      <c r="A4074" s="5" t="s">
        <v>131</v>
      </c>
      <c r="B4074" s="6">
        <v>44197</v>
      </c>
      <c r="C4074" s="7">
        <v>7484</v>
      </c>
      <c r="D4074" s="7">
        <v>0</v>
      </c>
      <c r="E4074" s="7">
        <v>7484</v>
      </c>
      <c r="F4074" t="str">
        <f>VLOOKUP(A4074,[1]!Table1[#All],17,FALSE)</f>
        <v>UNITED STATES</v>
      </c>
      <c r="G4074" t="str">
        <f>VLOOKUP(A4074,[1]!Table1[#All],22,FALSE)</f>
        <v>HI ST DEPARTMENT OF HEALTH</v>
      </c>
      <c r="H4074" s="8">
        <f>VLOOKUP(A4074,[1]!Table1[#All],32,FALSE)</f>
        <v>43678</v>
      </c>
      <c r="I4074" s="8">
        <f>VLOOKUP(A4074,[1]!Table1[#All],33,FALSE)</f>
        <v>45504</v>
      </c>
      <c r="J4074" t="str">
        <f t="shared" ca="1" si="67"/>
        <v>UDO</v>
      </c>
    </row>
    <row r="4075" spans="1:10" x14ac:dyDescent="0.35">
      <c r="A4075" s="9" t="s">
        <v>131</v>
      </c>
      <c r="B4075" s="10">
        <v>44228</v>
      </c>
      <c r="C4075" s="11">
        <v>7484</v>
      </c>
      <c r="D4075" s="11">
        <v>0</v>
      </c>
      <c r="E4075" s="11">
        <v>7484</v>
      </c>
      <c r="F4075" t="str">
        <f>VLOOKUP(A4075,[1]!Table1[#All],17,FALSE)</f>
        <v>UNITED STATES</v>
      </c>
      <c r="G4075" t="str">
        <f>VLOOKUP(A4075,[1]!Table1[#All],22,FALSE)</f>
        <v>HI ST DEPARTMENT OF HEALTH</v>
      </c>
      <c r="H4075" s="8">
        <f>VLOOKUP(A4075,[1]!Table1[#All],32,FALSE)</f>
        <v>43678</v>
      </c>
      <c r="I4075" s="8">
        <f>VLOOKUP(A4075,[1]!Table1[#All],33,FALSE)</f>
        <v>45504</v>
      </c>
      <c r="J4075" t="str">
        <f t="shared" ca="1" si="67"/>
        <v>UDO</v>
      </c>
    </row>
    <row r="4076" spans="1:10" x14ac:dyDescent="0.35">
      <c r="A4076" s="5" t="s">
        <v>131</v>
      </c>
      <c r="B4076" s="6">
        <v>44256</v>
      </c>
      <c r="C4076" s="7">
        <v>7484</v>
      </c>
      <c r="D4076" s="7">
        <v>0</v>
      </c>
      <c r="E4076" s="7">
        <v>7484</v>
      </c>
      <c r="F4076" t="str">
        <f>VLOOKUP(A4076,[1]!Table1[#All],17,FALSE)</f>
        <v>UNITED STATES</v>
      </c>
      <c r="G4076" t="str">
        <f>VLOOKUP(A4076,[1]!Table1[#All],22,FALSE)</f>
        <v>HI ST DEPARTMENT OF HEALTH</v>
      </c>
      <c r="H4076" s="8">
        <f>VLOOKUP(A4076,[1]!Table1[#All],32,FALSE)</f>
        <v>43678</v>
      </c>
      <c r="I4076" s="8">
        <f>VLOOKUP(A4076,[1]!Table1[#All],33,FALSE)</f>
        <v>45504</v>
      </c>
      <c r="J4076" t="str">
        <f t="shared" ca="1" si="67"/>
        <v>UDO</v>
      </c>
    </row>
    <row r="4077" spans="1:10" x14ac:dyDescent="0.35">
      <c r="A4077" s="9" t="s">
        <v>131</v>
      </c>
      <c r="B4077" s="10">
        <v>44317</v>
      </c>
      <c r="C4077" s="11">
        <v>7484</v>
      </c>
      <c r="D4077" s="11">
        <v>570.04999999999995</v>
      </c>
      <c r="E4077" s="11">
        <v>6913.95</v>
      </c>
      <c r="F4077" t="str">
        <f>VLOOKUP(A4077,[1]!Table1[#All],17,FALSE)</f>
        <v>UNITED STATES</v>
      </c>
      <c r="G4077" t="str">
        <f>VLOOKUP(A4077,[1]!Table1[#All],22,FALSE)</f>
        <v>HI ST DEPARTMENT OF HEALTH</v>
      </c>
      <c r="H4077" s="8">
        <f>VLOOKUP(A4077,[1]!Table1[#All],32,FALSE)</f>
        <v>43678</v>
      </c>
      <c r="I4077" s="8">
        <f>VLOOKUP(A4077,[1]!Table1[#All],33,FALSE)</f>
        <v>45504</v>
      </c>
      <c r="J4077" t="str">
        <f t="shared" ca="1" si="67"/>
        <v>UDO</v>
      </c>
    </row>
    <row r="4078" spans="1:10" x14ac:dyDescent="0.35">
      <c r="A4078" s="5" t="s">
        <v>131</v>
      </c>
      <c r="B4078" s="6">
        <v>44348</v>
      </c>
      <c r="C4078" s="7">
        <v>7484</v>
      </c>
      <c r="D4078" s="7">
        <v>603.17999999999995</v>
      </c>
      <c r="E4078" s="7">
        <v>6880.82</v>
      </c>
      <c r="F4078" t="str">
        <f>VLOOKUP(A4078,[1]!Table1[#All],17,FALSE)</f>
        <v>UNITED STATES</v>
      </c>
      <c r="G4078" t="str">
        <f>VLOOKUP(A4078,[1]!Table1[#All],22,FALSE)</f>
        <v>HI ST DEPARTMENT OF HEALTH</v>
      </c>
      <c r="H4078" s="8">
        <f>VLOOKUP(A4078,[1]!Table1[#All],32,FALSE)</f>
        <v>43678</v>
      </c>
      <c r="I4078" s="8">
        <f>VLOOKUP(A4078,[1]!Table1[#All],33,FALSE)</f>
        <v>45504</v>
      </c>
      <c r="J4078" t="str">
        <f t="shared" ca="1" si="67"/>
        <v>UDO</v>
      </c>
    </row>
    <row r="4079" spans="1:10" x14ac:dyDescent="0.35">
      <c r="A4079" s="9" t="s">
        <v>131</v>
      </c>
      <c r="B4079" s="10">
        <v>44378</v>
      </c>
      <c r="C4079" s="11">
        <v>7484</v>
      </c>
      <c r="D4079" s="11">
        <v>872.26</v>
      </c>
      <c r="E4079" s="11">
        <v>6611.74</v>
      </c>
      <c r="F4079" t="str">
        <f>VLOOKUP(A4079,[1]!Table1[#All],17,FALSE)</f>
        <v>UNITED STATES</v>
      </c>
      <c r="G4079" t="str">
        <f>VLOOKUP(A4079,[1]!Table1[#All],22,FALSE)</f>
        <v>HI ST DEPARTMENT OF HEALTH</v>
      </c>
      <c r="H4079" s="8">
        <f>VLOOKUP(A4079,[1]!Table1[#All],32,FALSE)</f>
        <v>43678</v>
      </c>
      <c r="I4079" s="8">
        <f>VLOOKUP(A4079,[1]!Table1[#All],33,FALSE)</f>
        <v>45504</v>
      </c>
      <c r="J4079" t="str">
        <f t="shared" ca="1" si="67"/>
        <v>UDO</v>
      </c>
    </row>
    <row r="4080" spans="1:10" x14ac:dyDescent="0.35">
      <c r="A4080" s="5" t="s">
        <v>131</v>
      </c>
      <c r="B4080" s="6">
        <v>44409</v>
      </c>
      <c r="C4080" s="7">
        <v>7484</v>
      </c>
      <c r="D4080" s="7">
        <v>1169.9000000000001</v>
      </c>
      <c r="E4080" s="7">
        <v>6314.1</v>
      </c>
      <c r="F4080" t="str">
        <f>VLOOKUP(A4080,[1]!Table1[#All],17,FALSE)</f>
        <v>UNITED STATES</v>
      </c>
      <c r="G4080" t="str">
        <f>VLOOKUP(A4080,[1]!Table1[#All],22,FALSE)</f>
        <v>HI ST DEPARTMENT OF HEALTH</v>
      </c>
      <c r="H4080" s="8">
        <f>VLOOKUP(A4080,[1]!Table1[#All],32,FALSE)</f>
        <v>43678</v>
      </c>
      <c r="I4080" s="8">
        <f>VLOOKUP(A4080,[1]!Table1[#All],33,FALSE)</f>
        <v>45504</v>
      </c>
      <c r="J4080" t="str">
        <f t="shared" ca="1" si="67"/>
        <v>UDO</v>
      </c>
    </row>
    <row r="4081" spans="1:10" x14ac:dyDescent="0.35">
      <c r="A4081" s="9" t="s">
        <v>131</v>
      </c>
      <c r="B4081" s="10">
        <v>44440</v>
      </c>
      <c r="C4081" s="11">
        <v>7484</v>
      </c>
      <c r="D4081" s="11">
        <v>1425</v>
      </c>
      <c r="E4081" s="11">
        <v>6059</v>
      </c>
      <c r="F4081" t="str">
        <f>VLOOKUP(A4081,[1]!Table1[#All],17,FALSE)</f>
        <v>UNITED STATES</v>
      </c>
      <c r="G4081" t="str">
        <f>VLOOKUP(A4081,[1]!Table1[#All],22,FALSE)</f>
        <v>HI ST DEPARTMENT OF HEALTH</v>
      </c>
      <c r="H4081" s="8">
        <f>VLOOKUP(A4081,[1]!Table1[#All],32,FALSE)</f>
        <v>43678</v>
      </c>
      <c r="I4081" s="8">
        <f>VLOOKUP(A4081,[1]!Table1[#All],33,FALSE)</f>
        <v>45504</v>
      </c>
      <c r="J4081" t="str">
        <f t="shared" ca="1" si="67"/>
        <v>UDO</v>
      </c>
    </row>
    <row r="4082" spans="1:10" x14ac:dyDescent="0.35">
      <c r="A4082" s="5" t="s">
        <v>131</v>
      </c>
      <c r="B4082" s="6">
        <v>44470</v>
      </c>
      <c r="C4082" s="7">
        <v>7484</v>
      </c>
      <c r="D4082" s="7">
        <v>1825</v>
      </c>
      <c r="E4082" s="7">
        <v>5659</v>
      </c>
      <c r="F4082" t="str">
        <f>VLOOKUP(A4082,[1]!Table1[#All],17,FALSE)</f>
        <v>UNITED STATES</v>
      </c>
      <c r="G4082" t="str">
        <f>VLOOKUP(A4082,[1]!Table1[#All],22,FALSE)</f>
        <v>HI ST DEPARTMENT OF HEALTH</v>
      </c>
      <c r="H4082" s="8">
        <f>VLOOKUP(A4082,[1]!Table1[#All],32,FALSE)</f>
        <v>43678</v>
      </c>
      <c r="I4082" s="8">
        <f>VLOOKUP(A4082,[1]!Table1[#All],33,FALSE)</f>
        <v>45504</v>
      </c>
      <c r="J4082" t="str">
        <f t="shared" ca="1" si="67"/>
        <v>UDO</v>
      </c>
    </row>
    <row r="4083" spans="1:10" x14ac:dyDescent="0.35">
      <c r="A4083" s="9" t="s">
        <v>131</v>
      </c>
      <c r="B4083" s="10">
        <v>44501</v>
      </c>
      <c r="C4083" s="11">
        <v>7484</v>
      </c>
      <c r="D4083" s="11">
        <v>2152.0300000000002</v>
      </c>
      <c r="E4083" s="11">
        <v>5331.97</v>
      </c>
      <c r="F4083" t="str">
        <f>VLOOKUP(A4083,[1]!Table1[#All],17,FALSE)</f>
        <v>UNITED STATES</v>
      </c>
      <c r="G4083" t="str">
        <f>VLOOKUP(A4083,[1]!Table1[#All],22,FALSE)</f>
        <v>HI ST DEPARTMENT OF HEALTH</v>
      </c>
      <c r="H4083" s="8">
        <f>VLOOKUP(A4083,[1]!Table1[#All],32,FALSE)</f>
        <v>43678</v>
      </c>
      <c r="I4083" s="8">
        <f>VLOOKUP(A4083,[1]!Table1[#All],33,FALSE)</f>
        <v>45504</v>
      </c>
      <c r="J4083" t="str">
        <f t="shared" ca="1" si="67"/>
        <v>UDO</v>
      </c>
    </row>
    <row r="4084" spans="1:10" x14ac:dyDescent="0.35">
      <c r="A4084" s="5" t="s">
        <v>131</v>
      </c>
      <c r="B4084" s="6">
        <v>44531</v>
      </c>
      <c r="C4084" s="7">
        <v>7484</v>
      </c>
      <c r="D4084" s="7">
        <v>2435.7199999999998</v>
      </c>
      <c r="E4084" s="7">
        <v>5048.28</v>
      </c>
      <c r="F4084" t="str">
        <f>VLOOKUP(A4084,[1]!Table1[#All],17,FALSE)</f>
        <v>UNITED STATES</v>
      </c>
      <c r="G4084" t="str">
        <f>VLOOKUP(A4084,[1]!Table1[#All],22,FALSE)</f>
        <v>HI ST DEPARTMENT OF HEALTH</v>
      </c>
      <c r="H4084" s="8">
        <f>VLOOKUP(A4084,[1]!Table1[#All],32,FALSE)</f>
        <v>43678</v>
      </c>
      <c r="I4084" s="8">
        <f>VLOOKUP(A4084,[1]!Table1[#All],33,FALSE)</f>
        <v>45504</v>
      </c>
      <c r="J4084" t="str">
        <f t="shared" ca="1" si="67"/>
        <v>UDO</v>
      </c>
    </row>
    <row r="4085" spans="1:10" x14ac:dyDescent="0.35">
      <c r="A4085" s="9" t="s">
        <v>131</v>
      </c>
      <c r="B4085" s="10">
        <v>44562</v>
      </c>
      <c r="C4085" s="11">
        <v>7484</v>
      </c>
      <c r="D4085" s="11">
        <v>2775.47</v>
      </c>
      <c r="E4085" s="11">
        <v>4708.53</v>
      </c>
      <c r="F4085" t="str">
        <f>VLOOKUP(A4085,[1]!Table1[#All],17,FALSE)</f>
        <v>UNITED STATES</v>
      </c>
      <c r="G4085" t="str">
        <f>VLOOKUP(A4085,[1]!Table1[#All],22,FALSE)</f>
        <v>HI ST DEPARTMENT OF HEALTH</v>
      </c>
      <c r="H4085" s="8">
        <f>VLOOKUP(A4085,[1]!Table1[#All],32,FALSE)</f>
        <v>43678</v>
      </c>
      <c r="I4085" s="8">
        <f>VLOOKUP(A4085,[1]!Table1[#All],33,FALSE)</f>
        <v>45504</v>
      </c>
      <c r="J4085" t="str">
        <f t="shared" ca="1" si="67"/>
        <v>UDO</v>
      </c>
    </row>
    <row r="4086" spans="1:10" x14ac:dyDescent="0.35">
      <c r="A4086" s="5" t="s">
        <v>131</v>
      </c>
      <c r="B4086" s="6">
        <v>44593</v>
      </c>
      <c r="C4086" s="7">
        <v>7484</v>
      </c>
      <c r="D4086" s="7">
        <v>3172.63</v>
      </c>
      <c r="E4086" s="7">
        <v>4311.37</v>
      </c>
      <c r="F4086" t="str">
        <f>VLOOKUP(A4086,[1]!Table1[#All],17,FALSE)</f>
        <v>UNITED STATES</v>
      </c>
      <c r="G4086" t="str">
        <f>VLOOKUP(A4086,[1]!Table1[#All],22,FALSE)</f>
        <v>HI ST DEPARTMENT OF HEALTH</v>
      </c>
      <c r="H4086" s="8">
        <f>VLOOKUP(A4086,[1]!Table1[#All],32,FALSE)</f>
        <v>43678</v>
      </c>
      <c r="I4086" s="8">
        <f>VLOOKUP(A4086,[1]!Table1[#All],33,FALSE)</f>
        <v>45504</v>
      </c>
      <c r="J4086" t="str">
        <f t="shared" ca="1" si="67"/>
        <v>UDO</v>
      </c>
    </row>
    <row r="4087" spans="1:10" x14ac:dyDescent="0.35">
      <c r="A4087" s="9" t="s">
        <v>131</v>
      </c>
      <c r="B4087" s="10">
        <v>44621</v>
      </c>
      <c r="C4087" s="11">
        <v>7484</v>
      </c>
      <c r="D4087" s="11">
        <v>3462.5</v>
      </c>
      <c r="E4087" s="11">
        <v>4021.5</v>
      </c>
      <c r="F4087" t="str">
        <f>VLOOKUP(A4087,[1]!Table1[#All],17,FALSE)</f>
        <v>UNITED STATES</v>
      </c>
      <c r="G4087" t="str">
        <f>VLOOKUP(A4087,[1]!Table1[#All],22,FALSE)</f>
        <v>HI ST DEPARTMENT OF HEALTH</v>
      </c>
      <c r="H4087" s="8">
        <f>VLOOKUP(A4087,[1]!Table1[#All],32,FALSE)</f>
        <v>43678</v>
      </c>
      <c r="I4087" s="8">
        <f>VLOOKUP(A4087,[1]!Table1[#All],33,FALSE)</f>
        <v>45504</v>
      </c>
      <c r="J4087" t="str">
        <f t="shared" ca="1" si="67"/>
        <v>UDO</v>
      </c>
    </row>
    <row r="4088" spans="1:10" x14ac:dyDescent="0.35">
      <c r="A4088" s="5" t="s">
        <v>131</v>
      </c>
      <c r="B4088" s="6">
        <v>44652</v>
      </c>
      <c r="C4088" s="7">
        <v>7484</v>
      </c>
      <c r="D4088" s="7">
        <v>3916.4</v>
      </c>
      <c r="E4088" s="7">
        <v>3567.6</v>
      </c>
      <c r="F4088" t="str">
        <f>VLOOKUP(A4088,[1]!Table1[#All],17,FALSE)</f>
        <v>UNITED STATES</v>
      </c>
      <c r="G4088" t="str">
        <f>VLOOKUP(A4088,[1]!Table1[#All],22,FALSE)</f>
        <v>HI ST DEPARTMENT OF HEALTH</v>
      </c>
      <c r="H4088" s="8">
        <f>VLOOKUP(A4088,[1]!Table1[#All],32,FALSE)</f>
        <v>43678</v>
      </c>
      <c r="I4088" s="8">
        <f>VLOOKUP(A4088,[1]!Table1[#All],33,FALSE)</f>
        <v>45504</v>
      </c>
      <c r="J4088" t="str">
        <f t="shared" ca="1" si="67"/>
        <v>UDO</v>
      </c>
    </row>
    <row r="4089" spans="1:10" x14ac:dyDescent="0.35">
      <c r="A4089" s="9" t="s">
        <v>131</v>
      </c>
      <c r="B4089" s="10">
        <v>44682</v>
      </c>
      <c r="C4089" s="11">
        <v>7484</v>
      </c>
      <c r="D4089" s="11">
        <v>4506.47</v>
      </c>
      <c r="E4089" s="11">
        <v>2977.53</v>
      </c>
      <c r="F4089" t="str">
        <f>VLOOKUP(A4089,[1]!Table1[#All],17,FALSE)</f>
        <v>UNITED STATES</v>
      </c>
      <c r="G4089" t="str">
        <f>VLOOKUP(A4089,[1]!Table1[#All],22,FALSE)</f>
        <v>HI ST DEPARTMENT OF HEALTH</v>
      </c>
      <c r="H4089" s="8">
        <f>VLOOKUP(A4089,[1]!Table1[#All],32,FALSE)</f>
        <v>43678</v>
      </c>
      <c r="I4089" s="8">
        <f>VLOOKUP(A4089,[1]!Table1[#All],33,FALSE)</f>
        <v>45504</v>
      </c>
      <c r="J4089" t="str">
        <f t="shared" ca="1" si="67"/>
        <v>UDO</v>
      </c>
    </row>
    <row r="4090" spans="1:10" x14ac:dyDescent="0.35">
      <c r="A4090" s="5" t="s">
        <v>131</v>
      </c>
      <c r="B4090" s="6">
        <v>44713</v>
      </c>
      <c r="C4090" s="7">
        <v>7484</v>
      </c>
      <c r="D4090" s="7">
        <v>4794.71</v>
      </c>
      <c r="E4090" s="7">
        <v>2689.29</v>
      </c>
      <c r="F4090" t="str">
        <f>VLOOKUP(A4090,[1]!Table1[#All],17,FALSE)</f>
        <v>UNITED STATES</v>
      </c>
      <c r="G4090" t="str">
        <f>VLOOKUP(A4090,[1]!Table1[#All],22,FALSE)</f>
        <v>HI ST DEPARTMENT OF HEALTH</v>
      </c>
      <c r="H4090" s="8">
        <f>VLOOKUP(A4090,[1]!Table1[#All],32,FALSE)</f>
        <v>43678</v>
      </c>
      <c r="I4090" s="8">
        <f>VLOOKUP(A4090,[1]!Table1[#All],33,FALSE)</f>
        <v>45504</v>
      </c>
      <c r="J4090" t="str">
        <f t="shared" ca="1" si="67"/>
        <v>UDO</v>
      </c>
    </row>
    <row r="4091" spans="1:10" x14ac:dyDescent="0.35">
      <c r="A4091" s="9" t="s">
        <v>131</v>
      </c>
      <c r="B4091" s="10">
        <v>44743</v>
      </c>
      <c r="C4091" s="11">
        <v>7484</v>
      </c>
      <c r="D4091" s="11">
        <v>5112.4399999999996</v>
      </c>
      <c r="E4091" s="11">
        <v>2371.56</v>
      </c>
      <c r="F4091" t="str">
        <f>VLOOKUP(A4091,[1]!Table1[#All],17,FALSE)</f>
        <v>UNITED STATES</v>
      </c>
      <c r="G4091" t="str">
        <f>VLOOKUP(A4091,[1]!Table1[#All],22,FALSE)</f>
        <v>HI ST DEPARTMENT OF HEALTH</v>
      </c>
      <c r="H4091" s="8">
        <f>VLOOKUP(A4091,[1]!Table1[#All],32,FALSE)</f>
        <v>43678</v>
      </c>
      <c r="I4091" s="8">
        <f>VLOOKUP(A4091,[1]!Table1[#All],33,FALSE)</f>
        <v>45504</v>
      </c>
      <c r="J4091" t="str">
        <f t="shared" ca="1" si="67"/>
        <v>UDO</v>
      </c>
    </row>
    <row r="4092" spans="1:10" x14ac:dyDescent="0.35">
      <c r="A4092" s="5" t="s">
        <v>131</v>
      </c>
      <c r="B4092" s="6">
        <v>44774</v>
      </c>
      <c r="C4092" s="7">
        <v>7484</v>
      </c>
      <c r="D4092" s="7">
        <v>5362.09</v>
      </c>
      <c r="E4092" s="7">
        <v>2121.91</v>
      </c>
      <c r="F4092" t="str">
        <f>VLOOKUP(A4092,[1]!Table1[#All],17,FALSE)</f>
        <v>UNITED STATES</v>
      </c>
      <c r="G4092" t="str">
        <f>VLOOKUP(A4092,[1]!Table1[#All],22,FALSE)</f>
        <v>HI ST DEPARTMENT OF HEALTH</v>
      </c>
      <c r="H4092" s="8">
        <f>VLOOKUP(A4092,[1]!Table1[#All],32,FALSE)</f>
        <v>43678</v>
      </c>
      <c r="I4092" s="8">
        <f>VLOOKUP(A4092,[1]!Table1[#All],33,FALSE)</f>
        <v>45504</v>
      </c>
      <c r="J4092" t="str">
        <f t="shared" ca="1" si="67"/>
        <v>UDO</v>
      </c>
    </row>
    <row r="4093" spans="1:10" x14ac:dyDescent="0.35">
      <c r="A4093" s="9" t="s">
        <v>131</v>
      </c>
      <c r="B4093" s="10">
        <v>44805</v>
      </c>
      <c r="C4093" s="11">
        <v>7484</v>
      </c>
      <c r="D4093" s="11">
        <v>6414.31</v>
      </c>
      <c r="E4093" s="11">
        <v>1069.69</v>
      </c>
      <c r="F4093" t="str">
        <f>VLOOKUP(A4093,[1]!Table1[#All],17,FALSE)</f>
        <v>UNITED STATES</v>
      </c>
      <c r="G4093" t="str">
        <f>VLOOKUP(A4093,[1]!Table1[#All],22,FALSE)</f>
        <v>HI ST DEPARTMENT OF HEALTH</v>
      </c>
      <c r="H4093" s="8">
        <f>VLOOKUP(A4093,[1]!Table1[#All],32,FALSE)</f>
        <v>43678</v>
      </c>
      <c r="I4093" s="8">
        <f>VLOOKUP(A4093,[1]!Table1[#All],33,FALSE)</f>
        <v>45504</v>
      </c>
      <c r="J4093" t="str">
        <f t="shared" ca="1" si="67"/>
        <v>UDO</v>
      </c>
    </row>
    <row r="4094" spans="1:10" x14ac:dyDescent="0.35">
      <c r="A4094" s="5" t="s">
        <v>131</v>
      </c>
      <c r="B4094" s="6">
        <v>44835</v>
      </c>
      <c r="C4094" s="7">
        <v>7484</v>
      </c>
      <c r="D4094" s="7">
        <v>6595.87</v>
      </c>
      <c r="E4094" s="7">
        <v>888.13</v>
      </c>
      <c r="F4094" t="str">
        <f>VLOOKUP(A4094,[1]!Table1[#All],17,FALSE)</f>
        <v>UNITED STATES</v>
      </c>
      <c r="G4094" t="str">
        <f>VLOOKUP(A4094,[1]!Table1[#All],22,FALSE)</f>
        <v>HI ST DEPARTMENT OF HEALTH</v>
      </c>
      <c r="H4094" s="8">
        <f>VLOOKUP(A4094,[1]!Table1[#All],32,FALSE)</f>
        <v>43678</v>
      </c>
      <c r="I4094" s="8">
        <f>VLOOKUP(A4094,[1]!Table1[#All],33,FALSE)</f>
        <v>45504</v>
      </c>
      <c r="J4094" t="str">
        <f t="shared" ca="1" si="67"/>
        <v>UDO</v>
      </c>
    </row>
    <row r="4095" spans="1:10" x14ac:dyDescent="0.35">
      <c r="A4095" s="9" t="s">
        <v>131</v>
      </c>
      <c r="B4095" s="10">
        <v>44866</v>
      </c>
      <c r="C4095" s="11">
        <v>7484</v>
      </c>
      <c r="D4095" s="11">
        <v>6777.43</v>
      </c>
      <c r="E4095" s="11">
        <v>706.57</v>
      </c>
      <c r="F4095" t="str">
        <f>VLOOKUP(A4095,[1]!Table1[#All],17,FALSE)</f>
        <v>UNITED STATES</v>
      </c>
      <c r="G4095" t="str">
        <f>VLOOKUP(A4095,[1]!Table1[#All],22,FALSE)</f>
        <v>HI ST DEPARTMENT OF HEALTH</v>
      </c>
      <c r="H4095" s="8">
        <f>VLOOKUP(A4095,[1]!Table1[#All],32,FALSE)</f>
        <v>43678</v>
      </c>
      <c r="I4095" s="8">
        <f>VLOOKUP(A4095,[1]!Table1[#All],33,FALSE)</f>
        <v>45504</v>
      </c>
      <c r="J4095" t="str">
        <f t="shared" ca="1" si="67"/>
        <v>UDO</v>
      </c>
    </row>
    <row r="4096" spans="1:10" x14ac:dyDescent="0.35">
      <c r="A4096" s="5" t="s">
        <v>131</v>
      </c>
      <c r="B4096" s="6">
        <v>44896</v>
      </c>
      <c r="C4096" s="7">
        <v>7484</v>
      </c>
      <c r="D4096" s="7">
        <v>6982.6</v>
      </c>
      <c r="E4096" s="7">
        <v>501.4</v>
      </c>
      <c r="F4096" t="str">
        <f>VLOOKUP(A4096,[1]!Table1[#All],17,FALSE)</f>
        <v>UNITED STATES</v>
      </c>
      <c r="G4096" t="str">
        <f>VLOOKUP(A4096,[1]!Table1[#All],22,FALSE)</f>
        <v>HI ST DEPARTMENT OF HEALTH</v>
      </c>
      <c r="H4096" s="8">
        <f>VLOOKUP(A4096,[1]!Table1[#All],32,FALSE)</f>
        <v>43678</v>
      </c>
      <c r="I4096" s="8">
        <f>VLOOKUP(A4096,[1]!Table1[#All],33,FALSE)</f>
        <v>45504</v>
      </c>
      <c r="J4096" t="str">
        <f t="shared" ca="1" si="67"/>
        <v>UDO</v>
      </c>
    </row>
    <row r="4097" spans="1:10" x14ac:dyDescent="0.35">
      <c r="A4097" s="9" t="s">
        <v>131</v>
      </c>
      <c r="B4097" s="10">
        <v>44927</v>
      </c>
      <c r="C4097" s="11">
        <v>7484</v>
      </c>
      <c r="D4097" s="11">
        <v>7163.48</v>
      </c>
      <c r="E4097" s="11">
        <v>320.52</v>
      </c>
      <c r="F4097" t="str">
        <f>VLOOKUP(A4097,[1]!Table1[#All],17,FALSE)</f>
        <v>UNITED STATES</v>
      </c>
      <c r="G4097" t="str">
        <f>VLOOKUP(A4097,[1]!Table1[#All],22,FALSE)</f>
        <v>HI ST DEPARTMENT OF HEALTH</v>
      </c>
      <c r="H4097" s="8">
        <f>VLOOKUP(A4097,[1]!Table1[#All],32,FALSE)</f>
        <v>43678</v>
      </c>
      <c r="I4097" s="8">
        <f>VLOOKUP(A4097,[1]!Table1[#All],33,FALSE)</f>
        <v>45504</v>
      </c>
      <c r="J4097" t="str">
        <f t="shared" ca="1" si="67"/>
        <v>UDO</v>
      </c>
    </row>
    <row r="4098" spans="1:10" x14ac:dyDescent="0.35">
      <c r="A4098" s="5" t="s">
        <v>131</v>
      </c>
      <c r="B4098" s="6">
        <v>44958</v>
      </c>
      <c r="C4098" s="7">
        <v>7484</v>
      </c>
      <c r="D4098" s="7">
        <v>7295.11</v>
      </c>
      <c r="E4098" s="7">
        <v>188.89</v>
      </c>
      <c r="F4098" t="str">
        <f>VLOOKUP(A4098,[1]!Table1[#All],17,FALSE)</f>
        <v>UNITED STATES</v>
      </c>
      <c r="G4098" t="str">
        <f>VLOOKUP(A4098,[1]!Table1[#All],22,FALSE)</f>
        <v>HI ST DEPARTMENT OF HEALTH</v>
      </c>
      <c r="H4098" s="8">
        <f>VLOOKUP(A4098,[1]!Table1[#All],32,FALSE)</f>
        <v>43678</v>
      </c>
      <c r="I4098" s="8">
        <f>VLOOKUP(A4098,[1]!Table1[#All],33,FALSE)</f>
        <v>45504</v>
      </c>
      <c r="J4098" t="str">
        <f t="shared" ca="1" si="67"/>
        <v>UDO</v>
      </c>
    </row>
    <row r="4099" spans="1:10" x14ac:dyDescent="0.35">
      <c r="A4099" s="9" t="s">
        <v>131</v>
      </c>
      <c r="B4099" s="10">
        <v>44986</v>
      </c>
      <c r="C4099" s="11">
        <v>7484</v>
      </c>
      <c r="D4099" s="11">
        <v>7484</v>
      </c>
      <c r="E4099" s="11">
        <v>0</v>
      </c>
      <c r="F4099" t="str">
        <f>VLOOKUP(A4099,[1]!Table1[#All],17,FALSE)</f>
        <v>UNITED STATES</v>
      </c>
      <c r="G4099" t="str">
        <f>VLOOKUP(A4099,[1]!Table1[#All],22,FALSE)</f>
        <v>HI ST DEPARTMENT OF HEALTH</v>
      </c>
      <c r="H4099" s="8">
        <f>VLOOKUP(A4099,[1]!Table1[#All],32,FALSE)</f>
        <v>43678</v>
      </c>
      <c r="I4099" s="8">
        <f>VLOOKUP(A4099,[1]!Table1[#All],33,FALSE)</f>
        <v>45504</v>
      </c>
      <c r="J4099" t="str">
        <f t="shared" ref="J4099:J4162" ca="1" si="68">IF(AND( E4099&gt;0,TODAY()&gt;I4099),"UDO","Non UDO")</f>
        <v>Non UDO</v>
      </c>
    </row>
    <row r="4100" spans="1:10" x14ac:dyDescent="0.35">
      <c r="A4100" s="5" t="s">
        <v>131</v>
      </c>
      <c r="B4100" s="6">
        <v>45017</v>
      </c>
      <c r="C4100" s="7">
        <v>7484</v>
      </c>
      <c r="D4100" s="7">
        <v>7484</v>
      </c>
      <c r="E4100" s="7">
        <v>0</v>
      </c>
      <c r="F4100" t="str">
        <f>VLOOKUP(A4100,[1]!Table1[#All],17,FALSE)</f>
        <v>UNITED STATES</v>
      </c>
      <c r="G4100" t="str">
        <f>VLOOKUP(A4100,[1]!Table1[#All],22,FALSE)</f>
        <v>HI ST DEPARTMENT OF HEALTH</v>
      </c>
      <c r="H4100" s="8">
        <f>VLOOKUP(A4100,[1]!Table1[#All],32,FALSE)</f>
        <v>43678</v>
      </c>
      <c r="I4100" s="8">
        <f>VLOOKUP(A4100,[1]!Table1[#All],33,FALSE)</f>
        <v>45504</v>
      </c>
      <c r="J4100" t="str">
        <f t="shared" ca="1" si="68"/>
        <v>Non UDO</v>
      </c>
    </row>
    <row r="4101" spans="1:10" x14ac:dyDescent="0.35">
      <c r="A4101" s="9" t="s">
        <v>131</v>
      </c>
      <c r="B4101" s="10">
        <v>45047</v>
      </c>
      <c r="C4101" s="11">
        <v>7484</v>
      </c>
      <c r="D4101" s="11">
        <v>7484</v>
      </c>
      <c r="E4101" s="11">
        <v>0</v>
      </c>
      <c r="F4101" t="str">
        <f>VLOOKUP(A4101,[1]!Table1[#All],17,FALSE)</f>
        <v>UNITED STATES</v>
      </c>
      <c r="G4101" t="str">
        <f>VLOOKUP(A4101,[1]!Table1[#All],22,FALSE)</f>
        <v>HI ST DEPARTMENT OF HEALTH</v>
      </c>
      <c r="H4101" s="8">
        <f>VLOOKUP(A4101,[1]!Table1[#All],32,FALSE)</f>
        <v>43678</v>
      </c>
      <c r="I4101" s="8">
        <f>VLOOKUP(A4101,[1]!Table1[#All],33,FALSE)</f>
        <v>45504</v>
      </c>
      <c r="J4101" t="str">
        <f t="shared" ca="1" si="68"/>
        <v>Non UDO</v>
      </c>
    </row>
    <row r="4102" spans="1:10" x14ac:dyDescent="0.35">
      <c r="A4102" s="5" t="s">
        <v>131</v>
      </c>
      <c r="B4102" s="6">
        <v>45078</v>
      </c>
      <c r="C4102" s="7">
        <v>7484</v>
      </c>
      <c r="D4102" s="7">
        <v>7484</v>
      </c>
      <c r="E4102" s="7">
        <v>0</v>
      </c>
      <c r="F4102" t="str">
        <f>VLOOKUP(A4102,[1]!Table1[#All],17,FALSE)</f>
        <v>UNITED STATES</v>
      </c>
      <c r="G4102" t="str">
        <f>VLOOKUP(A4102,[1]!Table1[#All],22,FALSE)</f>
        <v>HI ST DEPARTMENT OF HEALTH</v>
      </c>
      <c r="H4102" s="8">
        <f>VLOOKUP(A4102,[1]!Table1[#All],32,FALSE)</f>
        <v>43678</v>
      </c>
      <c r="I4102" s="8">
        <f>VLOOKUP(A4102,[1]!Table1[#All],33,FALSE)</f>
        <v>45504</v>
      </c>
      <c r="J4102" t="str">
        <f t="shared" ca="1" si="68"/>
        <v>Non UDO</v>
      </c>
    </row>
    <row r="4103" spans="1:10" x14ac:dyDescent="0.35">
      <c r="A4103" s="9" t="s">
        <v>131</v>
      </c>
      <c r="B4103" s="10">
        <v>45108</v>
      </c>
      <c r="C4103" s="11">
        <v>7484</v>
      </c>
      <c r="D4103" s="11">
        <v>7484</v>
      </c>
      <c r="E4103" s="11">
        <v>0</v>
      </c>
      <c r="F4103" t="str">
        <f>VLOOKUP(A4103,[1]!Table1[#All],17,FALSE)</f>
        <v>UNITED STATES</v>
      </c>
      <c r="G4103" t="str">
        <f>VLOOKUP(A4103,[1]!Table1[#All],22,FALSE)</f>
        <v>HI ST DEPARTMENT OF HEALTH</v>
      </c>
      <c r="H4103" s="8">
        <f>VLOOKUP(A4103,[1]!Table1[#All],32,FALSE)</f>
        <v>43678</v>
      </c>
      <c r="I4103" s="8">
        <f>VLOOKUP(A4103,[1]!Table1[#All],33,FALSE)</f>
        <v>45504</v>
      </c>
      <c r="J4103" t="str">
        <f t="shared" ca="1" si="68"/>
        <v>Non UDO</v>
      </c>
    </row>
    <row r="4104" spans="1:10" x14ac:dyDescent="0.35">
      <c r="A4104" s="5" t="s">
        <v>131</v>
      </c>
      <c r="B4104" s="6">
        <v>45139</v>
      </c>
      <c r="C4104" s="7">
        <v>7484</v>
      </c>
      <c r="D4104" s="7">
        <v>7484</v>
      </c>
      <c r="E4104" s="7">
        <v>0</v>
      </c>
      <c r="F4104" t="str">
        <f>VLOOKUP(A4104,[1]!Table1[#All],17,FALSE)</f>
        <v>UNITED STATES</v>
      </c>
      <c r="G4104" t="str">
        <f>VLOOKUP(A4104,[1]!Table1[#All],22,FALSE)</f>
        <v>HI ST DEPARTMENT OF HEALTH</v>
      </c>
      <c r="H4104" s="8">
        <f>VLOOKUP(A4104,[1]!Table1[#All],32,FALSE)</f>
        <v>43678</v>
      </c>
      <c r="I4104" s="8">
        <f>VLOOKUP(A4104,[1]!Table1[#All],33,FALSE)</f>
        <v>45504</v>
      </c>
      <c r="J4104" t="str">
        <f t="shared" ca="1" si="68"/>
        <v>Non UDO</v>
      </c>
    </row>
    <row r="4105" spans="1:10" x14ac:dyDescent="0.35">
      <c r="A4105" s="9" t="s">
        <v>131</v>
      </c>
      <c r="B4105" s="10">
        <v>45170</v>
      </c>
      <c r="C4105" s="11">
        <v>7484</v>
      </c>
      <c r="D4105" s="11">
        <v>7484</v>
      </c>
      <c r="E4105" s="11">
        <v>0</v>
      </c>
      <c r="F4105" t="str">
        <f>VLOOKUP(A4105,[1]!Table1[#All],17,FALSE)</f>
        <v>UNITED STATES</v>
      </c>
      <c r="G4105" t="str">
        <f>VLOOKUP(A4105,[1]!Table1[#All],22,FALSE)</f>
        <v>HI ST DEPARTMENT OF HEALTH</v>
      </c>
      <c r="H4105" s="8">
        <f>VLOOKUP(A4105,[1]!Table1[#All],32,FALSE)</f>
        <v>43678</v>
      </c>
      <c r="I4105" s="8">
        <f>VLOOKUP(A4105,[1]!Table1[#All],33,FALSE)</f>
        <v>45504</v>
      </c>
      <c r="J4105" t="str">
        <f t="shared" ca="1" si="68"/>
        <v>Non UDO</v>
      </c>
    </row>
    <row r="4106" spans="1:10" x14ac:dyDescent="0.35">
      <c r="A4106" s="5" t="s">
        <v>132</v>
      </c>
      <c r="B4106" s="6">
        <v>44105</v>
      </c>
      <c r="C4106" s="7">
        <v>4000</v>
      </c>
      <c r="D4106" s="7">
        <v>0</v>
      </c>
      <c r="E4106" s="7">
        <v>4000</v>
      </c>
      <c r="F4106" t="str">
        <f>VLOOKUP(A4106,[1]!Table1[#All],17,FALSE)</f>
        <v>UNITED STATES</v>
      </c>
      <c r="G4106" t="str">
        <f>VLOOKUP(A4106,[1]!Table1[#All],22,FALSE)</f>
        <v>FL ST DEPT OF HLTH</v>
      </c>
      <c r="H4106" s="8">
        <f>VLOOKUP(A4106,[1]!Table1[#All],32,FALSE)</f>
        <v>43678</v>
      </c>
      <c r="I4106" s="8">
        <f>VLOOKUP(A4106,[1]!Table1[#All],33,FALSE)</f>
        <v>45504</v>
      </c>
      <c r="J4106" t="str">
        <f t="shared" ca="1" si="68"/>
        <v>UDO</v>
      </c>
    </row>
    <row r="4107" spans="1:10" x14ac:dyDescent="0.35">
      <c r="A4107" s="9" t="s">
        <v>132</v>
      </c>
      <c r="B4107" s="10">
        <v>44136</v>
      </c>
      <c r="C4107" s="11">
        <v>4000</v>
      </c>
      <c r="D4107" s="11">
        <v>0</v>
      </c>
      <c r="E4107" s="11">
        <v>4000</v>
      </c>
      <c r="F4107" t="str">
        <f>VLOOKUP(A4107,[1]!Table1[#All],17,FALSE)</f>
        <v>UNITED STATES</v>
      </c>
      <c r="G4107" t="str">
        <f>VLOOKUP(A4107,[1]!Table1[#All],22,FALSE)</f>
        <v>FL ST DEPT OF HLTH</v>
      </c>
      <c r="H4107" s="8">
        <f>VLOOKUP(A4107,[1]!Table1[#All],32,FALSE)</f>
        <v>43678</v>
      </c>
      <c r="I4107" s="8">
        <f>VLOOKUP(A4107,[1]!Table1[#All],33,FALSE)</f>
        <v>45504</v>
      </c>
      <c r="J4107" t="str">
        <f t="shared" ca="1" si="68"/>
        <v>UDO</v>
      </c>
    </row>
    <row r="4108" spans="1:10" x14ac:dyDescent="0.35">
      <c r="A4108" s="5" t="s">
        <v>132</v>
      </c>
      <c r="B4108" s="6">
        <v>44166</v>
      </c>
      <c r="C4108" s="7">
        <v>4000</v>
      </c>
      <c r="D4108" s="7">
        <v>0</v>
      </c>
      <c r="E4108" s="7">
        <v>4000</v>
      </c>
      <c r="F4108" t="str">
        <f>VLOOKUP(A4108,[1]!Table1[#All],17,FALSE)</f>
        <v>UNITED STATES</v>
      </c>
      <c r="G4108" t="str">
        <f>VLOOKUP(A4108,[1]!Table1[#All],22,FALSE)</f>
        <v>FL ST DEPT OF HLTH</v>
      </c>
      <c r="H4108" s="8">
        <f>VLOOKUP(A4108,[1]!Table1[#All],32,FALSE)</f>
        <v>43678</v>
      </c>
      <c r="I4108" s="8">
        <f>VLOOKUP(A4108,[1]!Table1[#All],33,FALSE)</f>
        <v>45504</v>
      </c>
      <c r="J4108" t="str">
        <f t="shared" ca="1" si="68"/>
        <v>UDO</v>
      </c>
    </row>
    <row r="4109" spans="1:10" x14ac:dyDescent="0.35">
      <c r="A4109" s="9" t="s">
        <v>132</v>
      </c>
      <c r="B4109" s="10">
        <v>44197</v>
      </c>
      <c r="C4109" s="11">
        <v>4000</v>
      </c>
      <c r="D4109" s="11">
        <v>298.17</v>
      </c>
      <c r="E4109" s="11">
        <v>3701.83</v>
      </c>
      <c r="F4109" t="str">
        <f>VLOOKUP(A4109,[1]!Table1[#All],17,FALSE)</f>
        <v>UNITED STATES</v>
      </c>
      <c r="G4109" t="str">
        <f>VLOOKUP(A4109,[1]!Table1[#All],22,FALSE)</f>
        <v>FL ST DEPT OF HLTH</v>
      </c>
      <c r="H4109" s="8">
        <f>VLOOKUP(A4109,[1]!Table1[#All],32,FALSE)</f>
        <v>43678</v>
      </c>
      <c r="I4109" s="8">
        <f>VLOOKUP(A4109,[1]!Table1[#All],33,FALSE)</f>
        <v>45504</v>
      </c>
      <c r="J4109" t="str">
        <f t="shared" ca="1" si="68"/>
        <v>UDO</v>
      </c>
    </row>
    <row r="4110" spans="1:10" x14ac:dyDescent="0.35">
      <c r="A4110" s="5" t="s">
        <v>132</v>
      </c>
      <c r="B4110" s="6">
        <v>44228</v>
      </c>
      <c r="C4110" s="7">
        <v>4000</v>
      </c>
      <c r="D4110" s="7">
        <v>166.56</v>
      </c>
      <c r="E4110" s="7">
        <v>3833.44</v>
      </c>
      <c r="F4110" t="str">
        <f>VLOOKUP(A4110,[1]!Table1[#All],17,FALSE)</f>
        <v>UNITED STATES</v>
      </c>
      <c r="G4110" t="str">
        <f>VLOOKUP(A4110,[1]!Table1[#All],22,FALSE)</f>
        <v>FL ST DEPT OF HLTH</v>
      </c>
      <c r="H4110" s="8">
        <f>VLOOKUP(A4110,[1]!Table1[#All],32,FALSE)</f>
        <v>43678</v>
      </c>
      <c r="I4110" s="8">
        <f>VLOOKUP(A4110,[1]!Table1[#All],33,FALSE)</f>
        <v>45504</v>
      </c>
      <c r="J4110" t="str">
        <f t="shared" ca="1" si="68"/>
        <v>UDO</v>
      </c>
    </row>
    <row r="4111" spans="1:10" x14ac:dyDescent="0.35">
      <c r="A4111" s="9" t="s">
        <v>132</v>
      </c>
      <c r="B4111" s="10">
        <v>44256</v>
      </c>
      <c r="C4111" s="11">
        <v>4000</v>
      </c>
      <c r="D4111" s="11">
        <v>464.99</v>
      </c>
      <c r="E4111" s="11">
        <v>3535.01</v>
      </c>
      <c r="F4111" t="str">
        <f>VLOOKUP(A4111,[1]!Table1[#All],17,FALSE)</f>
        <v>UNITED STATES</v>
      </c>
      <c r="G4111" t="str">
        <f>VLOOKUP(A4111,[1]!Table1[#All],22,FALSE)</f>
        <v>FL ST DEPT OF HLTH</v>
      </c>
      <c r="H4111" s="8">
        <f>VLOOKUP(A4111,[1]!Table1[#All],32,FALSE)</f>
        <v>43678</v>
      </c>
      <c r="I4111" s="8">
        <f>VLOOKUP(A4111,[1]!Table1[#All],33,FALSE)</f>
        <v>45504</v>
      </c>
      <c r="J4111" t="str">
        <f t="shared" ca="1" si="68"/>
        <v>UDO</v>
      </c>
    </row>
    <row r="4112" spans="1:10" x14ac:dyDescent="0.35">
      <c r="A4112" s="5" t="s">
        <v>132</v>
      </c>
      <c r="B4112" s="6">
        <v>44317</v>
      </c>
      <c r="C4112" s="7">
        <v>4000</v>
      </c>
      <c r="D4112" s="7">
        <v>1230.33</v>
      </c>
      <c r="E4112" s="7">
        <v>2769.67</v>
      </c>
      <c r="F4112" t="str">
        <f>VLOOKUP(A4112,[1]!Table1[#All],17,FALSE)</f>
        <v>UNITED STATES</v>
      </c>
      <c r="G4112" t="str">
        <f>VLOOKUP(A4112,[1]!Table1[#All],22,FALSE)</f>
        <v>FL ST DEPT OF HLTH</v>
      </c>
      <c r="H4112" s="8">
        <f>VLOOKUP(A4112,[1]!Table1[#All],32,FALSE)</f>
        <v>43678</v>
      </c>
      <c r="I4112" s="8">
        <f>VLOOKUP(A4112,[1]!Table1[#All],33,FALSE)</f>
        <v>45504</v>
      </c>
      <c r="J4112" t="str">
        <f t="shared" ca="1" si="68"/>
        <v>UDO</v>
      </c>
    </row>
    <row r="4113" spans="1:10" x14ac:dyDescent="0.35">
      <c r="A4113" s="9" t="s">
        <v>132</v>
      </c>
      <c r="B4113" s="10">
        <v>44348</v>
      </c>
      <c r="C4113" s="11">
        <v>4000</v>
      </c>
      <c r="D4113" s="11">
        <v>1477.6</v>
      </c>
      <c r="E4113" s="11">
        <v>2522.4</v>
      </c>
      <c r="F4113" t="str">
        <f>VLOOKUP(A4113,[1]!Table1[#All],17,FALSE)</f>
        <v>UNITED STATES</v>
      </c>
      <c r="G4113" t="str">
        <f>VLOOKUP(A4113,[1]!Table1[#All],22,FALSE)</f>
        <v>FL ST DEPT OF HLTH</v>
      </c>
      <c r="H4113" s="8">
        <f>VLOOKUP(A4113,[1]!Table1[#All],32,FALSE)</f>
        <v>43678</v>
      </c>
      <c r="I4113" s="8">
        <f>VLOOKUP(A4113,[1]!Table1[#All],33,FALSE)</f>
        <v>45504</v>
      </c>
      <c r="J4113" t="str">
        <f t="shared" ca="1" si="68"/>
        <v>UDO</v>
      </c>
    </row>
    <row r="4114" spans="1:10" x14ac:dyDescent="0.35">
      <c r="A4114" s="5" t="s">
        <v>132</v>
      </c>
      <c r="B4114" s="6">
        <v>44378</v>
      </c>
      <c r="C4114" s="7">
        <v>4000</v>
      </c>
      <c r="D4114" s="7">
        <v>1684.06</v>
      </c>
      <c r="E4114" s="7">
        <v>2315.94</v>
      </c>
      <c r="F4114" t="str">
        <f>VLOOKUP(A4114,[1]!Table1[#All],17,FALSE)</f>
        <v>UNITED STATES</v>
      </c>
      <c r="G4114" t="str">
        <f>VLOOKUP(A4114,[1]!Table1[#All],22,FALSE)</f>
        <v>FL ST DEPT OF HLTH</v>
      </c>
      <c r="H4114" s="8">
        <f>VLOOKUP(A4114,[1]!Table1[#All],32,FALSE)</f>
        <v>43678</v>
      </c>
      <c r="I4114" s="8">
        <f>VLOOKUP(A4114,[1]!Table1[#All],33,FALSE)</f>
        <v>45504</v>
      </c>
      <c r="J4114" t="str">
        <f t="shared" ca="1" si="68"/>
        <v>UDO</v>
      </c>
    </row>
    <row r="4115" spans="1:10" x14ac:dyDescent="0.35">
      <c r="A4115" s="9" t="s">
        <v>132</v>
      </c>
      <c r="B4115" s="10">
        <v>44409</v>
      </c>
      <c r="C4115" s="11">
        <v>4000</v>
      </c>
      <c r="D4115" s="11">
        <v>2051.9</v>
      </c>
      <c r="E4115" s="11">
        <v>1948.1</v>
      </c>
      <c r="F4115" t="str">
        <f>VLOOKUP(A4115,[1]!Table1[#All],17,FALSE)</f>
        <v>UNITED STATES</v>
      </c>
      <c r="G4115" t="str">
        <f>VLOOKUP(A4115,[1]!Table1[#All],22,FALSE)</f>
        <v>FL ST DEPT OF HLTH</v>
      </c>
      <c r="H4115" s="8">
        <f>VLOOKUP(A4115,[1]!Table1[#All],32,FALSE)</f>
        <v>43678</v>
      </c>
      <c r="I4115" s="8">
        <f>VLOOKUP(A4115,[1]!Table1[#All],33,FALSE)</f>
        <v>45504</v>
      </c>
      <c r="J4115" t="str">
        <f t="shared" ca="1" si="68"/>
        <v>UDO</v>
      </c>
    </row>
    <row r="4116" spans="1:10" x14ac:dyDescent="0.35">
      <c r="A4116" s="5" t="s">
        <v>132</v>
      </c>
      <c r="B4116" s="6">
        <v>44440</v>
      </c>
      <c r="C4116" s="7">
        <v>4000</v>
      </c>
      <c r="D4116" s="7">
        <v>2079.64</v>
      </c>
      <c r="E4116" s="7">
        <v>1920.36</v>
      </c>
      <c r="F4116" t="str">
        <f>VLOOKUP(A4116,[1]!Table1[#All],17,FALSE)</f>
        <v>UNITED STATES</v>
      </c>
      <c r="G4116" t="str">
        <f>VLOOKUP(A4116,[1]!Table1[#All],22,FALSE)</f>
        <v>FL ST DEPT OF HLTH</v>
      </c>
      <c r="H4116" s="8">
        <f>VLOOKUP(A4116,[1]!Table1[#All],32,FALSE)</f>
        <v>43678</v>
      </c>
      <c r="I4116" s="8">
        <f>VLOOKUP(A4116,[1]!Table1[#All],33,FALSE)</f>
        <v>45504</v>
      </c>
      <c r="J4116" t="str">
        <f t="shared" ca="1" si="68"/>
        <v>UDO</v>
      </c>
    </row>
    <row r="4117" spans="1:10" x14ac:dyDescent="0.35">
      <c r="A4117" s="9" t="s">
        <v>132</v>
      </c>
      <c r="B4117" s="10">
        <v>44470</v>
      </c>
      <c r="C4117" s="11">
        <v>4000</v>
      </c>
      <c r="D4117" s="11">
        <v>2081.0100000000002</v>
      </c>
      <c r="E4117" s="11">
        <v>1918.99</v>
      </c>
      <c r="F4117" t="str">
        <f>VLOOKUP(A4117,[1]!Table1[#All],17,FALSE)</f>
        <v>UNITED STATES</v>
      </c>
      <c r="G4117" t="str">
        <f>VLOOKUP(A4117,[1]!Table1[#All],22,FALSE)</f>
        <v>FL ST DEPT OF HLTH</v>
      </c>
      <c r="H4117" s="8">
        <f>VLOOKUP(A4117,[1]!Table1[#All],32,FALSE)</f>
        <v>43678</v>
      </c>
      <c r="I4117" s="8">
        <f>VLOOKUP(A4117,[1]!Table1[#All],33,FALSE)</f>
        <v>45504</v>
      </c>
      <c r="J4117" t="str">
        <f t="shared" ca="1" si="68"/>
        <v>UDO</v>
      </c>
    </row>
    <row r="4118" spans="1:10" x14ac:dyDescent="0.35">
      <c r="A4118" s="5" t="s">
        <v>132</v>
      </c>
      <c r="B4118" s="6">
        <v>44501</v>
      </c>
      <c r="C4118" s="7">
        <v>4000</v>
      </c>
      <c r="D4118" s="7">
        <v>2589.35</v>
      </c>
      <c r="E4118" s="7">
        <v>1410.65</v>
      </c>
      <c r="F4118" t="str">
        <f>VLOOKUP(A4118,[1]!Table1[#All],17,FALSE)</f>
        <v>UNITED STATES</v>
      </c>
      <c r="G4118" t="str">
        <f>VLOOKUP(A4118,[1]!Table1[#All],22,FALSE)</f>
        <v>FL ST DEPT OF HLTH</v>
      </c>
      <c r="H4118" s="8">
        <f>VLOOKUP(A4118,[1]!Table1[#All],32,FALSE)</f>
        <v>43678</v>
      </c>
      <c r="I4118" s="8">
        <f>VLOOKUP(A4118,[1]!Table1[#All],33,FALSE)</f>
        <v>45504</v>
      </c>
      <c r="J4118" t="str">
        <f t="shared" ca="1" si="68"/>
        <v>UDO</v>
      </c>
    </row>
    <row r="4119" spans="1:10" x14ac:dyDescent="0.35">
      <c r="A4119" s="9" t="s">
        <v>132</v>
      </c>
      <c r="B4119" s="10">
        <v>44531</v>
      </c>
      <c r="C4119" s="11">
        <v>4000</v>
      </c>
      <c r="D4119" s="11">
        <v>2830.97</v>
      </c>
      <c r="E4119" s="11">
        <v>1169.03</v>
      </c>
      <c r="F4119" t="str">
        <f>VLOOKUP(A4119,[1]!Table1[#All],17,FALSE)</f>
        <v>UNITED STATES</v>
      </c>
      <c r="G4119" t="str">
        <f>VLOOKUP(A4119,[1]!Table1[#All],22,FALSE)</f>
        <v>FL ST DEPT OF HLTH</v>
      </c>
      <c r="H4119" s="8">
        <f>VLOOKUP(A4119,[1]!Table1[#All],32,FALSE)</f>
        <v>43678</v>
      </c>
      <c r="I4119" s="8">
        <f>VLOOKUP(A4119,[1]!Table1[#All],33,FALSE)</f>
        <v>45504</v>
      </c>
      <c r="J4119" t="str">
        <f t="shared" ca="1" si="68"/>
        <v>UDO</v>
      </c>
    </row>
    <row r="4120" spans="1:10" x14ac:dyDescent="0.35">
      <c r="A4120" s="5" t="s">
        <v>132</v>
      </c>
      <c r="B4120" s="6">
        <v>44562</v>
      </c>
      <c r="C4120" s="7">
        <v>4000</v>
      </c>
      <c r="D4120" s="7">
        <v>3006.05</v>
      </c>
      <c r="E4120" s="7">
        <v>993.95</v>
      </c>
      <c r="F4120" t="str">
        <f>VLOOKUP(A4120,[1]!Table1[#All],17,FALSE)</f>
        <v>UNITED STATES</v>
      </c>
      <c r="G4120" t="str">
        <f>VLOOKUP(A4120,[1]!Table1[#All],22,FALSE)</f>
        <v>FL ST DEPT OF HLTH</v>
      </c>
      <c r="H4120" s="8">
        <f>VLOOKUP(A4120,[1]!Table1[#All],32,FALSE)</f>
        <v>43678</v>
      </c>
      <c r="I4120" s="8">
        <f>VLOOKUP(A4120,[1]!Table1[#All],33,FALSE)</f>
        <v>45504</v>
      </c>
      <c r="J4120" t="str">
        <f t="shared" ca="1" si="68"/>
        <v>UDO</v>
      </c>
    </row>
    <row r="4121" spans="1:10" x14ac:dyDescent="0.35">
      <c r="A4121" s="9" t="s">
        <v>132</v>
      </c>
      <c r="B4121" s="10">
        <v>44593</v>
      </c>
      <c r="C4121" s="11">
        <v>4000</v>
      </c>
      <c r="D4121" s="11">
        <v>3737.73</v>
      </c>
      <c r="E4121" s="11">
        <v>262.27</v>
      </c>
      <c r="F4121" t="str">
        <f>VLOOKUP(A4121,[1]!Table1[#All],17,FALSE)</f>
        <v>UNITED STATES</v>
      </c>
      <c r="G4121" t="str">
        <f>VLOOKUP(A4121,[1]!Table1[#All],22,FALSE)</f>
        <v>FL ST DEPT OF HLTH</v>
      </c>
      <c r="H4121" s="8">
        <f>VLOOKUP(A4121,[1]!Table1[#All],32,FALSE)</f>
        <v>43678</v>
      </c>
      <c r="I4121" s="8">
        <f>VLOOKUP(A4121,[1]!Table1[#All],33,FALSE)</f>
        <v>45504</v>
      </c>
      <c r="J4121" t="str">
        <f t="shared" ca="1" si="68"/>
        <v>UDO</v>
      </c>
    </row>
    <row r="4122" spans="1:10" x14ac:dyDescent="0.35">
      <c r="A4122" s="5" t="s">
        <v>132</v>
      </c>
      <c r="B4122" s="6">
        <v>44621</v>
      </c>
      <c r="C4122" s="7">
        <v>4000</v>
      </c>
      <c r="D4122" s="7">
        <v>3909.78</v>
      </c>
      <c r="E4122" s="7">
        <v>90.22</v>
      </c>
      <c r="F4122" t="str">
        <f>VLOOKUP(A4122,[1]!Table1[#All],17,FALSE)</f>
        <v>UNITED STATES</v>
      </c>
      <c r="G4122" t="str">
        <f>VLOOKUP(A4122,[1]!Table1[#All],22,FALSE)</f>
        <v>FL ST DEPT OF HLTH</v>
      </c>
      <c r="H4122" s="8">
        <f>VLOOKUP(A4122,[1]!Table1[#All],32,FALSE)</f>
        <v>43678</v>
      </c>
      <c r="I4122" s="8">
        <f>VLOOKUP(A4122,[1]!Table1[#All],33,FALSE)</f>
        <v>45504</v>
      </c>
      <c r="J4122" t="str">
        <f t="shared" ca="1" si="68"/>
        <v>UDO</v>
      </c>
    </row>
    <row r="4123" spans="1:10" x14ac:dyDescent="0.35">
      <c r="A4123" s="9" t="s">
        <v>132</v>
      </c>
      <c r="B4123" s="10">
        <v>44652</v>
      </c>
      <c r="C4123" s="11">
        <v>4000</v>
      </c>
      <c r="D4123" s="11">
        <v>4000</v>
      </c>
      <c r="E4123" s="11">
        <v>0</v>
      </c>
      <c r="F4123" t="str">
        <f>VLOOKUP(A4123,[1]!Table1[#All],17,FALSE)</f>
        <v>UNITED STATES</v>
      </c>
      <c r="G4123" t="str">
        <f>VLOOKUP(A4123,[1]!Table1[#All],22,FALSE)</f>
        <v>FL ST DEPT OF HLTH</v>
      </c>
      <c r="H4123" s="8">
        <f>VLOOKUP(A4123,[1]!Table1[#All],32,FALSE)</f>
        <v>43678</v>
      </c>
      <c r="I4123" s="8">
        <f>VLOOKUP(A4123,[1]!Table1[#All],33,FALSE)</f>
        <v>45504</v>
      </c>
      <c r="J4123" t="str">
        <f t="shared" ca="1" si="68"/>
        <v>Non UDO</v>
      </c>
    </row>
    <row r="4124" spans="1:10" x14ac:dyDescent="0.35">
      <c r="A4124" s="5" t="s">
        <v>132</v>
      </c>
      <c r="B4124" s="6">
        <v>44682</v>
      </c>
      <c r="C4124" s="7">
        <v>4000</v>
      </c>
      <c r="D4124" s="7">
        <v>4000</v>
      </c>
      <c r="E4124" s="7">
        <v>0</v>
      </c>
      <c r="F4124" t="str">
        <f>VLOOKUP(A4124,[1]!Table1[#All],17,FALSE)</f>
        <v>UNITED STATES</v>
      </c>
      <c r="G4124" t="str">
        <f>VLOOKUP(A4124,[1]!Table1[#All],22,FALSE)</f>
        <v>FL ST DEPT OF HLTH</v>
      </c>
      <c r="H4124" s="8">
        <f>VLOOKUP(A4124,[1]!Table1[#All],32,FALSE)</f>
        <v>43678</v>
      </c>
      <c r="I4124" s="8">
        <f>VLOOKUP(A4124,[1]!Table1[#All],33,FALSE)</f>
        <v>45504</v>
      </c>
      <c r="J4124" t="str">
        <f t="shared" ca="1" si="68"/>
        <v>Non UDO</v>
      </c>
    </row>
    <row r="4125" spans="1:10" x14ac:dyDescent="0.35">
      <c r="A4125" s="9" t="s">
        <v>132</v>
      </c>
      <c r="B4125" s="10">
        <v>44713</v>
      </c>
      <c r="C4125" s="11">
        <v>4000</v>
      </c>
      <c r="D4125" s="11">
        <v>4000</v>
      </c>
      <c r="E4125" s="11">
        <v>0</v>
      </c>
      <c r="F4125" t="str">
        <f>VLOOKUP(A4125,[1]!Table1[#All],17,FALSE)</f>
        <v>UNITED STATES</v>
      </c>
      <c r="G4125" t="str">
        <f>VLOOKUP(A4125,[1]!Table1[#All],22,FALSE)</f>
        <v>FL ST DEPT OF HLTH</v>
      </c>
      <c r="H4125" s="8">
        <f>VLOOKUP(A4125,[1]!Table1[#All],32,FALSE)</f>
        <v>43678</v>
      </c>
      <c r="I4125" s="8">
        <f>VLOOKUP(A4125,[1]!Table1[#All],33,FALSE)</f>
        <v>45504</v>
      </c>
      <c r="J4125" t="str">
        <f t="shared" ca="1" si="68"/>
        <v>Non UDO</v>
      </c>
    </row>
    <row r="4126" spans="1:10" x14ac:dyDescent="0.35">
      <c r="A4126" s="5" t="s">
        <v>132</v>
      </c>
      <c r="B4126" s="6">
        <v>44743</v>
      </c>
      <c r="C4126" s="7">
        <v>4000</v>
      </c>
      <c r="D4126" s="7">
        <v>4000</v>
      </c>
      <c r="E4126" s="7">
        <v>0</v>
      </c>
      <c r="F4126" t="str">
        <f>VLOOKUP(A4126,[1]!Table1[#All],17,FALSE)</f>
        <v>UNITED STATES</v>
      </c>
      <c r="G4126" t="str">
        <f>VLOOKUP(A4126,[1]!Table1[#All],22,FALSE)</f>
        <v>FL ST DEPT OF HLTH</v>
      </c>
      <c r="H4126" s="8">
        <f>VLOOKUP(A4126,[1]!Table1[#All],32,FALSE)</f>
        <v>43678</v>
      </c>
      <c r="I4126" s="8">
        <f>VLOOKUP(A4126,[1]!Table1[#All],33,FALSE)</f>
        <v>45504</v>
      </c>
      <c r="J4126" t="str">
        <f t="shared" ca="1" si="68"/>
        <v>Non UDO</v>
      </c>
    </row>
    <row r="4127" spans="1:10" x14ac:dyDescent="0.35">
      <c r="A4127" s="9" t="s">
        <v>132</v>
      </c>
      <c r="B4127" s="10">
        <v>44774</v>
      </c>
      <c r="C4127" s="11">
        <v>4000</v>
      </c>
      <c r="D4127" s="11">
        <v>4000</v>
      </c>
      <c r="E4127" s="11">
        <v>0</v>
      </c>
      <c r="F4127" t="str">
        <f>VLOOKUP(A4127,[1]!Table1[#All],17,FALSE)</f>
        <v>UNITED STATES</v>
      </c>
      <c r="G4127" t="str">
        <f>VLOOKUP(A4127,[1]!Table1[#All],22,FALSE)</f>
        <v>FL ST DEPT OF HLTH</v>
      </c>
      <c r="H4127" s="8">
        <f>VLOOKUP(A4127,[1]!Table1[#All],32,FALSE)</f>
        <v>43678</v>
      </c>
      <c r="I4127" s="8">
        <f>VLOOKUP(A4127,[1]!Table1[#All],33,FALSE)</f>
        <v>45504</v>
      </c>
      <c r="J4127" t="str">
        <f t="shared" ca="1" si="68"/>
        <v>Non UDO</v>
      </c>
    </row>
    <row r="4128" spans="1:10" x14ac:dyDescent="0.35">
      <c r="A4128" s="5" t="s">
        <v>132</v>
      </c>
      <c r="B4128" s="6">
        <v>44805</v>
      </c>
      <c r="C4128" s="7">
        <v>4000</v>
      </c>
      <c r="D4128" s="7">
        <v>4000</v>
      </c>
      <c r="E4128" s="7">
        <v>0</v>
      </c>
      <c r="F4128" t="str">
        <f>VLOOKUP(A4128,[1]!Table1[#All],17,FALSE)</f>
        <v>UNITED STATES</v>
      </c>
      <c r="G4128" t="str">
        <f>VLOOKUP(A4128,[1]!Table1[#All],22,FALSE)</f>
        <v>FL ST DEPT OF HLTH</v>
      </c>
      <c r="H4128" s="8">
        <f>VLOOKUP(A4128,[1]!Table1[#All],32,FALSE)</f>
        <v>43678</v>
      </c>
      <c r="I4128" s="8">
        <f>VLOOKUP(A4128,[1]!Table1[#All],33,FALSE)</f>
        <v>45504</v>
      </c>
      <c r="J4128" t="str">
        <f t="shared" ca="1" si="68"/>
        <v>Non UDO</v>
      </c>
    </row>
    <row r="4129" spans="1:10" x14ac:dyDescent="0.35">
      <c r="A4129" s="9" t="s">
        <v>132</v>
      </c>
      <c r="B4129" s="10">
        <v>44835</v>
      </c>
      <c r="C4129" s="11">
        <v>4000</v>
      </c>
      <c r="D4129" s="11">
        <v>4000</v>
      </c>
      <c r="E4129" s="11">
        <v>0</v>
      </c>
      <c r="F4129" t="str">
        <f>VLOOKUP(A4129,[1]!Table1[#All],17,FALSE)</f>
        <v>UNITED STATES</v>
      </c>
      <c r="G4129" t="str">
        <f>VLOOKUP(A4129,[1]!Table1[#All],22,FALSE)</f>
        <v>FL ST DEPT OF HLTH</v>
      </c>
      <c r="H4129" s="8">
        <f>VLOOKUP(A4129,[1]!Table1[#All],32,FALSE)</f>
        <v>43678</v>
      </c>
      <c r="I4129" s="8">
        <f>VLOOKUP(A4129,[1]!Table1[#All],33,FALSE)</f>
        <v>45504</v>
      </c>
      <c r="J4129" t="str">
        <f t="shared" ca="1" si="68"/>
        <v>Non UDO</v>
      </c>
    </row>
    <row r="4130" spans="1:10" x14ac:dyDescent="0.35">
      <c r="A4130" s="5" t="s">
        <v>132</v>
      </c>
      <c r="B4130" s="6">
        <v>44866</v>
      </c>
      <c r="C4130" s="7">
        <v>4000</v>
      </c>
      <c r="D4130" s="7">
        <v>4000</v>
      </c>
      <c r="E4130" s="7">
        <v>0</v>
      </c>
      <c r="F4130" t="str">
        <f>VLOOKUP(A4130,[1]!Table1[#All],17,FALSE)</f>
        <v>UNITED STATES</v>
      </c>
      <c r="G4130" t="str">
        <f>VLOOKUP(A4130,[1]!Table1[#All],22,FALSE)</f>
        <v>FL ST DEPT OF HLTH</v>
      </c>
      <c r="H4130" s="8">
        <f>VLOOKUP(A4130,[1]!Table1[#All],32,FALSE)</f>
        <v>43678</v>
      </c>
      <c r="I4130" s="8">
        <f>VLOOKUP(A4130,[1]!Table1[#All],33,FALSE)</f>
        <v>45504</v>
      </c>
      <c r="J4130" t="str">
        <f t="shared" ca="1" si="68"/>
        <v>Non UDO</v>
      </c>
    </row>
    <row r="4131" spans="1:10" x14ac:dyDescent="0.35">
      <c r="A4131" s="9" t="s">
        <v>132</v>
      </c>
      <c r="B4131" s="10">
        <v>44896</v>
      </c>
      <c r="C4131" s="11">
        <v>4000</v>
      </c>
      <c r="D4131" s="11">
        <v>4000</v>
      </c>
      <c r="E4131" s="11">
        <v>0</v>
      </c>
      <c r="F4131" t="str">
        <f>VLOOKUP(A4131,[1]!Table1[#All],17,FALSE)</f>
        <v>UNITED STATES</v>
      </c>
      <c r="G4131" t="str">
        <f>VLOOKUP(A4131,[1]!Table1[#All],22,FALSE)</f>
        <v>FL ST DEPT OF HLTH</v>
      </c>
      <c r="H4131" s="8">
        <f>VLOOKUP(A4131,[1]!Table1[#All],32,FALSE)</f>
        <v>43678</v>
      </c>
      <c r="I4131" s="8">
        <f>VLOOKUP(A4131,[1]!Table1[#All],33,FALSE)</f>
        <v>45504</v>
      </c>
      <c r="J4131" t="str">
        <f t="shared" ca="1" si="68"/>
        <v>Non UDO</v>
      </c>
    </row>
    <row r="4132" spans="1:10" x14ac:dyDescent="0.35">
      <c r="A4132" s="5" t="s">
        <v>132</v>
      </c>
      <c r="B4132" s="6">
        <v>44927</v>
      </c>
      <c r="C4132" s="7">
        <v>4000</v>
      </c>
      <c r="D4132" s="7">
        <v>4000</v>
      </c>
      <c r="E4132" s="7">
        <v>0</v>
      </c>
      <c r="F4132" t="str">
        <f>VLOOKUP(A4132,[1]!Table1[#All],17,FALSE)</f>
        <v>UNITED STATES</v>
      </c>
      <c r="G4132" t="str">
        <f>VLOOKUP(A4132,[1]!Table1[#All],22,FALSE)</f>
        <v>FL ST DEPT OF HLTH</v>
      </c>
      <c r="H4132" s="8">
        <f>VLOOKUP(A4132,[1]!Table1[#All],32,FALSE)</f>
        <v>43678</v>
      </c>
      <c r="I4132" s="8">
        <f>VLOOKUP(A4132,[1]!Table1[#All],33,FALSE)</f>
        <v>45504</v>
      </c>
      <c r="J4132" t="str">
        <f t="shared" ca="1" si="68"/>
        <v>Non UDO</v>
      </c>
    </row>
    <row r="4133" spans="1:10" x14ac:dyDescent="0.35">
      <c r="A4133" s="9" t="s">
        <v>132</v>
      </c>
      <c r="B4133" s="10">
        <v>44958</v>
      </c>
      <c r="C4133" s="11">
        <v>4000</v>
      </c>
      <c r="D4133" s="11">
        <v>4000</v>
      </c>
      <c r="E4133" s="11">
        <v>0</v>
      </c>
      <c r="F4133" t="str">
        <f>VLOOKUP(A4133,[1]!Table1[#All],17,FALSE)</f>
        <v>UNITED STATES</v>
      </c>
      <c r="G4133" t="str">
        <f>VLOOKUP(A4133,[1]!Table1[#All],22,FALSE)</f>
        <v>FL ST DEPT OF HLTH</v>
      </c>
      <c r="H4133" s="8">
        <f>VLOOKUP(A4133,[1]!Table1[#All],32,FALSE)</f>
        <v>43678</v>
      </c>
      <c r="I4133" s="8">
        <f>VLOOKUP(A4133,[1]!Table1[#All],33,FALSE)</f>
        <v>45504</v>
      </c>
      <c r="J4133" t="str">
        <f t="shared" ca="1" si="68"/>
        <v>Non UDO</v>
      </c>
    </row>
    <row r="4134" spans="1:10" x14ac:dyDescent="0.35">
      <c r="A4134" s="5" t="s">
        <v>132</v>
      </c>
      <c r="B4134" s="6">
        <v>44986</v>
      </c>
      <c r="C4134" s="7">
        <v>4000</v>
      </c>
      <c r="D4134" s="7">
        <v>4000</v>
      </c>
      <c r="E4134" s="7">
        <v>0</v>
      </c>
      <c r="F4134" t="str">
        <f>VLOOKUP(A4134,[1]!Table1[#All],17,FALSE)</f>
        <v>UNITED STATES</v>
      </c>
      <c r="G4134" t="str">
        <f>VLOOKUP(A4134,[1]!Table1[#All],22,FALSE)</f>
        <v>FL ST DEPT OF HLTH</v>
      </c>
      <c r="H4134" s="8">
        <f>VLOOKUP(A4134,[1]!Table1[#All],32,FALSE)</f>
        <v>43678</v>
      </c>
      <c r="I4134" s="8">
        <f>VLOOKUP(A4134,[1]!Table1[#All],33,FALSE)</f>
        <v>45504</v>
      </c>
      <c r="J4134" t="str">
        <f t="shared" ca="1" si="68"/>
        <v>Non UDO</v>
      </c>
    </row>
    <row r="4135" spans="1:10" x14ac:dyDescent="0.35">
      <c r="A4135" s="9" t="s">
        <v>132</v>
      </c>
      <c r="B4135" s="10">
        <v>45017</v>
      </c>
      <c r="C4135" s="11">
        <v>4000</v>
      </c>
      <c r="D4135" s="11">
        <v>4000</v>
      </c>
      <c r="E4135" s="11">
        <v>0</v>
      </c>
      <c r="F4135" t="str">
        <f>VLOOKUP(A4135,[1]!Table1[#All],17,FALSE)</f>
        <v>UNITED STATES</v>
      </c>
      <c r="G4135" t="str">
        <f>VLOOKUP(A4135,[1]!Table1[#All],22,FALSE)</f>
        <v>FL ST DEPT OF HLTH</v>
      </c>
      <c r="H4135" s="8">
        <f>VLOOKUP(A4135,[1]!Table1[#All],32,FALSE)</f>
        <v>43678</v>
      </c>
      <c r="I4135" s="8">
        <f>VLOOKUP(A4135,[1]!Table1[#All],33,FALSE)</f>
        <v>45504</v>
      </c>
      <c r="J4135" t="str">
        <f t="shared" ca="1" si="68"/>
        <v>Non UDO</v>
      </c>
    </row>
    <row r="4136" spans="1:10" x14ac:dyDescent="0.35">
      <c r="A4136" s="5" t="s">
        <v>132</v>
      </c>
      <c r="B4136" s="6">
        <v>45047</v>
      </c>
      <c r="C4136" s="7">
        <v>4000</v>
      </c>
      <c r="D4136" s="7">
        <v>4000</v>
      </c>
      <c r="E4136" s="7">
        <v>0</v>
      </c>
      <c r="F4136" t="str">
        <f>VLOOKUP(A4136,[1]!Table1[#All],17,FALSE)</f>
        <v>UNITED STATES</v>
      </c>
      <c r="G4136" t="str">
        <f>VLOOKUP(A4136,[1]!Table1[#All],22,FALSE)</f>
        <v>FL ST DEPT OF HLTH</v>
      </c>
      <c r="H4136" s="8">
        <f>VLOOKUP(A4136,[1]!Table1[#All],32,FALSE)</f>
        <v>43678</v>
      </c>
      <c r="I4136" s="8">
        <f>VLOOKUP(A4136,[1]!Table1[#All],33,FALSE)</f>
        <v>45504</v>
      </c>
      <c r="J4136" t="str">
        <f t="shared" ca="1" si="68"/>
        <v>Non UDO</v>
      </c>
    </row>
    <row r="4137" spans="1:10" x14ac:dyDescent="0.35">
      <c r="A4137" s="9" t="s">
        <v>132</v>
      </c>
      <c r="B4137" s="10">
        <v>45078</v>
      </c>
      <c r="C4137" s="11">
        <v>4000</v>
      </c>
      <c r="D4137" s="11">
        <v>4000</v>
      </c>
      <c r="E4137" s="11">
        <v>0</v>
      </c>
      <c r="F4137" t="str">
        <f>VLOOKUP(A4137,[1]!Table1[#All],17,FALSE)</f>
        <v>UNITED STATES</v>
      </c>
      <c r="G4137" t="str">
        <f>VLOOKUP(A4137,[1]!Table1[#All],22,FALSE)</f>
        <v>FL ST DEPT OF HLTH</v>
      </c>
      <c r="H4137" s="8">
        <f>VLOOKUP(A4137,[1]!Table1[#All],32,FALSE)</f>
        <v>43678</v>
      </c>
      <c r="I4137" s="8">
        <f>VLOOKUP(A4137,[1]!Table1[#All],33,FALSE)</f>
        <v>45504</v>
      </c>
      <c r="J4137" t="str">
        <f t="shared" ca="1" si="68"/>
        <v>Non UDO</v>
      </c>
    </row>
    <row r="4138" spans="1:10" x14ac:dyDescent="0.35">
      <c r="A4138" s="5" t="s">
        <v>132</v>
      </c>
      <c r="B4138" s="6">
        <v>45108</v>
      </c>
      <c r="C4138" s="7">
        <v>4000</v>
      </c>
      <c r="D4138" s="7">
        <v>4000</v>
      </c>
      <c r="E4138" s="7">
        <v>0</v>
      </c>
      <c r="F4138" t="str">
        <f>VLOOKUP(A4138,[1]!Table1[#All],17,FALSE)</f>
        <v>UNITED STATES</v>
      </c>
      <c r="G4138" t="str">
        <f>VLOOKUP(A4138,[1]!Table1[#All],22,FALSE)</f>
        <v>FL ST DEPT OF HLTH</v>
      </c>
      <c r="H4138" s="8">
        <f>VLOOKUP(A4138,[1]!Table1[#All],32,FALSE)</f>
        <v>43678</v>
      </c>
      <c r="I4138" s="8">
        <f>VLOOKUP(A4138,[1]!Table1[#All],33,FALSE)</f>
        <v>45504</v>
      </c>
      <c r="J4138" t="str">
        <f t="shared" ca="1" si="68"/>
        <v>Non UDO</v>
      </c>
    </row>
    <row r="4139" spans="1:10" x14ac:dyDescent="0.35">
      <c r="A4139" s="9" t="s">
        <v>132</v>
      </c>
      <c r="B4139" s="10">
        <v>45139</v>
      </c>
      <c r="C4139" s="11">
        <v>4000</v>
      </c>
      <c r="D4139" s="11">
        <v>4000</v>
      </c>
      <c r="E4139" s="11">
        <v>0</v>
      </c>
      <c r="F4139" t="str">
        <f>VLOOKUP(A4139,[1]!Table1[#All],17,FALSE)</f>
        <v>UNITED STATES</v>
      </c>
      <c r="G4139" t="str">
        <f>VLOOKUP(A4139,[1]!Table1[#All],22,FALSE)</f>
        <v>FL ST DEPT OF HLTH</v>
      </c>
      <c r="H4139" s="8">
        <f>VLOOKUP(A4139,[1]!Table1[#All],32,FALSE)</f>
        <v>43678</v>
      </c>
      <c r="I4139" s="8">
        <f>VLOOKUP(A4139,[1]!Table1[#All],33,FALSE)</f>
        <v>45504</v>
      </c>
      <c r="J4139" t="str">
        <f t="shared" ca="1" si="68"/>
        <v>Non UDO</v>
      </c>
    </row>
    <row r="4140" spans="1:10" x14ac:dyDescent="0.35">
      <c r="A4140" s="5" t="s">
        <v>132</v>
      </c>
      <c r="B4140" s="6">
        <v>45170</v>
      </c>
      <c r="C4140" s="7">
        <v>4000</v>
      </c>
      <c r="D4140" s="7">
        <v>4000</v>
      </c>
      <c r="E4140" s="7">
        <v>0</v>
      </c>
      <c r="F4140" t="str">
        <f>VLOOKUP(A4140,[1]!Table1[#All],17,FALSE)</f>
        <v>UNITED STATES</v>
      </c>
      <c r="G4140" t="str">
        <f>VLOOKUP(A4140,[1]!Table1[#All],22,FALSE)</f>
        <v>FL ST DEPT OF HLTH</v>
      </c>
      <c r="H4140" s="8">
        <f>VLOOKUP(A4140,[1]!Table1[#All],32,FALSE)</f>
        <v>43678</v>
      </c>
      <c r="I4140" s="8">
        <f>VLOOKUP(A4140,[1]!Table1[#All],33,FALSE)</f>
        <v>45504</v>
      </c>
      <c r="J4140" t="str">
        <f t="shared" ca="1" si="68"/>
        <v>Non UDO</v>
      </c>
    </row>
    <row r="4141" spans="1:10" x14ac:dyDescent="0.35">
      <c r="A4141" s="9" t="s">
        <v>133</v>
      </c>
      <c r="B4141" s="10">
        <v>44409</v>
      </c>
      <c r="C4141" s="11">
        <v>4499</v>
      </c>
      <c r="D4141" s="11">
        <v>0</v>
      </c>
      <c r="E4141" s="11">
        <v>4499</v>
      </c>
      <c r="F4141" t="str">
        <f>VLOOKUP(A4141,[1]!Table1[#All],17,FALSE)</f>
        <v>UNITED STATES</v>
      </c>
      <c r="G4141" t="str">
        <f>VLOOKUP(A4141,[1]!Table1[#All],22,FALSE)</f>
        <v>HEALTH AND HUMAN SERVICES, NEVADA DEPARTMENT OF</v>
      </c>
      <c r="H4141" s="8">
        <f>VLOOKUP(A4141,[1]!Table1[#All],32,FALSE)</f>
        <v>43678</v>
      </c>
      <c r="I4141" s="8">
        <f>VLOOKUP(A4141,[1]!Table1[#All],33,FALSE)</f>
        <v>45504</v>
      </c>
      <c r="J4141" t="str">
        <f t="shared" ca="1" si="68"/>
        <v>UDO</v>
      </c>
    </row>
    <row r="4142" spans="1:10" x14ac:dyDescent="0.35">
      <c r="A4142" s="5" t="s">
        <v>133</v>
      </c>
      <c r="B4142" s="6">
        <v>44440</v>
      </c>
      <c r="C4142" s="7">
        <v>4499</v>
      </c>
      <c r="D4142" s="7">
        <v>0</v>
      </c>
      <c r="E4142" s="7">
        <v>4499</v>
      </c>
      <c r="F4142" t="str">
        <f>VLOOKUP(A4142,[1]!Table1[#All],17,FALSE)</f>
        <v>UNITED STATES</v>
      </c>
      <c r="G4142" t="str">
        <f>VLOOKUP(A4142,[1]!Table1[#All],22,FALSE)</f>
        <v>HEALTH AND HUMAN SERVICES, NEVADA DEPARTMENT OF</v>
      </c>
      <c r="H4142" s="8">
        <f>VLOOKUP(A4142,[1]!Table1[#All],32,FALSE)</f>
        <v>43678</v>
      </c>
      <c r="I4142" s="8">
        <f>VLOOKUP(A4142,[1]!Table1[#All],33,FALSE)</f>
        <v>45504</v>
      </c>
      <c r="J4142" t="str">
        <f t="shared" ca="1" si="68"/>
        <v>UDO</v>
      </c>
    </row>
    <row r="4143" spans="1:10" x14ac:dyDescent="0.35">
      <c r="A4143" s="9" t="s">
        <v>133</v>
      </c>
      <c r="B4143" s="10">
        <v>44470</v>
      </c>
      <c r="C4143" s="11">
        <v>4499</v>
      </c>
      <c r="D4143" s="11">
        <v>0</v>
      </c>
      <c r="E4143" s="11">
        <v>4499</v>
      </c>
      <c r="F4143" t="str">
        <f>VLOOKUP(A4143,[1]!Table1[#All],17,FALSE)</f>
        <v>UNITED STATES</v>
      </c>
      <c r="G4143" t="str">
        <f>VLOOKUP(A4143,[1]!Table1[#All],22,FALSE)</f>
        <v>HEALTH AND HUMAN SERVICES, NEVADA DEPARTMENT OF</v>
      </c>
      <c r="H4143" s="8">
        <f>VLOOKUP(A4143,[1]!Table1[#All],32,FALSE)</f>
        <v>43678</v>
      </c>
      <c r="I4143" s="8">
        <f>VLOOKUP(A4143,[1]!Table1[#All],33,FALSE)</f>
        <v>45504</v>
      </c>
      <c r="J4143" t="str">
        <f t="shared" ca="1" si="68"/>
        <v>UDO</v>
      </c>
    </row>
    <row r="4144" spans="1:10" x14ac:dyDescent="0.35">
      <c r="A4144" s="5" t="s">
        <v>133</v>
      </c>
      <c r="B4144" s="6">
        <v>44501</v>
      </c>
      <c r="C4144" s="7">
        <v>4499</v>
      </c>
      <c r="D4144" s="7">
        <v>0</v>
      </c>
      <c r="E4144" s="7">
        <v>4499</v>
      </c>
      <c r="F4144" t="str">
        <f>VLOOKUP(A4144,[1]!Table1[#All],17,FALSE)</f>
        <v>UNITED STATES</v>
      </c>
      <c r="G4144" t="str">
        <f>VLOOKUP(A4144,[1]!Table1[#All],22,FALSE)</f>
        <v>HEALTH AND HUMAN SERVICES, NEVADA DEPARTMENT OF</v>
      </c>
      <c r="H4144" s="8">
        <f>VLOOKUP(A4144,[1]!Table1[#All],32,FALSE)</f>
        <v>43678</v>
      </c>
      <c r="I4144" s="8">
        <f>VLOOKUP(A4144,[1]!Table1[#All],33,FALSE)</f>
        <v>45504</v>
      </c>
      <c r="J4144" t="str">
        <f t="shared" ca="1" si="68"/>
        <v>UDO</v>
      </c>
    </row>
    <row r="4145" spans="1:10" x14ac:dyDescent="0.35">
      <c r="A4145" s="9" t="s">
        <v>133</v>
      </c>
      <c r="B4145" s="10">
        <v>44531</v>
      </c>
      <c r="C4145" s="11">
        <v>4499</v>
      </c>
      <c r="D4145" s="11">
        <v>0</v>
      </c>
      <c r="E4145" s="11">
        <v>4499</v>
      </c>
      <c r="F4145" t="str">
        <f>VLOOKUP(A4145,[1]!Table1[#All],17,FALSE)</f>
        <v>UNITED STATES</v>
      </c>
      <c r="G4145" t="str">
        <f>VLOOKUP(A4145,[1]!Table1[#All],22,FALSE)</f>
        <v>HEALTH AND HUMAN SERVICES, NEVADA DEPARTMENT OF</v>
      </c>
      <c r="H4145" s="8">
        <f>VLOOKUP(A4145,[1]!Table1[#All],32,FALSE)</f>
        <v>43678</v>
      </c>
      <c r="I4145" s="8">
        <f>VLOOKUP(A4145,[1]!Table1[#All],33,FALSE)</f>
        <v>45504</v>
      </c>
      <c r="J4145" t="str">
        <f t="shared" ca="1" si="68"/>
        <v>UDO</v>
      </c>
    </row>
    <row r="4146" spans="1:10" x14ac:dyDescent="0.35">
      <c r="A4146" s="5" t="s">
        <v>133</v>
      </c>
      <c r="B4146" s="6">
        <v>44562</v>
      </c>
      <c r="C4146" s="7">
        <v>4499</v>
      </c>
      <c r="D4146" s="7">
        <v>0</v>
      </c>
      <c r="E4146" s="7">
        <v>4499</v>
      </c>
      <c r="F4146" t="str">
        <f>VLOOKUP(A4146,[1]!Table1[#All],17,FALSE)</f>
        <v>UNITED STATES</v>
      </c>
      <c r="G4146" t="str">
        <f>VLOOKUP(A4146,[1]!Table1[#All],22,FALSE)</f>
        <v>HEALTH AND HUMAN SERVICES, NEVADA DEPARTMENT OF</v>
      </c>
      <c r="H4146" s="8">
        <f>VLOOKUP(A4146,[1]!Table1[#All],32,FALSE)</f>
        <v>43678</v>
      </c>
      <c r="I4146" s="8">
        <f>VLOOKUP(A4146,[1]!Table1[#All],33,FALSE)</f>
        <v>45504</v>
      </c>
      <c r="J4146" t="str">
        <f t="shared" ca="1" si="68"/>
        <v>UDO</v>
      </c>
    </row>
    <row r="4147" spans="1:10" x14ac:dyDescent="0.35">
      <c r="A4147" s="9" t="s">
        <v>133</v>
      </c>
      <c r="B4147" s="10">
        <v>44593</v>
      </c>
      <c r="C4147" s="11">
        <v>4499</v>
      </c>
      <c r="D4147" s="11">
        <v>0</v>
      </c>
      <c r="E4147" s="11">
        <v>4499</v>
      </c>
      <c r="F4147" t="str">
        <f>VLOOKUP(A4147,[1]!Table1[#All],17,FALSE)</f>
        <v>UNITED STATES</v>
      </c>
      <c r="G4147" t="str">
        <f>VLOOKUP(A4147,[1]!Table1[#All],22,FALSE)</f>
        <v>HEALTH AND HUMAN SERVICES, NEVADA DEPARTMENT OF</v>
      </c>
      <c r="H4147" s="8">
        <f>VLOOKUP(A4147,[1]!Table1[#All],32,FALSE)</f>
        <v>43678</v>
      </c>
      <c r="I4147" s="8">
        <f>VLOOKUP(A4147,[1]!Table1[#All],33,FALSE)</f>
        <v>45504</v>
      </c>
      <c r="J4147" t="str">
        <f t="shared" ca="1" si="68"/>
        <v>UDO</v>
      </c>
    </row>
    <row r="4148" spans="1:10" x14ac:dyDescent="0.35">
      <c r="A4148" s="5" t="s">
        <v>133</v>
      </c>
      <c r="B4148" s="6">
        <v>44621</v>
      </c>
      <c r="C4148" s="7">
        <v>4499</v>
      </c>
      <c r="D4148" s="7">
        <v>0</v>
      </c>
      <c r="E4148" s="7">
        <v>4499</v>
      </c>
      <c r="F4148" t="str">
        <f>VLOOKUP(A4148,[1]!Table1[#All],17,FALSE)</f>
        <v>UNITED STATES</v>
      </c>
      <c r="G4148" t="str">
        <f>VLOOKUP(A4148,[1]!Table1[#All],22,FALSE)</f>
        <v>HEALTH AND HUMAN SERVICES, NEVADA DEPARTMENT OF</v>
      </c>
      <c r="H4148" s="8">
        <f>VLOOKUP(A4148,[1]!Table1[#All],32,FALSE)</f>
        <v>43678</v>
      </c>
      <c r="I4148" s="8">
        <f>VLOOKUP(A4148,[1]!Table1[#All],33,FALSE)</f>
        <v>45504</v>
      </c>
      <c r="J4148" t="str">
        <f t="shared" ca="1" si="68"/>
        <v>UDO</v>
      </c>
    </row>
    <row r="4149" spans="1:10" x14ac:dyDescent="0.35">
      <c r="A4149" s="9" t="s">
        <v>133</v>
      </c>
      <c r="B4149" s="10">
        <v>44652</v>
      </c>
      <c r="C4149" s="11">
        <v>4499</v>
      </c>
      <c r="D4149" s="11">
        <v>0</v>
      </c>
      <c r="E4149" s="11">
        <v>4499</v>
      </c>
      <c r="F4149" t="str">
        <f>VLOOKUP(A4149,[1]!Table1[#All],17,FALSE)</f>
        <v>UNITED STATES</v>
      </c>
      <c r="G4149" t="str">
        <f>VLOOKUP(A4149,[1]!Table1[#All],22,FALSE)</f>
        <v>HEALTH AND HUMAN SERVICES, NEVADA DEPARTMENT OF</v>
      </c>
      <c r="H4149" s="8">
        <f>VLOOKUP(A4149,[1]!Table1[#All],32,FALSE)</f>
        <v>43678</v>
      </c>
      <c r="I4149" s="8">
        <f>VLOOKUP(A4149,[1]!Table1[#All],33,FALSE)</f>
        <v>45504</v>
      </c>
      <c r="J4149" t="str">
        <f t="shared" ca="1" si="68"/>
        <v>UDO</v>
      </c>
    </row>
    <row r="4150" spans="1:10" x14ac:dyDescent="0.35">
      <c r="A4150" s="5" t="s">
        <v>133</v>
      </c>
      <c r="B4150" s="6">
        <v>44682</v>
      </c>
      <c r="C4150" s="7">
        <v>4499</v>
      </c>
      <c r="D4150" s="7">
        <v>0</v>
      </c>
      <c r="E4150" s="7">
        <v>4499</v>
      </c>
      <c r="F4150" t="str">
        <f>VLOOKUP(A4150,[1]!Table1[#All],17,FALSE)</f>
        <v>UNITED STATES</v>
      </c>
      <c r="G4150" t="str">
        <f>VLOOKUP(A4150,[1]!Table1[#All],22,FALSE)</f>
        <v>HEALTH AND HUMAN SERVICES, NEVADA DEPARTMENT OF</v>
      </c>
      <c r="H4150" s="8">
        <f>VLOOKUP(A4150,[1]!Table1[#All],32,FALSE)</f>
        <v>43678</v>
      </c>
      <c r="I4150" s="8">
        <f>VLOOKUP(A4150,[1]!Table1[#All],33,FALSE)</f>
        <v>45504</v>
      </c>
      <c r="J4150" t="str">
        <f t="shared" ca="1" si="68"/>
        <v>UDO</v>
      </c>
    </row>
    <row r="4151" spans="1:10" x14ac:dyDescent="0.35">
      <c r="A4151" s="9" t="s">
        <v>133</v>
      </c>
      <c r="B4151" s="10">
        <v>44713</v>
      </c>
      <c r="C4151" s="11">
        <v>4499</v>
      </c>
      <c r="D4151" s="11">
        <v>0</v>
      </c>
      <c r="E4151" s="11">
        <v>4499</v>
      </c>
      <c r="F4151" t="str">
        <f>VLOOKUP(A4151,[1]!Table1[#All],17,FALSE)</f>
        <v>UNITED STATES</v>
      </c>
      <c r="G4151" t="str">
        <f>VLOOKUP(A4151,[1]!Table1[#All],22,FALSE)</f>
        <v>HEALTH AND HUMAN SERVICES, NEVADA DEPARTMENT OF</v>
      </c>
      <c r="H4151" s="8">
        <f>VLOOKUP(A4151,[1]!Table1[#All],32,FALSE)</f>
        <v>43678</v>
      </c>
      <c r="I4151" s="8">
        <f>VLOOKUP(A4151,[1]!Table1[#All],33,FALSE)</f>
        <v>45504</v>
      </c>
      <c r="J4151" t="str">
        <f t="shared" ca="1" si="68"/>
        <v>UDO</v>
      </c>
    </row>
    <row r="4152" spans="1:10" x14ac:dyDescent="0.35">
      <c r="A4152" s="5" t="s">
        <v>133</v>
      </c>
      <c r="B4152" s="6">
        <v>44743</v>
      </c>
      <c r="C4152" s="7">
        <v>4499</v>
      </c>
      <c r="D4152" s="7">
        <v>0</v>
      </c>
      <c r="E4152" s="7">
        <v>4499</v>
      </c>
      <c r="F4152" t="str">
        <f>VLOOKUP(A4152,[1]!Table1[#All],17,FALSE)</f>
        <v>UNITED STATES</v>
      </c>
      <c r="G4152" t="str">
        <f>VLOOKUP(A4152,[1]!Table1[#All],22,FALSE)</f>
        <v>HEALTH AND HUMAN SERVICES, NEVADA DEPARTMENT OF</v>
      </c>
      <c r="H4152" s="8">
        <f>VLOOKUP(A4152,[1]!Table1[#All],32,FALSE)</f>
        <v>43678</v>
      </c>
      <c r="I4152" s="8">
        <f>VLOOKUP(A4152,[1]!Table1[#All],33,FALSE)</f>
        <v>45504</v>
      </c>
      <c r="J4152" t="str">
        <f t="shared" ca="1" si="68"/>
        <v>UDO</v>
      </c>
    </row>
    <row r="4153" spans="1:10" x14ac:dyDescent="0.35">
      <c r="A4153" s="9" t="s">
        <v>133</v>
      </c>
      <c r="B4153" s="10">
        <v>44774</v>
      </c>
      <c r="C4153" s="11">
        <v>4499</v>
      </c>
      <c r="D4153" s="11">
        <v>1242.9000000000001</v>
      </c>
      <c r="E4153" s="11">
        <v>3256.1</v>
      </c>
      <c r="F4153" t="str">
        <f>VLOOKUP(A4153,[1]!Table1[#All],17,FALSE)</f>
        <v>UNITED STATES</v>
      </c>
      <c r="G4153" t="str">
        <f>VLOOKUP(A4153,[1]!Table1[#All],22,FALSE)</f>
        <v>HEALTH AND HUMAN SERVICES, NEVADA DEPARTMENT OF</v>
      </c>
      <c r="H4153" s="8">
        <f>VLOOKUP(A4153,[1]!Table1[#All],32,FALSE)</f>
        <v>43678</v>
      </c>
      <c r="I4153" s="8">
        <f>VLOOKUP(A4153,[1]!Table1[#All],33,FALSE)</f>
        <v>45504</v>
      </c>
      <c r="J4153" t="str">
        <f t="shared" ca="1" si="68"/>
        <v>UDO</v>
      </c>
    </row>
    <row r="4154" spans="1:10" x14ac:dyDescent="0.35">
      <c r="A4154" s="5" t="s">
        <v>133</v>
      </c>
      <c r="B4154" s="6">
        <v>44805</v>
      </c>
      <c r="C4154" s="7">
        <v>4499</v>
      </c>
      <c r="D4154" s="7">
        <v>1413.84</v>
      </c>
      <c r="E4154" s="7">
        <v>3085.16</v>
      </c>
      <c r="F4154" t="str">
        <f>VLOOKUP(A4154,[1]!Table1[#All],17,FALSE)</f>
        <v>UNITED STATES</v>
      </c>
      <c r="G4154" t="str">
        <f>VLOOKUP(A4154,[1]!Table1[#All],22,FALSE)</f>
        <v>HEALTH AND HUMAN SERVICES, NEVADA DEPARTMENT OF</v>
      </c>
      <c r="H4154" s="8">
        <f>VLOOKUP(A4154,[1]!Table1[#All],32,FALSE)</f>
        <v>43678</v>
      </c>
      <c r="I4154" s="8">
        <f>VLOOKUP(A4154,[1]!Table1[#All],33,FALSE)</f>
        <v>45504</v>
      </c>
      <c r="J4154" t="str">
        <f t="shared" ca="1" si="68"/>
        <v>UDO</v>
      </c>
    </row>
    <row r="4155" spans="1:10" x14ac:dyDescent="0.35">
      <c r="A4155" s="9" t="s">
        <v>133</v>
      </c>
      <c r="B4155" s="10">
        <v>44835</v>
      </c>
      <c r="C4155" s="11">
        <v>4499</v>
      </c>
      <c r="D4155" s="11">
        <v>1769.07</v>
      </c>
      <c r="E4155" s="11">
        <v>2729.93</v>
      </c>
      <c r="F4155" t="str">
        <f>VLOOKUP(A4155,[1]!Table1[#All],17,FALSE)</f>
        <v>UNITED STATES</v>
      </c>
      <c r="G4155" t="str">
        <f>VLOOKUP(A4155,[1]!Table1[#All],22,FALSE)</f>
        <v>HEALTH AND HUMAN SERVICES, NEVADA DEPARTMENT OF</v>
      </c>
      <c r="H4155" s="8">
        <f>VLOOKUP(A4155,[1]!Table1[#All],32,FALSE)</f>
        <v>43678</v>
      </c>
      <c r="I4155" s="8">
        <f>VLOOKUP(A4155,[1]!Table1[#All],33,FALSE)</f>
        <v>45504</v>
      </c>
      <c r="J4155" t="str">
        <f t="shared" ca="1" si="68"/>
        <v>UDO</v>
      </c>
    </row>
    <row r="4156" spans="1:10" x14ac:dyDescent="0.35">
      <c r="A4156" s="5" t="s">
        <v>133</v>
      </c>
      <c r="B4156" s="6">
        <v>44866</v>
      </c>
      <c r="C4156" s="7">
        <v>4499</v>
      </c>
      <c r="D4156" s="7">
        <v>1888.05</v>
      </c>
      <c r="E4156" s="7">
        <v>2610.9499999999998</v>
      </c>
      <c r="F4156" t="str">
        <f>VLOOKUP(A4156,[1]!Table1[#All],17,FALSE)</f>
        <v>UNITED STATES</v>
      </c>
      <c r="G4156" t="str">
        <f>VLOOKUP(A4156,[1]!Table1[#All],22,FALSE)</f>
        <v>HEALTH AND HUMAN SERVICES, NEVADA DEPARTMENT OF</v>
      </c>
      <c r="H4156" s="8">
        <f>VLOOKUP(A4156,[1]!Table1[#All],32,FALSE)</f>
        <v>43678</v>
      </c>
      <c r="I4156" s="8">
        <f>VLOOKUP(A4156,[1]!Table1[#All],33,FALSE)</f>
        <v>45504</v>
      </c>
      <c r="J4156" t="str">
        <f t="shared" ca="1" si="68"/>
        <v>UDO</v>
      </c>
    </row>
    <row r="4157" spans="1:10" x14ac:dyDescent="0.35">
      <c r="A4157" s="9" t="s">
        <v>133</v>
      </c>
      <c r="B4157" s="10">
        <v>44896</v>
      </c>
      <c r="C4157" s="11">
        <v>4499</v>
      </c>
      <c r="D4157" s="11">
        <v>1996.95</v>
      </c>
      <c r="E4157" s="11">
        <v>2502.0500000000002</v>
      </c>
      <c r="F4157" t="str">
        <f>VLOOKUP(A4157,[1]!Table1[#All],17,FALSE)</f>
        <v>UNITED STATES</v>
      </c>
      <c r="G4157" t="str">
        <f>VLOOKUP(A4157,[1]!Table1[#All],22,FALSE)</f>
        <v>HEALTH AND HUMAN SERVICES, NEVADA DEPARTMENT OF</v>
      </c>
      <c r="H4157" s="8">
        <f>VLOOKUP(A4157,[1]!Table1[#All],32,FALSE)</f>
        <v>43678</v>
      </c>
      <c r="I4157" s="8">
        <f>VLOOKUP(A4157,[1]!Table1[#All],33,FALSE)</f>
        <v>45504</v>
      </c>
      <c r="J4157" t="str">
        <f t="shared" ca="1" si="68"/>
        <v>UDO</v>
      </c>
    </row>
    <row r="4158" spans="1:10" x14ac:dyDescent="0.35">
      <c r="A4158" s="5" t="s">
        <v>133</v>
      </c>
      <c r="B4158" s="6">
        <v>44927</v>
      </c>
      <c r="C4158" s="7">
        <v>4499</v>
      </c>
      <c r="D4158" s="7">
        <v>2264.6999999999998</v>
      </c>
      <c r="E4158" s="7">
        <v>2234.3000000000002</v>
      </c>
      <c r="F4158" t="str">
        <f>VLOOKUP(A4158,[1]!Table1[#All],17,FALSE)</f>
        <v>UNITED STATES</v>
      </c>
      <c r="G4158" t="str">
        <f>VLOOKUP(A4158,[1]!Table1[#All],22,FALSE)</f>
        <v>HEALTH AND HUMAN SERVICES, NEVADA DEPARTMENT OF</v>
      </c>
      <c r="H4158" s="8">
        <f>VLOOKUP(A4158,[1]!Table1[#All],32,FALSE)</f>
        <v>43678</v>
      </c>
      <c r="I4158" s="8">
        <f>VLOOKUP(A4158,[1]!Table1[#All],33,FALSE)</f>
        <v>45504</v>
      </c>
      <c r="J4158" t="str">
        <f t="shared" ca="1" si="68"/>
        <v>UDO</v>
      </c>
    </row>
    <row r="4159" spans="1:10" x14ac:dyDescent="0.35">
      <c r="A4159" s="9" t="s">
        <v>133</v>
      </c>
      <c r="B4159" s="10">
        <v>44958</v>
      </c>
      <c r="C4159" s="11">
        <v>4499</v>
      </c>
      <c r="D4159" s="11">
        <v>2438.5300000000002</v>
      </c>
      <c r="E4159" s="11">
        <v>2060.4699999999998</v>
      </c>
      <c r="F4159" t="str">
        <f>VLOOKUP(A4159,[1]!Table1[#All],17,FALSE)</f>
        <v>UNITED STATES</v>
      </c>
      <c r="G4159" t="str">
        <f>VLOOKUP(A4159,[1]!Table1[#All],22,FALSE)</f>
        <v>HEALTH AND HUMAN SERVICES, NEVADA DEPARTMENT OF</v>
      </c>
      <c r="H4159" s="8">
        <f>VLOOKUP(A4159,[1]!Table1[#All],32,FALSE)</f>
        <v>43678</v>
      </c>
      <c r="I4159" s="8">
        <f>VLOOKUP(A4159,[1]!Table1[#All],33,FALSE)</f>
        <v>45504</v>
      </c>
      <c r="J4159" t="str">
        <f t="shared" ca="1" si="68"/>
        <v>UDO</v>
      </c>
    </row>
    <row r="4160" spans="1:10" x14ac:dyDescent="0.35">
      <c r="A4160" s="5" t="s">
        <v>133</v>
      </c>
      <c r="B4160" s="6">
        <v>44986</v>
      </c>
      <c r="C4160" s="7">
        <v>4499</v>
      </c>
      <c r="D4160" s="7">
        <v>2544.04</v>
      </c>
      <c r="E4160" s="7">
        <v>1954.96</v>
      </c>
      <c r="F4160" t="str">
        <f>VLOOKUP(A4160,[1]!Table1[#All],17,FALSE)</f>
        <v>UNITED STATES</v>
      </c>
      <c r="G4160" t="str">
        <f>VLOOKUP(A4160,[1]!Table1[#All],22,FALSE)</f>
        <v>HEALTH AND HUMAN SERVICES, NEVADA DEPARTMENT OF</v>
      </c>
      <c r="H4160" s="8">
        <f>VLOOKUP(A4160,[1]!Table1[#All],32,FALSE)</f>
        <v>43678</v>
      </c>
      <c r="I4160" s="8">
        <f>VLOOKUP(A4160,[1]!Table1[#All],33,FALSE)</f>
        <v>45504</v>
      </c>
      <c r="J4160" t="str">
        <f t="shared" ca="1" si="68"/>
        <v>UDO</v>
      </c>
    </row>
    <row r="4161" spans="1:10" x14ac:dyDescent="0.35">
      <c r="A4161" s="9" t="s">
        <v>133</v>
      </c>
      <c r="B4161" s="10">
        <v>45017</v>
      </c>
      <c r="C4161" s="11">
        <v>4499</v>
      </c>
      <c r="D4161" s="11">
        <v>2993.43</v>
      </c>
      <c r="E4161" s="11">
        <v>1505.57</v>
      </c>
      <c r="F4161" t="str">
        <f>VLOOKUP(A4161,[1]!Table1[#All],17,FALSE)</f>
        <v>UNITED STATES</v>
      </c>
      <c r="G4161" t="str">
        <f>VLOOKUP(A4161,[1]!Table1[#All],22,FALSE)</f>
        <v>HEALTH AND HUMAN SERVICES, NEVADA DEPARTMENT OF</v>
      </c>
      <c r="H4161" s="8">
        <f>VLOOKUP(A4161,[1]!Table1[#All],32,FALSE)</f>
        <v>43678</v>
      </c>
      <c r="I4161" s="8">
        <f>VLOOKUP(A4161,[1]!Table1[#All],33,FALSE)</f>
        <v>45504</v>
      </c>
      <c r="J4161" t="str">
        <f t="shared" ca="1" si="68"/>
        <v>UDO</v>
      </c>
    </row>
    <row r="4162" spans="1:10" x14ac:dyDescent="0.35">
      <c r="A4162" s="5" t="s">
        <v>133</v>
      </c>
      <c r="B4162" s="6">
        <v>45047</v>
      </c>
      <c r="C4162" s="7">
        <v>4499</v>
      </c>
      <c r="D4162" s="7">
        <v>3060.33</v>
      </c>
      <c r="E4162" s="7">
        <v>1438.67</v>
      </c>
      <c r="F4162" t="str">
        <f>VLOOKUP(A4162,[1]!Table1[#All],17,FALSE)</f>
        <v>UNITED STATES</v>
      </c>
      <c r="G4162" t="str">
        <f>VLOOKUP(A4162,[1]!Table1[#All],22,FALSE)</f>
        <v>HEALTH AND HUMAN SERVICES, NEVADA DEPARTMENT OF</v>
      </c>
      <c r="H4162" s="8">
        <f>VLOOKUP(A4162,[1]!Table1[#All],32,FALSE)</f>
        <v>43678</v>
      </c>
      <c r="I4162" s="8">
        <f>VLOOKUP(A4162,[1]!Table1[#All],33,FALSE)</f>
        <v>45504</v>
      </c>
      <c r="J4162" t="str">
        <f t="shared" ca="1" si="68"/>
        <v>UDO</v>
      </c>
    </row>
    <row r="4163" spans="1:10" x14ac:dyDescent="0.35">
      <c r="A4163" s="9" t="s">
        <v>133</v>
      </c>
      <c r="B4163" s="10">
        <v>45078</v>
      </c>
      <c r="C4163" s="11">
        <v>4499</v>
      </c>
      <c r="D4163" s="11">
        <v>3262.2</v>
      </c>
      <c r="E4163" s="11">
        <v>1236.8</v>
      </c>
      <c r="F4163" t="str">
        <f>VLOOKUP(A4163,[1]!Table1[#All],17,FALSE)</f>
        <v>UNITED STATES</v>
      </c>
      <c r="G4163" t="str">
        <f>VLOOKUP(A4163,[1]!Table1[#All],22,FALSE)</f>
        <v>HEALTH AND HUMAN SERVICES, NEVADA DEPARTMENT OF</v>
      </c>
      <c r="H4163" s="8">
        <f>VLOOKUP(A4163,[1]!Table1[#All],32,FALSE)</f>
        <v>43678</v>
      </c>
      <c r="I4163" s="8">
        <f>VLOOKUP(A4163,[1]!Table1[#All],33,FALSE)</f>
        <v>45504</v>
      </c>
      <c r="J4163" t="str">
        <f t="shared" ref="J4163:J4226" ca="1" si="69">IF(AND( E4163&gt;0,TODAY()&gt;I4163),"UDO","Non UDO")</f>
        <v>UDO</v>
      </c>
    </row>
    <row r="4164" spans="1:10" x14ac:dyDescent="0.35">
      <c r="A4164" s="5" t="s">
        <v>133</v>
      </c>
      <c r="B4164" s="6">
        <v>45108</v>
      </c>
      <c r="C4164" s="7">
        <v>4499</v>
      </c>
      <c r="D4164" s="7">
        <v>4189.96</v>
      </c>
      <c r="E4164" s="7">
        <v>309.04000000000002</v>
      </c>
      <c r="F4164" t="str">
        <f>VLOOKUP(A4164,[1]!Table1[#All],17,FALSE)</f>
        <v>UNITED STATES</v>
      </c>
      <c r="G4164" t="str">
        <f>VLOOKUP(A4164,[1]!Table1[#All],22,FALSE)</f>
        <v>HEALTH AND HUMAN SERVICES, NEVADA DEPARTMENT OF</v>
      </c>
      <c r="H4164" s="8">
        <f>VLOOKUP(A4164,[1]!Table1[#All],32,FALSE)</f>
        <v>43678</v>
      </c>
      <c r="I4164" s="8">
        <f>VLOOKUP(A4164,[1]!Table1[#All],33,FALSE)</f>
        <v>45504</v>
      </c>
      <c r="J4164" t="str">
        <f t="shared" ca="1" si="69"/>
        <v>UDO</v>
      </c>
    </row>
    <row r="4165" spans="1:10" x14ac:dyDescent="0.35">
      <c r="A4165" s="9" t="s">
        <v>133</v>
      </c>
      <c r="B4165" s="10">
        <v>45139</v>
      </c>
      <c r="C4165" s="11">
        <v>4499</v>
      </c>
      <c r="D4165" s="11">
        <v>4471.22</v>
      </c>
      <c r="E4165" s="11">
        <v>27.78</v>
      </c>
      <c r="F4165" t="str">
        <f>VLOOKUP(A4165,[1]!Table1[#All],17,FALSE)</f>
        <v>UNITED STATES</v>
      </c>
      <c r="G4165" t="str">
        <f>VLOOKUP(A4165,[1]!Table1[#All],22,FALSE)</f>
        <v>HEALTH AND HUMAN SERVICES, NEVADA DEPARTMENT OF</v>
      </c>
      <c r="H4165" s="8">
        <f>VLOOKUP(A4165,[1]!Table1[#All],32,FALSE)</f>
        <v>43678</v>
      </c>
      <c r="I4165" s="8">
        <f>VLOOKUP(A4165,[1]!Table1[#All],33,FALSE)</f>
        <v>45504</v>
      </c>
      <c r="J4165" t="str">
        <f t="shared" ca="1" si="69"/>
        <v>UDO</v>
      </c>
    </row>
    <row r="4166" spans="1:10" x14ac:dyDescent="0.35">
      <c r="A4166" s="5" t="s">
        <v>133</v>
      </c>
      <c r="B4166" s="6">
        <v>45170</v>
      </c>
      <c r="C4166" s="7">
        <v>4499</v>
      </c>
      <c r="D4166" s="7">
        <v>4499</v>
      </c>
      <c r="E4166" s="7">
        <v>0</v>
      </c>
      <c r="F4166" t="str">
        <f>VLOOKUP(A4166,[1]!Table1[#All],17,FALSE)</f>
        <v>UNITED STATES</v>
      </c>
      <c r="G4166" t="str">
        <f>VLOOKUP(A4166,[1]!Table1[#All],22,FALSE)</f>
        <v>HEALTH AND HUMAN SERVICES, NEVADA DEPARTMENT OF</v>
      </c>
      <c r="H4166" s="8">
        <f>VLOOKUP(A4166,[1]!Table1[#All],32,FALSE)</f>
        <v>43678</v>
      </c>
      <c r="I4166" s="8">
        <f>VLOOKUP(A4166,[1]!Table1[#All],33,FALSE)</f>
        <v>45504</v>
      </c>
      <c r="J4166" t="str">
        <f t="shared" ca="1" si="69"/>
        <v>Non UDO</v>
      </c>
    </row>
    <row r="4167" spans="1:10" x14ac:dyDescent="0.35">
      <c r="A4167" s="9" t="s">
        <v>134</v>
      </c>
      <c r="B4167" s="10">
        <v>44440</v>
      </c>
      <c r="C4167" s="11">
        <v>1277918</v>
      </c>
      <c r="D4167" s="11">
        <v>0</v>
      </c>
      <c r="E4167" s="11">
        <v>1277918</v>
      </c>
      <c r="F4167" t="str">
        <f>VLOOKUP(A4167,[1]!Table1[#All],17,FALSE)</f>
        <v>UNITED STATES</v>
      </c>
      <c r="G4167" t="str">
        <f>VLOOKUP(A4167,[1]!Table1[#All],22,FALSE)</f>
        <v>Task Force for Global Health, Inc (The)</v>
      </c>
      <c r="H4167" s="8">
        <f>VLOOKUP(A4167,[1]!Table1[#All],32,FALSE)</f>
        <v>44469</v>
      </c>
      <c r="I4167" s="8">
        <f>VLOOKUP(A4167,[1]!Table1[#All],33,FALSE)</f>
        <v>46294</v>
      </c>
      <c r="J4167" t="str">
        <f t="shared" ca="1" si="69"/>
        <v>Non UDO</v>
      </c>
    </row>
    <row r="4168" spans="1:10" x14ac:dyDescent="0.35">
      <c r="A4168" s="5" t="s">
        <v>134</v>
      </c>
      <c r="B4168" s="6">
        <v>44470</v>
      </c>
      <c r="C4168" s="7">
        <v>1277918</v>
      </c>
      <c r="D4168" s="7">
        <v>0</v>
      </c>
      <c r="E4168" s="7">
        <v>1277918</v>
      </c>
      <c r="F4168" t="str">
        <f>VLOOKUP(A4168,[1]!Table1[#All],17,FALSE)</f>
        <v>UNITED STATES</v>
      </c>
      <c r="G4168" t="str">
        <f>VLOOKUP(A4168,[1]!Table1[#All],22,FALSE)</f>
        <v>Task Force for Global Health, Inc (The)</v>
      </c>
      <c r="H4168" s="8">
        <f>VLOOKUP(A4168,[1]!Table1[#All],32,FALSE)</f>
        <v>44469</v>
      </c>
      <c r="I4168" s="8">
        <f>VLOOKUP(A4168,[1]!Table1[#All],33,FALSE)</f>
        <v>46294</v>
      </c>
      <c r="J4168" t="str">
        <f t="shared" ca="1" si="69"/>
        <v>Non UDO</v>
      </c>
    </row>
    <row r="4169" spans="1:10" x14ac:dyDescent="0.35">
      <c r="A4169" s="9" t="s">
        <v>134</v>
      </c>
      <c r="B4169" s="10">
        <v>44501</v>
      </c>
      <c r="C4169" s="11">
        <v>1277918</v>
      </c>
      <c r="D4169" s="11">
        <v>31672.880000000001</v>
      </c>
      <c r="E4169" s="11">
        <v>1246245.1200000001</v>
      </c>
      <c r="F4169" t="str">
        <f>VLOOKUP(A4169,[1]!Table1[#All],17,FALSE)</f>
        <v>UNITED STATES</v>
      </c>
      <c r="G4169" t="str">
        <f>VLOOKUP(A4169,[1]!Table1[#All],22,FALSE)</f>
        <v>Task Force for Global Health, Inc (The)</v>
      </c>
      <c r="H4169" s="8">
        <f>VLOOKUP(A4169,[1]!Table1[#All],32,FALSE)</f>
        <v>44469</v>
      </c>
      <c r="I4169" s="8">
        <f>VLOOKUP(A4169,[1]!Table1[#All],33,FALSE)</f>
        <v>46294</v>
      </c>
      <c r="J4169" t="str">
        <f t="shared" ca="1" si="69"/>
        <v>Non UDO</v>
      </c>
    </row>
    <row r="4170" spans="1:10" x14ac:dyDescent="0.35">
      <c r="A4170" s="5" t="s">
        <v>134</v>
      </c>
      <c r="B4170" s="6">
        <v>44531</v>
      </c>
      <c r="C4170" s="7">
        <v>1277918</v>
      </c>
      <c r="D4170" s="7">
        <v>80249.590000000011</v>
      </c>
      <c r="E4170" s="7">
        <v>1197668.4099999999</v>
      </c>
      <c r="F4170" t="str">
        <f>VLOOKUP(A4170,[1]!Table1[#All],17,FALSE)</f>
        <v>UNITED STATES</v>
      </c>
      <c r="G4170" t="str">
        <f>VLOOKUP(A4170,[1]!Table1[#All],22,FALSE)</f>
        <v>Task Force for Global Health, Inc (The)</v>
      </c>
      <c r="H4170" s="8">
        <f>VLOOKUP(A4170,[1]!Table1[#All],32,FALSE)</f>
        <v>44469</v>
      </c>
      <c r="I4170" s="8">
        <f>VLOOKUP(A4170,[1]!Table1[#All],33,FALSE)</f>
        <v>46294</v>
      </c>
      <c r="J4170" t="str">
        <f t="shared" ca="1" si="69"/>
        <v>Non UDO</v>
      </c>
    </row>
    <row r="4171" spans="1:10" x14ac:dyDescent="0.35">
      <c r="A4171" s="9" t="s">
        <v>134</v>
      </c>
      <c r="B4171" s="10">
        <v>44562</v>
      </c>
      <c r="C4171" s="11">
        <v>1277918</v>
      </c>
      <c r="D4171" s="11">
        <v>229089.47</v>
      </c>
      <c r="E4171" s="11">
        <v>1048828.53</v>
      </c>
      <c r="F4171" t="str">
        <f>VLOOKUP(A4171,[1]!Table1[#All],17,FALSE)</f>
        <v>UNITED STATES</v>
      </c>
      <c r="G4171" t="str">
        <f>VLOOKUP(A4171,[1]!Table1[#All],22,FALSE)</f>
        <v>Task Force for Global Health, Inc (The)</v>
      </c>
      <c r="H4171" s="8">
        <f>VLOOKUP(A4171,[1]!Table1[#All],32,FALSE)</f>
        <v>44469</v>
      </c>
      <c r="I4171" s="8">
        <f>VLOOKUP(A4171,[1]!Table1[#All],33,FALSE)</f>
        <v>46294</v>
      </c>
      <c r="J4171" t="str">
        <f t="shared" ca="1" si="69"/>
        <v>Non UDO</v>
      </c>
    </row>
    <row r="4172" spans="1:10" x14ac:dyDescent="0.35">
      <c r="A4172" s="5" t="s">
        <v>134</v>
      </c>
      <c r="B4172" s="6">
        <v>44593</v>
      </c>
      <c r="C4172" s="7">
        <v>1277918</v>
      </c>
      <c r="D4172" s="7">
        <v>229089.47</v>
      </c>
      <c r="E4172" s="7">
        <v>1048828.53</v>
      </c>
      <c r="F4172" t="str">
        <f>VLOOKUP(A4172,[1]!Table1[#All],17,FALSE)</f>
        <v>UNITED STATES</v>
      </c>
      <c r="G4172" t="str">
        <f>VLOOKUP(A4172,[1]!Table1[#All],22,FALSE)</f>
        <v>Task Force for Global Health, Inc (The)</v>
      </c>
      <c r="H4172" s="8">
        <f>VLOOKUP(A4172,[1]!Table1[#All],32,FALSE)</f>
        <v>44469</v>
      </c>
      <c r="I4172" s="8">
        <f>VLOOKUP(A4172,[1]!Table1[#All],33,FALSE)</f>
        <v>46294</v>
      </c>
      <c r="J4172" t="str">
        <f t="shared" ca="1" si="69"/>
        <v>Non UDO</v>
      </c>
    </row>
    <row r="4173" spans="1:10" x14ac:dyDescent="0.35">
      <c r="A4173" s="9" t="s">
        <v>134</v>
      </c>
      <c r="B4173" s="10">
        <v>44621</v>
      </c>
      <c r="C4173" s="11">
        <v>1277918</v>
      </c>
      <c r="D4173" s="11">
        <v>401076.82</v>
      </c>
      <c r="E4173" s="11">
        <v>876841.18</v>
      </c>
      <c r="F4173" t="str">
        <f>VLOOKUP(A4173,[1]!Table1[#All],17,FALSE)</f>
        <v>UNITED STATES</v>
      </c>
      <c r="G4173" t="str">
        <f>VLOOKUP(A4173,[1]!Table1[#All],22,FALSE)</f>
        <v>Task Force for Global Health, Inc (The)</v>
      </c>
      <c r="H4173" s="8">
        <f>VLOOKUP(A4173,[1]!Table1[#All],32,FALSE)</f>
        <v>44469</v>
      </c>
      <c r="I4173" s="8">
        <f>VLOOKUP(A4173,[1]!Table1[#All],33,FALSE)</f>
        <v>46294</v>
      </c>
      <c r="J4173" t="str">
        <f t="shared" ca="1" si="69"/>
        <v>Non UDO</v>
      </c>
    </row>
    <row r="4174" spans="1:10" x14ac:dyDescent="0.35">
      <c r="A4174" s="5" t="s">
        <v>134</v>
      </c>
      <c r="B4174" s="6">
        <v>44652</v>
      </c>
      <c r="C4174" s="7">
        <v>1277918</v>
      </c>
      <c r="D4174" s="7">
        <v>505813.07</v>
      </c>
      <c r="E4174" s="7">
        <v>772104.92999999993</v>
      </c>
      <c r="F4174" t="str">
        <f>VLOOKUP(A4174,[1]!Table1[#All],17,FALSE)</f>
        <v>UNITED STATES</v>
      </c>
      <c r="G4174" t="str">
        <f>VLOOKUP(A4174,[1]!Table1[#All],22,FALSE)</f>
        <v>Task Force for Global Health, Inc (The)</v>
      </c>
      <c r="H4174" s="8">
        <f>VLOOKUP(A4174,[1]!Table1[#All],32,FALSE)</f>
        <v>44469</v>
      </c>
      <c r="I4174" s="8">
        <f>VLOOKUP(A4174,[1]!Table1[#All],33,FALSE)</f>
        <v>46294</v>
      </c>
      <c r="J4174" t="str">
        <f t="shared" ca="1" si="69"/>
        <v>Non UDO</v>
      </c>
    </row>
    <row r="4175" spans="1:10" x14ac:dyDescent="0.35">
      <c r="A4175" s="9" t="s">
        <v>134</v>
      </c>
      <c r="B4175" s="10">
        <v>44682</v>
      </c>
      <c r="C4175" s="11">
        <v>1277918</v>
      </c>
      <c r="D4175" s="11">
        <v>561171.84</v>
      </c>
      <c r="E4175" s="11">
        <v>716746.16</v>
      </c>
      <c r="F4175" t="str">
        <f>VLOOKUP(A4175,[1]!Table1[#All],17,FALSE)</f>
        <v>UNITED STATES</v>
      </c>
      <c r="G4175" t="str">
        <f>VLOOKUP(A4175,[1]!Table1[#All],22,FALSE)</f>
        <v>Task Force for Global Health, Inc (The)</v>
      </c>
      <c r="H4175" s="8">
        <f>VLOOKUP(A4175,[1]!Table1[#All],32,FALSE)</f>
        <v>44469</v>
      </c>
      <c r="I4175" s="8">
        <f>VLOOKUP(A4175,[1]!Table1[#All],33,FALSE)</f>
        <v>46294</v>
      </c>
      <c r="J4175" t="str">
        <f t="shared" ca="1" si="69"/>
        <v>Non UDO</v>
      </c>
    </row>
    <row r="4176" spans="1:10" x14ac:dyDescent="0.35">
      <c r="A4176" s="5" t="s">
        <v>134</v>
      </c>
      <c r="B4176" s="6">
        <v>44713</v>
      </c>
      <c r="C4176" s="7">
        <v>1277918</v>
      </c>
      <c r="D4176" s="7">
        <v>695874.9</v>
      </c>
      <c r="E4176" s="7">
        <v>582043.1</v>
      </c>
      <c r="F4176" t="str">
        <f>VLOOKUP(A4176,[1]!Table1[#All],17,FALSE)</f>
        <v>UNITED STATES</v>
      </c>
      <c r="G4176" t="str">
        <f>VLOOKUP(A4176,[1]!Table1[#All],22,FALSE)</f>
        <v>Task Force for Global Health, Inc (The)</v>
      </c>
      <c r="H4176" s="8">
        <f>VLOOKUP(A4176,[1]!Table1[#All],32,FALSE)</f>
        <v>44469</v>
      </c>
      <c r="I4176" s="8">
        <f>VLOOKUP(A4176,[1]!Table1[#All],33,FALSE)</f>
        <v>46294</v>
      </c>
      <c r="J4176" t="str">
        <f t="shared" ca="1" si="69"/>
        <v>Non UDO</v>
      </c>
    </row>
    <row r="4177" spans="1:10" x14ac:dyDescent="0.35">
      <c r="A4177" s="9" t="s">
        <v>134</v>
      </c>
      <c r="B4177" s="10">
        <v>44743</v>
      </c>
      <c r="C4177" s="11">
        <v>1277918</v>
      </c>
      <c r="D4177" s="11">
        <v>769372.19</v>
      </c>
      <c r="E4177" s="11">
        <v>508545.81</v>
      </c>
      <c r="F4177" t="str">
        <f>VLOOKUP(A4177,[1]!Table1[#All],17,FALSE)</f>
        <v>UNITED STATES</v>
      </c>
      <c r="G4177" t="str">
        <f>VLOOKUP(A4177,[1]!Table1[#All],22,FALSE)</f>
        <v>Task Force for Global Health, Inc (The)</v>
      </c>
      <c r="H4177" s="8">
        <f>VLOOKUP(A4177,[1]!Table1[#All],32,FALSE)</f>
        <v>44469</v>
      </c>
      <c r="I4177" s="8">
        <f>VLOOKUP(A4177,[1]!Table1[#All],33,FALSE)</f>
        <v>46294</v>
      </c>
      <c r="J4177" t="str">
        <f t="shared" ca="1" si="69"/>
        <v>Non UDO</v>
      </c>
    </row>
    <row r="4178" spans="1:10" x14ac:dyDescent="0.35">
      <c r="A4178" s="5" t="s">
        <v>134</v>
      </c>
      <c r="B4178" s="6">
        <v>44774</v>
      </c>
      <c r="C4178" s="7">
        <v>1277918</v>
      </c>
      <c r="D4178" s="7">
        <v>803026.26</v>
      </c>
      <c r="E4178" s="7">
        <v>474891.74</v>
      </c>
      <c r="F4178" t="str">
        <f>VLOOKUP(A4178,[1]!Table1[#All],17,FALSE)</f>
        <v>UNITED STATES</v>
      </c>
      <c r="G4178" t="str">
        <f>VLOOKUP(A4178,[1]!Table1[#All],22,FALSE)</f>
        <v>Task Force for Global Health, Inc (The)</v>
      </c>
      <c r="H4178" s="8">
        <f>VLOOKUP(A4178,[1]!Table1[#All],32,FALSE)</f>
        <v>44469</v>
      </c>
      <c r="I4178" s="8">
        <f>VLOOKUP(A4178,[1]!Table1[#All],33,FALSE)</f>
        <v>46294</v>
      </c>
      <c r="J4178" t="str">
        <f t="shared" ca="1" si="69"/>
        <v>Non UDO</v>
      </c>
    </row>
    <row r="4179" spans="1:10" x14ac:dyDescent="0.35">
      <c r="A4179" s="9" t="s">
        <v>134</v>
      </c>
      <c r="B4179" s="10">
        <v>44805</v>
      </c>
      <c r="C4179" s="11">
        <v>1277918</v>
      </c>
      <c r="D4179" s="11">
        <v>890169.19000000006</v>
      </c>
      <c r="E4179" s="11">
        <v>387748.80999999994</v>
      </c>
      <c r="F4179" t="str">
        <f>VLOOKUP(A4179,[1]!Table1[#All],17,FALSE)</f>
        <v>UNITED STATES</v>
      </c>
      <c r="G4179" t="str">
        <f>VLOOKUP(A4179,[1]!Table1[#All],22,FALSE)</f>
        <v>Task Force for Global Health, Inc (The)</v>
      </c>
      <c r="H4179" s="8">
        <f>VLOOKUP(A4179,[1]!Table1[#All],32,FALSE)</f>
        <v>44469</v>
      </c>
      <c r="I4179" s="8">
        <f>VLOOKUP(A4179,[1]!Table1[#All],33,FALSE)</f>
        <v>46294</v>
      </c>
      <c r="J4179" t="str">
        <f t="shared" ca="1" si="69"/>
        <v>Non UDO</v>
      </c>
    </row>
    <row r="4180" spans="1:10" x14ac:dyDescent="0.35">
      <c r="A4180" s="5" t="s">
        <v>134</v>
      </c>
      <c r="B4180" s="6">
        <v>44835</v>
      </c>
      <c r="C4180" s="7">
        <v>1277918</v>
      </c>
      <c r="D4180" s="7">
        <v>965919.61</v>
      </c>
      <c r="E4180" s="7">
        <v>311998.39</v>
      </c>
      <c r="F4180" t="str">
        <f>VLOOKUP(A4180,[1]!Table1[#All],17,FALSE)</f>
        <v>UNITED STATES</v>
      </c>
      <c r="G4180" t="str">
        <f>VLOOKUP(A4180,[1]!Table1[#All],22,FALSE)</f>
        <v>Task Force for Global Health, Inc (The)</v>
      </c>
      <c r="H4180" s="8">
        <f>VLOOKUP(A4180,[1]!Table1[#All],32,FALSE)</f>
        <v>44469</v>
      </c>
      <c r="I4180" s="8">
        <f>VLOOKUP(A4180,[1]!Table1[#All],33,FALSE)</f>
        <v>46294</v>
      </c>
      <c r="J4180" t="str">
        <f t="shared" ca="1" si="69"/>
        <v>Non UDO</v>
      </c>
    </row>
    <row r="4181" spans="1:10" x14ac:dyDescent="0.35">
      <c r="A4181" s="9" t="s">
        <v>134</v>
      </c>
      <c r="B4181" s="10">
        <v>44866</v>
      </c>
      <c r="C4181" s="11">
        <v>1277918</v>
      </c>
      <c r="D4181" s="11">
        <v>1006819</v>
      </c>
      <c r="E4181" s="11">
        <v>271099</v>
      </c>
      <c r="F4181" t="str">
        <f>VLOOKUP(A4181,[1]!Table1[#All],17,FALSE)</f>
        <v>UNITED STATES</v>
      </c>
      <c r="G4181" t="str">
        <f>VLOOKUP(A4181,[1]!Table1[#All],22,FALSE)</f>
        <v>Task Force for Global Health, Inc (The)</v>
      </c>
      <c r="H4181" s="8">
        <f>VLOOKUP(A4181,[1]!Table1[#All],32,FALSE)</f>
        <v>44469</v>
      </c>
      <c r="I4181" s="8">
        <f>VLOOKUP(A4181,[1]!Table1[#All],33,FALSE)</f>
        <v>46294</v>
      </c>
      <c r="J4181" t="str">
        <f t="shared" ca="1" si="69"/>
        <v>Non UDO</v>
      </c>
    </row>
    <row r="4182" spans="1:10" x14ac:dyDescent="0.35">
      <c r="A4182" s="5" t="s">
        <v>134</v>
      </c>
      <c r="B4182" s="6">
        <v>44896</v>
      </c>
      <c r="C4182" s="7">
        <v>1277918</v>
      </c>
      <c r="D4182" s="7">
        <v>1029286.88</v>
      </c>
      <c r="E4182" s="7">
        <v>248631.12000000002</v>
      </c>
      <c r="F4182" t="str">
        <f>VLOOKUP(A4182,[1]!Table1[#All],17,FALSE)</f>
        <v>UNITED STATES</v>
      </c>
      <c r="G4182" t="str">
        <f>VLOOKUP(A4182,[1]!Table1[#All],22,FALSE)</f>
        <v>Task Force for Global Health, Inc (The)</v>
      </c>
      <c r="H4182" s="8">
        <f>VLOOKUP(A4182,[1]!Table1[#All],32,FALSE)</f>
        <v>44469</v>
      </c>
      <c r="I4182" s="8">
        <f>VLOOKUP(A4182,[1]!Table1[#All],33,FALSE)</f>
        <v>46294</v>
      </c>
      <c r="J4182" t="str">
        <f t="shared" ca="1" si="69"/>
        <v>Non UDO</v>
      </c>
    </row>
    <row r="4183" spans="1:10" x14ac:dyDescent="0.35">
      <c r="A4183" s="9" t="s">
        <v>134</v>
      </c>
      <c r="B4183" s="10">
        <v>44927</v>
      </c>
      <c r="C4183" s="11">
        <v>1277918</v>
      </c>
      <c r="D4183" s="11">
        <v>1091482.75</v>
      </c>
      <c r="E4183" s="11">
        <v>186435.25</v>
      </c>
      <c r="F4183" t="str">
        <f>VLOOKUP(A4183,[1]!Table1[#All],17,FALSE)</f>
        <v>UNITED STATES</v>
      </c>
      <c r="G4183" t="str">
        <f>VLOOKUP(A4183,[1]!Table1[#All],22,FALSE)</f>
        <v>Task Force for Global Health, Inc (The)</v>
      </c>
      <c r="H4183" s="8">
        <f>VLOOKUP(A4183,[1]!Table1[#All],32,FALSE)</f>
        <v>44469</v>
      </c>
      <c r="I4183" s="8">
        <f>VLOOKUP(A4183,[1]!Table1[#All],33,FALSE)</f>
        <v>46294</v>
      </c>
      <c r="J4183" t="str">
        <f t="shared" ca="1" si="69"/>
        <v>Non UDO</v>
      </c>
    </row>
    <row r="4184" spans="1:10" x14ac:dyDescent="0.35">
      <c r="A4184" s="5" t="s">
        <v>134</v>
      </c>
      <c r="B4184" s="6">
        <v>44958</v>
      </c>
      <c r="C4184" s="7">
        <v>1277918</v>
      </c>
      <c r="D4184" s="7">
        <v>1118573.23</v>
      </c>
      <c r="E4184" s="7">
        <v>159344.76999999999</v>
      </c>
      <c r="F4184" t="str">
        <f>VLOOKUP(A4184,[1]!Table1[#All],17,FALSE)</f>
        <v>UNITED STATES</v>
      </c>
      <c r="G4184" t="str">
        <f>VLOOKUP(A4184,[1]!Table1[#All],22,FALSE)</f>
        <v>Task Force for Global Health, Inc (The)</v>
      </c>
      <c r="H4184" s="8">
        <f>VLOOKUP(A4184,[1]!Table1[#All],32,FALSE)</f>
        <v>44469</v>
      </c>
      <c r="I4184" s="8">
        <f>VLOOKUP(A4184,[1]!Table1[#All],33,FALSE)</f>
        <v>46294</v>
      </c>
      <c r="J4184" t="str">
        <f t="shared" ca="1" si="69"/>
        <v>Non UDO</v>
      </c>
    </row>
    <row r="4185" spans="1:10" x14ac:dyDescent="0.35">
      <c r="A4185" s="9" t="s">
        <v>134</v>
      </c>
      <c r="B4185" s="10">
        <v>44986</v>
      </c>
      <c r="C4185" s="11">
        <v>1277918</v>
      </c>
      <c r="D4185" s="11">
        <v>1132132.53</v>
      </c>
      <c r="E4185" s="11">
        <v>145785.47</v>
      </c>
      <c r="F4185" t="str">
        <f>VLOOKUP(A4185,[1]!Table1[#All],17,FALSE)</f>
        <v>UNITED STATES</v>
      </c>
      <c r="G4185" t="str">
        <f>VLOOKUP(A4185,[1]!Table1[#All],22,FALSE)</f>
        <v>Task Force for Global Health, Inc (The)</v>
      </c>
      <c r="H4185" s="8">
        <f>VLOOKUP(A4185,[1]!Table1[#All],32,FALSE)</f>
        <v>44469</v>
      </c>
      <c r="I4185" s="8">
        <f>VLOOKUP(A4185,[1]!Table1[#All],33,FALSE)</f>
        <v>46294</v>
      </c>
      <c r="J4185" t="str">
        <f t="shared" ca="1" si="69"/>
        <v>Non UDO</v>
      </c>
    </row>
    <row r="4186" spans="1:10" x14ac:dyDescent="0.35">
      <c r="A4186" s="5" t="s">
        <v>134</v>
      </c>
      <c r="B4186" s="6">
        <v>45017</v>
      </c>
      <c r="C4186" s="7">
        <v>1277918</v>
      </c>
      <c r="D4186" s="7">
        <v>1150568.4100000001</v>
      </c>
      <c r="E4186" s="7">
        <v>127349.59</v>
      </c>
      <c r="F4186" t="str">
        <f>VLOOKUP(A4186,[1]!Table1[#All],17,FALSE)</f>
        <v>UNITED STATES</v>
      </c>
      <c r="G4186" t="str">
        <f>VLOOKUP(A4186,[1]!Table1[#All],22,FALSE)</f>
        <v>Task Force for Global Health, Inc (The)</v>
      </c>
      <c r="H4186" s="8">
        <f>VLOOKUP(A4186,[1]!Table1[#All],32,FALSE)</f>
        <v>44469</v>
      </c>
      <c r="I4186" s="8">
        <f>VLOOKUP(A4186,[1]!Table1[#All],33,FALSE)</f>
        <v>46294</v>
      </c>
      <c r="J4186" t="str">
        <f t="shared" ca="1" si="69"/>
        <v>Non UDO</v>
      </c>
    </row>
    <row r="4187" spans="1:10" x14ac:dyDescent="0.35">
      <c r="A4187" s="9" t="s">
        <v>134</v>
      </c>
      <c r="B4187" s="10">
        <v>45047</v>
      </c>
      <c r="C4187" s="11">
        <v>1277918</v>
      </c>
      <c r="D4187" s="11">
        <v>1188998.5899999999</v>
      </c>
      <c r="E4187" s="11">
        <v>88919.41</v>
      </c>
      <c r="F4187" t="str">
        <f>VLOOKUP(A4187,[1]!Table1[#All],17,FALSE)</f>
        <v>UNITED STATES</v>
      </c>
      <c r="G4187" t="str">
        <f>VLOOKUP(A4187,[1]!Table1[#All],22,FALSE)</f>
        <v>Task Force for Global Health, Inc (The)</v>
      </c>
      <c r="H4187" s="8">
        <f>VLOOKUP(A4187,[1]!Table1[#All],32,FALSE)</f>
        <v>44469</v>
      </c>
      <c r="I4187" s="8">
        <f>VLOOKUP(A4187,[1]!Table1[#All],33,FALSE)</f>
        <v>46294</v>
      </c>
      <c r="J4187" t="str">
        <f t="shared" ca="1" si="69"/>
        <v>Non UDO</v>
      </c>
    </row>
    <row r="4188" spans="1:10" x14ac:dyDescent="0.35">
      <c r="A4188" s="5" t="s">
        <v>134</v>
      </c>
      <c r="B4188" s="6">
        <v>45078</v>
      </c>
      <c r="C4188" s="7">
        <v>1277918</v>
      </c>
      <c r="D4188" s="7">
        <v>1208414.28</v>
      </c>
      <c r="E4188" s="7">
        <v>69503.72</v>
      </c>
      <c r="F4188" t="str">
        <f>VLOOKUP(A4188,[1]!Table1[#All],17,FALSE)</f>
        <v>UNITED STATES</v>
      </c>
      <c r="G4188" t="str">
        <f>VLOOKUP(A4188,[1]!Table1[#All],22,FALSE)</f>
        <v>Task Force for Global Health, Inc (The)</v>
      </c>
      <c r="H4188" s="8">
        <f>VLOOKUP(A4188,[1]!Table1[#All],32,FALSE)</f>
        <v>44469</v>
      </c>
      <c r="I4188" s="8">
        <f>VLOOKUP(A4188,[1]!Table1[#All],33,FALSE)</f>
        <v>46294</v>
      </c>
      <c r="J4188" t="str">
        <f t="shared" ca="1" si="69"/>
        <v>Non UDO</v>
      </c>
    </row>
    <row r="4189" spans="1:10" x14ac:dyDescent="0.35">
      <c r="A4189" s="9" t="s">
        <v>134</v>
      </c>
      <c r="B4189" s="10">
        <v>45108</v>
      </c>
      <c r="C4189" s="11">
        <v>1277918</v>
      </c>
      <c r="D4189" s="11">
        <v>1179715.51</v>
      </c>
      <c r="E4189" s="11">
        <v>98202.49</v>
      </c>
      <c r="F4189" t="str">
        <f>VLOOKUP(A4189,[1]!Table1[#All],17,FALSE)</f>
        <v>UNITED STATES</v>
      </c>
      <c r="G4189" t="str">
        <f>VLOOKUP(A4189,[1]!Table1[#All],22,FALSE)</f>
        <v>Task Force for Global Health, Inc (The)</v>
      </c>
      <c r="H4189" s="8">
        <f>VLOOKUP(A4189,[1]!Table1[#All],32,FALSE)</f>
        <v>44469</v>
      </c>
      <c r="I4189" s="8">
        <f>VLOOKUP(A4189,[1]!Table1[#All],33,FALSE)</f>
        <v>46294</v>
      </c>
      <c r="J4189" t="str">
        <f t="shared" ca="1" si="69"/>
        <v>Non UDO</v>
      </c>
    </row>
    <row r="4190" spans="1:10" x14ac:dyDescent="0.35">
      <c r="A4190" s="5" t="s">
        <v>134</v>
      </c>
      <c r="B4190" s="6">
        <v>45139</v>
      </c>
      <c r="C4190" s="7">
        <v>1277918</v>
      </c>
      <c r="D4190" s="7">
        <v>1194774.55</v>
      </c>
      <c r="E4190" s="7">
        <v>83143.45</v>
      </c>
      <c r="F4190" t="str">
        <f>VLOOKUP(A4190,[1]!Table1[#All],17,FALSE)</f>
        <v>UNITED STATES</v>
      </c>
      <c r="G4190" t="str">
        <f>VLOOKUP(A4190,[1]!Table1[#All],22,FALSE)</f>
        <v>Task Force for Global Health, Inc (The)</v>
      </c>
      <c r="H4190" s="8">
        <f>VLOOKUP(A4190,[1]!Table1[#All],32,FALSE)</f>
        <v>44469</v>
      </c>
      <c r="I4190" s="8">
        <f>VLOOKUP(A4190,[1]!Table1[#All],33,FALSE)</f>
        <v>46294</v>
      </c>
      <c r="J4190" t="str">
        <f t="shared" ca="1" si="69"/>
        <v>Non UDO</v>
      </c>
    </row>
    <row r="4191" spans="1:10" x14ac:dyDescent="0.35">
      <c r="A4191" s="9" t="s">
        <v>134</v>
      </c>
      <c r="B4191" s="10">
        <v>45170</v>
      </c>
      <c r="C4191" s="11">
        <v>1277918</v>
      </c>
      <c r="D4191" s="11">
        <v>1210189.22</v>
      </c>
      <c r="E4191" s="11">
        <v>67728.78</v>
      </c>
      <c r="F4191" t="str">
        <f>VLOOKUP(A4191,[1]!Table1[#All],17,FALSE)</f>
        <v>UNITED STATES</v>
      </c>
      <c r="G4191" t="str">
        <f>VLOOKUP(A4191,[1]!Table1[#All],22,FALSE)</f>
        <v>Task Force for Global Health, Inc (The)</v>
      </c>
      <c r="H4191" s="8">
        <f>VLOOKUP(A4191,[1]!Table1[#All],32,FALSE)</f>
        <v>44469</v>
      </c>
      <c r="I4191" s="8">
        <f>VLOOKUP(A4191,[1]!Table1[#All],33,FALSE)</f>
        <v>46294</v>
      </c>
      <c r="J4191" t="str">
        <f t="shared" ca="1" si="69"/>
        <v>Non UDO</v>
      </c>
    </row>
    <row r="4192" spans="1:10" x14ac:dyDescent="0.35">
      <c r="A4192" s="5" t="s">
        <v>135</v>
      </c>
      <c r="B4192" s="6">
        <v>44621</v>
      </c>
      <c r="C4192" s="7">
        <v>10453447</v>
      </c>
      <c r="D4192" s="7">
        <v>0</v>
      </c>
      <c r="E4192" s="7">
        <v>10453447</v>
      </c>
      <c r="F4192" t="str">
        <f>VLOOKUP(A4192,[1]!Table1[#All],17,FALSE)</f>
        <v>UNITED STATES</v>
      </c>
      <c r="G4192" t="str">
        <f>VLOOKUP(A4192,[1]!Table1[#All],22,FALSE)</f>
        <v>Task Force for Global Health, Inc (The)</v>
      </c>
      <c r="H4192" s="8">
        <f>VLOOKUP(A4192,[1]!Table1[#All],32,FALSE)</f>
        <v>44469</v>
      </c>
      <c r="I4192" s="8">
        <f>VLOOKUP(A4192,[1]!Table1[#All],33,FALSE)</f>
        <v>46294</v>
      </c>
      <c r="J4192" t="str">
        <f t="shared" ca="1" si="69"/>
        <v>Non UDO</v>
      </c>
    </row>
    <row r="4193" spans="1:10" x14ac:dyDescent="0.35">
      <c r="A4193" s="9" t="s">
        <v>135</v>
      </c>
      <c r="B4193" s="10">
        <v>44652</v>
      </c>
      <c r="C4193" s="11">
        <v>10453447</v>
      </c>
      <c r="D4193" s="11">
        <v>0</v>
      </c>
      <c r="E4193" s="11">
        <v>10453447</v>
      </c>
      <c r="F4193" t="str">
        <f>VLOOKUP(A4193,[1]!Table1[#All],17,FALSE)</f>
        <v>UNITED STATES</v>
      </c>
      <c r="G4193" t="str">
        <f>VLOOKUP(A4193,[1]!Table1[#All],22,FALSE)</f>
        <v>Task Force for Global Health, Inc (The)</v>
      </c>
      <c r="H4193" s="8">
        <f>VLOOKUP(A4193,[1]!Table1[#All],32,FALSE)</f>
        <v>44469</v>
      </c>
      <c r="I4193" s="8">
        <f>VLOOKUP(A4193,[1]!Table1[#All],33,FALSE)</f>
        <v>46294</v>
      </c>
      <c r="J4193" t="str">
        <f t="shared" ca="1" si="69"/>
        <v>Non UDO</v>
      </c>
    </row>
    <row r="4194" spans="1:10" x14ac:dyDescent="0.35">
      <c r="A4194" s="5" t="s">
        <v>135</v>
      </c>
      <c r="B4194" s="6">
        <v>44682</v>
      </c>
      <c r="C4194" s="7">
        <v>10453447</v>
      </c>
      <c r="D4194" s="7">
        <v>0</v>
      </c>
      <c r="E4194" s="7">
        <v>10453447</v>
      </c>
      <c r="F4194" t="str">
        <f>VLOOKUP(A4194,[1]!Table1[#All],17,FALSE)</f>
        <v>UNITED STATES</v>
      </c>
      <c r="G4194" t="str">
        <f>VLOOKUP(A4194,[1]!Table1[#All],22,FALSE)</f>
        <v>Task Force for Global Health, Inc (The)</v>
      </c>
      <c r="H4194" s="8">
        <f>VLOOKUP(A4194,[1]!Table1[#All],32,FALSE)</f>
        <v>44469</v>
      </c>
      <c r="I4194" s="8">
        <f>VLOOKUP(A4194,[1]!Table1[#All],33,FALSE)</f>
        <v>46294</v>
      </c>
      <c r="J4194" t="str">
        <f t="shared" ca="1" si="69"/>
        <v>Non UDO</v>
      </c>
    </row>
    <row r="4195" spans="1:10" x14ac:dyDescent="0.35">
      <c r="A4195" s="9" t="s">
        <v>135</v>
      </c>
      <c r="B4195" s="10">
        <v>44713</v>
      </c>
      <c r="C4195" s="11">
        <v>10453447</v>
      </c>
      <c r="D4195" s="11">
        <v>0</v>
      </c>
      <c r="E4195" s="11">
        <v>10453447</v>
      </c>
      <c r="F4195" t="str">
        <f>VLOOKUP(A4195,[1]!Table1[#All],17,FALSE)</f>
        <v>UNITED STATES</v>
      </c>
      <c r="G4195" t="str">
        <f>VLOOKUP(A4195,[1]!Table1[#All],22,FALSE)</f>
        <v>Task Force for Global Health, Inc (The)</v>
      </c>
      <c r="H4195" s="8">
        <f>VLOOKUP(A4195,[1]!Table1[#All],32,FALSE)</f>
        <v>44469</v>
      </c>
      <c r="I4195" s="8">
        <f>VLOOKUP(A4195,[1]!Table1[#All],33,FALSE)</f>
        <v>46294</v>
      </c>
      <c r="J4195" t="str">
        <f t="shared" ca="1" si="69"/>
        <v>Non UDO</v>
      </c>
    </row>
    <row r="4196" spans="1:10" x14ac:dyDescent="0.35">
      <c r="A4196" s="5" t="s">
        <v>135</v>
      </c>
      <c r="B4196" s="6">
        <v>44743</v>
      </c>
      <c r="C4196" s="7">
        <v>10453447</v>
      </c>
      <c r="D4196" s="7">
        <v>0</v>
      </c>
      <c r="E4196" s="7">
        <v>10453447</v>
      </c>
      <c r="F4196" t="str">
        <f>VLOOKUP(A4196,[1]!Table1[#All],17,FALSE)</f>
        <v>UNITED STATES</v>
      </c>
      <c r="G4196" t="str">
        <f>VLOOKUP(A4196,[1]!Table1[#All],22,FALSE)</f>
        <v>Task Force for Global Health, Inc (The)</v>
      </c>
      <c r="H4196" s="8">
        <f>VLOOKUP(A4196,[1]!Table1[#All],32,FALSE)</f>
        <v>44469</v>
      </c>
      <c r="I4196" s="8">
        <f>VLOOKUP(A4196,[1]!Table1[#All],33,FALSE)</f>
        <v>46294</v>
      </c>
      <c r="J4196" t="str">
        <f t="shared" ca="1" si="69"/>
        <v>Non UDO</v>
      </c>
    </row>
    <row r="4197" spans="1:10" x14ac:dyDescent="0.35">
      <c r="A4197" s="9" t="s">
        <v>135</v>
      </c>
      <c r="B4197" s="10">
        <v>44774</v>
      </c>
      <c r="C4197" s="11">
        <v>10453447</v>
      </c>
      <c r="D4197" s="11">
        <v>132358.85</v>
      </c>
      <c r="E4197" s="11">
        <v>10321088.15</v>
      </c>
      <c r="F4197" t="str">
        <f>VLOOKUP(A4197,[1]!Table1[#All],17,FALSE)</f>
        <v>UNITED STATES</v>
      </c>
      <c r="G4197" t="str">
        <f>VLOOKUP(A4197,[1]!Table1[#All],22,FALSE)</f>
        <v>Task Force for Global Health, Inc (The)</v>
      </c>
      <c r="H4197" s="8">
        <f>VLOOKUP(A4197,[1]!Table1[#All],32,FALSE)</f>
        <v>44469</v>
      </c>
      <c r="I4197" s="8">
        <f>VLOOKUP(A4197,[1]!Table1[#All],33,FALSE)</f>
        <v>46294</v>
      </c>
      <c r="J4197" t="str">
        <f t="shared" ca="1" si="69"/>
        <v>Non UDO</v>
      </c>
    </row>
    <row r="4198" spans="1:10" x14ac:dyDescent="0.35">
      <c r="A4198" s="5" t="s">
        <v>135</v>
      </c>
      <c r="B4198" s="6">
        <v>44805</v>
      </c>
      <c r="C4198" s="7">
        <v>10453447</v>
      </c>
      <c r="D4198" s="7">
        <v>2299654</v>
      </c>
      <c r="E4198" s="7">
        <v>8153793</v>
      </c>
      <c r="F4198" t="str">
        <f>VLOOKUP(A4198,[1]!Table1[#All],17,FALSE)</f>
        <v>UNITED STATES</v>
      </c>
      <c r="G4198" t="str">
        <f>VLOOKUP(A4198,[1]!Table1[#All],22,FALSE)</f>
        <v>Task Force for Global Health, Inc (The)</v>
      </c>
      <c r="H4198" s="8">
        <f>VLOOKUP(A4198,[1]!Table1[#All],32,FALSE)</f>
        <v>44469</v>
      </c>
      <c r="I4198" s="8">
        <f>VLOOKUP(A4198,[1]!Table1[#All],33,FALSE)</f>
        <v>46294</v>
      </c>
      <c r="J4198" t="str">
        <f t="shared" ca="1" si="69"/>
        <v>Non UDO</v>
      </c>
    </row>
    <row r="4199" spans="1:10" x14ac:dyDescent="0.35">
      <c r="A4199" s="9" t="s">
        <v>135</v>
      </c>
      <c r="B4199" s="10">
        <v>44835</v>
      </c>
      <c r="C4199" s="11">
        <v>10453447</v>
      </c>
      <c r="D4199" s="11">
        <v>2486020.41</v>
      </c>
      <c r="E4199" s="11">
        <v>7967426.5899999999</v>
      </c>
      <c r="F4199" t="str">
        <f>VLOOKUP(A4199,[1]!Table1[#All],17,FALSE)</f>
        <v>UNITED STATES</v>
      </c>
      <c r="G4199" t="str">
        <f>VLOOKUP(A4199,[1]!Table1[#All],22,FALSE)</f>
        <v>Task Force for Global Health, Inc (The)</v>
      </c>
      <c r="H4199" s="8">
        <f>VLOOKUP(A4199,[1]!Table1[#All],32,FALSE)</f>
        <v>44469</v>
      </c>
      <c r="I4199" s="8">
        <f>VLOOKUP(A4199,[1]!Table1[#All],33,FALSE)</f>
        <v>46294</v>
      </c>
      <c r="J4199" t="str">
        <f t="shared" ca="1" si="69"/>
        <v>Non UDO</v>
      </c>
    </row>
    <row r="4200" spans="1:10" x14ac:dyDescent="0.35">
      <c r="A4200" s="5" t="s">
        <v>135</v>
      </c>
      <c r="B4200" s="6">
        <v>44866</v>
      </c>
      <c r="C4200" s="7">
        <v>10453447</v>
      </c>
      <c r="D4200" s="7">
        <v>3411391.3</v>
      </c>
      <c r="E4200" s="7">
        <v>7042055.6999999993</v>
      </c>
      <c r="F4200" t="str">
        <f>VLOOKUP(A4200,[1]!Table1[#All],17,FALSE)</f>
        <v>UNITED STATES</v>
      </c>
      <c r="G4200" t="str">
        <f>VLOOKUP(A4200,[1]!Table1[#All],22,FALSE)</f>
        <v>Task Force for Global Health, Inc (The)</v>
      </c>
      <c r="H4200" s="8">
        <f>VLOOKUP(A4200,[1]!Table1[#All],32,FALSE)</f>
        <v>44469</v>
      </c>
      <c r="I4200" s="8">
        <f>VLOOKUP(A4200,[1]!Table1[#All],33,FALSE)</f>
        <v>46294</v>
      </c>
      <c r="J4200" t="str">
        <f t="shared" ca="1" si="69"/>
        <v>Non UDO</v>
      </c>
    </row>
    <row r="4201" spans="1:10" x14ac:dyDescent="0.35">
      <c r="A4201" s="9" t="s">
        <v>135</v>
      </c>
      <c r="B4201" s="10">
        <v>44896</v>
      </c>
      <c r="C4201" s="11">
        <v>10453447</v>
      </c>
      <c r="D4201" s="11">
        <v>4084175.4</v>
      </c>
      <c r="E4201" s="11">
        <v>6369271.5999999996</v>
      </c>
      <c r="F4201" t="str">
        <f>VLOOKUP(A4201,[1]!Table1[#All],17,FALSE)</f>
        <v>UNITED STATES</v>
      </c>
      <c r="G4201" t="str">
        <f>VLOOKUP(A4201,[1]!Table1[#All],22,FALSE)</f>
        <v>Task Force for Global Health, Inc (The)</v>
      </c>
      <c r="H4201" s="8">
        <f>VLOOKUP(A4201,[1]!Table1[#All],32,FALSE)</f>
        <v>44469</v>
      </c>
      <c r="I4201" s="8">
        <f>VLOOKUP(A4201,[1]!Table1[#All],33,FALSE)</f>
        <v>46294</v>
      </c>
      <c r="J4201" t="str">
        <f t="shared" ca="1" si="69"/>
        <v>Non UDO</v>
      </c>
    </row>
    <row r="4202" spans="1:10" x14ac:dyDescent="0.35">
      <c r="A4202" s="5" t="s">
        <v>135</v>
      </c>
      <c r="B4202" s="6">
        <v>44927</v>
      </c>
      <c r="C4202" s="7">
        <v>10453447</v>
      </c>
      <c r="D4202" s="7">
        <v>4327330.62</v>
      </c>
      <c r="E4202" s="7">
        <v>6126116.3799999999</v>
      </c>
      <c r="F4202" t="str">
        <f>VLOOKUP(A4202,[1]!Table1[#All],17,FALSE)</f>
        <v>UNITED STATES</v>
      </c>
      <c r="G4202" t="str">
        <f>VLOOKUP(A4202,[1]!Table1[#All],22,FALSE)</f>
        <v>Task Force for Global Health, Inc (The)</v>
      </c>
      <c r="H4202" s="8">
        <f>VLOOKUP(A4202,[1]!Table1[#All],32,FALSE)</f>
        <v>44469</v>
      </c>
      <c r="I4202" s="8">
        <f>VLOOKUP(A4202,[1]!Table1[#All],33,FALSE)</f>
        <v>46294</v>
      </c>
      <c r="J4202" t="str">
        <f t="shared" ca="1" si="69"/>
        <v>Non UDO</v>
      </c>
    </row>
    <row r="4203" spans="1:10" x14ac:dyDescent="0.35">
      <c r="A4203" s="9" t="s">
        <v>135</v>
      </c>
      <c r="B4203" s="10">
        <v>44958</v>
      </c>
      <c r="C4203" s="11">
        <v>10453447</v>
      </c>
      <c r="D4203" s="11">
        <v>4584116.93</v>
      </c>
      <c r="E4203" s="11">
        <v>5869330.0700000003</v>
      </c>
      <c r="F4203" t="str">
        <f>VLOOKUP(A4203,[1]!Table1[#All],17,FALSE)</f>
        <v>UNITED STATES</v>
      </c>
      <c r="G4203" t="str">
        <f>VLOOKUP(A4203,[1]!Table1[#All],22,FALSE)</f>
        <v>Task Force for Global Health, Inc (The)</v>
      </c>
      <c r="H4203" s="8">
        <f>VLOOKUP(A4203,[1]!Table1[#All],32,FALSE)</f>
        <v>44469</v>
      </c>
      <c r="I4203" s="8">
        <f>VLOOKUP(A4203,[1]!Table1[#All],33,FALSE)</f>
        <v>46294</v>
      </c>
      <c r="J4203" t="str">
        <f t="shared" ca="1" si="69"/>
        <v>Non UDO</v>
      </c>
    </row>
    <row r="4204" spans="1:10" x14ac:dyDescent="0.35">
      <c r="A4204" s="5" t="s">
        <v>135</v>
      </c>
      <c r="B4204" s="6">
        <v>44986</v>
      </c>
      <c r="C4204" s="7">
        <v>10453447</v>
      </c>
      <c r="D4204" s="7">
        <v>4724528.8099999996</v>
      </c>
      <c r="E4204" s="7">
        <v>5728918.1899999995</v>
      </c>
      <c r="F4204" t="str">
        <f>VLOOKUP(A4204,[1]!Table1[#All],17,FALSE)</f>
        <v>UNITED STATES</v>
      </c>
      <c r="G4204" t="str">
        <f>VLOOKUP(A4204,[1]!Table1[#All],22,FALSE)</f>
        <v>Task Force for Global Health, Inc (The)</v>
      </c>
      <c r="H4204" s="8">
        <f>VLOOKUP(A4204,[1]!Table1[#All],32,FALSE)</f>
        <v>44469</v>
      </c>
      <c r="I4204" s="8">
        <f>VLOOKUP(A4204,[1]!Table1[#All],33,FALSE)</f>
        <v>46294</v>
      </c>
      <c r="J4204" t="str">
        <f t="shared" ca="1" si="69"/>
        <v>Non UDO</v>
      </c>
    </row>
    <row r="4205" spans="1:10" x14ac:dyDescent="0.35">
      <c r="A4205" s="9" t="s">
        <v>135</v>
      </c>
      <c r="B4205" s="10">
        <v>45017</v>
      </c>
      <c r="C4205" s="11">
        <v>10453447</v>
      </c>
      <c r="D4205" s="11">
        <v>5069617.87</v>
      </c>
      <c r="E4205" s="11">
        <v>5383829.1299999999</v>
      </c>
      <c r="F4205" t="str">
        <f>VLOOKUP(A4205,[1]!Table1[#All],17,FALSE)</f>
        <v>UNITED STATES</v>
      </c>
      <c r="G4205" t="str">
        <f>VLOOKUP(A4205,[1]!Table1[#All],22,FALSE)</f>
        <v>Task Force for Global Health, Inc (The)</v>
      </c>
      <c r="H4205" s="8">
        <f>VLOOKUP(A4205,[1]!Table1[#All],32,FALSE)</f>
        <v>44469</v>
      </c>
      <c r="I4205" s="8">
        <f>VLOOKUP(A4205,[1]!Table1[#All],33,FALSE)</f>
        <v>46294</v>
      </c>
      <c r="J4205" t="str">
        <f t="shared" ca="1" si="69"/>
        <v>Non UDO</v>
      </c>
    </row>
    <row r="4206" spans="1:10" x14ac:dyDescent="0.35">
      <c r="A4206" s="5" t="s">
        <v>135</v>
      </c>
      <c r="B4206" s="6">
        <v>45047</v>
      </c>
      <c r="C4206" s="7">
        <v>10453447</v>
      </c>
      <c r="D4206" s="7">
        <v>5349388.2300000004</v>
      </c>
      <c r="E4206" s="7">
        <v>5104058.7699999996</v>
      </c>
      <c r="F4206" t="str">
        <f>VLOOKUP(A4206,[1]!Table1[#All],17,FALSE)</f>
        <v>UNITED STATES</v>
      </c>
      <c r="G4206" t="str">
        <f>VLOOKUP(A4206,[1]!Table1[#All],22,FALSE)</f>
        <v>Task Force for Global Health, Inc (The)</v>
      </c>
      <c r="H4206" s="8">
        <f>VLOOKUP(A4206,[1]!Table1[#All],32,FALSE)</f>
        <v>44469</v>
      </c>
      <c r="I4206" s="8">
        <f>VLOOKUP(A4206,[1]!Table1[#All],33,FALSE)</f>
        <v>46294</v>
      </c>
      <c r="J4206" t="str">
        <f t="shared" ca="1" si="69"/>
        <v>Non UDO</v>
      </c>
    </row>
    <row r="4207" spans="1:10" x14ac:dyDescent="0.35">
      <c r="A4207" s="9" t="s">
        <v>135</v>
      </c>
      <c r="B4207" s="10">
        <v>45078</v>
      </c>
      <c r="C4207" s="11">
        <v>10453447</v>
      </c>
      <c r="D4207" s="11">
        <v>5887680.54</v>
      </c>
      <c r="E4207" s="11">
        <v>4565766.46</v>
      </c>
      <c r="F4207" t="str">
        <f>VLOOKUP(A4207,[1]!Table1[#All],17,FALSE)</f>
        <v>UNITED STATES</v>
      </c>
      <c r="G4207" t="str">
        <f>VLOOKUP(A4207,[1]!Table1[#All],22,FALSE)</f>
        <v>Task Force for Global Health, Inc (The)</v>
      </c>
      <c r="H4207" s="8">
        <f>VLOOKUP(A4207,[1]!Table1[#All],32,FALSE)</f>
        <v>44469</v>
      </c>
      <c r="I4207" s="8">
        <f>VLOOKUP(A4207,[1]!Table1[#All],33,FALSE)</f>
        <v>46294</v>
      </c>
      <c r="J4207" t="str">
        <f t="shared" ca="1" si="69"/>
        <v>Non UDO</v>
      </c>
    </row>
    <row r="4208" spans="1:10" x14ac:dyDescent="0.35">
      <c r="A4208" s="5" t="s">
        <v>135</v>
      </c>
      <c r="B4208" s="6">
        <v>45108</v>
      </c>
      <c r="C4208" s="7">
        <v>10453447</v>
      </c>
      <c r="D4208" s="7">
        <v>5539675.79</v>
      </c>
      <c r="E4208" s="7">
        <v>4913771.21</v>
      </c>
      <c r="F4208" t="str">
        <f>VLOOKUP(A4208,[1]!Table1[#All],17,FALSE)</f>
        <v>UNITED STATES</v>
      </c>
      <c r="G4208" t="str">
        <f>VLOOKUP(A4208,[1]!Table1[#All],22,FALSE)</f>
        <v>Task Force for Global Health, Inc (The)</v>
      </c>
      <c r="H4208" s="8">
        <f>VLOOKUP(A4208,[1]!Table1[#All],32,FALSE)</f>
        <v>44469</v>
      </c>
      <c r="I4208" s="8">
        <f>VLOOKUP(A4208,[1]!Table1[#All],33,FALSE)</f>
        <v>46294</v>
      </c>
      <c r="J4208" t="str">
        <f t="shared" ca="1" si="69"/>
        <v>Non UDO</v>
      </c>
    </row>
    <row r="4209" spans="1:10" x14ac:dyDescent="0.35">
      <c r="A4209" s="9" t="s">
        <v>135</v>
      </c>
      <c r="B4209" s="10">
        <v>45139</v>
      </c>
      <c r="C4209" s="11">
        <v>10453447</v>
      </c>
      <c r="D4209" s="11">
        <v>5701798.5900000008</v>
      </c>
      <c r="E4209" s="11">
        <v>4751648.4099999992</v>
      </c>
      <c r="F4209" t="str">
        <f>VLOOKUP(A4209,[1]!Table1[#All],17,FALSE)</f>
        <v>UNITED STATES</v>
      </c>
      <c r="G4209" t="str">
        <f>VLOOKUP(A4209,[1]!Table1[#All],22,FALSE)</f>
        <v>Task Force for Global Health, Inc (The)</v>
      </c>
      <c r="H4209" s="8">
        <f>VLOOKUP(A4209,[1]!Table1[#All],32,FALSE)</f>
        <v>44469</v>
      </c>
      <c r="I4209" s="8">
        <f>VLOOKUP(A4209,[1]!Table1[#All],33,FALSE)</f>
        <v>46294</v>
      </c>
      <c r="J4209" t="str">
        <f t="shared" ca="1" si="69"/>
        <v>Non UDO</v>
      </c>
    </row>
    <row r="4210" spans="1:10" x14ac:dyDescent="0.35">
      <c r="A4210" s="5" t="s">
        <v>135</v>
      </c>
      <c r="B4210" s="6">
        <v>45170</v>
      </c>
      <c r="C4210" s="7">
        <v>10453447</v>
      </c>
      <c r="D4210" s="7">
        <v>5879672.7599999998</v>
      </c>
      <c r="E4210" s="7">
        <v>4573774.24</v>
      </c>
      <c r="F4210" t="str">
        <f>VLOOKUP(A4210,[1]!Table1[#All],17,FALSE)</f>
        <v>UNITED STATES</v>
      </c>
      <c r="G4210" t="str">
        <f>VLOOKUP(A4210,[1]!Table1[#All],22,FALSE)</f>
        <v>Task Force for Global Health, Inc (The)</v>
      </c>
      <c r="H4210" s="8">
        <f>VLOOKUP(A4210,[1]!Table1[#All],32,FALSE)</f>
        <v>44469</v>
      </c>
      <c r="I4210" s="8">
        <f>VLOOKUP(A4210,[1]!Table1[#All],33,FALSE)</f>
        <v>46294</v>
      </c>
      <c r="J4210" t="str">
        <f t="shared" ca="1" si="69"/>
        <v>Non UDO</v>
      </c>
    </row>
    <row r="4211" spans="1:10" x14ac:dyDescent="0.35">
      <c r="A4211" s="9" t="s">
        <v>136</v>
      </c>
      <c r="B4211" s="10">
        <v>44105</v>
      </c>
      <c r="C4211" s="11">
        <v>21171312</v>
      </c>
      <c r="D4211" s="11">
        <v>4842085</v>
      </c>
      <c r="E4211" s="11">
        <v>16329226.999999998</v>
      </c>
      <c r="F4211" t="str">
        <f>VLOOKUP(A4211,[1]!Table1[#All],17,FALSE)</f>
        <v>UGANDA</v>
      </c>
      <c r="G4211" t="str">
        <f>VLOOKUP(A4211,[1]!Table1[#All],22,FALSE)</f>
        <v>African Field Epidemology Network Limited (AFENET)</v>
      </c>
      <c r="H4211" s="8">
        <f>VLOOKUP(A4211,[1]!Table1[#All],32,FALSE)</f>
        <v>43952</v>
      </c>
      <c r="I4211" s="8">
        <f>VLOOKUP(A4211,[1]!Table1[#All],33,FALSE)</f>
        <v>45777</v>
      </c>
      <c r="J4211" t="str">
        <f t="shared" ca="1" si="69"/>
        <v>Non UDO</v>
      </c>
    </row>
    <row r="4212" spans="1:10" x14ac:dyDescent="0.35">
      <c r="A4212" s="5" t="s">
        <v>136</v>
      </c>
      <c r="B4212" s="6">
        <v>44136</v>
      </c>
      <c r="C4212" s="7">
        <v>21171312</v>
      </c>
      <c r="D4212" s="7">
        <v>5847378</v>
      </c>
      <c r="E4212" s="7">
        <v>15323933.999999998</v>
      </c>
      <c r="F4212" t="str">
        <f>VLOOKUP(A4212,[1]!Table1[#All],17,FALSE)</f>
        <v>UGANDA</v>
      </c>
      <c r="G4212" t="str">
        <f>VLOOKUP(A4212,[1]!Table1[#All],22,FALSE)</f>
        <v>African Field Epidemology Network Limited (AFENET)</v>
      </c>
      <c r="H4212" s="8">
        <f>VLOOKUP(A4212,[1]!Table1[#All],32,FALSE)</f>
        <v>43952</v>
      </c>
      <c r="I4212" s="8">
        <f>VLOOKUP(A4212,[1]!Table1[#All],33,FALSE)</f>
        <v>45777</v>
      </c>
      <c r="J4212" t="str">
        <f t="shared" ca="1" si="69"/>
        <v>Non UDO</v>
      </c>
    </row>
    <row r="4213" spans="1:10" x14ac:dyDescent="0.35">
      <c r="A4213" s="9" t="s">
        <v>136</v>
      </c>
      <c r="B4213" s="10">
        <v>44166</v>
      </c>
      <c r="C4213" s="11">
        <v>21171312</v>
      </c>
      <c r="D4213" s="11">
        <v>6855312.9999999991</v>
      </c>
      <c r="E4213" s="11">
        <v>14315998.999999996</v>
      </c>
      <c r="F4213" t="str">
        <f>VLOOKUP(A4213,[1]!Table1[#All],17,FALSE)</f>
        <v>UGANDA</v>
      </c>
      <c r="G4213" t="str">
        <f>VLOOKUP(A4213,[1]!Table1[#All],22,FALSE)</f>
        <v>African Field Epidemology Network Limited (AFENET)</v>
      </c>
      <c r="H4213" s="8">
        <f>VLOOKUP(A4213,[1]!Table1[#All],32,FALSE)</f>
        <v>43952</v>
      </c>
      <c r="I4213" s="8">
        <f>VLOOKUP(A4213,[1]!Table1[#All],33,FALSE)</f>
        <v>45777</v>
      </c>
      <c r="J4213" t="str">
        <f t="shared" ca="1" si="69"/>
        <v>Non UDO</v>
      </c>
    </row>
    <row r="4214" spans="1:10" x14ac:dyDescent="0.35">
      <c r="A4214" s="5" t="s">
        <v>136</v>
      </c>
      <c r="B4214" s="6">
        <v>44197</v>
      </c>
      <c r="C4214" s="7">
        <v>21171312</v>
      </c>
      <c r="D4214" s="7">
        <v>10753502.000000002</v>
      </c>
      <c r="E4214" s="7">
        <v>10417809.999999998</v>
      </c>
      <c r="F4214" t="str">
        <f>VLOOKUP(A4214,[1]!Table1[#All],17,FALSE)</f>
        <v>UGANDA</v>
      </c>
      <c r="G4214" t="str">
        <f>VLOOKUP(A4214,[1]!Table1[#All],22,FALSE)</f>
        <v>African Field Epidemology Network Limited (AFENET)</v>
      </c>
      <c r="H4214" s="8">
        <f>VLOOKUP(A4214,[1]!Table1[#All],32,FALSE)</f>
        <v>43952</v>
      </c>
      <c r="I4214" s="8">
        <f>VLOOKUP(A4214,[1]!Table1[#All],33,FALSE)</f>
        <v>45777</v>
      </c>
      <c r="J4214" t="str">
        <f t="shared" ca="1" si="69"/>
        <v>Non UDO</v>
      </c>
    </row>
    <row r="4215" spans="1:10" x14ac:dyDescent="0.35">
      <c r="A4215" s="9" t="s">
        <v>136</v>
      </c>
      <c r="B4215" s="10">
        <v>44228</v>
      </c>
      <c r="C4215" s="11">
        <v>21171312</v>
      </c>
      <c r="D4215" s="11">
        <v>10753502.000000002</v>
      </c>
      <c r="E4215" s="11">
        <v>10417809.999999998</v>
      </c>
      <c r="F4215" t="str">
        <f>VLOOKUP(A4215,[1]!Table1[#All],17,FALSE)</f>
        <v>UGANDA</v>
      </c>
      <c r="G4215" t="str">
        <f>VLOOKUP(A4215,[1]!Table1[#All],22,FALSE)</f>
        <v>African Field Epidemology Network Limited (AFENET)</v>
      </c>
      <c r="H4215" s="8">
        <f>VLOOKUP(A4215,[1]!Table1[#All],32,FALSE)</f>
        <v>43952</v>
      </c>
      <c r="I4215" s="8">
        <f>VLOOKUP(A4215,[1]!Table1[#All],33,FALSE)</f>
        <v>45777</v>
      </c>
      <c r="J4215" t="str">
        <f t="shared" ca="1" si="69"/>
        <v>Non UDO</v>
      </c>
    </row>
    <row r="4216" spans="1:10" x14ac:dyDescent="0.35">
      <c r="A4216" s="5" t="s">
        <v>136</v>
      </c>
      <c r="B4216" s="6">
        <v>44256</v>
      </c>
      <c r="C4216" s="7">
        <v>21171312</v>
      </c>
      <c r="D4216" s="7">
        <v>12181087</v>
      </c>
      <c r="E4216" s="7">
        <v>8990225</v>
      </c>
      <c r="F4216" t="str">
        <f>VLOOKUP(A4216,[1]!Table1[#All],17,FALSE)</f>
        <v>UGANDA</v>
      </c>
      <c r="G4216" t="str">
        <f>VLOOKUP(A4216,[1]!Table1[#All],22,FALSE)</f>
        <v>African Field Epidemology Network Limited (AFENET)</v>
      </c>
      <c r="H4216" s="8">
        <f>VLOOKUP(A4216,[1]!Table1[#All],32,FALSE)</f>
        <v>43952</v>
      </c>
      <c r="I4216" s="8">
        <f>VLOOKUP(A4216,[1]!Table1[#All],33,FALSE)</f>
        <v>45777</v>
      </c>
      <c r="J4216" t="str">
        <f t="shared" ca="1" si="69"/>
        <v>Non UDO</v>
      </c>
    </row>
    <row r="4217" spans="1:10" x14ac:dyDescent="0.35">
      <c r="A4217" s="9" t="s">
        <v>136</v>
      </c>
      <c r="B4217" s="10">
        <v>44287</v>
      </c>
      <c r="C4217" s="11">
        <v>1900000</v>
      </c>
      <c r="D4217" s="11">
        <v>1150385</v>
      </c>
      <c r="E4217" s="11">
        <v>749615</v>
      </c>
      <c r="F4217" t="str">
        <f>VLOOKUP(A4217,[1]!Table1[#All],17,FALSE)</f>
        <v>UGANDA</v>
      </c>
      <c r="G4217" t="str">
        <f>VLOOKUP(A4217,[1]!Table1[#All],22,FALSE)</f>
        <v>African Field Epidemology Network Limited (AFENET)</v>
      </c>
      <c r="H4217" s="8">
        <f>VLOOKUP(A4217,[1]!Table1[#All],32,FALSE)</f>
        <v>43952</v>
      </c>
      <c r="I4217" s="8">
        <f>VLOOKUP(A4217,[1]!Table1[#All],33,FALSE)</f>
        <v>45777</v>
      </c>
      <c r="J4217" t="str">
        <f t="shared" ca="1" si="69"/>
        <v>Non UDO</v>
      </c>
    </row>
    <row r="4218" spans="1:10" x14ac:dyDescent="0.35">
      <c r="A4218" s="5" t="s">
        <v>136</v>
      </c>
      <c r="B4218" s="6">
        <v>44317</v>
      </c>
      <c r="C4218" s="7">
        <v>21171312</v>
      </c>
      <c r="D4218" s="7">
        <v>15767638.000000004</v>
      </c>
      <c r="E4218" s="7">
        <v>5403674</v>
      </c>
      <c r="F4218" t="str">
        <f>VLOOKUP(A4218,[1]!Table1[#All],17,FALSE)</f>
        <v>UGANDA</v>
      </c>
      <c r="G4218" t="str">
        <f>VLOOKUP(A4218,[1]!Table1[#All],22,FALSE)</f>
        <v>African Field Epidemology Network Limited (AFENET)</v>
      </c>
      <c r="H4218" s="8">
        <f>VLOOKUP(A4218,[1]!Table1[#All],32,FALSE)</f>
        <v>43952</v>
      </c>
      <c r="I4218" s="8">
        <f>VLOOKUP(A4218,[1]!Table1[#All],33,FALSE)</f>
        <v>45777</v>
      </c>
      <c r="J4218" t="str">
        <f t="shared" ca="1" si="69"/>
        <v>Non UDO</v>
      </c>
    </row>
    <row r="4219" spans="1:10" x14ac:dyDescent="0.35">
      <c r="A4219" s="9" t="s">
        <v>136</v>
      </c>
      <c r="B4219" s="10">
        <v>44348</v>
      </c>
      <c r="C4219" s="11">
        <v>21171312</v>
      </c>
      <c r="D4219" s="11">
        <v>16540556.019999998</v>
      </c>
      <c r="E4219" s="11">
        <v>4630755.9800000004</v>
      </c>
      <c r="F4219" t="str">
        <f>VLOOKUP(A4219,[1]!Table1[#All],17,FALSE)</f>
        <v>UGANDA</v>
      </c>
      <c r="G4219" t="str">
        <f>VLOOKUP(A4219,[1]!Table1[#All],22,FALSE)</f>
        <v>African Field Epidemology Network Limited (AFENET)</v>
      </c>
      <c r="H4219" s="8">
        <f>VLOOKUP(A4219,[1]!Table1[#All],32,FALSE)</f>
        <v>43952</v>
      </c>
      <c r="I4219" s="8">
        <f>VLOOKUP(A4219,[1]!Table1[#All],33,FALSE)</f>
        <v>45777</v>
      </c>
      <c r="J4219" t="str">
        <f t="shared" ca="1" si="69"/>
        <v>Non UDO</v>
      </c>
    </row>
    <row r="4220" spans="1:10" x14ac:dyDescent="0.35">
      <c r="A4220" s="5" t="s">
        <v>136</v>
      </c>
      <c r="B4220" s="6">
        <v>44378</v>
      </c>
      <c r="C4220" s="7">
        <v>21171312</v>
      </c>
      <c r="D4220" s="7">
        <v>16540556.019999998</v>
      </c>
      <c r="E4220" s="7">
        <v>4630755.9800000004</v>
      </c>
      <c r="F4220" t="str">
        <f>VLOOKUP(A4220,[1]!Table1[#All],17,FALSE)</f>
        <v>UGANDA</v>
      </c>
      <c r="G4220" t="str">
        <f>VLOOKUP(A4220,[1]!Table1[#All],22,FALSE)</f>
        <v>African Field Epidemology Network Limited (AFENET)</v>
      </c>
      <c r="H4220" s="8">
        <f>VLOOKUP(A4220,[1]!Table1[#All],32,FALSE)</f>
        <v>43952</v>
      </c>
      <c r="I4220" s="8">
        <f>VLOOKUP(A4220,[1]!Table1[#All],33,FALSE)</f>
        <v>45777</v>
      </c>
      <c r="J4220" t="str">
        <f t="shared" ca="1" si="69"/>
        <v>Non UDO</v>
      </c>
    </row>
    <row r="4221" spans="1:10" x14ac:dyDescent="0.35">
      <c r="A4221" s="9" t="s">
        <v>136</v>
      </c>
      <c r="B4221" s="10">
        <v>44409</v>
      </c>
      <c r="C4221" s="11">
        <v>21171312</v>
      </c>
      <c r="D4221" s="11">
        <v>17480164</v>
      </c>
      <c r="E4221" s="11">
        <v>3691147.9999999995</v>
      </c>
      <c r="F4221" t="str">
        <f>VLOOKUP(A4221,[1]!Table1[#All],17,FALSE)</f>
        <v>UGANDA</v>
      </c>
      <c r="G4221" t="str">
        <f>VLOOKUP(A4221,[1]!Table1[#All],22,FALSE)</f>
        <v>African Field Epidemology Network Limited (AFENET)</v>
      </c>
      <c r="H4221" s="8">
        <f>VLOOKUP(A4221,[1]!Table1[#All],32,FALSE)</f>
        <v>43952</v>
      </c>
      <c r="I4221" s="8">
        <f>VLOOKUP(A4221,[1]!Table1[#All],33,FALSE)</f>
        <v>45777</v>
      </c>
      <c r="J4221" t="str">
        <f t="shared" ca="1" si="69"/>
        <v>Non UDO</v>
      </c>
    </row>
    <row r="4222" spans="1:10" x14ac:dyDescent="0.35">
      <c r="A4222" s="5" t="s">
        <v>136</v>
      </c>
      <c r="B4222" s="6">
        <v>44440</v>
      </c>
      <c r="C4222" s="7">
        <v>21171312</v>
      </c>
      <c r="D4222" s="7">
        <v>18327457.02</v>
      </c>
      <c r="E4222" s="7">
        <v>2843854.98</v>
      </c>
      <c r="F4222" t="str">
        <f>VLOOKUP(A4222,[1]!Table1[#All],17,FALSE)</f>
        <v>UGANDA</v>
      </c>
      <c r="G4222" t="str">
        <f>VLOOKUP(A4222,[1]!Table1[#All],22,FALSE)</f>
        <v>African Field Epidemology Network Limited (AFENET)</v>
      </c>
      <c r="H4222" s="8">
        <f>VLOOKUP(A4222,[1]!Table1[#All],32,FALSE)</f>
        <v>43952</v>
      </c>
      <c r="I4222" s="8">
        <f>VLOOKUP(A4222,[1]!Table1[#All],33,FALSE)</f>
        <v>45777</v>
      </c>
      <c r="J4222" t="str">
        <f t="shared" ca="1" si="69"/>
        <v>Non UDO</v>
      </c>
    </row>
    <row r="4223" spans="1:10" x14ac:dyDescent="0.35">
      <c r="A4223" s="9" t="s">
        <v>136</v>
      </c>
      <c r="B4223" s="10">
        <v>44470</v>
      </c>
      <c r="C4223" s="11">
        <v>21171312</v>
      </c>
      <c r="D4223" s="11">
        <v>20080930.999999996</v>
      </c>
      <c r="E4223" s="11">
        <v>1090381</v>
      </c>
      <c r="F4223" t="str">
        <f>VLOOKUP(A4223,[1]!Table1[#All],17,FALSE)</f>
        <v>UGANDA</v>
      </c>
      <c r="G4223" t="str">
        <f>VLOOKUP(A4223,[1]!Table1[#All],22,FALSE)</f>
        <v>African Field Epidemology Network Limited (AFENET)</v>
      </c>
      <c r="H4223" s="8">
        <f>VLOOKUP(A4223,[1]!Table1[#All],32,FALSE)</f>
        <v>43952</v>
      </c>
      <c r="I4223" s="8">
        <f>VLOOKUP(A4223,[1]!Table1[#All],33,FALSE)</f>
        <v>45777</v>
      </c>
      <c r="J4223" t="str">
        <f t="shared" ca="1" si="69"/>
        <v>Non UDO</v>
      </c>
    </row>
    <row r="4224" spans="1:10" x14ac:dyDescent="0.35">
      <c r="A4224" s="5" t="s">
        <v>136</v>
      </c>
      <c r="B4224" s="6">
        <v>44501</v>
      </c>
      <c r="C4224" s="7">
        <v>21171312</v>
      </c>
      <c r="D4224" s="7">
        <v>20080930.999999996</v>
      </c>
      <c r="E4224" s="7">
        <v>1090381</v>
      </c>
      <c r="F4224" t="str">
        <f>VLOOKUP(A4224,[1]!Table1[#All],17,FALSE)</f>
        <v>UGANDA</v>
      </c>
      <c r="G4224" t="str">
        <f>VLOOKUP(A4224,[1]!Table1[#All],22,FALSE)</f>
        <v>African Field Epidemology Network Limited (AFENET)</v>
      </c>
      <c r="H4224" s="8">
        <f>VLOOKUP(A4224,[1]!Table1[#All],32,FALSE)</f>
        <v>43952</v>
      </c>
      <c r="I4224" s="8">
        <f>VLOOKUP(A4224,[1]!Table1[#All],33,FALSE)</f>
        <v>45777</v>
      </c>
      <c r="J4224" t="str">
        <f t="shared" ca="1" si="69"/>
        <v>Non UDO</v>
      </c>
    </row>
    <row r="4225" spans="1:10" x14ac:dyDescent="0.35">
      <c r="A4225" s="9" t="s">
        <v>136</v>
      </c>
      <c r="B4225" s="10">
        <v>44531</v>
      </c>
      <c r="C4225" s="11">
        <v>21171312</v>
      </c>
      <c r="D4225" s="11">
        <v>20522926</v>
      </c>
      <c r="E4225" s="11">
        <v>648386</v>
      </c>
      <c r="F4225" t="str">
        <f>VLOOKUP(A4225,[1]!Table1[#All],17,FALSE)</f>
        <v>UGANDA</v>
      </c>
      <c r="G4225" t="str">
        <f>VLOOKUP(A4225,[1]!Table1[#All],22,FALSE)</f>
        <v>African Field Epidemology Network Limited (AFENET)</v>
      </c>
      <c r="H4225" s="8">
        <f>VLOOKUP(A4225,[1]!Table1[#All],32,FALSE)</f>
        <v>43952</v>
      </c>
      <c r="I4225" s="8">
        <f>VLOOKUP(A4225,[1]!Table1[#All],33,FALSE)</f>
        <v>45777</v>
      </c>
      <c r="J4225" t="str">
        <f t="shared" ca="1" si="69"/>
        <v>Non UDO</v>
      </c>
    </row>
    <row r="4226" spans="1:10" x14ac:dyDescent="0.35">
      <c r="A4226" s="5" t="s">
        <v>136</v>
      </c>
      <c r="B4226" s="6">
        <v>44562</v>
      </c>
      <c r="C4226" s="7">
        <v>21171312</v>
      </c>
      <c r="D4226" s="7">
        <v>20527651</v>
      </c>
      <c r="E4226" s="7">
        <v>643661</v>
      </c>
      <c r="F4226" t="str">
        <f>VLOOKUP(A4226,[1]!Table1[#All],17,FALSE)</f>
        <v>UGANDA</v>
      </c>
      <c r="G4226" t="str">
        <f>VLOOKUP(A4226,[1]!Table1[#All],22,FALSE)</f>
        <v>African Field Epidemology Network Limited (AFENET)</v>
      </c>
      <c r="H4226" s="8">
        <f>VLOOKUP(A4226,[1]!Table1[#All],32,FALSE)</f>
        <v>43952</v>
      </c>
      <c r="I4226" s="8">
        <f>VLOOKUP(A4226,[1]!Table1[#All],33,FALSE)</f>
        <v>45777</v>
      </c>
      <c r="J4226" t="str">
        <f t="shared" ca="1" si="69"/>
        <v>Non UDO</v>
      </c>
    </row>
    <row r="4227" spans="1:10" x14ac:dyDescent="0.35">
      <c r="A4227" s="9" t="s">
        <v>136</v>
      </c>
      <c r="B4227" s="10">
        <v>44593</v>
      </c>
      <c r="C4227" s="11">
        <v>21171312</v>
      </c>
      <c r="D4227" s="11">
        <v>20527651</v>
      </c>
      <c r="E4227" s="11">
        <v>643661</v>
      </c>
      <c r="F4227" t="str">
        <f>VLOOKUP(A4227,[1]!Table1[#All],17,FALSE)</f>
        <v>UGANDA</v>
      </c>
      <c r="G4227" t="str">
        <f>VLOOKUP(A4227,[1]!Table1[#All],22,FALSE)</f>
        <v>African Field Epidemology Network Limited (AFENET)</v>
      </c>
      <c r="H4227" s="8">
        <f>VLOOKUP(A4227,[1]!Table1[#All],32,FALSE)</f>
        <v>43952</v>
      </c>
      <c r="I4227" s="8">
        <f>VLOOKUP(A4227,[1]!Table1[#All],33,FALSE)</f>
        <v>45777</v>
      </c>
      <c r="J4227" t="str">
        <f t="shared" ref="J4227:J4290" ca="1" si="70">IF(AND( E4227&gt;0,TODAY()&gt;I4227),"UDO","Non UDO")</f>
        <v>Non UDO</v>
      </c>
    </row>
    <row r="4228" spans="1:10" x14ac:dyDescent="0.35">
      <c r="A4228" s="5" t="s">
        <v>136</v>
      </c>
      <c r="B4228" s="6">
        <v>44621</v>
      </c>
      <c r="C4228" s="7">
        <v>21171312</v>
      </c>
      <c r="D4228" s="7">
        <v>20583506</v>
      </c>
      <c r="E4228" s="7">
        <v>587806</v>
      </c>
      <c r="F4228" t="str">
        <f>VLOOKUP(A4228,[1]!Table1[#All],17,FALSE)</f>
        <v>UGANDA</v>
      </c>
      <c r="G4228" t="str">
        <f>VLOOKUP(A4228,[1]!Table1[#All],22,FALSE)</f>
        <v>African Field Epidemology Network Limited (AFENET)</v>
      </c>
      <c r="H4228" s="8">
        <f>VLOOKUP(A4228,[1]!Table1[#All],32,FALSE)</f>
        <v>43952</v>
      </c>
      <c r="I4228" s="8">
        <f>VLOOKUP(A4228,[1]!Table1[#All],33,FALSE)</f>
        <v>45777</v>
      </c>
      <c r="J4228" t="str">
        <f t="shared" ca="1" si="70"/>
        <v>Non UDO</v>
      </c>
    </row>
    <row r="4229" spans="1:10" x14ac:dyDescent="0.35">
      <c r="A4229" s="9" t="s">
        <v>136</v>
      </c>
      <c r="B4229" s="10">
        <v>44652</v>
      </c>
      <c r="C4229" s="11">
        <v>21171312</v>
      </c>
      <c r="D4229" s="11">
        <v>20583506</v>
      </c>
      <c r="E4229" s="11">
        <v>587806</v>
      </c>
      <c r="F4229" t="str">
        <f>VLOOKUP(A4229,[1]!Table1[#All],17,FALSE)</f>
        <v>UGANDA</v>
      </c>
      <c r="G4229" t="str">
        <f>VLOOKUP(A4229,[1]!Table1[#All],22,FALSE)</f>
        <v>African Field Epidemology Network Limited (AFENET)</v>
      </c>
      <c r="H4229" s="8">
        <f>VLOOKUP(A4229,[1]!Table1[#All],32,FALSE)</f>
        <v>43952</v>
      </c>
      <c r="I4229" s="8">
        <f>VLOOKUP(A4229,[1]!Table1[#All],33,FALSE)</f>
        <v>45777</v>
      </c>
      <c r="J4229" t="str">
        <f t="shared" ca="1" si="70"/>
        <v>Non UDO</v>
      </c>
    </row>
    <row r="4230" spans="1:10" x14ac:dyDescent="0.35">
      <c r="A4230" s="5" t="s">
        <v>136</v>
      </c>
      <c r="B4230" s="6">
        <v>44682</v>
      </c>
      <c r="C4230" s="7">
        <v>21171312</v>
      </c>
      <c r="D4230" s="7">
        <v>20643853</v>
      </c>
      <c r="E4230" s="7">
        <v>527459</v>
      </c>
      <c r="F4230" t="str">
        <f>VLOOKUP(A4230,[1]!Table1[#All],17,FALSE)</f>
        <v>UGANDA</v>
      </c>
      <c r="G4230" t="str">
        <f>VLOOKUP(A4230,[1]!Table1[#All],22,FALSE)</f>
        <v>African Field Epidemology Network Limited (AFENET)</v>
      </c>
      <c r="H4230" s="8">
        <f>VLOOKUP(A4230,[1]!Table1[#All],32,FALSE)</f>
        <v>43952</v>
      </c>
      <c r="I4230" s="8">
        <f>VLOOKUP(A4230,[1]!Table1[#All],33,FALSE)</f>
        <v>45777</v>
      </c>
      <c r="J4230" t="str">
        <f t="shared" ca="1" si="70"/>
        <v>Non UDO</v>
      </c>
    </row>
    <row r="4231" spans="1:10" x14ac:dyDescent="0.35">
      <c r="A4231" s="9" t="s">
        <v>136</v>
      </c>
      <c r="B4231" s="10">
        <v>44713</v>
      </c>
      <c r="C4231" s="11">
        <v>21171312</v>
      </c>
      <c r="D4231" s="11">
        <v>20674903</v>
      </c>
      <c r="E4231" s="11">
        <v>496409</v>
      </c>
      <c r="F4231" t="str">
        <f>VLOOKUP(A4231,[1]!Table1[#All],17,FALSE)</f>
        <v>UGANDA</v>
      </c>
      <c r="G4231" t="str">
        <f>VLOOKUP(A4231,[1]!Table1[#All],22,FALSE)</f>
        <v>African Field Epidemology Network Limited (AFENET)</v>
      </c>
      <c r="H4231" s="8">
        <f>VLOOKUP(A4231,[1]!Table1[#All],32,FALSE)</f>
        <v>43952</v>
      </c>
      <c r="I4231" s="8">
        <f>VLOOKUP(A4231,[1]!Table1[#All],33,FALSE)</f>
        <v>45777</v>
      </c>
      <c r="J4231" t="str">
        <f t="shared" ca="1" si="70"/>
        <v>Non UDO</v>
      </c>
    </row>
    <row r="4232" spans="1:10" x14ac:dyDescent="0.35">
      <c r="A4232" s="5" t="s">
        <v>136</v>
      </c>
      <c r="B4232" s="6">
        <v>44743</v>
      </c>
      <c r="C4232" s="7">
        <v>21171312</v>
      </c>
      <c r="D4232" s="7">
        <v>20690428</v>
      </c>
      <c r="E4232" s="7">
        <v>480884</v>
      </c>
      <c r="F4232" t="str">
        <f>VLOOKUP(A4232,[1]!Table1[#All],17,FALSE)</f>
        <v>UGANDA</v>
      </c>
      <c r="G4232" t="str">
        <f>VLOOKUP(A4232,[1]!Table1[#All],22,FALSE)</f>
        <v>African Field Epidemology Network Limited (AFENET)</v>
      </c>
      <c r="H4232" s="8">
        <f>VLOOKUP(A4232,[1]!Table1[#All],32,FALSE)</f>
        <v>43952</v>
      </c>
      <c r="I4232" s="8">
        <f>VLOOKUP(A4232,[1]!Table1[#All],33,FALSE)</f>
        <v>45777</v>
      </c>
      <c r="J4232" t="str">
        <f t="shared" ca="1" si="70"/>
        <v>Non UDO</v>
      </c>
    </row>
    <row r="4233" spans="1:10" x14ac:dyDescent="0.35">
      <c r="A4233" s="9" t="s">
        <v>136</v>
      </c>
      <c r="B4233" s="10">
        <v>44774</v>
      </c>
      <c r="C4233" s="11">
        <v>21171312</v>
      </c>
      <c r="D4233" s="11">
        <v>20690428</v>
      </c>
      <c r="E4233" s="11">
        <v>480884</v>
      </c>
      <c r="F4233" t="str">
        <f>VLOOKUP(A4233,[1]!Table1[#All],17,FALSE)</f>
        <v>UGANDA</v>
      </c>
      <c r="G4233" t="str">
        <f>VLOOKUP(A4233,[1]!Table1[#All],22,FALSE)</f>
        <v>African Field Epidemology Network Limited (AFENET)</v>
      </c>
      <c r="H4233" s="8">
        <f>VLOOKUP(A4233,[1]!Table1[#All],32,FALSE)</f>
        <v>43952</v>
      </c>
      <c r="I4233" s="8">
        <f>VLOOKUP(A4233,[1]!Table1[#All],33,FALSE)</f>
        <v>45777</v>
      </c>
      <c r="J4233" t="str">
        <f t="shared" ca="1" si="70"/>
        <v>Non UDO</v>
      </c>
    </row>
    <row r="4234" spans="1:10" x14ac:dyDescent="0.35">
      <c r="A4234" s="5" t="s">
        <v>136</v>
      </c>
      <c r="B4234" s="6">
        <v>44805</v>
      </c>
      <c r="C4234" s="7">
        <v>21171312</v>
      </c>
      <c r="D4234" s="7">
        <v>20966041</v>
      </c>
      <c r="E4234" s="7">
        <v>205271</v>
      </c>
      <c r="F4234" t="str">
        <f>VLOOKUP(A4234,[1]!Table1[#All],17,FALSE)</f>
        <v>UGANDA</v>
      </c>
      <c r="G4234" t="str">
        <f>VLOOKUP(A4234,[1]!Table1[#All],22,FALSE)</f>
        <v>African Field Epidemology Network Limited (AFENET)</v>
      </c>
      <c r="H4234" s="8">
        <f>VLOOKUP(A4234,[1]!Table1[#All],32,FALSE)</f>
        <v>43952</v>
      </c>
      <c r="I4234" s="8">
        <f>VLOOKUP(A4234,[1]!Table1[#All],33,FALSE)</f>
        <v>45777</v>
      </c>
      <c r="J4234" t="str">
        <f t="shared" ca="1" si="70"/>
        <v>Non UDO</v>
      </c>
    </row>
    <row r="4235" spans="1:10" x14ac:dyDescent="0.35">
      <c r="A4235" s="9" t="s">
        <v>136</v>
      </c>
      <c r="B4235" s="10">
        <v>44835</v>
      </c>
      <c r="C4235" s="11">
        <v>21171312</v>
      </c>
      <c r="D4235" s="11">
        <v>20966041</v>
      </c>
      <c r="E4235" s="11">
        <v>205271</v>
      </c>
      <c r="F4235" t="str">
        <f>VLOOKUP(A4235,[1]!Table1[#All],17,FALSE)</f>
        <v>UGANDA</v>
      </c>
      <c r="G4235" t="str">
        <f>VLOOKUP(A4235,[1]!Table1[#All],22,FALSE)</f>
        <v>African Field Epidemology Network Limited (AFENET)</v>
      </c>
      <c r="H4235" s="8">
        <f>VLOOKUP(A4235,[1]!Table1[#All],32,FALSE)</f>
        <v>43952</v>
      </c>
      <c r="I4235" s="8">
        <f>VLOOKUP(A4235,[1]!Table1[#All],33,FALSE)</f>
        <v>45777</v>
      </c>
      <c r="J4235" t="str">
        <f t="shared" ca="1" si="70"/>
        <v>Non UDO</v>
      </c>
    </row>
    <row r="4236" spans="1:10" x14ac:dyDescent="0.35">
      <c r="A4236" s="5" t="s">
        <v>136</v>
      </c>
      <c r="B4236" s="6">
        <v>44866</v>
      </c>
      <c r="C4236" s="7">
        <v>21171312</v>
      </c>
      <c r="D4236" s="7">
        <v>21003770</v>
      </c>
      <c r="E4236" s="7">
        <v>167542</v>
      </c>
      <c r="F4236" t="str">
        <f>VLOOKUP(A4236,[1]!Table1[#All],17,FALSE)</f>
        <v>UGANDA</v>
      </c>
      <c r="G4236" t="str">
        <f>VLOOKUP(A4236,[1]!Table1[#All],22,FALSE)</f>
        <v>African Field Epidemology Network Limited (AFENET)</v>
      </c>
      <c r="H4236" s="8">
        <f>VLOOKUP(A4236,[1]!Table1[#All],32,FALSE)</f>
        <v>43952</v>
      </c>
      <c r="I4236" s="8">
        <f>VLOOKUP(A4236,[1]!Table1[#All],33,FALSE)</f>
        <v>45777</v>
      </c>
      <c r="J4236" t="str">
        <f t="shared" ca="1" si="70"/>
        <v>Non UDO</v>
      </c>
    </row>
    <row r="4237" spans="1:10" x14ac:dyDescent="0.35">
      <c r="A4237" s="9" t="s">
        <v>136</v>
      </c>
      <c r="B4237" s="10">
        <v>44896</v>
      </c>
      <c r="C4237" s="11">
        <v>21171312</v>
      </c>
      <c r="D4237" s="11">
        <v>21079228</v>
      </c>
      <c r="E4237" s="11">
        <v>92084</v>
      </c>
      <c r="F4237" t="str">
        <f>VLOOKUP(A4237,[1]!Table1[#All],17,FALSE)</f>
        <v>UGANDA</v>
      </c>
      <c r="G4237" t="str">
        <f>VLOOKUP(A4237,[1]!Table1[#All],22,FALSE)</f>
        <v>African Field Epidemology Network Limited (AFENET)</v>
      </c>
      <c r="H4237" s="8">
        <f>VLOOKUP(A4237,[1]!Table1[#All],32,FALSE)</f>
        <v>43952</v>
      </c>
      <c r="I4237" s="8">
        <f>VLOOKUP(A4237,[1]!Table1[#All],33,FALSE)</f>
        <v>45777</v>
      </c>
      <c r="J4237" t="str">
        <f t="shared" ca="1" si="70"/>
        <v>Non UDO</v>
      </c>
    </row>
    <row r="4238" spans="1:10" x14ac:dyDescent="0.35">
      <c r="A4238" s="5" t="s">
        <v>136</v>
      </c>
      <c r="B4238" s="6">
        <v>44927</v>
      </c>
      <c r="C4238" s="7">
        <v>21171312</v>
      </c>
      <c r="D4238" s="7">
        <v>21106157</v>
      </c>
      <c r="E4238" s="7">
        <v>65155</v>
      </c>
      <c r="F4238" t="str">
        <f>VLOOKUP(A4238,[1]!Table1[#All],17,FALSE)</f>
        <v>UGANDA</v>
      </c>
      <c r="G4238" t="str">
        <f>VLOOKUP(A4238,[1]!Table1[#All],22,FALSE)</f>
        <v>African Field Epidemology Network Limited (AFENET)</v>
      </c>
      <c r="H4238" s="8">
        <f>VLOOKUP(A4238,[1]!Table1[#All],32,FALSE)</f>
        <v>43952</v>
      </c>
      <c r="I4238" s="8">
        <f>VLOOKUP(A4238,[1]!Table1[#All],33,FALSE)</f>
        <v>45777</v>
      </c>
      <c r="J4238" t="str">
        <f t="shared" ca="1" si="70"/>
        <v>Non UDO</v>
      </c>
    </row>
    <row r="4239" spans="1:10" x14ac:dyDescent="0.35">
      <c r="A4239" s="9" t="s">
        <v>136</v>
      </c>
      <c r="B4239" s="10">
        <v>44958</v>
      </c>
      <c r="C4239" s="11">
        <v>21171312</v>
      </c>
      <c r="D4239" s="11">
        <v>21106157</v>
      </c>
      <c r="E4239" s="11">
        <v>65155</v>
      </c>
      <c r="F4239" t="str">
        <f>VLOOKUP(A4239,[1]!Table1[#All],17,FALSE)</f>
        <v>UGANDA</v>
      </c>
      <c r="G4239" t="str">
        <f>VLOOKUP(A4239,[1]!Table1[#All],22,FALSE)</f>
        <v>African Field Epidemology Network Limited (AFENET)</v>
      </c>
      <c r="H4239" s="8">
        <f>VLOOKUP(A4239,[1]!Table1[#All],32,FALSE)</f>
        <v>43952</v>
      </c>
      <c r="I4239" s="8">
        <f>VLOOKUP(A4239,[1]!Table1[#All],33,FALSE)</f>
        <v>45777</v>
      </c>
      <c r="J4239" t="str">
        <f t="shared" ca="1" si="70"/>
        <v>Non UDO</v>
      </c>
    </row>
    <row r="4240" spans="1:10" x14ac:dyDescent="0.35">
      <c r="A4240" s="5" t="s">
        <v>136</v>
      </c>
      <c r="B4240" s="6">
        <v>44986</v>
      </c>
      <c r="C4240" s="7">
        <v>21171312</v>
      </c>
      <c r="D4240" s="7">
        <v>21148417</v>
      </c>
      <c r="E4240" s="7">
        <v>22895</v>
      </c>
      <c r="F4240" t="str">
        <f>VLOOKUP(A4240,[1]!Table1[#All],17,FALSE)</f>
        <v>UGANDA</v>
      </c>
      <c r="G4240" t="str">
        <f>VLOOKUP(A4240,[1]!Table1[#All],22,FALSE)</f>
        <v>African Field Epidemology Network Limited (AFENET)</v>
      </c>
      <c r="H4240" s="8">
        <f>VLOOKUP(A4240,[1]!Table1[#All],32,FALSE)</f>
        <v>43952</v>
      </c>
      <c r="I4240" s="8">
        <f>VLOOKUP(A4240,[1]!Table1[#All],33,FALSE)</f>
        <v>45777</v>
      </c>
      <c r="J4240" t="str">
        <f t="shared" ca="1" si="70"/>
        <v>Non UDO</v>
      </c>
    </row>
    <row r="4241" spans="1:10" x14ac:dyDescent="0.35">
      <c r="A4241" s="9" t="s">
        <v>136</v>
      </c>
      <c r="B4241" s="10">
        <v>45017</v>
      </c>
      <c r="C4241" s="11">
        <v>21171312</v>
      </c>
      <c r="D4241" s="11">
        <v>21171312</v>
      </c>
      <c r="E4241" s="11">
        <v>0</v>
      </c>
      <c r="F4241" t="str">
        <f>VLOOKUP(A4241,[1]!Table1[#All],17,FALSE)</f>
        <v>UGANDA</v>
      </c>
      <c r="G4241" t="str">
        <f>VLOOKUP(A4241,[1]!Table1[#All],22,FALSE)</f>
        <v>African Field Epidemology Network Limited (AFENET)</v>
      </c>
      <c r="H4241" s="8">
        <f>VLOOKUP(A4241,[1]!Table1[#All],32,FALSE)</f>
        <v>43952</v>
      </c>
      <c r="I4241" s="8">
        <f>VLOOKUP(A4241,[1]!Table1[#All],33,FALSE)</f>
        <v>45777</v>
      </c>
      <c r="J4241" t="str">
        <f t="shared" ca="1" si="70"/>
        <v>Non UDO</v>
      </c>
    </row>
    <row r="4242" spans="1:10" x14ac:dyDescent="0.35">
      <c r="A4242" s="5" t="s">
        <v>136</v>
      </c>
      <c r="B4242" s="6">
        <v>45047</v>
      </c>
      <c r="C4242" s="7">
        <v>21171312</v>
      </c>
      <c r="D4242" s="7">
        <v>21171312</v>
      </c>
      <c r="E4242" s="7">
        <v>0</v>
      </c>
      <c r="F4242" t="str">
        <f>VLOOKUP(A4242,[1]!Table1[#All],17,FALSE)</f>
        <v>UGANDA</v>
      </c>
      <c r="G4242" t="str">
        <f>VLOOKUP(A4242,[1]!Table1[#All],22,FALSE)</f>
        <v>African Field Epidemology Network Limited (AFENET)</v>
      </c>
      <c r="H4242" s="8">
        <f>VLOOKUP(A4242,[1]!Table1[#All],32,FALSE)</f>
        <v>43952</v>
      </c>
      <c r="I4242" s="8">
        <f>VLOOKUP(A4242,[1]!Table1[#All],33,FALSE)</f>
        <v>45777</v>
      </c>
      <c r="J4242" t="str">
        <f t="shared" ca="1" si="70"/>
        <v>Non UDO</v>
      </c>
    </row>
    <row r="4243" spans="1:10" x14ac:dyDescent="0.35">
      <c r="A4243" s="9" t="s">
        <v>136</v>
      </c>
      <c r="B4243" s="10">
        <v>45078</v>
      </c>
      <c r="C4243" s="11">
        <v>21171312</v>
      </c>
      <c r="D4243" s="11">
        <v>21171312</v>
      </c>
      <c r="E4243" s="11">
        <v>0</v>
      </c>
      <c r="F4243" t="str">
        <f>VLOOKUP(A4243,[1]!Table1[#All],17,FALSE)</f>
        <v>UGANDA</v>
      </c>
      <c r="G4243" t="str">
        <f>VLOOKUP(A4243,[1]!Table1[#All],22,FALSE)</f>
        <v>African Field Epidemology Network Limited (AFENET)</v>
      </c>
      <c r="H4243" s="8">
        <f>VLOOKUP(A4243,[1]!Table1[#All],32,FALSE)</f>
        <v>43952</v>
      </c>
      <c r="I4243" s="8">
        <f>VLOOKUP(A4243,[1]!Table1[#All],33,FALSE)</f>
        <v>45777</v>
      </c>
      <c r="J4243" t="str">
        <f t="shared" ca="1" si="70"/>
        <v>Non UDO</v>
      </c>
    </row>
    <row r="4244" spans="1:10" x14ac:dyDescent="0.35">
      <c r="A4244" s="5" t="s">
        <v>136</v>
      </c>
      <c r="B4244" s="6">
        <v>45108</v>
      </c>
      <c r="C4244" s="7">
        <v>21171312</v>
      </c>
      <c r="D4244" s="7">
        <v>21171312</v>
      </c>
      <c r="E4244" s="7">
        <v>0</v>
      </c>
      <c r="F4244" t="str">
        <f>VLOOKUP(A4244,[1]!Table1[#All],17,FALSE)</f>
        <v>UGANDA</v>
      </c>
      <c r="G4244" t="str">
        <f>VLOOKUP(A4244,[1]!Table1[#All],22,FALSE)</f>
        <v>African Field Epidemology Network Limited (AFENET)</v>
      </c>
      <c r="H4244" s="8">
        <f>VLOOKUP(A4244,[1]!Table1[#All],32,FALSE)</f>
        <v>43952</v>
      </c>
      <c r="I4244" s="8">
        <f>VLOOKUP(A4244,[1]!Table1[#All],33,FALSE)</f>
        <v>45777</v>
      </c>
      <c r="J4244" t="str">
        <f t="shared" ca="1" si="70"/>
        <v>Non UDO</v>
      </c>
    </row>
    <row r="4245" spans="1:10" x14ac:dyDescent="0.35">
      <c r="A4245" s="9" t="s">
        <v>136</v>
      </c>
      <c r="B4245" s="10">
        <v>45139</v>
      </c>
      <c r="C4245" s="11">
        <v>21171312</v>
      </c>
      <c r="D4245" s="11">
        <v>21171312</v>
      </c>
      <c r="E4245" s="11">
        <v>0</v>
      </c>
      <c r="F4245" t="str">
        <f>VLOOKUP(A4245,[1]!Table1[#All],17,FALSE)</f>
        <v>UGANDA</v>
      </c>
      <c r="G4245" t="str">
        <f>VLOOKUP(A4245,[1]!Table1[#All],22,FALSE)</f>
        <v>African Field Epidemology Network Limited (AFENET)</v>
      </c>
      <c r="H4245" s="8">
        <f>VLOOKUP(A4245,[1]!Table1[#All],32,FALSE)</f>
        <v>43952</v>
      </c>
      <c r="I4245" s="8">
        <f>VLOOKUP(A4245,[1]!Table1[#All],33,FALSE)</f>
        <v>45777</v>
      </c>
      <c r="J4245" t="str">
        <f t="shared" ca="1" si="70"/>
        <v>Non UDO</v>
      </c>
    </row>
    <row r="4246" spans="1:10" x14ac:dyDescent="0.35">
      <c r="A4246" s="5" t="s">
        <v>136</v>
      </c>
      <c r="B4246" s="6">
        <v>45170</v>
      </c>
      <c r="C4246" s="7">
        <v>21171312</v>
      </c>
      <c r="D4246" s="7">
        <v>21171312</v>
      </c>
      <c r="E4246" s="7">
        <v>0</v>
      </c>
      <c r="F4246" t="str">
        <f>VLOOKUP(A4246,[1]!Table1[#All],17,FALSE)</f>
        <v>UGANDA</v>
      </c>
      <c r="G4246" t="str">
        <f>VLOOKUP(A4246,[1]!Table1[#All],22,FALSE)</f>
        <v>African Field Epidemology Network Limited (AFENET)</v>
      </c>
      <c r="H4246" s="8">
        <f>VLOOKUP(A4246,[1]!Table1[#All],32,FALSE)</f>
        <v>43952</v>
      </c>
      <c r="I4246" s="8">
        <f>VLOOKUP(A4246,[1]!Table1[#All],33,FALSE)</f>
        <v>45777</v>
      </c>
      <c r="J4246" t="str">
        <f t="shared" ca="1" si="70"/>
        <v>Non UDO</v>
      </c>
    </row>
    <row r="4247" spans="1:10" x14ac:dyDescent="0.35">
      <c r="A4247" s="9" t="s">
        <v>137</v>
      </c>
      <c r="B4247" s="10">
        <v>44440</v>
      </c>
      <c r="C4247" s="11">
        <v>212083</v>
      </c>
      <c r="D4247" s="11">
        <v>0</v>
      </c>
      <c r="E4247" s="11">
        <v>212083</v>
      </c>
      <c r="F4247" t="str">
        <f>VLOOKUP(A4247,[1]!Table1[#All],17,FALSE)</f>
        <v>UNITED STATES</v>
      </c>
      <c r="G4247" t="str">
        <f>VLOOKUP(A4247,[1]!Table1[#All],22,FALSE)</f>
        <v>GINER, INC</v>
      </c>
      <c r="H4247" s="8">
        <f>VLOOKUP(A4247,[1]!Table1[#All],32,FALSE)</f>
        <v>44469</v>
      </c>
      <c r="I4247" s="8">
        <f>VLOOKUP(A4247,[1]!Table1[#All],33,FALSE)</f>
        <v>44651</v>
      </c>
      <c r="J4247" t="str">
        <f t="shared" ca="1" si="70"/>
        <v>UDO</v>
      </c>
    </row>
    <row r="4248" spans="1:10" x14ac:dyDescent="0.35">
      <c r="A4248" s="5" t="s">
        <v>137</v>
      </c>
      <c r="B4248" s="6">
        <v>44470</v>
      </c>
      <c r="C4248" s="7">
        <v>212083</v>
      </c>
      <c r="D4248" s="7">
        <v>0</v>
      </c>
      <c r="E4248" s="7">
        <v>212083</v>
      </c>
      <c r="F4248" t="str">
        <f>VLOOKUP(A4248,[1]!Table1[#All],17,FALSE)</f>
        <v>UNITED STATES</v>
      </c>
      <c r="G4248" t="str">
        <f>VLOOKUP(A4248,[1]!Table1[#All],22,FALSE)</f>
        <v>GINER, INC</v>
      </c>
      <c r="H4248" s="8">
        <f>VLOOKUP(A4248,[1]!Table1[#All],32,FALSE)</f>
        <v>44469</v>
      </c>
      <c r="I4248" s="8">
        <f>VLOOKUP(A4248,[1]!Table1[#All],33,FALSE)</f>
        <v>44651</v>
      </c>
      <c r="J4248" t="str">
        <f t="shared" ca="1" si="70"/>
        <v>UDO</v>
      </c>
    </row>
    <row r="4249" spans="1:10" x14ac:dyDescent="0.35">
      <c r="A4249" s="9" t="s">
        <v>137</v>
      </c>
      <c r="B4249" s="10">
        <v>44501</v>
      </c>
      <c r="C4249" s="11">
        <v>212083</v>
      </c>
      <c r="D4249" s="11">
        <v>5084.3</v>
      </c>
      <c r="E4249" s="11">
        <v>206998.69999999998</v>
      </c>
      <c r="F4249" t="str">
        <f>VLOOKUP(A4249,[1]!Table1[#All],17,FALSE)</f>
        <v>UNITED STATES</v>
      </c>
      <c r="G4249" t="str">
        <f>VLOOKUP(A4249,[1]!Table1[#All],22,FALSE)</f>
        <v>GINER, INC</v>
      </c>
      <c r="H4249" s="8">
        <f>VLOOKUP(A4249,[1]!Table1[#All],32,FALSE)</f>
        <v>44469</v>
      </c>
      <c r="I4249" s="8">
        <f>VLOOKUP(A4249,[1]!Table1[#All],33,FALSE)</f>
        <v>44651</v>
      </c>
      <c r="J4249" t="str">
        <f t="shared" ca="1" si="70"/>
        <v>UDO</v>
      </c>
    </row>
    <row r="4250" spans="1:10" x14ac:dyDescent="0.35">
      <c r="A4250" s="5" t="s">
        <v>137</v>
      </c>
      <c r="B4250" s="6">
        <v>44531</v>
      </c>
      <c r="C4250" s="7">
        <v>212083</v>
      </c>
      <c r="D4250" s="7">
        <v>12567.98</v>
      </c>
      <c r="E4250" s="7">
        <v>199515.02</v>
      </c>
      <c r="F4250" t="str">
        <f>VLOOKUP(A4250,[1]!Table1[#All],17,FALSE)</f>
        <v>UNITED STATES</v>
      </c>
      <c r="G4250" t="str">
        <f>VLOOKUP(A4250,[1]!Table1[#All],22,FALSE)</f>
        <v>GINER, INC</v>
      </c>
      <c r="H4250" s="8">
        <f>VLOOKUP(A4250,[1]!Table1[#All],32,FALSE)</f>
        <v>44469</v>
      </c>
      <c r="I4250" s="8">
        <f>VLOOKUP(A4250,[1]!Table1[#All],33,FALSE)</f>
        <v>44651</v>
      </c>
      <c r="J4250" t="str">
        <f t="shared" ca="1" si="70"/>
        <v>UDO</v>
      </c>
    </row>
    <row r="4251" spans="1:10" x14ac:dyDescent="0.35">
      <c r="A4251" s="9" t="s">
        <v>137</v>
      </c>
      <c r="B4251" s="10">
        <v>44562</v>
      </c>
      <c r="C4251" s="11">
        <v>212083</v>
      </c>
      <c r="D4251" s="11">
        <v>19310.64</v>
      </c>
      <c r="E4251" s="11">
        <v>192772.36000000002</v>
      </c>
      <c r="F4251" t="str">
        <f>VLOOKUP(A4251,[1]!Table1[#All],17,FALSE)</f>
        <v>UNITED STATES</v>
      </c>
      <c r="G4251" t="str">
        <f>VLOOKUP(A4251,[1]!Table1[#All],22,FALSE)</f>
        <v>GINER, INC</v>
      </c>
      <c r="H4251" s="8">
        <f>VLOOKUP(A4251,[1]!Table1[#All],32,FALSE)</f>
        <v>44469</v>
      </c>
      <c r="I4251" s="8">
        <f>VLOOKUP(A4251,[1]!Table1[#All],33,FALSE)</f>
        <v>44651</v>
      </c>
      <c r="J4251" t="str">
        <f t="shared" ca="1" si="70"/>
        <v>UDO</v>
      </c>
    </row>
    <row r="4252" spans="1:10" x14ac:dyDescent="0.35">
      <c r="A4252" s="5" t="s">
        <v>137</v>
      </c>
      <c r="B4252" s="6">
        <v>44593</v>
      </c>
      <c r="C4252" s="7">
        <v>212083</v>
      </c>
      <c r="D4252" s="7">
        <v>25241.02</v>
      </c>
      <c r="E4252" s="7">
        <v>186841.98</v>
      </c>
      <c r="F4252" t="str">
        <f>VLOOKUP(A4252,[1]!Table1[#All],17,FALSE)</f>
        <v>UNITED STATES</v>
      </c>
      <c r="G4252" t="str">
        <f>VLOOKUP(A4252,[1]!Table1[#All],22,FALSE)</f>
        <v>GINER, INC</v>
      </c>
      <c r="H4252" s="8">
        <f>VLOOKUP(A4252,[1]!Table1[#All],32,FALSE)</f>
        <v>44469</v>
      </c>
      <c r="I4252" s="8">
        <f>VLOOKUP(A4252,[1]!Table1[#All],33,FALSE)</f>
        <v>44651</v>
      </c>
      <c r="J4252" t="str">
        <f t="shared" ca="1" si="70"/>
        <v>UDO</v>
      </c>
    </row>
    <row r="4253" spans="1:10" x14ac:dyDescent="0.35">
      <c r="A4253" s="9" t="s">
        <v>137</v>
      </c>
      <c r="B4253" s="10">
        <v>44621</v>
      </c>
      <c r="C4253" s="11">
        <v>212083</v>
      </c>
      <c r="D4253" s="11">
        <v>42523.86</v>
      </c>
      <c r="E4253" s="11">
        <v>169559.14</v>
      </c>
      <c r="F4253" t="str">
        <f>VLOOKUP(A4253,[1]!Table1[#All],17,FALSE)</f>
        <v>UNITED STATES</v>
      </c>
      <c r="G4253" t="str">
        <f>VLOOKUP(A4253,[1]!Table1[#All],22,FALSE)</f>
        <v>GINER, INC</v>
      </c>
      <c r="H4253" s="8">
        <f>VLOOKUP(A4253,[1]!Table1[#All],32,FALSE)</f>
        <v>44469</v>
      </c>
      <c r="I4253" s="8">
        <f>VLOOKUP(A4253,[1]!Table1[#All],33,FALSE)</f>
        <v>44651</v>
      </c>
      <c r="J4253" t="str">
        <f t="shared" ca="1" si="70"/>
        <v>UDO</v>
      </c>
    </row>
    <row r="4254" spans="1:10" x14ac:dyDescent="0.35">
      <c r="A4254" s="5" t="s">
        <v>137</v>
      </c>
      <c r="B4254" s="6">
        <v>44652</v>
      </c>
      <c r="C4254" s="7">
        <v>212083</v>
      </c>
      <c r="D4254" s="7">
        <v>52411.73</v>
      </c>
      <c r="E4254" s="7">
        <v>159671.27000000002</v>
      </c>
      <c r="F4254" t="str">
        <f>VLOOKUP(A4254,[1]!Table1[#All],17,FALSE)</f>
        <v>UNITED STATES</v>
      </c>
      <c r="G4254" t="str">
        <f>VLOOKUP(A4254,[1]!Table1[#All],22,FALSE)</f>
        <v>GINER, INC</v>
      </c>
      <c r="H4254" s="8">
        <f>VLOOKUP(A4254,[1]!Table1[#All],32,FALSE)</f>
        <v>44469</v>
      </c>
      <c r="I4254" s="8">
        <f>VLOOKUP(A4254,[1]!Table1[#All],33,FALSE)</f>
        <v>44651</v>
      </c>
      <c r="J4254" t="str">
        <f t="shared" ca="1" si="70"/>
        <v>UDO</v>
      </c>
    </row>
    <row r="4255" spans="1:10" x14ac:dyDescent="0.35">
      <c r="A4255" s="9" t="s">
        <v>137</v>
      </c>
      <c r="B4255" s="10">
        <v>44682</v>
      </c>
      <c r="C4255" s="11">
        <v>212083</v>
      </c>
      <c r="D4255" s="11">
        <v>56703.040000000001</v>
      </c>
      <c r="E4255" s="11">
        <v>155379.96</v>
      </c>
      <c r="F4255" t="str">
        <f>VLOOKUP(A4255,[1]!Table1[#All],17,FALSE)</f>
        <v>UNITED STATES</v>
      </c>
      <c r="G4255" t="str">
        <f>VLOOKUP(A4255,[1]!Table1[#All],22,FALSE)</f>
        <v>GINER, INC</v>
      </c>
      <c r="H4255" s="8">
        <f>VLOOKUP(A4255,[1]!Table1[#All],32,FALSE)</f>
        <v>44469</v>
      </c>
      <c r="I4255" s="8">
        <f>VLOOKUP(A4255,[1]!Table1[#All],33,FALSE)</f>
        <v>44651</v>
      </c>
      <c r="J4255" t="str">
        <f t="shared" ca="1" si="70"/>
        <v>UDO</v>
      </c>
    </row>
    <row r="4256" spans="1:10" x14ac:dyDescent="0.35">
      <c r="A4256" s="5" t="s">
        <v>137</v>
      </c>
      <c r="B4256" s="6">
        <v>44713</v>
      </c>
      <c r="C4256" s="7">
        <v>212083</v>
      </c>
      <c r="D4256" s="7">
        <v>60376.83</v>
      </c>
      <c r="E4256" s="7">
        <v>151706.16999999998</v>
      </c>
      <c r="F4256" t="str">
        <f>VLOOKUP(A4256,[1]!Table1[#All],17,FALSE)</f>
        <v>UNITED STATES</v>
      </c>
      <c r="G4256" t="str">
        <f>VLOOKUP(A4256,[1]!Table1[#All],22,FALSE)</f>
        <v>GINER, INC</v>
      </c>
      <c r="H4256" s="8">
        <f>VLOOKUP(A4256,[1]!Table1[#All],32,FALSE)</f>
        <v>44469</v>
      </c>
      <c r="I4256" s="8">
        <f>VLOOKUP(A4256,[1]!Table1[#All],33,FALSE)</f>
        <v>44651</v>
      </c>
      <c r="J4256" t="str">
        <f t="shared" ca="1" si="70"/>
        <v>UDO</v>
      </c>
    </row>
    <row r="4257" spans="1:10" x14ac:dyDescent="0.35">
      <c r="A4257" s="9" t="s">
        <v>137</v>
      </c>
      <c r="B4257" s="10">
        <v>44743</v>
      </c>
      <c r="C4257" s="11">
        <v>212083</v>
      </c>
      <c r="D4257" s="11">
        <v>68033.31</v>
      </c>
      <c r="E4257" s="11">
        <v>144049.69</v>
      </c>
      <c r="F4257" t="str">
        <f>VLOOKUP(A4257,[1]!Table1[#All],17,FALSE)</f>
        <v>UNITED STATES</v>
      </c>
      <c r="G4257" t="str">
        <f>VLOOKUP(A4257,[1]!Table1[#All],22,FALSE)</f>
        <v>GINER, INC</v>
      </c>
      <c r="H4257" s="8">
        <f>VLOOKUP(A4257,[1]!Table1[#All],32,FALSE)</f>
        <v>44469</v>
      </c>
      <c r="I4257" s="8">
        <f>VLOOKUP(A4257,[1]!Table1[#All],33,FALSE)</f>
        <v>44651</v>
      </c>
      <c r="J4257" t="str">
        <f t="shared" ca="1" si="70"/>
        <v>UDO</v>
      </c>
    </row>
    <row r="4258" spans="1:10" x14ac:dyDescent="0.35">
      <c r="A4258" s="5" t="s">
        <v>137</v>
      </c>
      <c r="B4258" s="6">
        <v>44774</v>
      </c>
      <c r="C4258" s="7">
        <v>212083</v>
      </c>
      <c r="D4258" s="7">
        <v>73066.459999999992</v>
      </c>
      <c r="E4258" s="7">
        <v>139016.54</v>
      </c>
      <c r="F4258" t="str">
        <f>VLOOKUP(A4258,[1]!Table1[#All],17,FALSE)</f>
        <v>UNITED STATES</v>
      </c>
      <c r="G4258" t="str">
        <f>VLOOKUP(A4258,[1]!Table1[#All],22,FALSE)</f>
        <v>GINER, INC</v>
      </c>
      <c r="H4258" s="8">
        <f>VLOOKUP(A4258,[1]!Table1[#All],32,FALSE)</f>
        <v>44469</v>
      </c>
      <c r="I4258" s="8">
        <f>VLOOKUP(A4258,[1]!Table1[#All],33,FALSE)</f>
        <v>44651</v>
      </c>
      <c r="J4258" t="str">
        <f t="shared" ca="1" si="70"/>
        <v>UDO</v>
      </c>
    </row>
    <row r="4259" spans="1:10" x14ac:dyDescent="0.35">
      <c r="A4259" s="9" t="s">
        <v>137</v>
      </c>
      <c r="B4259" s="10">
        <v>44805</v>
      </c>
      <c r="C4259" s="11">
        <v>212083</v>
      </c>
      <c r="D4259" s="11">
        <v>80045.83</v>
      </c>
      <c r="E4259" s="11">
        <v>132037.16999999998</v>
      </c>
      <c r="F4259" t="str">
        <f>VLOOKUP(A4259,[1]!Table1[#All],17,FALSE)</f>
        <v>UNITED STATES</v>
      </c>
      <c r="G4259" t="str">
        <f>VLOOKUP(A4259,[1]!Table1[#All],22,FALSE)</f>
        <v>GINER, INC</v>
      </c>
      <c r="H4259" s="8">
        <f>VLOOKUP(A4259,[1]!Table1[#All],32,FALSE)</f>
        <v>44469</v>
      </c>
      <c r="I4259" s="8">
        <f>VLOOKUP(A4259,[1]!Table1[#All],33,FALSE)</f>
        <v>44651</v>
      </c>
      <c r="J4259" t="str">
        <f t="shared" ca="1" si="70"/>
        <v>UDO</v>
      </c>
    </row>
    <row r="4260" spans="1:10" x14ac:dyDescent="0.35">
      <c r="A4260" s="5" t="s">
        <v>137</v>
      </c>
      <c r="B4260" s="6">
        <v>44835</v>
      </c>
      <c r="C4260" s="7">
        <v>212083</v>
      </c>
      <c r="D4260" s="7">
        <v>86747.489999999991</v>
      </c>
      <c r="E4260" s="7">
        <v>125335.51000000001</v>
      </c>
      <c r="F4260" t="str">
        <f>VLOOKUP(A4260,[1]!Table1[#All],17,FALSE)</f>
        <v>UNITED STATES</v>
      </c>
      <c r="G4260" t="str">
        <f>VLOOKUP(A4260,[1]!Table1[#All],22,FALSE)</f>
        <v>GINER, INC</v>
      </c>
      <c r="H4260" s="8">
        <f>VLOOKUP(A4260,[1]!Table1[#All],32,FALSE)</f>
        <v>44469</v>
      </c>
      <c r="I4260" s="8">
        <f>VLOOKUP(A4260,[1]!Table1[#All],33,FALSE)</f>
        <v>44651</v>
      </c>
      <c r="J4260" t="str">
        <f t="shared" ca="1" si="70"/>
        <v>UDO</v>
      </c>
    </row>
    <row r="4261" spans="1:10" x14ac:dyDescent="0.35">
      <c r="A4261" s="9" t="s">
        <v>137</v>
      </c>
      <c r="B4261" s="10">
        <v>44866</v>
      </c>
      <c r="C4261" s="11">
        <v>212083</v>
      </c>
      <c r="D4261" s="11">
        <v>110677.7</v>
      </c>
      <c r="E4261" s="11">
        <v>101405.3</v>
      </c>
      <c r="F4261" t="str">
        <f>VLOOKUP(A4261,[1]!Table1[#All],17,FALSE)</f>
        <v>UNITED STATES</v>
      </c>
      <c r="G4261" t="str">
        <f>VLOOKUP(A4261,[1]!Table1[#All],22,FALSE)</f>
        <v>GINER, INC</v>
      </c>
      <c r="H4261" s="8">
        <f>VLOOKUP(A4261,[1]!Table1[#All],32,FALSE)</f>
        <v>44469</v>
      </c>
      <c r="I4261" s="8">
        <f>VLOOKUP(A4261,[1]!Table1[#All],33,FALSE)</f>
        <v>44651</v>
      </c>
      <c r="J4261" t="str">
        <f t="shared" ca="1" si="70"/>
        <v>UDO</v>
      </c>
    </row>
    <row r="4262" spans="1:10" x14ac:dyDescent="0.35">
      <c r="A4262" s="5" t="s">
        <v>137</v>
      </c>
      <c r="B4262" s="6">
        <v>44896</v>
      </c>
      <c r="C4262" s="7">
        <v>212083</v>
      </c>
      <c r="D4262" s="7">
        <v>166970.84999999998</v>
      </c>
      <c r="E4262" s="7">
        <v>45112.15</v>
      </c>
      <c r="F4262" t="str">
        <f>VLOOKUP(A4262,[1]!Table1[#All],17,FALSE)</f>
        <v>UNITED STATES</v>
      </c>
      <c r="G4262" t="str">
        <f>VLOOKUP(A4262,[1]!Table1[#All],22,FALSE)</f>
        <v>GINER, INC</v>
      </c>
      <c r="H4262" s="8">
        <f>VLOOKUP(A4262,[1]!Table1[#All],32,FALSE)</f>
        <v>44469</v>
      </c>
      <c r="I4262" s="8">
        <f>VLOOKUP(A4262,[1]!Table1[#All],33,FALSE)</f>
        <v>44651</v>
      </c>
      <c r="J4262" t="str">
        <f t="shared" ca="1" si="70"/>
        <v>UDO</v>
      </c>
    </row>
    <row r="4263" spans="1:10" x14ac:dyDescent="0.35">
      <c r="A4263" s="9" t="s">
        <v>137</v>
      </c>
      <c r="B4263" s="10">
        <v>44927</v>
      </c>
      <c r="C4263" s="11">
        <v>212083</v>
      </c>
      <c r="D4263" s="11">
        <v>211531.53999999998</v>
      </c>
      <c r="E4263" s="11">
        <v>551.45999999999992</v>
      </c>
      <c r="F4263" t="str">
        <f>VLOOKUP(A4263,[1]!Table1[#All],17,FALSE)</f>
        <v>UNITED STATES</v>
      </c>
      <c r="G4263" t="str">
        <f>VLOOKUP(A4263,[1]!Table1[#All],22,FALSE)</f>
        <v>GINER, INC</v>
      </c>
      <c r="H4263" s="8">
        <f>VLOOKUP(A4263,[1]!Table1[#All],32,FALSE)</f>
        <v>44469</v>
      </c>
      <c r="I4263" s="8">
        <f>VLOOKUP(A4263,[1]!Table1[#All],33,FALSE)</f>
        <v>44651</v>
      </c>
      <c r="J4263" t="str">
        <f t="shared" ca="1" si="70"/>
        <v>UDO</v>
      </c>
    </row>
    <row r="4264" spans="1:10" x14ac:dyDescent="0.35">
      <c r="A4264" s="5" t="s">
        <v>137</v>
      </c>
      <c r="B4264" s="6">
        <v>44958</v>
      </c>
      <c r="C4264" s="7">
        <v>212083</v>
      </c>
      <c r="D4264" s="7">
        <v>212082.99</v>
      </c>
      <c r="E4264" s="7">
        <v>0.01</v>
      </c>
      <c r="F4264" t="str">
        <f>VLOOKUP(A4264,[1]!Table1[#All],17,FALSE)</f>
        <v>UNITED STATES</v>
      </c>
      <c r="G4264" t="str">
        <f>VLOOKUP(A4264,[1]!Table1[#All],22,FALSE)</f>
        <v>GINER, INC</v>
      </c>
      <c r="H4264" s="8">
        <f>VLOOKUP(A4264,[1]!Table1[#All],32,FALSE)</f>
        <v>44469</v>
      </c>
      <c r="I4264" s="8">
        <f>VLOOKUP(A4264,[1]!Table1[#All],33,FALSE)</f>
        <v>44651</v>
      </c>
      <c r="J4264" t="str">
        <f t="shared" ca="1" si="70"/>
        <v>UDO</v>
      </c>
    </row>
    <row r="4265" spans="1:10" x14ac:dyDescent="0.35">
      <c r="A4265" s="9" t="s">
        <v>137</v>
      </c>
      <c r="B4265" s="10">
        <v>44986</v>
      </c>
      <c r="C4265" s="11">
        <v>212083</v>
      </c>
      <c r="D4265" s="11">
        <v>212082.99</v>
      </c>
      <c r="E4265" s="11">
        <v>0.01</v>
      </c>
      <c r="F4265" t="str">
        <f>VLOOKUP(A4265,[1]!Table1[#All],17,FALSE)</f>
        <v>UNITED STATES</v>
      </c>
      <c r="G4265" t="str">
        <f>VLOOKUP(A4265,[1]!Table1[#All],22,FALSE)</f>
        <v>GINER, INC</v>
      </c>
      <c r="H4265" s="8">
        <f>VLOOKUP(A4265,[1]!Table1[#All],32,FALSE)</f>
        <v>44469</v>
      </c>
      <c r="I4265" s="8">
        <f>VLOOKUP(A4265,[1]!Table1[#All],33,FALSE)</f>
        <v>44651</v>
      </c>
      <c r="J4265" t="str">
        <f t="shared" ca="1" si="70"/>
        <v>UDO</v>
      </c>
    </row>
    <row r="4266" spans="1:10" x14ac:dyDescent="0.35">
      <c r="A4266" s="5" t="s">
        <v>137</v>
      </c>
      <c r="B4266" s="6">
        <v>45017</v>
      </c>
      <c r="C4266" s="7">
        <v>212083</v>
      </c>
      <c r="D4266" s="7">
        <v>212083</v>
      </c>
      <c r="E4266" s="7">
        <v>0</v>
      </c>
      <c r="F4266" t="str">
        <f>VLOOKUP(A4266,[1]!Table1[#All],17,FALSE)</f>
        <v>UNITED STATES</v>
      </c>
      <c r="G4266" t="str">
        <f>VLOOKUP(A4266,[1]!Table1[#All],22,FALSE)</f>
        <v>GINER, INC</v>
      </c>
      <c r="H4266" s="8">
        <f>VLOOKUP(A4266,[1]!Table1[#All],32,FALSE)</f>
        <v>44469</v>
      </c>
      <c r="I4266" s="8">
        <f>VLOOKUP(A4266,[1]!Table1[#All],33,FALSE)</f>
        <v>44651</v>
      </c>
      <c r="J4266" t="str">
        <f t="shared" ca="1" si="70"/>
        <v>Non UDO</v>
      </c>
    </row>
    <row r="4267" spans="1:10" x14ac:dyDescent="0.35">
      <c r="A4267" s="9" t="s">
        <v>137</v>
      </c>
      <c r="B4267" s="10">
        <v>45047</v>
      </c>
      <c r="C4267" s="11">
        <v>212083</v>
      </c>
      <c r="D4267" s="11">
        <v>212083</v>
      </c>
      <c r="E4267" s="11">
        <v>0</v>
      </c>
      <c r="F4267" t="str">
        <f>VLOOKUP(A4267,[1]!Table1[#All],17,FALSE)</f>
        <v>UNITED STATES</v>
      </c>
      <c r="G4267" t="str">
        <f>VLOOKUP(A4267,[1]!Table1[#All],22,FALSE)</f>
        <v>GINER, INC</v>
      </c>
      <c r="H4267" s="8">
        <f>VLOOKUP(A4267,[1]!Table1[#All],32,FALSE)</f>
        <v>44469</v>
      </c>
      <c r="I4267" s="8">
        <f>VLOOKUP(A4267,[1]!Table1[#All],33,FALSE)</f>
        <v>44651</v>
      </c>
      <c r="J4267" t="str">
        <f t="shared" ca="1" si="70"/>
        <v>Non UDO</v>
      </c>
    </row>
    <row r="4268" spans="1:10" x14ac:dyDescent="0.35">
      <c r="A4268" s="5" t="s">
        <v>137</v>
      </c>
      <c r="B4268" s="6">
        <v>45078</v>
      </c>
      <c r="C4268" s="7">
        <v>212083</v>
      </c>
      <c r="D4268" s="7">
        <v>212083</v>
      </c>
      <c r="E4268" s="7">
        <v>0</v>
      </c>
      <c r="F4268" t="str">
        <f>VLOOKUP(A4268,[1]!Table1[#All],17,FALSE)</f>
        <v>UNITED STATES</v>
      </c>
      <c r="G4268" t="str">
        <f>VLOOKUP(A4268,[1]!Table1[#All],22,FALSE)</f>
        <v>GINER, INC</v>
      </c>
      <c r="H4268" s="8">
        <f>VLOOKUP(A4268,[1]!Table1[#All],32,FALSE)</f>
        <v>44469</v>
      </c>
      <c r="I4268" s="8">
        <f>VLOOKUP(A4268,[1]!Table1[#All],33,FALSE)</f>
        <v>44651</v>
      </c>
      <c r="J4268" t="str">
        <f t="shared" ca="1" si="70"/>
        <v>Non UDO</v>
      </c>
    </row>
    <row r="4269" spans="1:10" x14ac:dyDescent="0.35">
      <c r="A4269" s="9" t="s">
        <v>137</v>
      </c>
      <c r="B4269" s="10">
        <v>45108</v>
      </c>
      <c r="C4269" s="11">
        <v>212083</v>
      </c>
      <c r="D4269" s="11">
        <v>212083</v>
      </c>
      <c r="E4269" s="11">
        <v>0</v>
      </c>
      <c r="F4269" t="str">
        <f>VLOOKUP(A4269,[1]!Table1[#All],17,FALSE)</f>
        <v>UNITED STATES</v>
      </c>
      <c r="G4269" t="str">
        <f>VLOOKUP(A4269,[1]!Table1[#All],22,FALSE)</f>
        <v>GINER, INC</v>
      </c>
      <c r="H4269" s="8">
        <f>VLOOKUP(A4269,[1]!Table1[#All],32,FALSE)</f>
        <v>44469</v>
      </c>
      <c r="I4269" s="8">
        <f>VLOOKUP(A4269,[1]!Table1[#All],33,FALSE)</f>
        <v>44651</v>
      </c>
      <c r="J4269" t="str">
        <f t="shared" ca="1" si="70"/>
        <v>Non UDO</v>
      </c>
    </row>
    <row r="4270" spans="1:10" x14ac:dyDescent="0.35">
      <c r="A4270" s="5" t="s">
        <v>137</v>
      </c>
      <c r="B4270" s="6">
        <v>45139</v>
      </c>
      <c r="C4270" s="7">
        <v>212083</v>
      </c>
      <c r="D4270" s="7">
        <v>212083</v>
      </c>
      <c r="E4270" s="7">
        <v>0</v>
      </c>
      <c r="F4270" t="str">
        <f>VLOOKUP(A4270,[1]!Table1[#All],17,FALSE)</f>
        <v>UNITED STATES</v>
      </c>
      <c r="G4270" t="str">
        <f>VLOOKUP(A4270,[1]!Table1[#All],22,FALSE)</f>
        <v>GINER, INC</v>
      </c>
      <c r="H4270" s="8">
        <f>VLOOKUP(A4270,[1]!Table1[#All],32,FALSE)</f>
        <v>44469</v>
      </c>
      <c r="I4270" s="8">
        <f>VLOOKUP(A4270,[1]!Table1[#All],33,FALSE)</f>
        <v>44651</v>
      </c>
      <c r="J4270" t="str">
        <f t="shared" ca="1" si="70"/>
        <v>Non UDO</v>
      </c>
    </row>
    <row r="4271" spans="1:10" x14ac:dyDescent="0.35">
      <c r="A4271" s="9" t="s">
        <v>137</v>
      </c>
      <c r="B4271" s="10">
        <v>45170</v>
      </c>
      <c r="C4271" s="11">
        <v>212083</v>
      </c>
      <c r="D4271" s="11">
        <v>212083</v>
      </c>
      <c r="E4271" s="11">
        <v>0</v>
      </c>
      <c r="F4271" t="str">
        <f>VLOOKUP(A4271,[1]!Table1[#All],17,FALSE)</f>
        <v>UNITED STATES</v>
      </c>
      <c r="G4271" t="str">
        <f>VLOOKUP(A4271,[1]!Table1[#All],22,FALSE)</f>
        <v>GINER, INC</v>
      </c>
      <c r="H4271" s="8">
        <f>VLOOKUP(A4271,[1]!Table1[#All],32,FALSE)</f>
        <v>44469</v>
      </c>
      <c r="I4271" s="8">
        <f>VLOOKUP(A4271,[1]!Table1[#All],33,FALSE)</f>
        <v>44651</v>
      </c>
      <c r="J4271" t="str">
        <f t="shared" ca="1" si="70"/>
        <v>Non UDO</v>
      </c>
    </row>
    <row r="4272" spans="1:10" x14ac:dyDescent="0.35">
      <c r="A4272" s="5" t="s">
        <v>138</v>
      </c>
      <c r="B4272" s="6">
        <v>44105</v>
      </c>
      <c r="C4272" s="7">
        <v>500000</v>
      </c>
      <c r="D4272" s="7">
        <v>0</v>
      </c>
      <c r="E4272" s="7">
        <v>500000</v>
      </c>
      <c r="F4272" t="str">
        <f>VLOOKUP(A4272,[1]!Table1[#All],17,FALSE)</f>
        <v>UNITED STATES</v>
      </c>
      <c r="G4272" t="str">
        <f>VLOOKUP(A4272,[1]!Table1[#All],22,FALSE)</f>
        <v>COLUMBIA UNIVERSITY, SCHOOL OF ARTS &amp; SCIENCES</v>
      </c>
      <c r="H4272" s="8">
        <f>VLOOKUP(A4272,[1]!Table1[#All],32,FALSE)</f>
        <v>42643</v>
      </c>
      <c r="I4272" s="8">
        <f>VLOOKUP(A4272,[1]!Table1[#All],33,FALSE)</f>
        <v>44833</v>
      </c>
      <c r="J4272" t="str">
        <f t="shared" ca="1" si="70"/>
        <v>UDO</v>
      </c>
    </row>
    <row r="4273" spans="1:10" x14ac:dyDescent="0.35">
      <c r="A4273" s="9" t="s">
        <v>138</v>
      </c>
      <c r="B4273" s="10">
        <v>44136</v>
      </c>
      <c r="C4273" s="11">
        <v>500000</v>
      </c>
      <c r="D4273" s="11">
        <v>0</v>
      </c>
      <c r="E4273" s="11">
        <v>500000</v>
      </c>
      <c r="F4273" t="str">
        <f>VLOOKUP(A4273,[1]!Table1[#All],17,FALSE)</f>
        <v>UNITED STATES</v>
      </c>
      <c r="G4273" t="str">
        <f>VLOOKUP(A4273,[1]!Table1[#All],22,FALSE)</f>
        <v>COLUMBIA UNIVERSITY, SCHOOL OF ARTS &amp; SCIENCES</v>
      </c>
      <c r="H4273" s="8">
        <f>VLOOKUP(A4273,[1]!Table1[#All],32,FALSE)</f>
        <v>42643</v>
      </c>
      <c r="I4273" s="8">
        <f>VLOOKUP(A4273,[1]!Table1[#All],33,FALSE)</f>
        <v>44833</v>
      </c>
      <c r="J4273" t="str">
        <f t="shared" ca="1" si="70"/>
        <v>UDO</v>
      </c>
    </row>
    <row r="4274" spans="1:10" x14ac:dyDescent="0.35">
      <c r="A4274" s="5" t="s">
        <v>138</v>
      </c>
      <c r="B4274" s="6">
        <v>44166</v>
      </c>
      <c r="C4274" s="7">
        <v>500000</v>
      </c>
      <c r="D4274" s="7">
        <v>0</v>
      </c>
      <c r="E4274" s="7">
        <v>500000</v>
      </c>
      <c r="F4274" t="str">
        <f>VLOOKUP(A4274,[1]!Table1[#All],17,FALSE)</f>
        <v>UNITED STATES</v>
      </c>
      <c r="G4274" t="str">
        <f>VLOOKUP(A4274,[1]!Table1[#All],22,FALSE)</f>
        <v>COLUMBIA UNIVERSITY, SCHOOL OF ARTS &amp; SCIENCES</v>
      </c>
      <c r="H4274" s="8">
        <f>VLOOKUP(A4274,[1]!Table1[#All],32,FALSE)</f>
        <v>42643</v>
      </c>
      <c r="I4274" s="8">
        <f>VLOOKUP(A4274,[1]!Table1[#All],33,FALSE)</f>
        <v>44833</v>
      </c>
      <c r="J4274" t="str">
        <f t="shared" ca="1" si="70"/>
        <v>UDO</v>
      </c>
    </row>
    <row r="4275" spans="1:10" x14ac:dyDescent="0.35">
      <c r="A4275" s="9" t="s">
        <v>138</v>
      </c>
      <c r="B4275" s="10">
        <v>44197</v>
      </c>
      <c r="C4275" s="11">
        <v>500000</v>
      </c>
      <c r="D4275" s="11">
        <v>16341.23</v>
      </c>
      <c r="E4275" s="11">
        <v>483658.77</v>
      </c>
      <c r="F4275" t="str">
        <f>VLOOKUP(A4275,[1]!Table1[#All],17,FALSE)</f>
        <v>UNITED STATES</v>
      </c>
      <c r="G4275" t="str">
        <f>VLOOKUP(A4275,[1]!Table1[#All],22,FALSE)</f>
        <v>COLUMBIA UNIVERSITY, SCHOOL OF ARTS &amp; SCIENCES</v>
      </c>
      <c r="H4275" s="8">
        <f>VLOOKUP(A4275,[1]!Table1[#All],32,FALSE)</f>
        <v>42643</v>
      </c>
      <c r="I4275" s="8">
        <f>VLOOKUP(A4275,[1]!Table1[#All],33,FALSE)</f>
        <v>44833</v>
      </c>
      <c r="J4275" t="str">
        <f t="shared" ca="1" si="70"/>
        <v>UDO</v>
      </c>
    </row>
    <row r="4276" spans="1:10" x14ac:dyDescent="0.35">
      <c r="A4276" s="5" t="s">
        <v>138</v>
      </c>
      <c r="B4276" s="6">
        <v>44228</v>
      </c>
      <c r="C4276" s="7">
        <v>500000</v>
      </c>
      <c r="D4276" s="7">
        <v>20686.38</v>
      </c>
      <c r="E4276" s="7">
        <v>479313.62</v>
      </c>
      <c r="F4276" t="str">
        <f>VLOOKUP(A4276,[1]!Table1[#All],17,FALSE)</f>
        <v>UNITED STATES</v>
      </c>
      <c r="G4276" t="str">
        <f>VLOOKUP(A4276,[1]!Table1[#All],22,FALSE)</f>
        <v>COLUMBIA UNIVERSITY, SCHOOL OF ARTS &amp; SCIENCES</v>
      </c>
      <c r="H4276" s="8">
        <f>VLOOKUP(A4276,[1]!Table1[#All],32,FALSE)</f>
        <v>42643</v>
      </c>
      <c r="I4276" s="8">
        <f>VLOOKUP(A4276,[1]!Table1[#All],33,FALSE)</f>
        <v>44833</v>
      </c>
      <c r="J4276" t="str">
        <f t="shared" ca="1" si="70"/>
        <v>UDO</v>
      </c>
    </row>
    <row r="4277" spans="1:10" x14ac:dyDescent="0.35">
      <c r="A4277" s="9" t="s">
        <v>138</v>
      </c>
      <c r="B4277" s="10">
        <v>44256</v>
      </c>
      <c r="C4277" s="11">
        <v>500000</v>
      </c>
      <c r="D4277" s="11">
        <v>29950.33</v>
      </c>
      <c r="E4277" s="11">
        <v>470049.67</v>
      </c>
      <c r="F4277" t="str">
        <f>VLOOKUP(A4277,[1]!Table1[#All],17,FALSE)</f>
        <v>UNITED STATES</v>
      </c>
      <c r="G4277" t="str">
        <f>VLOOKUP(A4277,[1]!Table1[#All],22,FALSE)</f>
        <v>COLUMBIA UNIVERSITY, SCHOOL OF ARTS &amp; SCIENCES</v>
      </c>
      <c r="H4277" s="8">
        <f>VLOOKUP(A4277,[1]!Table1[#All],32,FALSE)</f>
        <v>42643</v>
      </c>
      <c r="I4277" s="8">
        <f>VLOOKUP(A4277,[1]!Table1[#All],33,FALSE)</f>
        <v>44833</v>
      </c>
      <c r="J4277" t="str">
        <f t="shared" ca="1" si="70"/>
        <v>UDO</v>
      </c>
    </row>
    <row r="4278" spans="1:10" x14ac:dyDescent="0.35">
      <c r="A4278" s="5" t="s">
        <v>138</v>
      </c>
      <c r="B4278" s="6">
        <v>44287</v>
      </c>
      <c r="C4278" s="7">
        <v>500000</v>
      </c>
      <c r="D4278" s="7">
        <v>35536.160000000003</v>
      </c>
      <c r="E4278" s="7">
        <v>464463.84</v>
      </c>
      <c r="F4278" t="str">
        <f>VLOOKUP(A4278,[1]!Table1[#All],17,FALSE)</f>
        <v>UNITED STATES</v>
      </c>
      <c r="G4278" t="str">
        <f>VLOOKUP(A4278,[1]!Table1[#All],22,FALSE)</f>
        <v>COLUMBIA UNIVERSITY, SCHOOL OF ARTS &amp; SCIENCES</v>
      </c>
      <c r="H4278" s="8">
        <f>VLOOKUP(A4278,[1]!Table1[#All],32,FALSE)</f>
        <v>42643</v>
      </c>
      <c r="I4278" s="8">
        <f>VLOOKUP(A4278,[1]!Table1[#All],33,FALSE)</f>
        <v>44833</v>
      </c>
      <c r="J4278" t="str">
        <f t="shared" ca="1" si="70"/>
        <v>UDO</v>
      </c>
    </row>
    <row r="4279" spans="1:10" x14ac:dyDescent="0.35">
      <c r="A4279" s="9" t="s">
        <v>138</v>
      </c>
      <c r="B4279" s="10">
        <v>44317</v>
      </c>
      <c r="C4279" s="11">
        <v>500000</v>
      </c>
      <c r="D4279" s="11">
        <v>41121.949999999997</v>
      </c>
      <c r="E4279" s="11">
        <v>458878.05</v>
      </c>
      <c r="F4279" t="str">
        <f>VLOOKUP(A4279,[1]!Table1[#All],17,FALSE)</f>
        <v>UNITED STATES</v>
      </c>
      <c r="G4279" t="str">
        <f>VLOOKUP(A4279,[1]!Table1[#All],22,FALSE)</f>
        <v>COLUMBIA UNIVERSITY, SCHOOL OF ARTS &amp; SCIENCES</v>
      </c>
      <c r="H4279" s="8">
        <f>VLOOKUP(A4279,[1]!Table1[#All],32,FALSE)</f>
        <v>42643</v>
      </c>
      <c r="I4279" s="8">
        <f>VLOOKUP(A4279,[1]!Table1[#All],33,FALSE)</f>
        <v>44833</v>
      </c>
      <c r="J4279" t="str">
        <f t="shared" ca="1" si="70"/>
        <v>UDO</v>
      </c>
    </row>
    <row r="4280" spans="1:10" x14ac:dyDescent="0.35">
      <c r="A4280" s="5" t="s">
        <v>138</v>
      </c>
      <c r="B4280" s="6">
        <v>44348</v>
      </c>
      <c r="C4280" s="7">
        <v>500000</v>
      </c>
      <c r="D4280" s="7">
        <v>49291.44</v>
      </c>
      <c r="E4280" s="7">
        <v>450708.56</v>
      </c>
      <c r="F4280" t="str">
        <f>VLOOKUP(A4280,[1]!Table1[#All],17,FALSE)</f>
        <v>UNITED STATES</v>
      </c>
      <c r="G4280" t="str">
        <f>VLOOKUP(A4280,[1]!Table1[#All],22,FALSE)</f>
        <v>COLUMBIA UNIVERSITY, SCHOOL OF ARTS &amp; SCIENCES</v>
      </c>
      <c r="H4280" s="8">
        <f>VLOOKUP(A4280,[1]!Table1[#All],32,FALSE)</f>
        <v>42643</v>
      </c>
      <c r="I4280" s="8">
        <f>VLOOKUP(A4280,[1]!Table1[#All],33,FALSE)</f>
        <v>44833</v>
      </c>
      <c r="J4280" t="str">
        <f t="shared" ca="1" si="70"/>
        <v>UDO</v>
      </c>
    </row>
    <row r="4281" spans="1:10" x14ac:dyDescent="0.35">
      <c r="A4281" s="9" t="s">
        <v>138</v>
      </c>
      <c r="B4281" s="10">
        <v>44378</v>
      </c>
      <c r="C4281" s="11">
        <v>500000</v>
      </c>
      <c r="D4281" s="11">
        <v>58498.94</v>
      </c>
      <c r="E4281" s="11">
        <v>441501.06</v>
      </c>
      <c r="F4281" t="str">
        <f>VLOOKUP(A4281,[1]!Table1[#All],17,FALSE)</f>
        <v>UNITED STATES</v>
      </c>
      <c r="G4281" t="str">
        <f>VLOOKUP(A4281,[1]!Table1[#All],22,FALSE)</f>
        <v>COLUMBIA UNIVERSITY, SCHOOL OF ARTS &amp; SCIENCES</v>
      </c>
      <c r="H4281" s="8">
        <f>VLOOKUP(A4281,[1]!Table1[#All],32,FALSE)</f>
        <v>42643</v>
      </c>
      <c r="I4281" s="8">
        <f>VLOOKUP(A4281,[1]!Table1[#All],33,FALSE)</f>
        <v>44833</v>
      </c>
      <c r="J4281" t="str">
        <f t="shared" ca="1" si="70"/>
        <v>UDO</v>
      </c>
    </row>
    <row r="4282" spans="1:10" x14ac:dyDescent="0.35">
      <c r="A4282" s="5" t="s">
        <v>138</v>
      </c>
      <c r="B4282" s="6">
        <v>44409</v>
      </c>
      <c r="C4282" s="7">
        <v>500000</v>
      </c>
      <c r="D4282" s="7">
        <v>64672.04</v>
      </c>
      <c r="E4282" s="7">
        <v>435327.96</v>
      </c>
      <c r="F4282" t="str">
        <f>VLOOKUP(A4282,[1]!Table1[#All],17,FALSE)</f>
        <v>UNITED STATES</v>
      </c>
      <c r="G4282" t="str">
        <f>VLOOKUP(A4282,[1]!Table1[#All],22,FALSE)</f>
        <v>COLUMBIA UNIVERSITY, SCHOOL OF ARTS &amp; SCIENCES</v>
      </c>
      <c r="H4282" s="8">
        <f>VLOOKUP(A4282,[1]!Table1[#All],32,FALSE)</f>
        <v>42643</v>
      </c>
      <c r="I4282" s="8">
        <f>VLOOKUP(A4282,[1]!Table1[#All],33,FALSE)</f>
        <v>44833</v>
      </c>
      <c r="J4282" t="str">
        <f t="shared" ca="1" si="70"/>
        <v>UDO</v>
      </c>
    </row>
    <row r="4283" spans="1:10" x14ac:dyDescent="0.35">
      <c r="A4283" s="9" t="s">
        <v>138</v>
      </c>
      <c r="B4283" s="10">
        <v>44440</v>
      </c>
      <c r="C4283" s="11">
        <v>500000</v>
      </c>
      <c r="D4283" s="11">
        <v>67261.570000000007</v>
      </c>
      <c r="E4283" s="11">
        <v>432738.43</v>
      </c>
      <c r="F4283" t="str">
        <f>VLOOKUP(A4283,[1]!Table1[#All],17,FALSE)</f>
        <v>UNITED STATES</v>
      </c>
      <c r="G4283" t="str">
        <f>VLOOKUP(A4283,[1]!Table1[#All],22,FALSE)</f>
        <v>COLUMBIA UNIVERSITY, SCHOOL OF ARTS &amp; SCIENCES</v>
      </c>
      <c r="H4283" s="8">
        <f>VLOOKUP(A4283,[1]!Table1[#All],32,FALSE)</f>
        <v>42643</v>
      </c>
      <c r="I4283" s="8">
        <f>VLOOKUP(A4283,[1]!Table1[#All],33,FALSE)</f>
        <v>44833</v>
      </c>
      <c r="J4283" t="str">
        <f t="shared" ca="1" si="70"/>
        <v>UDO</v>
      </c>
    </row>
    <row r="4284" spans="1:10" x14ac:dyDescent="0.35">
      <c r="A4284" s="5" t="s">
        <v>138</v>
      </c>
      <c r="B4284" s="6">
        <v>44470</v>
      </c>
      <c r="C4284" s="7">
        <v>500000</v>
      </c>
      <c r="D4284" s="7">
        <v>67074.37</v>
      </c>
      <c r="E4284" s="7">
        <v>432925.63</v>
      </c>
      <c r="F4284" t="str">
        <f>VLOOKUP(A4284,[1]!Table1[#All],17,FALSE)</f>
        <v>UNITED STATES</v>
      </c>
      <c r="G4284" t="str">
        <f>VLOOKUP(A4284,[1]!Table1[#All],22,FALSE)</f>
        <v>COLUMBIA UNIVERSITY, SCHOOL OF ARTS &amp; SCIENCES</v>
      </c>
      <c r="H4284" s="8">
        <f>VLOOKUP(A4284,[1]!Table1[#All],32,FALSE)</f>
        <v>42643</v>
      </c>
      <c r="I4284" s="8">
        <f>VLOOKUP(A4284,[1]!Table1[#All],33,FALSE)</f>
        <v>44833</v>
      </c>
      <c r="J4284" t="str">
        <f t="shared" ca="1" si="70"/>
        <v>UDO</v>
      </c>
    </row>
    <row r="4285" spans="1:10" x14ac:dyDescent="0.35">
      <c r="A4285" s="9" t="s">
        <v>138</v>
      </c>
      <c r="B4285" s="10">
        <v>44501</v>
      </c>
      <c r="C4285" s="11">
        <v>500000</v>
      </c>
      <c r="D4285" s="11">
        <v>73550.990000000005</v>
      </c>
      <c r="E4285" s="11">
        <v>426449.01</v>
      </c>
      <c r="F4285" t="str">
        <f>VLOOKUP(A4285,[1]!Table1[#All],17,FALSE)</f>
        <v>UNITED STATES</v>
      </c>
      <c r="G4285" t="str">
        <f>VLOOKUP(A4285,[1]!Table1[#All],22,FALSE)</f>
        <v>COLUMBIA UNIVERSITY, SCHOOL OF ARTS &amp; SCIENCES</v>
      </c>
      <c r="H4285" s="8">
        <f>VLOOKUP(A4285,[1]!Table1[#All],32,FALSE)</f>
        <v>42643</v>
      </c>
      <c r="I4285" s="8">
        <f>VLOOKUP(A4285,[1]!Table1[#All],33,FALSE)</f>
        <v>44833</v>
      </c>
      <c r="J4285" t="str">
        <f t="shared" ca="1" si="70"/>
        <v>UDO</v>
      </c>
    </row>
    <row r="4286" spans="1:10" x14ac:dyDescent="0.35">
      <c r="A4286" s="5" t="s">
        <v>138</v>
      </c>
      <c r="B4286" s="6">
        <v>44531</v>
      </c>
      <c r="C4286" s="7">
        <v>500000</v>
      </c>
      <c r="D4286" s="7">
        <v>78950.259999999995</v>
      </c>
      <c r="E4286" s="7">
        <v>421049.74</v>
      </c>
      <c r="F4286" t="str">
        <f>VLOOKUP(A4286,[1]!Table1[#All],17,FALSE)</f>
        <v>UNITED STATES</v>
      </c>
      <c r="G4286" t="str">
        <f>VLOOKUP(A4286,[1]!Table1[#All],22,FALSE)</f>
        <v>COLUMBIA UNIVERSITY, SCHOOL OF ARTS &amp; SCIENCES</v>
      </c>
      <c r="H4286" s="8">
        <f>VLOOKUP(A4286,[1]!Table1[#All],32,FALSE)</f>
        <v>42643</v>
      </c>
      <c r="I4286" s="8">
        <f>VLOOKUP(A4286,[1]!Table1[#All],33,FALSE)</f>
        <v>44833</v>
      </c>
      <c r="J4286" t="str">
        <f t="shared" ca="1" si="70"/>
        <v>UDO</v>
      </c>
    </row>
    <row r="4287" spans="1:10" x14ac:dyDescent="0.35">
      <c r="A4287" s="9" t="s">
        <v>138</v>
      </c>
      <c r="B4287" s="10">
        <v>44562</v>
      </c>
      <c r="C4287" s="11">
        <v>500000</v>
      </c>
      <c r="D4287" s="11">
        <v>105325.89</v>
      </c>
      <c r="E4287" s="11">
        <v>394674.11</v>
      </c>
      <c r="F4287" t="str">
        <f>VLOOKUP(A4287,[1]!Table1[#All],17,FALSE)</f>
        <v>UNITED STATES</v>
      </c>
      <c r="G4287" t="str">
        <f>VLOOKUP(A4287,[1]!Table1[#All],22,FALSE)</f>
        <v>COLUMBIA UNIVERSITY, SCHOOL OF ARTS &amp; SCIENCES</v>
      </c>
      <c r="H4287" s="8">
        <f>VLOOKUP(A4287,[1]!Table1[#All],32,FALSE)</f>
        <v>42643</v>
      </c>
      <c r="I4287" s="8">
        <f>VLOOKUP(A4287,[1]!Table1[#All],33,FALSE)</f>
        <v>44833</v>
      </c>
      <c r="J4287" t="str">
        <f t="shared" ca="1" si="70"/>
        <v>UDO</v>
      </c>
    </row>
    <row r="4288" spans="1:10" x14ac:dyDescent="0.35">
      <c r="A4288" s="5" t="s">
        <v>138</v>
      </c>
      <c r="B4288" s="6">
        <v>44593</v>
      </c>
      <c r="C4288" s="7">
        <v>500000</v>
      </c>
      <c r="D4288" s="7">
        <v>118053.13</v>
      </c>
      <c r="E4288" s="7">
        <v>381946.87</v>
      </c>
      <c r="F4288" t="str">
        <f>VLOOKUP(A4288,[1]!Table1[#All],17,FALSE)</f>
        <v>UNITED STATES</v>
      </c>
      <c r="G4288" t="str">
        <f>VLOOKUP(A4288,[1]!Table1[#All],22,FALSE)</f>
        <v>COLUMBIA UNIVERSITY, SCHOOL OF ARTS &amp; SCIENCES</v>
      </c>
      <c r="H4288" s="8">
        <f>VLOOKUP(A4288,[1]!Table1[#All],32,FALSE)</f>
        <v>42643</v>
      </c>
      <c r="I4288" s="8">
        <f>VLOOKUP(A4288,[1]!Table1[#All],33,FALSE)</f>
        <v>44833</v>
      </c>
      <c r="J4288" t="str">
        <f t="shared" ca="1" si="70"/>
        <v>UDO</v>
      </c>
    </row>
    <row r="4289" spans="1:10" x14ac:dyDescent="0.35">
      <c r="A4289" s="9" t="s">
        <v>138</v>
      </c>
      <c r="B4289" s="10">
        <v>44621</v>
      </c>
      <c r="C4289" s="11">
        <v>500000</v>
      </c>
      <c r="D4289" s="11">
        <v>129988.33</v>
      </c>
      <c r="E4289" s="11">
        <v>370011.67</v>
      </c>
      <c r="F4289" t="str">
        <f>VLOOKUP(A4289,[1]!Table1[#All],17,FALSE)</f>
        <v>UNITED STATES</v>
      </c>
      <c r="G4289" t="str">
        <f>VLOOKUP(A4289,[1]!Table1[#All],22,FALSE)</f>
        <v>COLUMBIA UNIVERSITY, SCHOOL OF ARTS &amp; SCIENCES</v>
      </c>
      <c r="H4289" s="8">
        <f>VLOOKUP(A4289,[1]!Table1[#All],32,FALSE)</f>
        <v>42643</v>
      </c>
      <c r="I4289" s="8">
        <f>VLOOKUP(A4289,[1]!Table1[#All],33,FALSE)</f>
        <v>44833</v>
      </c>
      <c r="J4289" t="str">
        <f t="shared" ca="1" si="70"/>
        <v>UDO</v>
      </c>
    </row>
    <row r="4290" spans="1:10" x14ac:dyDescent="0.35">
      <c r="A4290" s="5" t="s">
        <v>138</v>
      </c>
      <c r="B4290" s="6">
        <v>44652</v>
      </c>
      <c r="C4290" s="7">
        <v>500000</v>
      </c>
      <c r="D4290" s="7">
        <v>150805.60999999999</v>
      </c>
      <c r="E4290" s="7">
        <v>349194.39</v>
      </c>
      <c r="F4290" t="str">
        <f>VLOOKUP(A4290,[1]!Table1[#All],17,FALSE)</f>
        <v>UNITED STATES</v>
      </c>
      <c r="G4290" t="str">
        <f>VLOOKUP(A4290,[1]!Table1[#All],22,FALSE)</f>
        <v>COLUMBIA UNIVERSITY, SCHOOL OF ARTS &amp; SCIENCES</v>
      </c>
      <c r="H4290" s="8">
        <f>VLOOKUP(A4290,[1]!Table1[#All],32,FALSE)</f>
        <v>42643</v>
      </c>
      <c r="I4290" s="8">
        <f>VLOOKUP(A4290,[1]!Table1[#All],33,FALSE)</f>
        <v>44833</v>
      </c>
      <c r="J4290" t="str">
        <f t="shared" ca="1" si="70"/>
        <v>UDO</v>
      </c>
    </row>
    <row r="4291" spans="1:10" x14ac:dyDescent="0.35">
      <c r="A4291" s="9" t="s">
        <v>138</v>
      </c>
      <c r="B4291" s="10">
        <v>44682</v>
      </c>
      <c r="C4291" s="11">
        <v>500000</v>
      </c>
      <c r="D4291" s="11">
        <v>174992.74</v>
      </c>
      <c r="E4291" s="11">
        <v>325007.26</v>
      </c>
      <c r="F4291" t="str">
        <f>VLOOKUP(A4291,[1]!Table1[#All],17,FALSE)</f>
        <v>UNITED STATES</v>
      </c>
      <c r="G4291" t="str">
        <f>VLOOKUP(A4291,[1]!Table1[#All],22,FALSE)</f>
        <v>COLUMBIA UNIVERSITY, SCHOOL OF ARTS &amp; SCIENCES</v>
      </c>
      <c r="H4291" s="8">
        <f>VLOOKUP(A4291,[1]!Table1[#All],32,FALSE)</f>
        <v>42643</v>
      </c>
      <c r="I4291" s="8">
        <f>VLOOKUP(A4291,[1]!Table1[#All],33,FALSE)</f>
        <v>44833</v>
      </c>
      <c r="J4291" t="str">
        <f t="shared" ref="J4291:J4354" ca="1" si="71">IF(AND( E4291&gt;0,TODAY()&gt;I4291),"UDO","Non UDO")</f>
        <v>UDO</v>
      </c>
    </row>
    <row r="4292" spans="1:10" x14ac:dyDescent="0.35">
      <c r="A4292" s="5" t="s">
        <v>138</v>
      </c>
      <c r="B4292" s="6">
        <v>44713</v>
      </c>
      <c r="C4292" s="7">
        <v>500000</v>
      </c>
      <c r="D4292" s="7">
        <v>191115.96</v>
      </c>
      <c r="E4292" s="7">
        <v>308884.03999999998</v>
      </c>
      <c r="F4292" t="str">
        <f>VLOOKUP(A4292,[1]!Table1[#All],17,FALSE)</f>
        <v>UNITED STATES</v>
      </c>
      <c r="G4292" t="str">
        <f>VLOOKUP(A4292,[1]!Table1[#All],22,FALSE)</f>
        <v>COLUMBIA UNIVERSITY, SCHOOL OF ARTS &amp; SCIENCES</v>
      </c>
      <c r="H4292" s="8">
        <f>VLOOKUP(A4292,[1]!Table1[#All],32,FALSE)</f>
        <v>42643</v>
      </c>
      <c r="I4292" s="8">
        <f>VLOOKUP(A4292,[1]!Table1[#All],33,FALSE)</f>
        <v>44833</v>
      </c>
      <c r="J4292" t="str">
        <f t="shared" ca="1" si="71"/>
        <v>UDO</v>
      </c>
    </row>
    <row r="4293" spans="1:10" x14ac:dyDescent="0.35">
      <c r="A4293" s="9" t="s">
        <v>138</v>
      </c>
      <c r="B4293" s="10">
        <v>44743</v>
      </c>
      <c r="C4293" s="11">
        <v>500000</v>
      </c>
      <c r="D4293" s="11">
        <v>234257.25</v>
      </c>
      <c r="E4293" s="11">
        <v>265742.75</v>
      </c>
      <c r="F4293" t="str">
        <f>VLOOKUP(A4293,[1]!Table1[#All],17,FALSE)</f>
        <v>UNITED STATES</v>
      </c>
      <c r="G4293" t="str">
        <f>VLOOKUP(A4293,[1]!Table1[#All],22,FALSE)</f>
        <v>COLUMBIA UNIVERSITY, SCHOOL OF ARTS &amp; SCIENCES</v>
      </c>
      <c r="H4293" s="8">
        <f>VLOOKUP(A4293,[1]!Table1[#All],32,FALSE)</f>
        <v>42643</v>
      </c>
      <c r="I4293" s="8">
        <f>VLOOKUP(A4293,[1]!Table1[#All],33,FALSE)</f>
        <v>44833</v>
      </c>
      <c r="J4293" t="str">
        <f t="shared" ca="1" si="71"/>
        <v>UDO</v>
      </c>
    </row>
    <row r="4294" spans="1:10" x14ac:dyDescent="0.35">
      <c r="A4294" s="5" t="s">
        <v>138</v>
      </c>
      <c r="B4294" s="6">
        <v>44774</v>
      </c>
      <c r="C4294" s="7">
        <v>500000</v>
      </c>
      <c r="D4294" s="7">
        <v>250414.43</v>
      </c>
      <c r="E4294" s="7">
        <v>249585.57</v>
      </c>
      <c r="F4294" t="str">
        <f>VLOOKUP(A4294,[1]!Table1[#All],17,FALSE)</f>
        <v>UNITED STATES</v>
      </c>
      <c r="G4294" t="str">
        <f>VLOOKUP(A4294,[1]!Table1[#All],22,FALSE)</f>
        <v>COLUMBIA UNIVERSITY, SCHOOL OF ARTS &amp; SCIENCES</v>
      </c>
      <c r="H4294" s="8">
        <f>VLOOKUP(A4294,[1]!Table1[#All],32,FALSE)</f>
        <v>42643</v>
      </c>
      <c r="I4294" s="8">
        <f>VLOOKUP(A4294,[1]!Table1[#All],33,FALSE)</f>
        <v>44833</v>
      </c>
      <c r="J4294" t="str">
        <f t="shared" ca="1" si="71"/>
        <v>UDO</v>
      </c>
    </row>
    <row r="4295" spans="1:10" x14ac:dyDescent="0.35">
      <c r="A4295" s="9" t="s">
        <v>138</v>
      </c>
      <c r="B4295" s="10">
        <v>44805</v>
      </c>
      <c r="C4295" s="11">
        <v>500000</v>
      </c>
      <c r="D4295" s="11">
        <v>306252.40999999997</v>
      </c>
      <c r="E4295" s="11">
        <v>193747.59</v>
      </c>
      <c r="F4295" t="str">
        <f>VLOOKUP(A4295,[1]!Table1[#All],17,FALSE)</f>
        <v>UNITED STATES</v>
      </c>
      <c r="G4295" t="str">
        <f>VLOOKUP(A4295,[1]!Table1[#All],22,FALSE)</f>
        <v>COLUMBIA UNIVERSITY, SCHOOL OF ARTS &amp; SCIENCES</v>
      </c>
      <c r="H4295" s="8">
        <f>VLOOKUP(A4295,[1]!Table1[#All],32,FALSE)</f>
        <v>42643</v>
      </c>
      <c r="I4295" s="8">
        <f>VLOOKUP(A4295,[1]!Table1[#All],33,FALSE)</f>
        <v>44833</v>
      </c>
      <c r="J4295" t="str">
        <f t="shared" ca="1" si="71"/>
        <v>UDO</v>
      </c>
    </row>
    <row r="4296" spans="1:10" x14ac:dyDescent="0.35">
      <c r="A4296" s="5" t="s">
        <v>138</v>
      </c>
      <c r="B4296" s="6">
        <v>44835</v>
      </c>
      <c r="C4296" s="7">
        <v>500000</v>
      </c>
      <c r="D4296" s="7">
        <v>310995.59000000003</v>
      </c>
      <c r="E4296" s="7">
        <v>189004.41</v>
      </c>
      <c r="F4296" t="str">
        <f>VLOOKUP(A4296,[1]!Table1[#All],17,FALSE)</f>
        <v>UNITED STATES</v>
      </c>
      <c r="G4296" t="str">
        <f>VLOOKUP(A4296,[1]!Table1[#All],22,FALSE)</f>
        <v>COLUMBIA UNIVERSITY, SCHOOL OF ARTS &amp; SCIENCES</v>
      </c>
      <c r="H4296" s="8">
        <f>VLOOKUP(A4296,[1]!Table1[#All],32,FALSE)</f>
        <v>42643</v>
      </c>
      <c r="I4296" s="8">
        <f>VLOOKUP(A4296,[1]!Table1[#All],33,FALSE)</f>
        <v>44833</v>
      </c>
      <c r="J4296" t="str">
        <f t="shared" ca="1" si="71"/>
        <v>UDO</v>
      </c>
    </row>
    <row r="4297" spans="1:10" x14ac:dyDescent="0.35">
      <c r="A4297" s="9" t="s">
        <v>138</v>
      </c>
      <c r="B4297" s="10">
        <v>44866</v>
      </c>
      <c r="C4297" s="11">
        <v>500000</v>
      </c>
      <c r="D4297" s="11">
        <v>325950.34999999998</v>
      </c>
      <c r="E4297" s="11">
        <v>174049.65</v>
      </c>
      <c r="F4297" t="str">
        <f>VLOOKUP(A4297,[1]!Table1[#All],17,FALSE)</f>
        <v>UNITED STATES</v>
      </c>
      <c r="G4297" t="str">
        <f>VLOOKUP(A4297,[1]!Table1[#All],22,FALSE)</f>
        <v>COLUMBIA UNIVERSITY, SCHOOL OF ARTS &amp; SCIENCES</v>
      </c>
      <c r="H4297" s="8">
        <f>VLOOKUP(A4297,[1]!Table1[#All],32,FALSE)</f>
        <v>42643</v>
      </c>
      <c r="I4297" s="8">
        <f>VLOOKUP(A4297,[1]!Table1[#All],33,FALSE)</f>
        <v>44833</v>
      </c>
      <c r="J4297" t="str">
        <f t="shared" ca="1" si="71"/>
        <v>UDO</v>
      </c>
    </row>
    <row r="4298" spans="1:10" x14ac:dyDescent="0.35">
      <c r="A4298" s="5" t="s">
        <v>138</v>
      </c>
      <c r="B4298" s="6">
        <v>44896</v>
      </c>
      <c r="C4298" s="7">
        <v>500000</v>
      </c>
      <c r="D4298" s="7">
        <v>358086.87</v>
      </c>
      <c r="E4298" s="7">
        <v>141913.13</v>
      </c>
      <c r="F4298" t="str">
        <f>VLOOKUP(A4298,[1]!Table1[#All],17,FALSE)</f>
        <v>UNITED STATES</v>
      </c>
      <c r="G4298" t="str">
        <f>VLOOKUP(A4298,[1]!Table1[#All],22,FALSE)</f>
        <v>COLUMBIA UNIVERSITY, SCHOOL OF ARTS &amp; SCIENCES</v>
      </c>
      <c r="H4298" s="8">
        <f>VLOOKUP(A4298,[1]!Table1[#All],32,FALSE)</f>
        <v>42643</v>
      </c>
      <c r="I4298" s="8">
        <f>VLOOKUP(A4298,[1]!Table1[#All],33,FALSE)</f>
        <v>44833</v>
      </c>
      <c r="J4298" t="str">
        <f t="shared" ca="1" si="71"/>
        <v>UDO</v>
      </c>
    </row>
    <row r="4299" spans="1:10" x14ac:dyDescent="0.35">
      <c r="A4299" s="9" t="s">
        <v>138</v>
      </c>
      <c r="B4299" s="10">
        <v>44927</v>
      </c>
      <c r="C4299" s="11">
        <v>500000</v>
      </c>
      <c r="D4299" s="11">
        <v>364376.53</v>
      </c>
      <c r="E4299" s="11">
        <v>135623.47</v>
      </c>
      <c r="F4299" t="str">
        <f>VLOOKUP(A4299,[1]!Table1[#All],17,FALSE)</f>
        <v>UNITED STATES</v>
      </c>
      <c r="G4299" t="str">
        <f>VLOOKUP(A4299,[1]!Table1[#All],22,FALSE)</f>
        <v>COLUMBIA UNIVERSITY, SCHOOL OF ARTS &amp; SCIENCES</v>
      </c>
      <c r="H4299" s="8">
        <f>VLOOKUP(A4299,[1]!Table1[#All],32,FALSE)</f>
        <v>42643</v>
      </c>
      <c r="I4299" s="8">
        <f>VLOOKUP(A4299,[1]!Table1[#All],33,FALSE)</f>
        <v>44833</v>
      </c>
      <c r="J4299" t="str">
        <f t="shared" ca="1" si="71"/>
        <v>UDO</v>
      </c>
    </row>
    <row r="4300" spans="1:10" x14ac:dyDescent="0.35">
      <c r="A4300" s="5" t="s">
        <v>138</v>
      </c>
      <c r="B4300" s="6">
        <v>44958</v>
      </c>
      <c r="C4300" s="7">
        <v>500000</v>
      </c>
      <c r="D4300" s="7">
        <v>380025.11</v>
      </c>
      <c r="E4300" s="7">
        <v>119974.89</v>
      </c>
      <c r="F4300" t="str">
        <f>VLOOKUP(A4300,[1]!Table1[#All],17,FALSE)</f>
        <v>UNITED STATES</v>
      </c>
      <c r="G4300" t="str">
        <f>VLOOKUP(A4300,[1]!Table1[#All],22,FALSE)</f>
        <v>COLUMBIA UNIVERSITY, SCHOOL OF ARTS &amp; SCIENCES</v>
      </c>
      <c r="H4300" s="8">
        <f>VLOOKUP(A4300,[1]!Table1[#All],32,FALSE)</f>
        <v>42643</v>
      </c>
      <c r="I4300" s="8">
        <f>VLOOKUP(A4300,[1]!Table1[#All],33,FALSE)</f>
        <v>44833</v>
      </c>
      <c r="J4300" t="str">
        <f t="shared" ca="1" si="71"/>
        <v>UDO</v>
      </c>
    </row>
    <row r="4301" spans="1:10" x14ac:dyDescent="0.35">
      <c r="A4301" s="9" t="s">
        <v>138</v>
      </c>
      <c r="B4301" s="10">
        <v>44986</v>
      </c>
      <c r="C4301" s="11">
        <v>500000</v>
      </c>
      <c r="D4301" s="11">
        <v>399212.79</v>
      </c>
      <c r="E4301" s="11">
        <v>100787.21</v>
      </c>
      <c r="F4301" t="str">
        <f>VLOOKUP(A4301,[1]!Table1[#All],17,FALSE)</f>
        <v>UNITED STATES</v>
      </c>
      <c r="G4301" t="str">
        <f>VLOOKUP(A4301,[1]!Table1[#All],22,FALSE)</f>
        <v>COLUMBIA UNIVERSITY, SCHOOL OF ARTS &amp; SCIENCES</v>
      </c>
      <c r="H4301" s="8">
        <f>VLOOKUP(A4301,[1]!Table1[#All],32,FALSE)</f>
        <v>42643</v>
      </c>
      <c r="I4301" s="8">
        <f>VLOOKUP(A4301,[1]!Table1[#All],33,FALSE)</f>
        <v>44833</v>
      </c>
      <c r="J4301" t="str">
        <f t="shared" ca="1" si="71"/>
        <v>UDO</v>
      </c>
    </row>
    <row r="4302" spans="1:10" x14ac:dyDescent="0.35">
      <c r="A4302" s="5" t="s">
        <v>138</v>
      </c>
      <c r="B4302" s="6">
        <v>45017</v>
      </c>
      <c r="C4302" s="7">
        <v>500000</v>
      </c>
      <c r="D4302" s="7">
        <v>412836.55</v>
      </c>
      <c r="E4302" s="7">
        <v>87163.45</v>
      </c>
      <c r="F4302" t="str">
        <f>VLOOKUP(A4302,[1]!Table1[#All],17,FALSE)</f>
        <v>UNITED STATES</v>
      </c>
      <c r="G4302" t="str">
        <f>VLOOKUP(A4302,[1]!Table1[#All],22,FALSE)</f>
        <v>COLUMBIA UNIVERSITY, SCHOOL OF ARTS &amp; SCIENCES</v>
      </c>
      <c r="H4302" s="8">
        <f>VLOOKUP(A4302,[1]!Table1[#All],32,FALSE)</f>
        <v>42643</v>
      </c>
      <c r="I4302" s="8">
        <f>VLOOKUP(A4302,[1]!Table1[#All],33,FALSE)</f>
        <v>44833</v>
      </c>
      <c r="J4302" t="str">
        <f t="shared" ca="1" si="71"/>
        <v>UDO</v>
      </c>
    </row>
    <row r="4303" spans="1:10" x14ac:dyDescent="0.35">
      <c r="A4303" s="9" t="s">
        <v>138</v>
      </c>
      <c r="B4303" s="10">
        <v>45047</v>
      </c>
      <c r="C4303" s="11">
        <v>500000</v>
      </c>
      <c r="D4303" s="11">
        <v>446073.53</v>
      </c>
      <c r="E4303" s="11">
        <v>53926.47</v>
      </c>
      <c r="F4303" t="str">
        <f>VLOOKUP(A4303,[1]!Table1[#All],17,FALSE)</f>
        <v>UNITED STATES</v>
      </c>
      <c r="G4303" t="str">
        <f>VLOOKUP(A4303,[1]!Table1[#All],22,FALSE)</f>
        <v>COLUMBIA UNIVERSITY, SCHOOL OF ARTS &amp; SCIENCES</v>
      </c>
      <c r="H4303" s="8">
        <f>VLOOKUP(A4303,[1]!Table1[#All],32,FALSE)</f>
        <v>42643</v>
      </c>
      <c r="I4303" s="8">
        <f>VLOOKUP(A4303,[1]!Table1[#All],33,FALSE)</f>
        <v>44833</v>
      </c>
      <c r="J4303" t="str">
        <f t="shared" ca="1" si="71"/>
        <v>UDO</v>
      </c>
    </row>
    <row r="4304" spans="1:10" x14ac:dyDescent="0.35">
      <c r="A4304" s="5" t="s">
        <v>138</v>
      </c>
      <c r="B4304" s="6">
        <v>45078</v>
      </c>
      <c r="C4304" s="7">
        <v>500000</v>
      </c>
      <c r="D4304" s="7">
        <v>447239.78</v>
      </c>
      <c r="E4304" s="7">
        <v>52760.22</v>
      </c>
      <c r="F4304" t="str">
        <f>VLOOKUP(A4304,[1]!Table1[#All],17,FALSE)</f>
        <v>UNITED STATES</v>
      </c>
      <c r="G4304" t="str">
        <f>VLOOKUP(A4304,[1]!Table1[#All],22,FALSE)</f>
        <v>COLUMBIA UNIVERSITY, SCHOOL OF ARTS &amp; SCIENCES</v>
      </c>
      <c r="H4304" s="8">
        <f>VLOOKUP(A4304,[1]!Table1[#All],32,FALSE)</f>
        <v>42643</v>
      </c>
      <c r="I4304" s="8">
        <f>VLOOKUP(A4304,[1]!Table1[#All],33,FALSE)</f>
        <v>44833</v>
      </c>
      <c r="J4304" t="str">
        <f t="shared" ca="1" si="71"/>
        <v>UDO</v>
      </c>
    </row>
    <row r="4305" spans="1:10" x14ac:dyDescent="0.35">
      <c r="A4305" s="9" t="s">
        <v>138</v>
      </c>
      <c r="B4305" s="10">
        <v>45108</v>
      </c>
      <c r="C4305" s="11">
        <v>500000</v>
      </c>
      <c r="D4305" s="11">
        <v>466189.92</v>
      </c>
      <c r="E4305" s="11">
        <v>33810.080000000002</v>
      </c>
      <c r="F4305" t="str">
        <f>VLOOKUP(A4305,[1]!Table1[#All],17,FALSE)</f>
        <v>UNITED STATES</v>
      </c>
      <c r="G4305" t="str">
        <f>VLOOKUP(A4305,[1]!Table1[#All],22,FALSE)</f>
        <v>COLUMBIA UNIVERSITY, SCHOOL OF ARTS &amp; SCIENCES</v>
      </c>
      <c r="H4305" s="8">
        <f>VLOOKUP(A4305,[1]!Table1[#All],32,FALSE)</f>
        <v>42643</v>
      </c>
      <c r="I4305" s="8">
        <f>VLOOKUP(A4305,[1]!Table1[#All],33,FALSE)</f>
        <v>44833</v>
      </c>
      <c r="J4305" t="str">
        <f t="shared" ca="1" si="71"/>
        <v>UDO</v>
      </c>
    </row>
    <row r="4306" spans="1:10" x14ac:dyDescent="0.35">
      <c r="A4306" s="5" t="s">
        <v>138</v>
      </c>
      <c r="B4306" s="6">
        <v>45139</v>
      </c>
      <c r="C4306" s="7">
        <v>500000</v>
      </c>
      <c r="D4306" s="7">
        <v>466212.81</v>
      </c>
      <c r="E4306" s="7">
        <v>33787.19</v>
      </c>
      <c r="F4306" t="str">
        <f>VLOOKUP(A4306,[1]!Table1[#All],17,FALSE)</f>
        <v>UNITED STATES</v>
      </c>
      <c r="G4306" t="str">
        <f>VLOOKUP(A4306,[1]!Table1[#All],22,FALSE)</f>
        <v>COLUMBIA UNIVERSITY, SCHOOL OF ARTS &amp; SCIENCES</v>
      </c>
      <c r="H4306" s="8">
        <f>VLOOKUP(A4306,[1]!Table1[#All],32,FALSE)</f>
        <v>42643</v>
      </c>
      <c r="I4306" s="8">
        <f>VLOOKUP(A4306,[1]!Table1[#All],33,FALSE)</f>
        <v>44833</v>
      </c>
      <c r="J4306" t="str">
        <f t="shared" ca="1" si="71"/>
        <v>UDO</v>
      </c>
    </row>
    <row r="4307" spans="1:10" x14ac:dyDescent="0.35">
      <c r="A4307" s="9" t="s">
        <v>138</v>
      </c>
      <c r="B4307" s="10">
        <v>45170</v>
      </c>
      <c r="C4307" s="11">
        <v>500000</v>
      </c>
      <c r="D4307" s="11">
        <v>488889.63</v>
      </c>
      <c r="E4307" s="11">
        <v>11110.37</v>
      </c>
      <c r="F4307" t="str">
        <f>VLOOKUP(A4307,[1]!Table1[#All],17,FALSE)</f>
        <v>UNITED STATES</v>
      </c>
      <c r="G4307" t="str">
        <f>VLOOKUP(A4307,[1]!Table1[#All],22,FALSE)</f>
        <v>COLUMBIA UNIVERSITY, SCHOOL OF ARTS &amp; SCIENCES</v>
      </c>
      <c r="H4307" s="8">
        <f>VLOOKUP(A4307,[1]!Table1[#All],32,FALSE)</f>
        <v>42643</v>
      </c>
      <c r="I4307" s="8">
        <f>VLOOKUP(A4307,[1]!Table1[#All],33,FALSE)</f>
        <v>44833</v>
      </c>
      <c r="J4307" t="str">
        <f t="shared" ca="1" si="71"/>
        <v>UDO</v>
      </c>
    </row>
    <row r="4308" spans="1:10" x14ac:dyDescent="0.35">
      <c r="A4308" s="5" t="s">
        <v>139</v>
      </c>
      <c r="B4308" s="6">
        <v>44105</v>
      </c>
      <c r="C4308" s="7">
        <v>190757</v>
      </c>
      <c r="D4308" s="7">
        <v>85434.880000000005</v>
      </c>
      <c r="E4308" s="7">
        <v>105322.12</v>
      </c>
      <c r="F4308" t="str">
        <f>VLOOKUP(A4308,[1]!Table1[#All],17,FALSE)</f>
        <v>UNITED STATES</v>
      </c>
      <c r="G4308" t="str">
        <f>VLOOKUP(A4308,[1]!Table1[#All],22,FALSE)</f>
        <v>UNIVERSITY OF CALIFORNIA-SAN FRANCISCO</v>
      </c>
      <c r="H4308" s="8">
        <f>VLOOKUP(A4308,[1]!Table1[#All],32,FALSE)</f>
        <v>42643</v>
      </c>
      <c r="I4308" s="8">
        <f>VLOOKUP(A4308,[1]!Table1[#All],33,FALSE)</f>
        <v>44468</v>
      </c>
      <c r="J4308" t="str">
        <f t="shared" ca="1" si="71"/>
        <v>UDO</v>
      </c>
    </row>
    <row r="4309" spans="1:10" x14ac:dyDescent="0.35">
      <c r="A4309" s="9" t="s">
        <v>139</v>
      </c>
      <c r="B4309" s="10">
        <v>44136</v>
      </c>
      <c r="C4309" s="11">
        <v>190757</v>
      </c>
      <c r="D4309" s="11">
        <v>104159.32</v>
      </c>
      <c r="E4309" s="11">
        <v>86597.68</v>
      </c>
      <c r="F4309" t="str">
        <f>VLOOKUP(A4309,[1]!Table1[#All],17,FALSE)</f>
        <v>UNITED STATES</v>
      </c>
      <c r="G4309" t="str">
        <f>VLOOKUP(A4309,[1]!Table1[#All],22,FALSE)</f>
        <v>UNIVERSITY OF CALIFORNIA-SAN FRANCISCO</v>
      </c>
      <c r="H4309" s="8">
        <f>VLOOKUP(A4309,[1]!Table1[#All],32,FALSE)</f>
        <v>42643</v>
      </c>
      <c r="I4309" s="8">
        <f>VLOOKUP(A4309,[1]!Table1[#All],33,FALSE)</f>
        <v>44468</v>
      </c>
      <c r="J4309" t="str">
        <f t="shared" ca="1" si="71"/>
        <v>UDO</v>
      </c>
    </row>
    <row r="4310" spans="1:10" x14ac:dyDescent="0.35">
      <c r="A4310" s="5" t="s">
        <v>139</v>
      </c>
      <c r="B4310" s="6">
        <v>44166</v>
      </c>
      <c r="C4310" s="7">
        <v>190757</v>
      </c>
      <c r="D4310" s="7">
        <v>116441.07</v>
      </c>
      <c r="E4310" s="7">
        <v>74315.929999999993</v>
      </c>
      <c r="F4310" t="str">
        <f>VLOOKUP(A4310,[1]!Table1[#All],17,FALSE)</f>
        <v>UNITED STATES</v>
      </c>
      <c r="G4310" t="str">
        <f>VLOOKUP(A4310,[1]!Table1[#All],22,FALSE)</f>
        <v>UNIVERSITY OF CALIFORNIA-SAN FRANCISCO</v>
      </c>
      <c r="H4310" s="8">
        <f>VLOOKUP(A4310,[1]!Table1[#All],32,FALSE)</f>
        <v>42643</v>
      </c>
      <c r="I4310" s="8">
        <f>VLOOKUP(A4310,[1]!Table1[#All],33,FALSE)</f>
        <v>44468</v>
      </c>
      <c r="J4310" t="str">
        <f t="shared" ca="1" si="71"/>
        <v>UDO</v>
      </c>
    </row>
    <row r="4311" spans="1:10" x14ac:dyDescent="0.35">
      <c r="A4311" s="9" t="s">
        <v>139</v>
      </c>
      <c r="B4311" s="10">
        <v>44197</v>
      </c>
      <c r="C4311" s="11">
        <v>190757</v>
      </c>
      <c r="D4311" s="11">
        <v>142933.16</v>
      </c>
      <c r="E4311" s="11">
        <v>47823.839999999997</v>
      </c>
      <c r="F4311" t="str">
        <f>VLOOKUP(A4311,[1]!Table1[#All],17,FALSE)</f>
        <v>UNITED STATES</v>
      </c>
      <c r="G4311" t="str">
        <f>VLOOKUP(A4311,[1]!Table1[#All],22,FALSE)</f>
        <v>UNIVERSITY OF CALIFORNIA-SAN FRANCISCO</v>
      </c>
      <c r="H4311" s="8">
        <f>VLOOKUP(A4311,[1]!Table1[#All],32,FALSE)</f>
        <v>42643</v>
      </c>
      <c r="I4311" s="8">
        <f>VLOOKUP(A4311,[1]!Table1[#All],33,FALSE)</f>
        <v>44468</v>
      </c>
      <c r="J4311" t="str">
        <f t="shared" ca="1" si="71"/>
        <v>UDO</v>
      </c>
    </row>
    <row r="4312" spans="1:10" x14ac:dyDescent="0.35">
      <c r="A4312" s="5" t="s">
        <v>139</v>
      </c>
      <c r="B4312" s="6">
        <v>44228</v>
      </c>
      <c r="C4312" s="7">
        <v>190757</v>
      </c>
      <c r="D4312" s="7">
        <v>144152.56</v>
      </c>
      <c r="E4312" s="7">
        <v>46604.44</v>
      </c>
      <c r="F4312" t="str">
        <f>VLOOKUP(A4312,[1]!Table1[#All],17,FALSE)</f>
        <v>UNITED STATES</v>
      </c>
      <c r="G4312" t="str">
        <f>VLOOKUP(A4312,[1]!Table1[#All],22,FALSE)</f>
        <v>UNIVERSITY OF CALIFORNIA-SAN FRANCISCO</v>
      </c>
      <c r="H4312" s="8">
        <f>VLOOKUP(A4312,[1]!Table1[#All],32,FALSE)</f>
        <v>42643</v>
      </c>
      <c r="I4312" s="8">
        <f>VLOOKUP(A4312,[1]!Table1[#All],33,FALSE)</f>
        <v>44468</v>
      </c>
      <c r="J4312" t="str">
        <f t="shared" ca="1" si="71"/>
        <v>UDO</v>
      </c>
    </row>
    <row r="4313" spans="1:10" x14ac:dyDescent="0.35">
      <c r="A4313" s="9" t="s">
        <v>139</v>
      </c>
      <c r="B4313" s="10">
        <v>44256</v>
      </c>
      <c r="C4313" s="11">
        <v>190757</v>
      </c>
      <c r="D4313" s="11">
        <v>140014.68</v>
      </c>
      <c r="E4313" s="11">
        <v>50742.32</v>
      </c>
      <c r="F4313" t="str">
        <f>VLOOKUP(A4313,[1]!Table1[#All],17,FALSE)</f>
        <v>UNITED STATES</v>
      </c>
      <c r="G4313" t="str">
        <f>VLOOKUP(A4313,[1]!Table1[#All],22,FALSE)</f>
        <v>UNIVERSITY OF CALIFORNIA-SAN FRANCISCO</v>
      </c>
      <c r="H4313" s="8">
        <f>VLOOKUP(A4313,[1]!Table1[#All],32,FALSE)</f>
        <v>42643</v>
      </c>
      <c r="I4313" s="8">
        <f>VLOOKUP(A4313,[1]!Table1[#All],33,FALSE)</f>
        <v>44468</v>
      </c>
      <c r="J4313" t="str">
        <f t="shared" ca="1" si="71"/>
        <v>UDO</v>
      </c>
    </row>
    <row r="4314" spans="1:10" x14ac:dyDescent="0.35">
      <c r="A4314" s="5" t="s">
        <v>139</v>
      </c>
      <c r="B4314" s="6">
        <v>44317</v>
      </c>
      <c r="C4314" s="7">
        <v>190757</v>
      </c>
      <c r="D4314" s="7">
        <v>146353.38</v>
      </c>
      <c r="E4314" s="7">
        <v>44403.62</v>
      </c>
      <c r="F4314" t="str">
        <f>VLOOKUP(A4314,[1]!Table1[#All],17,FALSE)</f>
        <v>UNITED STATES</v>
      </c>
      <c r="G4314" t="str">
        <f>VLOOKUP(A4314,[1]!Table1[#All],22,FALSE)</f>
        <v>UNIVERSITY OF CALIFORNIA-SAN FRANCISCO</v>
      </c>
      <c r="H4314" s="8">
        <f>VLOOKUP(A4314,[1]!Table1[#All],32,FALSE)</f>
        <v>42643</v>
      </c>
      <c r="I4314" s="8">
        <f>VLOOKUP(A4314,[1]!Table1[#All],33,FALSE)</f>
        <v>44468</v>
      </c>
      <c r="J4314" t="str">
        <f t="shared" ca="1" si="71"/>
        <v>UDO</v>
      </c>
    </row>
    <row r="4315" spans="1:10" x14ac:dyDescent="0.35">
      <c r="A4315" s="9" t="s">
        <v>139</v>
      </c>
      <c r="B4315" s="10">
        <v>44348</v>
      </c>
      <c r="C4315" s="11">
        <v>190757</v>
      </c>
      <c r="D4315" s="11">
        <v>155240.75</v>
      </c>
      <c r="E4315" s="11">
        <v>35516.25</v>
      </c>
      <c r="F4315" t="str">
        <f>VLOOKUP(A4315,[1]!Table1[#All],17,FALSE)</f>
        <v>UNITED STATES</v>
      </c>
      <c r="G4315" t="str">
        <f>VLOOKUP(A4315,[1]!Table1[#All],22,FALSE)</f>
        <v>UNIVERSITY OF CALIFORNIA-SAN FRANCISCO</v>
      </c>
      <c r="H4315" s="8">
        <f>VLOOKUP(A4315,[1]!Table1[#All],32,FALSE)</f>
        <v>42643</v>
      </c>
      <c r="I4315" s="8">
        <f>VLOOKUP(A4315,[1]!Table1[#All],33,FALSE)</f>
        <v>44468</v>
      </c>
      <c r="J4315" t="str">
        <f t="shared" ca="1" si="71"/>
        <v>UDO</v>
      </c>
    </row>
    <row r="4316" spans="1:10" x14ac:dyDescent="0.35">
      <c r="A4316" s="5" t="s">
        <v>139</v>
      </c>
      <c r="B4316" s="6">
        <v>44378</v>
      </c>
      <c r="C4316" s="7">
        <v>190757</v>
      </c>
      <c r="D4316" s="7">
        <v>159238.17000000001</v>
      </c>
      <c r="E4316" s="7">
        <v>31518.83</v>
      </c>
      <c r="F4316" t="str">
        <f>VLOOKUP(A4316,[1]!Table1[#All],17,FALSE)</f>
        <v>UNITED STATES</v>
      </c>
      <c r="G4316" t="str">
        <f>VLOOKUP(A4316,[1]!Table1[#All],22,FALSE)</f>
        <v>UNIVERSITY OF CALIFORNIA-SAN FRANCISCO</v>
      </c>
      <c r="H4316" s="8">
        <f>VLOOKUP(A4316,[1]!Table1[#All],32,FALSE)</f>
        <v>42643</v>
      </c>
      <c r="I4316" s="8">
        <f>VLOOKUP(A4316,[1]!Table1[#All],33,FALSE)</f>
        <v>44468</v>
      </c>
      <c r="J4316" t="str">
        <f t="shared" ca="1" si="71"/>
        <v>UDO</v>
      </c>
    </row>
    <row r="4317" spans="1:10" x14ac:dyDescent="0.35">
      <c r="A4317" s="9" t="s">
        <v>139</v>
      </c>
      <c r="B4317" s="10">
        <v>44409</v>
      </c>
      <c r="C4317" s="11">
        <v>190757</v>
      </c>
      <c r="D4317" s="11">
        <v>166094.87</v>
      </c>
      <c r="E4317" s="11">
        <v>24662.13</v>
      </c>
      <c r="F4317" t="str">
        <f>VLOOKUP(A4317,[1]!Table1[#All],17,FALSE)</f>
        <v>UNITED STATES</v>
      </c>
      <c r="G4317" t="str">
        <f>VLOOKUP(A4317,[1]!Table1[#All],22,FALSE)</f>
        <v>UNIVERSITY OF CALIFORNIA-SAN FRANCISCO</v>
      </c>
      <c r="H4317" s="8">
        <f>VLOOKUP(A4317,[1]!Table1[#All],32,FALSE)</f>
        <v>42643</v>
      </c>
      <c r="I4317" s="8">
        <f>VLOOKUP(A4317,[1]!Table1[#All],33,FALSE)</f>
        <v>44468</v>
      </c>
      <c r="J4317" t="str">
        <f t="shared" ca="1" si="71"/>
        <v>UDO</v>
      </c>
    </row>
    <row r="4318" spans="1:10" x14ac:dyDescent="0.35">
      <c r="A4318" s="5" t="s">
        <v>139</v>
      </c>
      <c r="B4318" s="6">
        <v>44440</v>
      </c>
      <c r="C4318" s="7">
        <v>190757</v>
      </c>
      <c r="D4318" s="7">
        <v>172943.51</v>
      </c>
      <c r="E4318" s="7">
        <v>17813.490000000002</v>
      </c>
      <c r="F4318" t="str">
        <f>VLOOKUP(A4318,[1]!Table1[#All],17,FALSE)</f>
        <v>UNITED STATES</v>
      </c>
      <c r="G4318" t="str">
        <f>VLOOKUP(A4318,[1]!Table1[#All],22,FALSE)</f>
        <v>UNIVERSITY OF CALIFORNIA-SAN FRANCISCO</v>
      </c>
      <c r="H4318" s="8">
        <f>VLOOKUP(A4318,[1]!Table1[#All],32,FALSE)</f>
        <v>42643</v>
      </c>
      <c r="I4318" s="8">
        <f>VLOOKUP(A4318,[1]!Table1[#All],33,FALSE)</f>
        <v>44468</v>
      </c>
      <c r="J4318" t="str">
        <f t="shared" ca="1" si="71"/>
        <v>UDO</v>
      </c>
    </row>
    <row r="4319" spans="1:10" x14ac:dyDescent="0.35">
      <c r="A4319" s="9" t="s">
        <v>139</v>
      </c>
      <c r="B4319" s="10">
        <v>44470</v>
      </c>
      <c r="C4319" s="11">
        <v>190757</v>
      </c>
      <c r="D4319" s="11">
        <v>185056.47</v>
      </c>
      <c r="E4319" s="11">
        <v>5700.53</v>
      </c>
      <c r="F4319" t="str">
        <f>VLOOKUP(A4319,[1]!Table1[#All],17,FALSE)</f>
        <v>UNITED STATES</v>
      </c>
      <c r="G4319" t="str">
        <f>VLOOKUP(A4319,[1]!Table1[#All],22,FALSE)</f>
        <v>UNIVERSITY OF CALIFORNIA-SAN FRANCISCO</v>
      </c>
      <c r="H4319" s="8">
        <f>VLOOKUP(A4319,[1]!Table1[#All],32,FALSE)</f>
        <v>42643</v>
      </c>
      <c r="I4319" s="8">
        <f>VLOOKUP(A4319,[1]!Table1[#All],33,FALSE)</f>
        <v>44468</v>
      </c>
      <c r="J4319" t="str">
        <f t="shared" ca="1" si="71"/>
        <v>UDO</v>
      </c>
    </row>
    <row r="4320" spans="1:10" x14ac:dyDescent="0.35">
      <c r="A4320" s="5" t="s">
        <v>139</v>
      </c>
      <c r="B4320" s="6">
        <v>44501</v>
      </c>
      <c r="C4320" s="7">
        <v>190757</v>
      </c>
      <c r="D4320" s="7">
        <v>187164.68</v>
      </c>
      <c r="E4320" s="7">
        <v>3592.32</v>
      </c>
      <c r="F4320" t="str">
        <f>VLOOKUP(A4320,[1]!Table1[#All],17,FALSE)</f>
        <v>UNITED STATES</v>
      </c>
      <c r="G4320" t="str">
        <f>VLOOKUP(A4320,[1]!Table1[#All],22,FALSE)</f>
        <v>UNIVERSITY OF CALIFORNIA-SAN FRANCISCO</v>
      </c>
      <c r="H4320" s="8">
        <f>VLOOKUP(A4320,[1]!Table1[#All],32,FALSE)</f>
        <v>42643</v>
      </c>
      <c r="I4320" s="8">
        <f>VLOOKUP(A4320,[1]!Table1[#All],33,FALSE)</f>
        <v>44468</v>
      </c>
      <c r="J4320" t="str">
        <f t="shared" ca="1" si="71"/>
        <v>UDO</v>
      </c>
    </row>
    <row r="4321" spans="1:10" x14ac:dyDescent="0.35">
      <c r="A4321" s="9" t="s">
        <v>139</v>
      </c>
      <c r="B4321" s="10">
        <v>44531</v>
      </c>
      <c r="C4321" s="11">
        <v>190757</v>
      </c>
      <c r="D4321" s="11">
        <v>190757</v>
      </c>
      <c r="E4321" s="11">
        <v>0</v>
      </c>
      <c r="F4321" t="str">
        <f>VLOOKUP(A4321,[1]!Table1[#All],17,FALSE)</f>
        <v>UNITED STATES</v>
      </c>
      <c r="G4321" t="str">
        <f>VLOOKUP(A4321,[1]!Table1[#All],22,FALSE)</f>
        <v>UNIVERSITY OF CALIFORNIA-SAN FRANCISCO</v>
      </c>
      <c r="H4321" s="8">
        <f>VLOOKUP(A4321,[1]!Table1[#All],32,FALSE)</f>
        <v>42643</v>
      </c>
      <c r="I4321" s="8">
        <f>VLOOKUP(A4321,[1]!Table1[#All],33,FALSE)</f>
        <v>44468</v>
      </c>
      <c r="J4321" t="str">
        <f t="shared" ca="1" si="71"/>
        <v>Non UDO</v>
      </c>
    </row>
    <row r="4322" spans="1:10" x14ac:dyDescent="0.35">
      <c r="A4322" s="5" t="s">
        <v>139</v>
      </c>
      <c r="B4322" s="6">
        <v>44562</v>
      </c>
      <c r="C4322" s="7">
        <v>190757</v>
      </c>
      <c r="D4322" s="7">
        <v>190757</v>
      </c>
      <c r="E4322" s="7">
        <v>0</v>
      </c>
      <c r="F4322" t="str">
        <f>VLOOKUP(A4322,[1]!Table1[#All],17,FALSE)</f>
        <v>UNITED STATES</v>
      </c>
      <c r="G4322" t="str">
        <f>VLOOKUP(A4322,[1]!Table1[#All],22,FALSE)</f>
        <v>UNIVERSITY OF CALIFORNIA-SAN FRANCISCO</v>
      </c>
      <c r="H4322" s="8">
        <f>VLOOKUP(A4322,[1]!Table1[#All],32,FALSE)</f>
        <v>42643</v>
      </c>
      <c r="I4322" s="8">
        <f>VLOOKUP(A4322,[1]!Table1[#All],33,FALSE)</f>
        <v>44468</v>
      </c>
      <c r="J4322" t="str">
        <f t="shared" ca="1" si="71"/>
        <v>Non UDO</v>
      </c>
    </row>
    <row r="4323" spans="1:10" x14ac:dyDescent="0.35">
      <c r="A4323" s="9" t="s">
        <v>139</v>
      </c>
      <c r="B4323" s="10">
        <v>44593</v>
      </c>
      <c r="C4323" s="11">
        <v>190757</v>
      </c>
      <c r="D4323" s="11">
        <v>190757</v>
      </c>
      <c r="E4323" s="11">
        <v>0</v>
      </c>
      <c r="F4323" t="str">
        <f>VLOOKUP(A4323,[1]!Table1[#All],17,FALSE)</f>
        <v>UNITED STATES</v>
      </c>
      <c r="G4323" t="str">
        <f>VLOOKUP(A4323,[1]!Table1[#All],22,FALSE)</f>
        <v>UNIVERSITY OF CALIFORNIA-SAN FRANCISCO</v>
      </c>
      <c r="H4323" s="8">
        <f>VLOOKUP(A4323,[1]!Table1[#All],32,FALSE)</f>
        <v>42643</v>
      </c>
      <c r="I4323" s="8">
        <f>VLOOKUP(A4323,[1]!Table1[#All],33,FALSE)</f>
        <v>44468</v>
      </c>
      <c r="J4323" t="str">
        <f t="shared" ca="1" si="71"/>
        <v>Non UDO</v>
      </c>
    </row>
    <row r="4324" spans="1:10" x14ac:dyDescent="0.35">
      <c r="A4324" s="5" t="s">
        <v>139</v>
      </c>
      <c r="B4324" s="6">
        <v>44621</v>
      </c>
      <c r="C4324" s="7">
        <v>190757</v>
      </c>
      <c r="D4324" s="7">
        <v>190757</v>
      </c>
      <c r="E4324" s="7">
        <v>0</v>
      </c>
      <c r="F4324" t="str">
        <f>VLOOKUP(A4324,[1]!Table1[#All],17,FALSE)</f>
        <v>UNITED STATES</v>
      </c>
      <c r="G4324" t="str">
        <f>VLOOKUP(A4324,[1]!Table1[#All],22,FALSE)</f>
        <v>UNIVERSITY OF CALIFORNIA-SAN FRANCISCO</v>
      </c>
      <c r="H4324" s="8">
        <f>VLOOKUP(A4324,[1]!Table1[#All],32,FALSE)</f>
        <v>42643</v>
      </c>
      <c r="I4324" s="8">
        <f>VLOOKUP(A4324,[1]!Table1[#All],33,FALSE)</f>
        <v>44468</v>
      </c>
      <c r="J4324" t="str">
        <f t="shared" ca="1" si="71"/>
        <v>Non UDO</v>
      </c>
    </row>
    <row r="4325" spans="1:10" x14ac:dyDescent="0.35">
      <c r="A4325" s="9" t="s">
        <v>139</v>
      </c>
      <c r="B4325" s="10">
        <v>44652</v>
      </c>
      <c r="C4325" s="11">
        <v>190757</v>
      </c>
      <c r="D4325" s="11">
        <v>190757</v>
      </c>
      <c r="E4325" s="11">
        <v>0</v>
      </c>
      <c r="F4325" t="str">
        <f>VLOOKUP(A4325,[1]!Table1[#All],17,FALSE)</f>
        <v>UNITED STATES</v>
      </c>
      <c r="G4325" t="str">
        <f>VLOOKUP(A4325,[1]!Table1[#All],22,FALSE)</f>
        <v>UNIVERSITY OF CALIFORNIA-SAN FRANCISCO</v>
      </c>
      <c r="H4325" s="8">
        <f>VLOOKUP(A4325,[1]!Table1[#All],32,FALSE)</f>
        <v>42643</v>
      </c>
      <c r="I4325" s="8">
        <f>VLOOKUP(A4325,[1]!Table1[#All],33,FALSE)</f>
        <v>44468</v>
      </c>
      <c r="J4325" t="str">
        <f t="shared" ca="1" si="71"/>
        <v>Non UDO</v>
      </c>
    </row>
    <row r="4326" spans="1:10" x14ac:dyDescent="0.35">
      <c r="A4326" s="5" t="s">
        <v>139</v>
      </c>
      <c r="B4326" s="6">
        <v>44682</v>
      </c>
      <c r="C4326" s="7">
        <v>190757</v>
      </c>
      <c r="D4326" s="7">
        <v>190757</v>
      </c>
      <c r="E4326" s="7">
        <v>0</v>
      </c>
      <c r="F4326" t="str">
        <f>VLOOKUP(A4326,[1]!Table1[#All],17,FALSE)</f>
        <v>UNITED STATES</v>
      </c>
      <c r="G4326" t="str">
        <f>VLOOKUP(A4326,[1]!Table1[#All],22,FALSE)</f>
        <v>UNIVERSITY OF CALIFORNIA-SAN FRANCISCO</v>
      </c>
      <c r="H4326" s="8">
        <f>VLOOKUP(A4326,[1]!Table1[#All],32,FALSE)</f>
        <v>42643</v>
      </c>
      <c r="I4326" s="8">
        <f>VLOOKUP(A4326,[1]!Table1[#All],33,FALSE)</f>
        <v>44468</v>
      </c>
      <c r="J4326" t="str">
        <f t="shared" ca="1" si="71"/>
        <v>Non UDO</v>
      </c>
    </row>
    <row r="4327" spans="1:10" x14ac:dyDescent="0.35">
      <c r="A4327" s="9" t="s">
        <v>139</v>
      </c>
      <c r="B4327" s="10">
        <v>44713</v>
      </c>
      <c r="C4327" s="11">
        <v>190757</v>
      </c>
      <c r="D4327" s="11">
        <v>190757</v>
      </c>
      <c r="E4327" s="11">
        <v>0</v>
      </c>
      <c r="F4327" t="str">
        <f>VLOOKUP(A4327,[1]!Table1[#All],17,FALSE)</f>
        <v>UNITED STATES</v>
      </c>
      <c r="G4327" t="str">
        <f>VLOOKUP(A4327,[1]!Table1[#All],22,FALSE)</f>
        <v>UNIVERSITY OF CALIFORNIA-SAN FRANCISCO</v>
      </c>
      <c r="H4327" s="8">
        <f>VLOOKUP(A4327,[1]!Table1[#All],32,FALSE)</f>
        <v>42643</v>
      </c>
      <c r="I4327" s="8">
        <f>VLOOKUP(A4327,[1]!Table1[#All],33,FALSE)</f>
        <v>44468</v>
      </c>
      <c r="J4327" t="str">
        <f t="shared" ca="1" si="71"/>
        <v>Non UDO</v>
      </c>
    </row>
    <row r="4328" spans="1:10" x14ac:dyDescent="0.35">
      <c r="A4328" s="5" t="s">
        <v>139</v>
      </c>
      <c r="B4328" s="6">
        <v>44743</v>
      </c>
      <c r="C4328" s="7">
        <v>190757</v>
      </c>
      <c r="D4328" s="7">
        <v>190757</v>
      </c>
      <c r="E4328" s="7">
        <v>0</v>
      </c>
      <c r="F4328" t="str">
        <f>VLOOKUP(A4328,[1]!Table1[#All],17,FALSE)</f>
        <v>UNITED STATES</v>
      </c>
      <c r="G4328" t="str">
        <f>VLOOKUP(A4328,[1]!Table1[#All],22,FALSE)</f>
        <v>UNIVERSITY OF CALIFORNIA-SAN FRANCISCO</v>
      </c>
      <c r="H4328" s="8">
        <f>VLOOKUP(A4328,[1]!Table1[#All],32,FALSE)</f>
        <v>42643</v>
      </c>
      <c r="I4328" s="8">
        <f>VLOOKUP(A4328,[1]!Table1[#All],33,FALSE)</f>
        <v>44468</v>
      </c>
      <c r="J4328" t="str">
        <f t="shared" ca="1" si="71"/>
        <v>Non UDO</v>
      </c>
    </row>
    <row r="4329" spans="1:10" x14ac:dyDescent="0.35">
      <c r="A4329" s="9" t="s">
        <v>139</v>
      </c>
      <c r="B4329" s="10">
        <v>44774</v>
      </c>
      <c r="C4329" s="11">
        <v>190757</v>
      </c>
      <c r="D4329" s="11">
        <v>190757</v>
      </c>
      <c r="E4329" s="11">
        <v>0</v>
      </c>
      <c r="F4329" t="str">
        <f>VLOOKUP(A4329,[1]!Table1[#All],17,FALSE)</f>
        <v>UNITED STATES</v>
      </c>
      <c r="G4329" t="str">
        <f>VLOOKUP(A4329,[1]!Table1[#All],22,FALSE)</f>
        <v>UNIVERSITY OF CALIFORNIA-SAN FRANCISCO</v>
      </c>
      <c r="H4329" s="8">
        <f>VLOOKUP(A4329,[1]!Table1[#All],32,FALSE)</f>
        <v>42643</v>
      </c>
      <c r="I4329" s="8">
        <f>VLOOKUP(A4329,[1]!Table1[#All],33,FALSE)</f>
        <v>44468</v>
      </c>
      <c r="J4329" t="str">
        <f t="shared" ca="1" si="71"/>
        <v>Non UDO</v>
      </c>
    </row>
    <row r="4330" spans="1:10" x14ac:dyDescent="0.35">
      <c r="A4330" s="5" t="s">
        <v>139</v>
      </c>
      <c r="B4330" s="6">
        <v>44805</v>
      </c>
      <c r="C4330" s="7">
        <v>190757</v>
      </c>
      <c r="D4330" s="7">
        <v>190757</v>
      </c>
      <c r="E4330" s="7">
        <v>0</v>
      </c>
      <c r="F4330" t="str">
        <f>VLOOKUP(A4330,[1]!Table1[#All],17,FALSE)</f>
        <v>UNITED STATES</v>
      </c>
      <c r="G4330" t="str">
        <f>VLOOKUP(A4330,[1]!Table1[#All],22,FALSE)</f>
        <v>UNIVERSITY OF CALIFORNIA-SAN FRANCISCO</v>
      </c>
      <c r="H4330" s="8">
        <f>VLOOKUP(A4330,[1]!Table1[#All],32,FALSE)</f>
        <v>42643</v>
      </c>
      <c r="I4330" s="8">
        <f>VLOOKUP(A4330,[1]!Table1[#All],33,FALSE)</f>
        <v>44468</v>
      </c>
      <c r="J4330" t="str">
        <f t="shared" ca="1" si="71"/>
        <v>Non UDO</v>
      </c>
    </row>
    <row r="4331" spans="1:10" x14ac:dyDescent="0.35">
      <c r="A4331" s="9" t="s">
        <v>139</v>
      </c>
      <c r="B4331" s="10">
        <v>44835</v>
      </c>
      <c r="C4331" s="11">
        <v>190757</v>
      </c>
      <c r="D4331" s="11">
        <v>190757</v>
      </c>
      <c r="E4331" s="11">
        <v>0</v>
      </c>
      <c r="F4331" t="str">
        <f>VLOOKUP(A4331,[1]!Table1[#All],17,FALSE)</f>
        <v>UNITED STATES</v>
      </c>
      <c r="G4331" t="str">
        <f>VLOOKUP(A4331,[1]!Table1[#All],22,FALSE)</f>
        <v>UNIVERSITY OF CALIFORNIA-SAN FRANCISCO</v>
      </c>
      <c r="H4331" s="8">
        <f>VLOOKUP(A4331,[1]!Table1[#All],32,FALSE)</f>
        <v>42643</v>
      </c>
      <c r="I4331" s="8">
        <f>VLOOKUP(A4331,[1]!Table1[#All],33,FALSE)</f>
        <v>44468</v>
      </c>
      <c r="J4331" t="str">
        <f t="shared" ca="1" si="71"/>
        <v>Non UDO</v>
      </c>
    </row>
    <row r="4332" spans="1:10" x14ac:dyDescent="0.35">
      <c r="A4332" s="5" t="s">
        <v>139</v>
      </c>
      <c r="B4332" s="6">
        <v>44866</v>
      </c>
      <c r="C4332" s="7">
        <v>190757</v>
      </c>
      <c r="D4332" s="7">
        <v>190757</v>
      </c>
      <c r="E4332" s="7">
        <v>0</v>
      </c>
      <c r="F4332" t="str">
        <f>VLOOKUP(A4332,[1]!Table1[#All],17,FALSE)</f>
        <v>UNITED STATES</v>
      </c>
      <c r="G4332" t="str">
        <f>VLOOKUP(A4332,[1]!Table1[#All],22,FALSE)</f>
        <v>UNIVERSITY OF CALIFORNIA-SAN FRANCISCO</v>
      </c>
      <c r="H4332" s="8">
        <f>VLOOKUP(A4332,[1]!Table1[#All],32,FALSE)</f>
        <v>42643</v>
      </c>
      <c r="I4332" s="8">
        <f>VLOOKUP(A4332,[1]!Table1[#All],33,FALSE)</f>
        <v>44468</v>
      </c>
      <c r="J4332" t="str">
        <f t="shared" ca="1" si="71"/>
        <v>Non UDO</v>
      </c>
    </row>
    <row r="4333" spans="1:10" x14ac:dyDescent="0.35">
      <c r="A4333" s="9" t="s">
        <v>139</v>
      </c>
      <c r="B4333" s="10">
        <v>44896</v>
      </c>
      <c r="C4333" s="11">
        <v>190757</v>
      </c>
      <c r="D4333" s="11">
        <v>190757</v>
      </c>
      <c r="E4333" s="11">
        <v>0</v>
      </c>
      <c r="F4333" t="str">
        <f>VLOOKUP(A4333,[1]!Table1[#All],17,FALSE)</f>
        <v>UNITED STATES</v>
      </c>
      <c r="G4333" t="str">
        <f>VLOOKUP(A4333,[1]!Table1[#All],22,FALSE)</f>
        <v>UNIVERSITY OF CALIFORNIA-SAN FRANCISCO</v>
      </c>
      <c r="H4333" s="8">
        <f>VLOOKUP(A4333,[1]!Table1[#All],32,FALSE)</f>
        <v>42643</v>
      </c>
      <c r="I4333" s="8">
        <f>VLOOKUP(A4333,[1]!Table1[#All],33,FALSE)</f>
        <v>44468</v>
      </c>
      <c r="J4333" t="str">
        <f t="shared" ca="1" si="71"/>
        <v>Non UDO</v>
      </c>
    </row>
    <row r="4334" spans="1:10" x14ac:dyDescent="0.35">
      <c r="A4334" s="5" t="s">
        <v>139</v>
      </c>
      <c r="B4334" s="6">
        <v>44927</v>
      </c>
      <c r="C4334" s="7">
        <v>190757</v>
      </c>
      <c r="D4334" s="7">
        <v>190757</v>
      </c>
      <c r="E4334" s="7">
        <v>0</v>
      </c>
      <c r="F4334" t="str">
        <f>VLOOKUP(A4334,[1]!Table1[#All],17,FALSE)</f>
        <v>UNITED STATES</v>
      </c>
      <c r="G4334" t="str">
        <f>VLOOKUP(A4334,[1]!Table1[#All],22,FALSE)</f>
        <v>UNIVERSITY OF CALIFORNIA-SAN FRANCISCO</v>
      </c>
      <c r="H4334" s="8">
        <f>VLOOKUP(A4334,[1]!Table1[#All],32,FALSE)</f>
        <v>42643</v>
      </c>
      <c r="I4334" s="8">
        <f>VLOOKUP(A4334,[1]!Table1[#All],33,FALSE)</f>
        <v>44468</v>
      </c>
      <c r="J4334" t="str">
        <f t="shared" ca="1" si="71"/>
        <v>Non UDO</v>
      </c>
    </row>
    <row r="4335" spans="1:10" x14ac:dyDescent="0.35">
      <c r="A4335" s="9" t="s">
        <v>139</v>
      </c>
      <c r="B4335" s="10">
        <v>44958</v>
      </c>
      <c r="C4335" s="11">
        <v>190757</v>
      </c>
      <c r="D4335" s="11">
        <v>190757</v>
      </c>
      <c r="E4335" s="11">
        <v>0</v>
      </c>
      <c r="F4335" t="str">
        <f>VLOOKUP(A4335,[1]!Table1[#All],17,FALSE)</f>
        <v>UNITED STATES</v>
      </c>
      <c r="G4335" t="str">
        <f>VLOOKUP(A4335,[1]!Table1[#All],22,FALSE)</f>
        <v>UNIVERSITY OF CALIFORNIA-SAN FRANCISCO</v>
      </c>
      <c r="H4335" s="8">
        <f>VLOOKUP(A4335,[1]!Table1[#All],32,FALSE)</f>
        <v>42643</v>
      </c>
      <c r="I4335" s="8">
        <f>VLOOKUP(A4335,[1]!Table1[#All],33,FALSE)</f>
        <v>44468</v>
      </c>
      <c r="J4335" t="str">
        <f t="shared" ca="1" si="71"/>
        <v>Non UDO</v>
      </c>
    </row>
    <row r="4336" spans="1:10" x14ac:dyDescent="0.35">
      <c r="A4336" s="5" t="s">
        <v>139</v>
      </c>
      <c r="B4336" s="6">
        <v>44986</v>
      </c>
      <c r="C4336" s="7">
        <v>190757</v>
      </c>
      <c r="D4336" s="7">
        <v>190757</v>
      </c>
      <c r="E4336" s="7">
        <v>0</v>
      </c>
      <c r="F4336" t="str">
        <f>VLOOKUP(A4336,[1]!Table1[#All],17,FALSE)</f>
        <v>UNITED STATES</v>
      </c>
      <c r="G4336" t="str">
        <f>VLOOKUP(A4336,[1]!Table1[#All],22,FALSE)</f>
        <v>UNIVERSITY OF CALIFORNIA-SAN FRANCISCO</v>
      </c>
      <c r="H4336" s="8">
        <f>VLOOKUP(A4336,[1]!Table1[#All],32,FALSE)</f>
        <v>42643</v>
      </c>
      <c r="I4336" s="8">
        <f>VLOOKUP(A4336,[1]!Table1[#All],33,FALSE)</f>
        <v>44468</v>
      </c>
      <c r="J4336" t="str">
        <f t="shared" ca="1" si="71"/>
        <v>Non UDO</v>
      </c>
    </row>
    <row r="4337" spans="1:10" x14ac:dyDescent="0.35">
      <c r="A4337" s="9" t="s">
        <v>139</v>
      </c>
      <c r="B4337" s="10">
        <v>45017</v>
      </c>
      <c r="C4337" s="11">
        <v>190757</v>
      </c>
      <c r="D4337" s="11">
        <v>190757</v>
      </c>
      <c r="E4337" s="11">
        <v>0</v>
      </c>
      <c r="F4337" t="str">
        <f>VLOOKUP(A4337,[1]!Table1[#All],17,FALSE)</f>
        <v>UNITED STATES</v>
      </c>
      <c r="G4337" t="str">
        <f>VLOOKUP(A4337,[1]!Table1[#All],22,FALSE)</f>
        <v>UNIVERSITY OF CALIFORNIA-SAN FRANCISCO</v>
      </c>
      <c r="H4337" s="8">
        <f>VLOOKUP(A4337,[1]!Table1[#All],32,FALSE)</f>
        <v>42643</v>
      </c>
      <c r="I4337" s="8">
        <f>VLOOKUP(A4337,[1]!Table1[#All],33,FALSE)</f>
        <v>44468</v>
      </c>
      <c r="J4337" t="str">
        <f t="shared" ca="1" si="71"/>
        <v>Non UDO</v>
      </c>
    </row>
    <row r="4338" spans="1:10" x14ac:dyDescent="0.35">
      <c r="A4338" s="5" t="s">
        <v>139</v>
      </c>
      <c r="B4338" s="6">
        <v>45047</v>
      </c>
      <c r="C4338" s="7">
        <v>190757</v>
      </c>
      <c r="D4338" s="7">
        <v>190757</v>
      </c>
      <c r="E4338" s="7">
        <v>0</v>
      </c>
      <c r="F4338" t="str">
        <f>VLOOKUP(A4338,[1]!Table1[#All],17,FALSE)</f>
        <v>UNITED STATES</v>
      </c>
      <c r="G4338" t="str">
        <f>VLOOKUP(A4338,[1]!Table1[#All],22,FALSE)</f>
        <v>UNIVERSITY OF CALIFORNIA-SAN FRANCISCO</v>
      </c>
      <c r="H4338" s="8">
        <f>VLOOKUP(A4338,[1]!Table1[#All],32,FALSE)</f>
        <v>42643</v>
      </c>
      <c r="I4338" s="8">
        <f>VLOOKUP(A4338,[1]!Table1[#All],33,FALSE)</f>
        <v>44468</v>
      </c>
      <c r="J4338" t="str">
        <f t="shared" ca="1" si="71"/>
        <v>Non UDO</v>
      </c>
    </row>
    <row r="4339" spans="1:10" x14ac:dyDescent="0.35">
      <c r="A4339" s="9" t="s">
        <v>139</v>
      </c>
      <c r="B4339" s="10">
        <v>45078</v>
      </c>
      <c r="C4339" s="11">
        <v>190757</v>
      </c>
      <c r="D4339" s="11">
        <v>190757</v>
      </c>
      <c r="E4339" s="11">
        <v>0</v>
      </c>
      <c r="F4339" t="str">
        <f>VLOOKUP(A4339,[1]!Table1[#All],17,FALSE)</f>
        <v>UNITED STATES</v>
      </c>
      <c r="G4339" t="str">
        <f>VLOOKUP(A4339,[1]!Table1[#All],22,FALSE)</f>
        <v>UNIVERSITY OF CALIFORNIA-SAN FRANCISCO</v>
      </c>
      <c r="H4339" s="8">
        <f>VLOOKUP(A4339,[1]!Table1[#All],32,FALSE)</f>
        <v>42643</v>
      </c>
      <c r="I4339" s="8">
        <f>VLOOKUP(A4339,[1]!Table1[#All],33,FALSE)</f>
        <v>44468</v>
      </c>
      <c r="J4339" t="str">
        <f t="shared" ca="1" si="71"/>
        <v>Non UDO</v>
      </c>
    </row>
    <row r="4340" spans="1:10" x14ac:dyDescent="0.35">
      <c r="A4340" s="5" t="s">
        <v>139</v>
      </c>
      <c r="B4340" s="6">
        <v>45108</v>
      </c>
      <c r="C4340" s="7">
        <v>190757</v>
      </c>
      <c r="D4340" s="7">
        <v>190757</v>
      </c>
      <c r="E4340" s="7">
        <v>0</v>
      </c>
      <c r="F4340" t="str">
        <f>VLOOKUP(A4340,[1]!Table1[#All],17,FALSE)</f>
        <v>UNITED STATES</v>
      </c>
      <c r="G4340" t="str">
        <f>VLOOKUP(A4340,[1]!Table1[#All],22,FALSE)</f>
        <v>UNIVERSITY OF CALIFORNIA-SAN FRANCISCO</v>
      </c>
      <c r="H4340" s="8">
        <f>VLOOKUP(A4340,[1]!Table1[#All],32,FALSE)</f>
        <v>42643</v>
      </c>
      <c r="I4340" s="8">
        <f>VLOOKUP(A4340,[1]!Table1[#All],33,FALSE)</f>
        <v>44468</v>
      </c>
      <c r="J4340" t="str">
        <f t="shared" ca="1" si="71"/>
        <v>Non UDO</v>
      </c>
    </row>
    <row r="4341" spans="1:10" x14ac:dyDescent="0.35">
      <c r="A4341" s="9" t="s">
        <v>139</v>
      </c>
      <c r="B4341" s="10">
        <v>45139</v>
      </c>
      <c r="C4341" s="11">
        <v>190757</v>
      </c>
      <c r="D4341" s="11">
        <v>190757</v>
      </c>
      <c r="E4341" s="11">
        <v>0</v>
      </c>
      <c r="F4341" t="str">
        <f>VLOOKUP(A4341,[1]!Table1[#All],17,FALSE)</f>
        <v>UNITED STATES</v>
      </c>
      <c r="G4341" t="str">
        <f>VLOOKUP(A4341,[1]!Table1[#All],22,FALSE)</f>
        <v>UNIVERSITY OF CALIFORNIA-SAN FRANCISCO</v>
      </c>
      <c r="H4341" s="8">
        <f>VLOOKUP(A4341,[1]!Table1[#All],32,FALSE)</f>
        <v>42643</v>
      </c>
      <c r="I4341" s="8">
        <f>VLOOKUP(A4341,[1]!Table1[#All],33,FALSE)</f>
        <v>44468</v>
      </c>
      <c r="J4341" t="str">
        <f t="shared" ca="1" si="71"/>
        <v>Non UDO</v>
      </c>
    </row>
    <row r="4342" spans="1:10" x14ac:dyDescent="0.35">
      <c r="A4342" s="5" t="s">
        <v>139</v>
      </c>
      <c r="B4342" s="6">
        <v>45170</v>
      </c>
      <c r="C4342" s="7">
        <v>190757</v>
      </c>
      <c r="D4342" s="7">
        <v>190757</v>
      </c>
      <c r="E4342" s="7">
        <v>0</v>
      </c>
      <c r="F4342" t="str">
        <f>VLOOKUP(A4342,[1]!Table1[#All],17,FALSE)</f>
        <v>UNITED STATES</v>
      </c>
      <c r="G4342" t="str">
        <f>VLOOKUP(A4342,[1]!Table1[#All],22,FALSE)</f>
        <v>UNIVERSITY OF CALIFORNIA-SAN FRANCISCO</v>
      </c>
      <c r="H4342" s="8">
        <f>VLOOKUP(A4342,[1]!Table1[#All],32,FALSE)</f>
        <v>42643</v>
      </c>
      <c r="I4342" s="8">
        <f>VLOOKUP(A4342,[1]!Table1[#All],33,FALSE)</f>
        <v>44468</v>
      </c>
      <c r="J4342" t="str">
        <f t="shared" ca="1" si="71"/>
        <v>Non UDO</v>
      </c>
    </row>
    <row r="4343" spans="1:10" x14ac:dyDescent="0.35">
      <c r="A4343" s="9" t="s">
        <v>140</v>
      </c>
      <c r="B4343" s="10">
        <v>44105</v>
      </c>
      <c r="C4343" s="11">
        <v>1196333</v>
      </c>
      <c r="D4343" s="11">
        <v>0</v>
      </c>
      <c r="E4343" s="11">
        <v>1196333</v>
      </c>
      <c r="F4343" t="str">
        <f>VLOOKUP(A4343,[1]!Table1[#All],17,FALSE)</f>
        <v>UNITED STATES</v>
      </c>
      <c r="G4343" t="str">
        <f>VLOOKUP(A4343,[1]!Table1[#All],22,FALSE)</f>
        <v>BRIGHAM &amp; WOMEN`S HOSPITAL</v>
      </c>
      <c r="H4343" s="8">
        <f>VLOOKUP(A4343,[1]!Table1[#All],32,FALSE)</f>
        <v>43358</v>
      </c>
      <c r="I4343" s="8">
        <f>VLOOKUP(A4343,[1]!Table1[#All],33,FALSE)</f>
        <v>45183</v>
      </c>
      <c r="J4343" t="str">
        <f t="shared" ca="1" si="71"/>
        <v>UDO</v>
      </c>
    </row>
    <row r="4344" spans="1:10" x14ac:dyDescent="0.35">
      <c r="A4344" s="5" t="s">
        <v>140</v>
      </c>
      <c r="B4344" s="6">
        <v>44136</v>
      </c>
      <c r="C4344" s="7">
        <v>1196333</v>
      </c>
      <c r="D4344" s="7">
        <v>0</v>
      </c>
      <c r="E4344" s="7">
        <v>1196333</v>
      </c>
      <c r="F4344" t="str">
        <f>VLOOKUP(A4344,[1]!Table1[#All],17,FALSE)</f>
        <v>UNITED STATES</v>
      </c>
      <c r="G4344" t="str">
        <f>VLOOKUP(A4344,[1]!Table1[#All],22,FALSE)</f>
        <v>BRIGHAM &amp; WOMEN`S HOSPITAL</v>
      </c>
      <c r="H4344" s="8">
        <f>VLOOKUP(A4344,[1]!Table1[#All],32,FALSE)</f>
        <v>43358</v>
      </c>
      <c r="I4344" s="8">
        <f>VLOOKUP(A4344,[1]!Table1[#All],33,FALSE)</f>
        <v>45183</v>
      </c>
      <c r="J4344" t="str">
        <f t="shared" ca="1" si="71"/>
        <v>UDO</v>
      </c>
    </row>
    <row r="4345" spans="1:10" x14ac:dyDescent="0.35">
      <c r="A4345" s="9" t="s">
        <v>140</v>
      </c>
      <c r="B4345" s="10">
        <v>44166</v>
      </c>
      <c r="C4345" s="11">
        <v>1196333</v>
      </c>
      <c r="D4345" s="11">
        <v>0</v>
      </c>
      <c r="E4345" s="11">
        <v>1196333</v>
      </c>
      <c r="F4345" t="str">
        <f>VLOOKUP(A4345,[1]!Table1[#All],17,FALSE)</f>
        <v>UNITED STATES</v>
      </c>
      <c r="G4345" t="str">
        <f>VLOOKUP(A4345,[1]!Table1[#All],22,FALSE)</f>
        <v>BRIGHAM &amp; WOMEN`S HOSPITAL</v>
      </c>
      <c r="H4345" s="8">
        <f>VLOOKUP(A4345,[1]!Table1[#All],32,FALSE)</f>
        <v>43358</v>
      </c>
      <c r="I4345" s="8">
        <f>VLOOKUP(A4345,[1]!Table1[#All],33,FALSE)</f>
        <v>45183</v>
      </c>
      <c r="J4345" t="str">
        <f t="shared" ca="1" si="71"/>
        <v>UDO</v>
      </c>
    </row>
    <row r="4346" spans="1:10" x14ac:dyDescent="0.35">
      <c r="A4346" s="5" t="s">
        <v>140</v>
      </c>
      <c r="B4346" s="6">
        <v>44197</v>
      </c>
      <c r="C4346" s="7">
        <v>1196333</v>
      </c>
      <c r="D4346" s="7">
        <v>0</v>
      </c>
      <c r="E4346" s="7">
        <v>1196333</v>
      </c>
      <c r="F4346" t="str">
        <f>VLOOKUP(A4346,[1]!Table1[#All],17,FALSE)</f>
        <v>UNITED STATES</v>
      </c>
      <c r="G4346" t="str">
        <f>VLOOKUP(A4346,[1]!Table1[#All],22,FALSE)</f>
        <v>BRIGHAM &amp; WOMEN`S HOSPITAL</v>
      </c>
      <c r="H4346" s="8">
        <f>VLOOKUP(A4346,[1]!Table1[#All],32,FALSE)</f>
        <v>43358</v>
      </c>
      <c r="I4346" s="8">
        <f>VLOOKUP(A4346,[1]!Table1[#All],33,FALSE)</f>
        <v>45183</v>
      </c>
      <c r="J4346" t="str">
        <f t="shared" ca="1" si="71"/>
        <v>UDO</v>
      </c>
    </row>
    <row r="4347" spans="1:10" x14ac:dyDescent="0.35">
      <c r="A4347" s="9" t="s">
        <v>140</v>
      </c>
      <c r="B4347" s="10">
        <v>44228</v>
      </c>
      <c r="C4347" s="11">
        <v>1196333</v>
      </c>
      <c r="D4347" s="11">
        <v>0</v>
      </c>
      <c r="E4347" s="11">
        <v>1196333</v>
      </c>
      <c r="F4347" t="str">
        <f>VLOOKUP(A4347,[1]!Table1[#All],17,FALSE)</f>
        <v>UNITED STATES</v>
      </c>
      <c r="G4347" t="str">
        <f>VLOOKUP(A4347,[1]!Table1[#All],22,FALSE)</f>
        <v>BRIGHAM &amp; WOMEN`S HOSPITAL</v>
      </c>
      <c r="H4347" s="8">
        <f>VLOOKUP(A4347,[1]!Table1[#All],32,FALSE)</f>
        <v>43358</v>
      </c>
      <c r="I4347" s="8">
        <f>VLOOKUP(A4347,[1]!Table1[#All],33,FALSE)</f>
        <v>45183</v>
      </c>
      <c r="J4347" t="str">
        <f t="shared" ca="1" si="71"/>
        <v>UDO</v>
      </c>
    </row>
    <row r="4348" spans="1:10" x14ac:dyDescent="0.35">
      <c r="A4348" s="5" t="s">
        <v>140</v>
      </c>
      <c r="B4348" s="6">
        <v>44256</v>
      </c>
      <c r="C4348" s="7">
        <v>1196333</v>
      </c>
      <c r="D4348" s="7">
        <v>37750.65</v>
      </c>
      <c r="E4348" s="7">
        <v>1158582.3500000001</v>
      </c>
      <c r="F4348" t="str">
        <f>VLOOKUP(A4348,[1]!Table1[#All],17,FALSE)</f>
        <v>UNITED STATES</v>
      </c>
      <c r="G4348" t="str">
        <f>VLOOKUP(A4348,[1]!Table1[#All],22,FALSE)</f>
        <v>BRIGHAM &amp; WOMEN`S HOSPITAL</v>
      </c>
      <c r="H4348" s="8">
        <f>VLOOKUP(A4348,[1]!Table1[#All],32,FALSE)</f>
        <v>43358</v>
      </c>
      <c r="I4348" s="8">
        <f>VLOOKUP(A4348,[1]!Table1[#All],33,FALSE)</f>
        <v>45183</v>
      </c>
      <c r="J4348" t="str">
        <f t="shared" ca="1" si="71"/>
        <v>UDO</v>
      </c>
    </row>
    <row r="4349" spans="1:10" x14ac:dyDescent="0.35">
      <c r="A4349" s="9" t="s">
        <v>140</v>
      </c>
      <c r="B4349" s="10">
        <v>44287</v>
      </c>
      <c r="C4349" s="11">
        <v>1196333</v>
      </c>
      <c r="D4349" s="11">
        <v>37750.65</v>
      </c>
      <c r="E4349" s="11">
        <v>1158582.3499999999</v>
      </c>
      <c r="F4349" t="str">
        <f>VLOOKUP(A4349,[1]!Table1[#All],17,FALSE)</f>
        <v>UNITED STATES</v>
      </c>
      <c r="G4349" t="str">
        <f>VLOOKUP(A4349,[1]!Table1[#All],22,FALSE)</f>
        <v>BRIGHAM &amp; WOMEN`S HOSPITAL</v>
      </c>
      <c r="H4349" s="8">
        <f>VLOOKUP(A4349,[1]!Table1[#All],32,FALSE)</f>
        <v>43358</v>
      </c>
      <c r="I4349" s="8">
        <f>VLOOKUP(A4349,[1]!Table1[#All],33,FALSE)</f>
        <v>45183</v>
      </c>
      <c r="J4349" t="str">
        <f t="shared" ca="1" si="71"/>
        <v>UDO</v>
      </c>
    </row>
    <row r="4350" spans="1:10" x14ac:dyDescent="0.35">
      <c r="A4350" s="5" t="s">
        <v>140</v>
      </c>
      <c r="B4350" s="6">
        <v>44317</v>
      </c>
      <c r="C4350" s="7">
        <v>1196333</v>
      </c>
      <c r="D4350" s="7">
        <v>129530.51000000001</v>
      </c>
      <c r="E4350" s="7">
        <v>1066802.49</v>
      </c>
      <c r="F4350" t="str">
        <f>VLOOKUP(A4350,[1]!Table1[#All],17,FALSE)</f>
        <v>UNITED STATES</v>
      </c>
      <c r="G4350" t="str">
        <f>VLOOKUP(A4350,[1]!Table1[#All],22,FALSE)</f>
        <v>BRIGHAM &amp; WOMEN`S HOSPITAL</v>
      </c>
      <c r="H4350" s="8">
        <f>VLOOKUP(A4350,[1]!Table1[#All],32,FALSE)</f>
        <v>43358</v>
      </c>
      <c r="I4350" s="8">
        <f>VLOOKUP(A4350,[1]!Table1[#All],33,FALSE)</f>
        <v>45183</v>
      </c>
      <c r="J4350" t="str">
        <f t="shared" ca="1" si="71"/>
        <v>UDO</v>
      </c>
    </row>
    <row r="4351" spans="1:10" x14ac:dyDescent="0.35">
      <c r="A4351" s="9" t="s">
        <v>140</v>
      </c>
      <c r="B4351" s="10">
        <v>44348</v>
      </c>
      <c r="C4351" s="11">
        <v>1196333</v>
      </c>
      <c r="D4351" s="11">
        <v>127822.45</v>
      </c>
      <c r="E4351" s="11">
        <v>1068510.55</v>
      </c>
      <c r="F4351" t="str">
        <f>VLOOKUP(A4351,[1]!Table1[#All],17,FALSE)</f>
        <v>UNITED STATES</v>
      </c>
      <c r="G4351" t="str">
        <f>VLOOKUP(A4351,[1]!Table1[#All],22,FALSE)</f>
        <v>BRIGHAM &amp; WOMEN`S HOSPITAL</v>
      </c>
      <c r="H4351" s="8">
        <f>VLOOKUP(A4351,[1]!Table1[#All],32,FALSE)</f>
        <v>43358</v>
      </c>
      <c r="I4351" s="8">
        <f>VLOOKUP(A4351,[1]!Table1[#All],33,FALSE)</f>
        <v>45183</v>
      </c>
      <c r="J4351" t="str">
        <f t="shared" ca="1" si="71"/>
        <v>UDO</v>
      </c>
    </row>
    <row r="4352" spans="1:10" x14ac:dyDescent="0.35">
      <c r="A4352" s="5" t="s">
        <v>140</v>
      </c>
      <c r="B4352" s="6">
        <v>44378</v>
      </c>
      <c r="C4352" s="7">
        <v>1196333</v>
      </c>
      <c r="D4352" s="7">
        <v>156325.54</v>
      </c>
      <c r="E4352" s="7">
        <v>1040007.46</v>
      </c>
      <c r="F4352" t="str">
        <f>VLOOKUP(A4352,[1]!Table1[#All],17,FALSE)</f>
        <v>UNITED STATES</v>
      </c>
      <c r="G4352" t="str">
        <f>VLOOKUP(A4352,[1]!Table1[#All],22,FALSE)</f>
        <v>BRIGHAM &amp; WOMEN`S HOSPITAL</v>
      </c>
      <c r="H4352" s="8">
        <f>VLOOKUP(A4352,[1]!Table1[#All],32,FALSE)</f>
        <v>43358</v>
      </c>
      <c r="I4352" s="8">
        <f>VLOOKUP(A4352,[1]!Table1[#All],33,FALSE)</f>
        <v>45183</v>
      </c>
      <c r="J4352" t="str">
        <f t="shared" ca="1" si="71"/>
        <v>UDO</v>
      </c>
    </row>
    <row r="4353" spans="1:10" x14ac:dyDescent="0.35">
      <c r="A4353" s="9" t="s">
        <v>140</v>
      </c>
      <c r="B4353" s="10">
        <v>44409</v>
      </c>
      <c r="C4353" s="11">
        <v>1196333</v>
      </c>
      <c r="D4353" s="11">
        <v>563349.31999999995</v>
      </c>
      <c r="E4353" s="11">
        <v>632983.68000000005</v>
      </c>
      <c r="F4353" t="str">
        <f>VLOOKUP(A4353,[1]!Table1[#All],17,FALSE)</f>
        <v>UNITED STATES</v>
      </c>
      <c r="G4353" t="str">
        <f>VLOOKUP(A4353,[1]!Table1[#All],22,FALSE)</f>
        <v>BRIGHAM &amp; WOMEN`S HOSPITAL</v>
      </c>
      <c r="H4353" s="8">
        <f>VLOOKUP(A4353,[1]!Table1[#All],32,FALSE)</f>
        <v>43358</v>
      </c>
      <c r="I4353" s="8">
        <f>VLOOKUP(A4353,[1]!Table1[#All],33,FALSE)</f>
        <v>45183</v>
      </c>
      <c r="J4353" t="str">
        <f t="shared" ca="1" si="71"/>
        <v>UDO</v>
      </c>
    </row>
    <row r="4354" spans="1:10" x14ac:dyDescent="0.35">
      <c r="A4354" s="5" t="s">
        <v>140</v>
      </c>
      <c r="B4354" s="6">
        <v>44440</v>
      </c>
      <c r="C4354" s="7">
        <v>1196333</v>
      </c>
      <c r="D4354" s="7">
        <v>734648.46</v>
      </c>
      <c r="E4354" s="7">
        <v>461684.54</v>
      </c>
      <c r="F4354" t="str">
        <f>VLOOKUP(A4354,[1]!Table1[#All],17,FALSE)</f>
        <v>UNITED STATES</v>
      </c>
      <c r="G4354" t="str">
        <f>VLOOKUP(A4354,[1]!Table1[#All],22,FALSE)</f>
        <v>BRIGHAM &amp; WOMEN`S HOSPITAL</v>
      </c>
      <c r="H4354" s="8">
        <f>VLOOKUP(A4354,[1]!Table1[#All],32,FALSE)</f>
        <v>43358</v>
      </c>
      <c r="I4354" s="8">
        <f>VLOOKUP(A4354,[1]!Table1[#All],33,FALSE)</f>
        <v>45183</v>
      </c>
      <c r="J4354" t="str">
        <f t="shared" ca="1" si="71"/>
        <v>UDO</v>
      </c>
    </row>
    <row r="4355" spans="1:10" x14ac:dyDescent="0.35">
      <c r="A4355" s="9" t="s">
        <v>140</v>
      </c>
      <c r="B4355" s="10">
        <v>44470</v>
      </c>
      <c r="C4355" s="11">
        <v>1196333</v>
      </c>
      <c r="D4355" s="11">
        <v>891538.87</v>
      </c>
      <c r="E4355" s="11">
        <v>304794.13</v>
      </c>
      <c r="F4355" t="str">
        <f>VLOOKUP(A4355,[1]!Table1[#All],17,FALSE)</f>
        <v>UNITED STATES</v>
      </c>
      <c r="G4355" t="str">
        <f>VLOOKUP(A4355,[1]!Table1[#All],22,FALSE)</f>
        <v>BRIGHAM &amp; WOMEN`S HOSPITAL</v>
      </c>
      <c r="H4355" s="8">
        <f>VLOOKUP(A4355,[1]!Table1[#All],32,FALSE)</f>
        <v>43358</v>
      </c>
      <c r="I4355" s="8">
        <f>VLOOKUP(A4355,[1]!Table1[#All],33,FALSE)</f>
        <v>45183</v>
      </c>
      <c r="J4355" t="str">
        <f t="shared" ref="J4355:J4418" ca="1" si="72">IF(AND( E4355&gt;0,TODAY()&gt;I4355),"UDO","Non UDO")</f>
        <v>UDO</v>
      </c>
    </row>
    <row r="4356" spans="1:10" x14ac:dyDescent="0.35">
      <c r="A4356" s="5" t="s">
        <v>140</v>
      </c>
      <c r="B4356" s="6">
        <v>44501</v>
      </c>
      <c r="C4356" s="7">
        <v>1196333</v>
      </c>
      <c r="D4356" s="7">
        <v>1003944.17</v>
      </c>
      <c r="E4356" s="7">
        <v>192388.83</v>
      </c>
      <c r="F4356" t="str">
        <f>VLOOKUP(A4356,[1]!Table1[#All],17,FALSE)</f>
        <v>UNITED STATES</v>
      </c>
      <c r="G4356" t="str">
        <f>VLOOKUP(A4356,[1]!Table1[#All],22,FALSE)</f>
        <v>BRIGHAM &amp; WOMEN`S HOSPITAL</v>
      </c>
      <c r="H4356" s="8">
        <f>VLOOKUP(A4356,[1]!Table1[#All],32,FALSE)</f>
        <v>43358</v>
      </c>
      <c r="I4356" s="8">
        <f>VLOOKUP(A4356,[1]!Table1[#All],33,FALSE)</f>
        <v>45183</v>
      </c>
      <c r="J4356" t="str">
        <f t="shared" ca="1" si="72"/>
        <v>UDO</v>
      </c>
    </row>
    <row r="4357" spans="1:10" x14ac:dyDescent="0.35">
      <c r="A4357" s="9" t="s">
        <v>140</v>
      </c>
      <c r="B4357" s="10">
        <v>44531</v>
      </c>
      <c r="C4357" s="11">
        <v>1196333</v>
      </c>
      <c r="D4357" s="11">
        <v>1043165.19</v>
      </c>
      <c r="E4357" s="11">
        <v>153167.81</v>
      </c>
      <c r="F4357" t="str">
        <f>VLOOKUP(A4357,[1]!Table1[#All],17,FALSE)</f>
        <v>UNITED STATES</v>
      </c>
      <c r="G4357" t="str">
        <f>VLOOKUP(A4357,[1]!Table1[#All],22,FALSE)</f>
        <v>BRIGHAM &amp; WOMEN`S HOSPITAL</v>
      </c>
      <c r="H4357" s="8">
        <f>VLOOKUP(A4357,[1]!Table1[#All],32,FALSE)</f>
        <v>43358</v>
      </c>
      <c r="I4357" s="8">
        <f>VLOOKUP(A4357,[1]!Table1[#All],33,FALSE)</f>
        <v>45183</v>
      </c>
      <c r="J4357" t="str">
        <f t="shared" ca="1" si="72"/>
        <v>UDO</v>
      </c>
    </row>
    <row r="4358" spans="1:10" x14ac:dyDescent="0.35">
      <c r="A4358" s="5" t="s">
        <v>140</v>
      </c>
      <c r="B4358" s="6">
        <v>44562</v>
      </c>
      <c r="C4358" s="7">
        <v>1196333</v>
      </c>
      <c r="D4358" s="7">
        <v>989027.39999999991</v>
      </c>
      <c r="E4358" s="7">
        <v>207305.60000000001</v>
      </c>
      <c r="F4358" t="str">
        <f>VLOOKUP(A4358,[1]!Table1[#All],17,FALSE)</f>
        <v>UNITED STATES</v>
      </c>
      <c r="G4358" t="str">
        <f>VLOOKUP(A4358,[1]!Table1[#All],22,FALSE)</f>
        <v>BRIGHAM &amp; WOMEN`S HOSPITAL</v>
      </c>
      <c r="H4358" s="8">
        <f>VLOOKUP(A4358,[1]!Table1[#All],32,FALSE)</f>
        <v>43358</v>
      </c>
      <c r="I4358" s="8">
        <f>VLOOKUP(A4358,[1]!Table1[#All],33,FALSE)</f>
        <v>45183</v>
      </c>
      <c r="J4358" t="str">
        <f t="shared" ca="1" si="72"/>
        <v>UDO</v>
      </c>
    </row>
    <row r="4359" spans="1:10" x14ac:dyDescent="0.35">
      <c r="A4359" s="9" t="s">
        <v>140</v>
      </c>
      <c r="B4359" s="10">
        <v>44593</v>
      </c>
      <c r="C4359" s="11">
        <v>1196333</v>
      </c>
      <c r="D4359" s="11">
        <v>1010361.22</v>
      </c>
      <c r="E4359" s="11">
        <v>185971.78</v>
      </c>
      <c r="F4359" t="str">
        <f>VLOOKUP(A4359,[1]!Table1[#All],17,FALSE)</f>
        <v>UNITED STATES</v>
      </c>
      <c r="G4359" t="str">
        <f>VLOOKUP(A4359,[1]!Table1[#All],22,FALSE)</f>
        <v>BRIGHAM &amp; WOMEN`S HOSPITAL</v>
      </c>
      <c r="H4359" s="8">
        <f>VLOOKUP(A4359,[1]!Table1[#All],32,FALSE)</f>
        <v>43358</v>
      </c>
      <c r="I4359" s="8">
        <f>VLOOKUP(A4359,[1]!Table1[#All],33,FALSE)</f>
        <v>45183</v>
      </c>
      <c r="J4359" t="str">
        <f t="shared" ca="1" si="72"/>
        <v>UDO</v>
      </c>
    </row>
    <row r="4360" spans="1:10" x14ac:dyDescent="0.35">
      <c r="A4360" s="5" t="s">
        <v>140</v>
      </c>
      <c r="B4360" s="6">
        <v>44621</v>
      </c>
      <c r="C4360" s="7">
        <v>1196333</v>
      </c>
      <c r="D4360" s="7">
        <v>1043165.19</v>
      </c>
      <c r="E4360" s="7">
        <v>153167.81</v>
      </c>
      <c r="F4360" t="str">
        <f>VLOOKUP(A4360,[1]!Table1[#All],17,FALSE)</f>
        <v>UNITED STATES</v>
      </c>
      <c r="G4360" t="str">
        <f>VLOOKUP(A4360,[1]!Table1[#All],22,FALSE)</f>
        <v>BRIGHAM &amp; WOMEN`S HOSPITAL</v>
      </c>
      <c r="H4360" s="8">
        <f>VLOOKUP(A4360,[1]!Table1[#All],32,FALSE)</f>
        <v>43358</v>
      </c>
      <c r="I4360" s="8">
        <f>VLOOKUP(A4360,[1]!Table1[#All],33,FALSE)</f>
        <v>45183</v>
      </c>
      <c r="J4360" t="str">
        <f t="shared" ca="1" si="72"/>
        <v>UDO</v>
      </c>
    </row>
    <row r="4361" spans="1:10" x14ac:dyDescent="0.35">
      <c r="A4361" s="9" t="s">
        <v>140</v>
      </c>
      <c r="B4361" s="10">
        <v>44652</v>
      </c>
      <c r="C4361" s="11">
        <v>1196333</v>
      </c>
      <c r="D4361" s="11">
        <v>1043165.19</v>
      </c>
      <c r="E4361" s="11">
        <v>153167.81</v>
      </c>
      <c r="F4361" t="str">
        <f>VLOOKUP(A4361,[1]!Table1[#All],17,FALSE)</f>
        <v>UNITED STATES</v>
      </c>
      <c r="G4361" t="str">
        <f>VLOOKUP(A4361,[1]!Table1[#All],22,FALSE)</f>
        <v>BRIGHAM &amp; WOMEN`S HOSPITAL</v>
      </c>
      <c r="H4361" s="8">
        <f>VLOOKUP(A4361,[1]!Table1[#All],32,FALSE)</f>
        <v>43358</v>
      </c>
      <c r="I4361" s="8">
        <f>VLOOKUP(A4361,[1]!Table1[#All],33,FALSE)</f>
        <v>45183</v>
      </c>
      <c r="J4361" t="str">
        <f t="shared" ca="1" si="72"/>
        <v>UDO</v>
      </c>
    </row>
    <row r="4362" spans="1:10" x14ac:dyDescent="0.35">
      <c r="A4362" s="5" t="s">
        <v>140</v>
      </c>
      <c r="B4362" s="6">
        <v>44682</v>
      </c>
      <c r="C4362" s="7">
        <v>1196333</v>
      </c>
      <c r="D4362" s="7">
        <v>1043165.19</v>
      </c>
      <c r="E4362" s="7">
        <v>153167.81</v>
      </c>
      <c r="F4362" t="str">
        <f>VLOOKUP(A4362,[1]!Table1[#All],17,FALSE)</f>
        <v>UNITED STATES</v>
      </c>
      <c r="G4362" t="str">
        <f>VLOOKUP(A4362,[1]!Table1[#All],22,FALSE)</f>
        <v>BRIGHAM &amp; WOMEN`S HOSPITAL</v>
      </c>
      <c r="H4362" s="8">
        <f>VLOOKUP(A4362,[1]!Table1[#All],32,FALSE)</f>
        <v>43358</v>
      </c>
      <c r="I4362" s="8">
        <f>VLOOKUP(A4362,[1]!Table1[#All],33,FALSE)</f>
        <v>45183</v>
      </c>
      <c r="J4362" t="str">
        <f t="shared" ca="1" si="72"/>
        <v>UDO</v>
      </c>
    </row>
    <row r="4363" spans="1:10" x14ac:dyDescent="0.35">
      <c r="A4363" s="9" t="s">
        <v>140</v>
      </c>
      <c r="B4363" s="10">
        <v>44713</v>
      </c>
      <c r="C4363" s="11">
        <v>1196333</v>
      </c>
      <c r="D4363" s="11">
        <v>1156564.54</v>
      </c>
      <c r="E4363" s="11">
        <v>39768.46</v>
      </c>
      <c r="F4363" t="str">
        <f>VLOOKUP(A4363,[1]!Table1[#All],17,FALSE)</f>
        <v>UNITED STATES</v>
      </c>
      <c r="G4363" t="str">
        <f>VLOOKUP(A4363,[1]!Table1[#All],22,FALSE)</f>
        <v>BRIGHAM &amp; WOMEN`S HOSPITAL</v>
      </c>
      <c r="H4363" s="8">
        <f>VLOOKUP(A4363,[1]!Table1[#All],32,FALSE)</f>
        <v>43358</v>
      </c>
      <c r="I4363" s="8">
        <f>VLOOKUP(A4363,[1]!Table1[#All],33,FALSE)</f>
        <v>45183</v>
      </c>
      <c r="J4363" t="str">
        <f t="shared" ca="1" si="72"/>
        <v>UDO</v>
      </c>
    </row>
    <row r="4364" spans="1:10" x14ac:dyDescent="0.35">
      <c r="A4364" s="5" t="s">
        <v>140</v>
      </c>
      <c r="B4364" s="6">
        <v>44743</v>
      </c>
      <c r="C4364" s="7">
        <v>1196333</v>
      </c>
      <c r="D4364" s="7">
        <v>1165394.53</v>
      </c>
      <c r="E4364" s="7">
        <v>30938.47</v>
      </c>
      <c r="F4364" t="str">
        <f>VLOOKUP(A4364,[1]!Table1[#All],17,FALSE)</f>
        <v>UNITED STATES</v>
      </c>
      <c r="G4364" t="str">
        <f>VLOOKUP(A4364,[1]!Table1[#All],22,FALSE)</f>
        <v>BRIGHAM &amp; WOMEN`S HOSPITAL</v>
      </c>
      <c r="H4364" s="8">
        <f>VLOOKUP(A4364,[1]!Table1[#All],32,FALSE)</f>
        <v>43358</v>
      </c>
      <c r="I4364" s="8">
        <f>VLOOKUP(A4364,[1]!Table1[#All],33,FALSE)</f>
        <v>45183</v>
      </c>
      <c r="J4364" t="str">
        <f t="shared" ca="1" si="72"/>
        <v>UDO</v>
      </c>
    </row>
    <row r="4365" spans="1:10" x14ac:dyDescent="0.35">
      <c r="A4365" s="9" t="s">
        <v>140</v>
      </c>
      <c r="B4365" s="10">
        <v>44774</v>
      </c>
      <c r="C4365" s="11">
        <v>1196333</v>
      </c>
      <c r="D4365" s="11">
        <v>1186321</v>
      </c>
      <c r="E4365" s="11">
        <v>10012</v>
      </c>
      <c r="F4365" t="str">
        <f>VLOOKUP(A4365,[1]!Table1[#All],17,FALSE)</f>
        <v>UNITED STATES</v>
      </c>
      <c r="G4365" t="str">
        <f>VLOOKUP(A4365,[1]!Table1[#All],22,FALSE)</f>
        <v>BRIGHAM &amp; WOMEN`S HOSPITAL</v>
      </c>
      <c r="H4365" s="8">
        <f>VLOOKUP(A4365,[1]!Table1[#All],32,FALSE)</f>
        <v>43358</v>
      </c>
      <c r="I4365" s="8">
        <f>VLOOKUP(A4365,[1]!Table1[#All],33,FALSE)</f>
        <v>45183</v>
      </c>
      <c r="J4365" t="str">
        <f t="shared" ca="1" si="72"/>
        <v>UDO</v>
      </c>
    </row>
    <row r="4366" spans="1:10" x14ac:dyDescent="0.35">
      <c r="A4366" s="5" t="s">
        <v>140</v>
      </c>
      <c r="B4366" s="6">
        <v>44805</v>
      </c>
      <c r="C4366" s="7">
        <v>1196333</v>
      </c>
      <c r="D4366" s="7">
        <v>1186321</v>
      </c>
      <c r="E4366" s="7">
        <v>10012</v>
      </c>
      <c r="F4366" t="str">
        <f>VLOOKUP(A4366,[1]!Table1[#All],17,FALSE)</f>
        <v>UNITED STATES</v>
      </c>
      <c r="G4366" t="str">
        <f>VLOOKUP(A4366,[1]!Table1[#All],22,FALSE)</f>
        <v>BRIGHAM &amp; WOMEN`S HOSPITAL</v>
      </c>
      <c r="H4366" s="8">
        <f>VLOOKUP(A4366,[1]!Table1[#All],32,FALSE)</f>
        <v>43358</v>
      </c>
      <c r="I4366" s="8">
        <f>VLOOKUP(A4366,[1]!Table1[#All],33,FALSE)</f>
        <v>45183</v>
      </c>
      <c r="J4366" t="str">
        <f t="shared" ca="1" si="72"/>
        <v>UDO</v>
      </c>
    </row>
    <row r="4367" spans="1:10" x14ac:dyDescent="0.35">
      <c r="A4367" s="9" t="s">
        <v>140</v>
      </c>
      <c r="B4367" s="10">
        <v>44835</v>
      </c>
      <c r="C4367" s="11">
        <v>1196333</v>
      </c>
      <c r="D4367" s="11">
        <v>1186321</v>
      </c>
      <c r="E4367" s="11">
        <v>10012</v>
      </c>
      <c r="F4367" t="str">
        <f>VLOOKUP(A4367,[1]!Table1[#All],17,FALSE)</f>
        <v>UNITED STATES</v>
      </c>
      <c r="G4367" t="str">
        <f>VLOOKUP(A4367,[1]!Table1[#All],22,FALSE)</f>
        <v>BRIGHAM &amp; WOMEN`S HOSPITAL</v>
      </c>
      <c r="H4367" s="8">
        <f>VLOOKUP(A4367,[1]!Table1[#All],32,FALSE)</f>
        <v>43358</v>
      </c>
      <c r="I4367" s="8">
        <f>VLOOKUP(A4367,[1]!Table1[#All],33,FALSE)</f>
        <v>45183</v>
      </c>
      <c r="J4367" t="str">
        <f t="shared" ca="1" si="72"/>
        <v>UDO</v>
      </c>
    </row>
    <row r="4368" spans="1:10" x14ac:dyDescent="0.35">
      <c r="A4368" s="5" t="s">
        <v>140</v>
      </c>
      <c r="B4368" s="6">
        <v>44866</v>
      </c>
      <c r="C4368" s="7">
        <v>1196333</v>
      </c>
      <c r="D4368" s="7">
        <v>1186321</v>
      </c>
      <c r="E4368" s="7">
        <v>10012</v>
      </c>
      <c r="F4368" t="str">
        <f>VLOOKUP(A4368,[1]!Table1[#All],17,FALSE)</f>
        <v>UNITED STATES</v>
      </c>
      <c r="G4368" t="str">
        <f>VLOOKUP(A4368,[1]!Table1[#All],22,FALSE)</f>
        <v>BRIGHAM &amp; WOMEN`S HOSPITAL</v>
      </c>
      <c r="H4368" s="8">
        <f>VLOOKUP(A4368,[1]!Table1[#All],32,FALSE)</f>
        <v>43358</v>
      </c>
      <c r="I4368" s="8">
        <f>VLOOKUP(A4368,[1]!Table1[#All],33,FALSE)</f>
        <v>45183</v>
      </c>
      <c r="J4368" t="str">
        <f t="shared" ca="1" si="72"/>
        <v>UDO</v>
      </c>
    </row>
    <row r="4369" spans="1:10" x14ac:dyDescent="0.35">
      <c r="A4369" s="9" t="s">
        <v>140</v>
      </c>
      <c r="B4369" s="10">
        <v>44896</v>
      </c>
      <c r="C4369" s="11">
        <v>1196333</v>
      </c>
      <c r="D4369" s="11">
        <v>1186321</v>
      </c>
      <c r="E4369" s="11">
        <v>10012</v>
      </c>
      <c r="F4369" t="str">
        <f>VLOOKUP(A4369,[1]!Table1[#All],17,FALSE)</f>
        <v>UNITED STATES</v>
      </c>
      <c r="G4369" t="str">
        <f>VLOOKUP(A4369,[1]!Table1[#All],22,FALSE)</f>
        <v>BRIGHAM &amp; WOMEN`S HOSPITAL</v>
      </c>
      <c r="H4369" s="8">
        <f>VLOOKUP(A4369,[1]!Table1[#All],32,FALSE)</f>
        <v>43358</v>
      </c>
      <c r="I4369" s="8">
        <f>VLOOKUP(A4369,[1]!Table1[#All],33,FALSE)</f>
        <v>45183</v>
      </c>
      <c r="J4369" t="str">
        <f t="shared" ca="1" si="72"/>
        <v>UDO</v>
      </c>
    </row>
    <row r="4370" spans="1:10" x14ac:dyDescent="0.35">
      <c r="A4370" s="5" t="s">
        <v>140</v>
      </c>
      <c r="B4370" s="6">
        <v>44927</v>
      </c>
      <c r="C4370" s="7">
        <v>1196333</v>
      </c>
      <c r="D4370" s="7">
        <v>1186321</v>
      </c>
      <c r="E4370" s="7">
        <v>10012</v>
      </c>
      <c r="F4370" t="str">
        <f>VLOOKUP(A4370,[1]!Table1[#All],17,FALSE)</f>
        <v>UNITED STATES</v>
      </c>
      <c r="G4370" t="str">
        <f>VLOOKUP(A4370,[1]!Table1[#All],22,FALSE)</f>
        <v>BRIGHAM &amp; WOMEN`S HOSPITAL</v>
      </c>
      <c r="H4370" s="8">
        <f>VLOOKUP(A4370,[1]!Table1[#All],32,FALSE)</f>
        <v>43358</v>
      </c>
      <c r="I4370" s="8">
        <f>VLOOKUP(A4370,[1]!Table1[#All],33,FALSE)</f>
        <v>45183</v>
      </c>
      <c r="J4370" t="str">
        <f t="shared" ca="1" si="72"/>
        <v>UDO</v>
      </c>
    </row>
    <row r="4371" spans="1:10" x14ac:dyDescent="0.35">
      <c r="A4371" s="9" t="s">
        <v>140</v>
      </c>
      <c r="B4371" s="10">
        <v>44958</v>
      </c>
      <c r="C4371" s="11">
        <v>1196333</v>
      </c>
      <c r="D4371" s="11">
        <v>1186321</v>
      </c>
      <c r="E4371" s="11">
        <v>10012</v>
      </c>
      <c r="F4371" t="str">
        <f>VLOOKUP(A4371,[1]!Table1[#All],17,FALSE)</f>
        <v>UNITED STATES</v>
      </c>
      <c r="G4371" t="str">
        <f>VLOOKUP(A4371,[1]!Table1[#All],22,FALSE)</f>
        <v>BRIGHAM &amp; WOMEN`S HOSPITAL</v>
      </c>
      <c r="H4371" s="8">
        <f>VLOOKUP(A4371,[1]!Table1[#All],32,FALSE)</f>
        <v>43358</v>
      </c>
      <c r="I4371" s="8">
        <f>VLOOKUP(A4371,[1]!Table1[#All],33,FALSE)</f>
        <v>45183</v>
      </c>
      <c r="J4371" t="str">
        <f t="shared" ca="1" si="72"/>
        <v>UDO</v>
      </c>
    </row>
    <row r="4372" spans="1:10" x14ac:dyDescent="0.35">
      <c r="A4372" s="5" t="s">
        <v>140</v>
      </c>
      <c r="B4372" s="6">
        <v>44986</v>
      </c>
      <c r="C4372" s="7">
        <v>1196333</v>
      </c>
      <c r="D4372" s="7">
        <v>1186321</v>
      </c>
      <c r="E4372" s="7">
        <v>10012</v>
      </c>
      <c r="F4372" t="str">
        <f>VLOOKUP(A4372,[1]!Table1[#All],17,FALSE)</f>
        <v>UNITED STATES</v>
      </c>
      <c r="G4372" t="str">
        <f>VLOOKUP(A4372,[1]!Table1[#All],22,FALSE)</f>
        <v>BRIGHAM &amp; WOMEN`S HOSPITAL</v>
      </c>
      <c r="H4372" s="8">
        <f>VLOOKUP(A4372,[1]!Table1[#All],32,FALSE)</f>
        <v>43358</v>
      </c>
      <c r="I4372" s="8">
        <f>VLOOKUP(A4372,[1]!Table1[#All],33,FALSE)</f>
        <v>45183</v>
      </c>
      <c r="J4372" t="str">
        <f t="shared" ca="1" si="72"/>
        <v>UDO</v>
      </c>
    </row>
    <row r="4373" spans="1:10" x14ac:dyDescent="0.35">
      <c r="A4373" s="9" t="s">
        <v>140</v>
      </c>
      <c r="B4373" s="10">
        <v>45017</v>
      </c>
      <c r="C4373" s="11">
        <v>1196333</v>
      </c>
      <c r="D4373" s="11">
        <v>1186321</v>
      </c>
      <c r="E4373" s="11">
        <v>10012</v>
      </c>
      <c r="F4373" t="str">
        <f>VLOOKUP(A4373,[1]!Table1[#All],17,FALSE)</f>
        <v>UNITED STATES</v>
      </c>
      <c r="G4373" t="str">
        <f>VLOOKUP(A4373,[1]!Table1[#All],22,FALSE)</f>
        <v>BRIGHAM &amp; WOMEN`S HOSPITAL</v>
      </c>
      <c r="H4373" s="8">
        <f>VLOOKUP(A4373,[1]!Table1[#All],32,FALSE)</f>
        <v>43358</v>
      </c>
      <c r="I4373" s="8">
        <f>VLOOKUP(A4373,[1]!Table1[#All],33,FALSE)</f>
        <v>45183</v>
      </c>
      <c r="J4373" t="str">
        <f t="shared" ca="1" si="72"/>
        <v>UDO</v>
      </c>
    </row>
    <row r="4374" spans="1:10" x14ac:dyDescent="0.35">
      <c r="A4374" s="5" t="s">
        <v>140</v>
      </c>
      <c r="B4374" s="6">
        <v>45047</v>
      </c>
      <c r="C4374" s="7">
        <v>1196333</v>
      </c>
      <c r="D4374" s="7">
        <v>1186321</v>
      </c>
      <c r="E4374" s="7">
        <v>10012</v>
      </c>
      <c r="F4374" t="str">
        <f>VLOOKUP(A4374,[1]!Table1[#All],17,FALSE)</f>
        <v>UNITED STATES</v>
      </c>
      <c r="G4374" t="str">
        <f>VLOOKUP(A4374,[1]!Table1[#All],22,FALSE)</f>
        <v>BRIGHAM &amp; WOMEN`S HOSPITAL</v>
      </c>
      <c r="H4374" s="8">
        <f>VLOOKUP(A4374,[1]!Table1[#All],32,FALSE)</f>
        <v>43358</v>
      </c>
      <c r="I4374" s="8">
        <f>VLOOKUP(A4374,[1]!Table1[#All],33,FALSE)</f>
        <v>45183</v>
      </c>
      <c r="J4374" t="str">
        <f t="shared" ca="1" si="72"/>
        <v>UDO</v>
      </c>
    </row>
    <row r="4375" spans="1:10" x14ac:dyDescent="0.35">
      <c r="A4375" s="9" t="s">
        <v>140</v>
      </c>
      <c r="B4375" s="10">
        <v>45078</v>
      </c>
      <c r="C4375" s="11">
        <v>1196333</v>
      </c>
      <c r="D4375" s="11">
        <v>1196333</v>
      </c>
      <c r="E4375" s="11">
        <v>0</v>
      </c>
      <c r="F4375" t="str">
        <f>VLOOKUP(A4375,[1]!Table1[#All],17,FALSE)</f>
        <v>UNITED STATES</v>
      </c>
      <c r="G4375" t="str">
        <f>VLOOKUP(A4375,[1]!Table1[#All],22,FALSE)</f>
        <v>BRIGHAM &amp; WOMEN`S HOSPITAL</v>
      </c>
      <c r="H4375" s="8">
        <f>VLOOKUP(A4375,[1]!Table1[#All],32,FALSE)</f>
        <v>43358</v>
      </c>
      <c r="I4375" s="8">
        <f>VLOOKUP(A4375,[1]!Table1[#All],33,FALSE)</f>
        <v>45183</v>
      </c>
      <c r="J4375" t="str">
        <f t="shared" ca="1" si="72"/>
        <v>Non UDO</v>
      </c>
    </row>
    <row r="4376" spans="1:10" x14ac:dyDescent="0.35">
      <c r="A4376" s="5" t="s">
        <v>140</v>
      </c>
      <c r="B4376" s="6">
        <v>45108</v>
      </c>
      <c r="C4376" s="7">
        <v>1196333</v>
      </c>
      <c r="D4376" s="7">
        <v>1196333</v>
      </c>
      <c r="E4376" s="7">
        <v>0</v>
      </c>
      <c r="F4376" t="str">
        <f>VLOOKUP(A4376,[1]!Table1[#All],17,FALSE)</f>
        <v>UNITED STATES</v>
      </c>
      <c r="G4376" t="str">
        <f>VLOOKUP(A4376,[1]!Table1[#All],22,FALSE)</f>
        <v>BRIGHAM &amp; WOMEN`S HOSPITAL</v>
      </c>
      <c r="H4376" s="8">
        <f>VLOOKUP(A4376,[1]!Table1[#All],32,FALSE)</f>
        <v>43358</v>
      </c>
      <c r="I4376" s="8">
        <f>VLOOKUP(A4376,[1]!Table1[#All],33,FALSE)</f>
        <v>45183</v>
      </c>
      <c r="J4376" t="str">
        <f t="shared" ca="1" si="72"/>
        <v>Non UDO</v>
      </c>
    </row>
    <row r="4377" spans="1:10" x14ac:dyDescent="0.35">
      <c r="A4377" s="9" t="s">
        <v>140</v>
      </c>
      <c r="B4377" s="10">
        <v>45139</v>
      </c>
      <c r="C4377" s="11">
        <v>1196333</v>
      </c>
      <c r="D4377" s="11">
        <v>1196333</v>
      </c>
      <c r="E4377" s="11">
        <v>0</v>
      </c>
      <c r="F4377" t="str">
        <f>VLOOKUP(A4377,[1]!Table1[#All],17,FALSE)</f>
        <v>UNITED STATES</v>
      </c>
      <c r="G4377" t="str">
        <f>VLOOKUP(A4377,[1]!Table1[#All],22,FALSE)</f>
        <v>BRIGHAM &amp; WOMEN`S HOSPITAL</v>
      </c>
      <c r="H4377" s="8">
        <f>VLOOKUP(A4377,[1]!Table1[#All],32,FALSE)</f>
        <v>43358</v>
      </c>
      <c r="I4377" s="8">
        <f>VLOOKUP(A4377,[1]!Table1[#All],33,FALSE)</f>
        <v>45183</v>
      </c>
      <c r="J4377" t="str">
        <f t="shared" ca="1" si="72"/>
        <v>Non UDO</v>
      </c>
    </row>
    <row r="4378" spans="1:10" x14ac:dyDescent="0.35">
      <c r="A4378" s="5" t="s">
        <v>140</v>
      </c>
      <c r="B4378" s="6">
        <v>45170</v>
      </c>
      <c r="C4378" s="7">
        <v>1196333</v>
      </c>
      <c r="D4378" s="7">
        <v>1196333</v>
      </c>
      <c r="E4378" s="7">
        <v>0</v>
      </c>
      <c r="F4378" t="str">
        <f>VLOOKUP(A4378,[1]!Table1[#All],17,FALSE)</f>
        <v>UNITED STATES</v>
      </c>
      <c r="G4378" t="str">
        <f>VLOOKUP(A4378,[1]!Table1[#All],22,FALSE)</f>
        <v>BRIGHAM &amp; WOMEN`S HOSPITAL</v>
      </c>
      <c r="H4378" s="8">
        <f>VLOOKUP(A4378,[1]!Table1[#All],32,FALSE)</f>
        <v>43358</v>
      </c>
      <c r="I4378" s="8">
        <f>VLOOKUP(A4378,[1]!Table1[#All],33,FALSE)</f>
        <v>45183</v>
      </c>
      <c r="J4378" t="str">
        <f t="shared" ca="1" si="72"/>
        <v>Non UDO</v>
      </c>
    </row>
    <row r="4379" spans="1:10" x14ac:dyDescent="0.35">
      <c r="A4379" s="9" t="s">
        <v>141</v>
      </c>
      <c r="B4379" s="10">
        <v>44105</v>
      </c>
      <c r="C4379" s="11">
        <v>930000</v>
      </c>
      <c r="D4379" s="11">
        <v>0</v>
      </c>
      <c r="E4379" s="11">
        <v>930000</v>
      </c>
      <c r="F4379" t="str">
        <f>VLOOKUP(A4379,[1]!Table1[#All],17,FALSE)</f>
        <v>UGANDA</v>
      </c>
      <c r="G4379" t="str">
        <f>VLOOKUP(A4379,[1]!Table1[#All],22,FALSE)</f>
        <v>INFECTIOUS DISEASES INSTITUTE AT MAKERERE UNIVERSI</v>
      </c>
      <c r="H4379" s="8">
        <f>VLOOKUP(A4379,[1]!Table1[#All],32,FALSE)</f>
        <v>43738</v>
      </c>
      <c r="I4379" s="8">
        <f>VLOOKUP(A4379,[1]!Table1[#All],33,FALSE)</f>
        <v>45564</v>
      </c>
      <c r="J4379" t="str">
        <f t="shared" ca="1" si="72"/>
        <v>UDO</v>
      </c>
    </row>
    <row r="4380" spans="1:10" x14ac:dyDescent="0.35">
      <c r="A4380" s="5" t="s">
        <v>141</v>
      </c>
      <c r="B4380" s="6">
        <v>44136</v>
      </c>
      <c r="C4380" s="7">
        <v>930000</v>
      </c>
      <c r="D4380" s="7">
        <v>0</v>
      </c>
      <c r="E4380" s="7">
        <v>930000</v>
      </c>
      <c r="F4380" t="str">
        <f>VLOOKUP(A4380,[1]!Table1[#All],17,FALSE)</f>
        <v>UGANDA</v>
      </c>
      <c r="G4380" t="str">
        <f>VLOOKUP(A4380,[1]!Table1[#All],22,FALSE)</f>
        <v>INFECTIOUS DISEASES INSTITUTE AT MAKERERE UNIVERSI</v>
      </c>
      <c r="H4380" s="8">
        <f>VLOOKUP(A4380,[1]!Table1[#All],32,FALSE)</f>
        <v>43738</v>
      </c>
      <c r="I4380" s="8">
        <f>VLOOKUP(A4380,[1]!Table1[#All],33,FALSE)</f>
        <v>45564</v>
      </c>
      <c r="J4380" t="str">
        <f t="shared" ca="1" si="72"/>
        <v>UDO</v>
      </c>
    </row>
    <row r="4381" spans="1:10" x14ac:dyDescent="0.35">
      <c r="A4381" s="9" t="s">
        <v>141</v>
      </c>
      <c r="B4381" s="10">
        <v>44166</v>
      </c>
      <c r="C4381" s="11">
        <v>930000</v>
      </c>
      <c r="D4381" s="11">
        <v>0</v>
      </c>
      <c r="E4381" s="11">
        <v>930000</v>
      </c>
      <c r="F4381" t="str">
        <f>VLOOKUP(A4381,[1]!Table1[#All],17,FALSE)</f>
        <v>UGANDA</v>
      </c>
      <c r="G4381" t="str">
        <f>VLOOKUP(A4381,[1]!Table1[#All],22,FALSE)</f>
        <v>INFECTIOUS DISEASES INSTITUTE AT MAKERERE UNIVERSI</v>
      </c>
      <c r="H4381" s="8">
        <f>VLOOKUP(A4381,[1]!Table1[#All],32,FALSE)</f>
        <v>43738</v>
      </c>
      <c r="I4381" s="8">
        <f>VLOOKUP(A4381,[1]!Table1[#All],33,FALSE)</f>
        <v>45564</v>
      </c>
      <c r="J4381" t="str">
        <f t="shared" ca="1" si="72"/>
        <v>UDO</v>
      </c>
    </row>
    <row r="4382" spans="1:10" x14ac:dyDescent="0.35">
      <c r="A4382" s="5" t="s">
        <v>141</v>
      </c>
      <c r="B4382" s="6">
        <v>44197</v>
      </c>
      <c r="C4382" s="7">
        <v>930000</v>
      </c>
      <c r="D4382" s="7">
        <v>0</v>
      </c>
      <c r="E4382" s="7">
        <v>930000</v>
      </c>
      <c r="F4382" t="str">
        <f>VLOOKUP(A4382,[1]!Table1[#All],17,FALSE)</f>
        <v>UGANDA</v>
      </c>
      <c r="G4382" t="str">
        <f>VLOOKUP(A4382,[1]!Table1[#All],22,FALSE)</f>
        <v>INFECTIOUS DISEASES INSTITUTE AT MAKERERE UNIVERSI</v>
      </c>
      <c r="H4382" s="8">
        <f>VLOOKUP(A4382,[1]!Table1[#All],32,FALSE)</f>
        <v>43738</v>
      </c>
      <c r="I4382" s="8">
        <f>VLOOKUP(A4382,[1]!Table1[#All],33,FALSE)</f>
        <v>45564</v>
      </c>
      <c r="J4382" t="str">
        <f t="shared" ca="1" si="72"/>
        <v>UDO</v>
      </c>
    </row>
    <row r="4383" spans="1:10" x14ac:dyDescent="0.35">
      <c r="A4383" s="9" t="s">
        <v>141</v>
      </c>
      <c r="B4383" s="10">
        <v>44228</v>
      </c>
      <c r="C4383" s="11">
        <v>930000</v>
      </c>
      <c r="D4383" s="11">
        <v>0</v>
      </c>
      <c r="E4383" s="11">
        <v>930000</v>
      </c>
      <c r="F4383" t="str">
        <f>VLOOKUP(A4383,[1]!Table1[#All],17,FALSE)</f>
        <v>UGANDA</v>
      </c>
      <c r="G4383" t="str">
        <f>VLOOKUP(A4383,[1]!Table1[#All],22,FALSE)</f>
        <v>INFECTIOUS DISEASES INSTITUTE AT MAKERERE UNIVERSI</v>
      </c>
      <c r="H4383" s="8">
        <f>VLOOKUP(A4383,[1]!Table1[#All],32,FALSE)</f>
        <v>43738</v>
      </c>
      <c r="I4383" s="8">
        <f>VLOOKUP(A4383,[1]!Table1[#All],33,FALSE)</f>
        <v>45564</v>
      </c>
      <c r="J4383" t="str">
        <f t="shared" ca="1" si="72"/>
        <v>UDO</v>
      </c>
    </row>
    <row r="4384" spans="1:10" x14ac:dyDescent="0.35">
      <c r="A4384" s="5" t="s">
        <v>141</v>
      </c>
      <c r="B4384" s="6">
        <v>44256</v>
      </c>
      <c r="C4384" s="7">
        <v>930000</v>
      </c>
      <c r="D4384" s="7">
        <v>0</v>
      </c>
      <c r="E4384" s="7">
        <v>930000</v>
      </c>
      <c r="F4384" t="str">
        <f>VLOOKUP(A4384,[1]!Table1[#All],17,FALSE)</f>
        <v>UGANDA</v>
      </c>
      <c r="G4384" t="str">
        <f>VLOOKUP(A4384,[1]!Table1[#All],22,FALSE)</f>
        <v>INFECTIOUS DISEASES INSTITUTE AT MAKERERE UNIVERSI</v>
      </c>
      <c r="H4384" s="8">
        <f>VLOOKUP(A4384,[1]!Table1[#All],32,FALSE)</f>
        <v>43738</v>
      </c>
      <c r="I4384" s="8">
        <f>VLOOKUP(A4384,[1]!Table1[#All],33,FALSE)</f>
        <v>45564</v>
      </c>
      <c r="J4384" t="str">
        <f t="shared" ca="1" si="72"/>
        <v>UDO</v>
      </c>
    </row>
    <row r="4385" spans="1:10" x14ac:dyDescent="0.35">
      <c r="A4385" s="9" t="s">
        <v>141</v>
      </c>
      <c r="B4385" s="10">
        <v>44287</v>
      </c>
      <c r="C4385" s="11">
        <v>930000</v>
      </c>
      <c r="D4385" s="11">
        <v>0</v>
      </c>
      <c r="E4385" s="11">
        <v>930000</v>
      </c>
      <c r="F4385" t="str">
        <f>VLOOKUP(A4385,[1]!Table1[#All],17,FALSE)</f>
        <v>UGANDA</v>
      </c>
      <c r="G4385" t="str">
        <f>VLOOKUP(A4385,[1]!Table1[#All],22,FALSE)</f>
        <v>INFECTIOUS DISEASES INSTITUTE AT MAKERERE UNIVERSI</v>
      </c>
      <c r="H4385" s="8">
        <f>VLOOKUP(A4385,[1]!Table1[#All],32,FALSE)</f>
        <v>43738</v>
      </c>
      <c r="I4385" s="8">
        <f>VLOOKUP(A4385,[1]!Table1[#All],33,FALSE)</f>
        <v>45564</v>
      </c>
      <c r="J4385" t="str">
        <f t="shared" ca="1" si="72"/>
        <v>UDO</v>
      </c>
    </row>
    <row r="4386" spans="1:10" x14ac:dyDescent="0.35">
      <c r="A4386" s="5" t="s">
        <v>141</v>
      </c>
      <c r="B4386" s="6">
        <v>44317</v>
      </c>
      <c r="C4386" s="7">
        <v>930000</v>
      </c>
      <c r="D4386" s="7">
        <v>0</v>
      </c>
      <c r="E4386" s="7">
        <v>930000</v>
      </c>
      <c r="F4386" t="str">
        <f>VLOOKUP(A4386,[1]!Table1[#All],17,FALSE)</f>
        <v>UGANDA</v>
      </c>
      <c r="G4386" t="str">
        <f>VLOOKUP(A4386,[1]!Table1[#All],22,FALSE)</f>
        <v>INFECTIOUS DISEASES INSTITUTE AT MAKERERE UNIVERSI</v>
      </c>
      <c r="H4386" s="8">
        <f>VLOOKUP(A4386,[1]!Table1[#All],32,FALSE)</f>
        <v>43738</v>
      </c>
      <c r="I4386" s="8">
        <f>VLOOKUP(A4386,[1]!Table1[#All],33,FALSE)</f>
        <v>45564</v>
      </c>
      <c r="J4386" t="str">
        <f t="shared" ca="1" si="72"/>
        <v>UDO</v>
      </c>
    </row>
    <row r="4387" spans="1:10" x14ac:dyDescent="0.35">
      <c r="A4387" s="9" t="s">
        <v>141</v>
      </c>
      <c r="B4387" s="10">
        <v>44348</v>
      </c>
      <c r="C4387" s="11">
        <v>930000</v>
      </c>
      <c r="D4387" s="11">
        <v>0</v>
      </c>
      <c r="E4387" s="11">
        <v>930000</v>
      </c>
      <c r="F4387" t="str">
        <f>VLOOKUP(A4387,[1]!Table1[#All],17,FALSE)</f>
        <v>UGANDA</v>
      </c>
      <c r="G4387" t="str">
        <f>VLOOKUP(A4387,[1]!Table1[#All],22,FALSE)</f>
        <v>INFECTIOUS DISEASES INSTITUTE AT MAKERERE UNIVERSI</v>
      </c>
      <c r="H4387" s="8">
        <f>VLOOKUP(A4387,[1]!Table1[#All],32,FALSE)</f>
        <v>43738</v>
      </c>
      <c r="I4387" s="8">
        <f>VLOOKUP(A4387,[1]!Table1[#All],33,FALSE)</f>
        <v>45564</v>
      </c>
      <c r="J4387" t="str">
        <f t="shared" ca="1" si="72"/>
        <v>UDO</v>
      </c>
    </row>
    <row r="4388" spans="1:10" x14ac:dyDescent="0.35">
      <c r="A4388" s="5" t="s">
        <v>141</v>
      </c>
      <c r="B4388" s="6">
        <v>44378</v>
      </c>
      <c r="C4388" s="7">
        <v>930000</v>
      </c>
      <c r="D4388" s="7">
        <v>0</v>
      </c>
      <c r="E4388" s="7">
        <v>930000</v>
      </c>
      <c r="F4388" t="str">
        <f>VLOOKUP(A4388,[1]!Table1[#All],17,FALSE)</f>
        <v>UGANDA</v>
      </c>
      <c r="G4388" t="str">
        <f>VLOOKUP(A4388,[1]!Table1[#All],22,FALSE)</f>
        <v>INFECTIOUS DISEASES INSTITUTE AT MAKERERE UNIVERSI</v>
      </c>
      <c r="H4388" s="8">
        <f>VLOOKUP(A4388,[1]!Table1[#All],32,FALSE)</f>
        <v>43738</v>
      </c>
      <c r="I4388" s="8">
        <f>VLOOKUP(A4388,[1]!Table1[#All],33,FALSE)</f>
        <v>45564</v>
      </c>
      <c r="J4388" t="str">
        <f t="shared" ca="1" si="72"/>
        <v>UDO</v>
      </c>
    </row>
    <row r="4389" spans="1:10" x14ac:dyDescent="0.35">
      <c r="A4389" s="9" t="s">
        <v>141</v>
      </c>
      <c r="B4389" s="10">
        <v>44409</v>
      </c>
      <c r="C4389" s="11">
        <v>930000</v>
      </c>
      <c r="D4389" s="11">
        <v>128000</v>
      </c>
      <c r="E4389" s="11">
        <v>802000</v>
      </c>
      <c r="F4389" t="str">
        <f>VLOOKUP(A4389,[1]!Table1[#All],17,FALSE)</f>
        <v>UGANDA</v>
      </c>
      <c r="G4389" t="str">
        <f>VLOOKUP(A4389,[1]!Table1[#All],22,FALSE)</f>
        <v>INFECTIOUS DISEASES INSTITUTE AT MAKERERE UNIVERSI</v>
      </c>
      <c r="H4389" s="8">
        <f>VLOOKUP(A4389,[1]!Table1[#All],32,FALSE)</f>
        <v>43738</v>
      </c>
      <c r="I4389" s="8">
        <f>VLOOKUP(A4389,[1]!Table1[#All],33,FALSE)</f>
        <v>45564</v>
      </c>
      <c r="J4389" t="str">
        <f t="shared" ca="1" si="72"/>
        <v>UDO</v>
      </c>
    </row>
    <row r="4390" spans="1:10" x14ac:dyDescent="0.35">
      <c r="A4390" s="5" t="s">
        <v>141</v>
      </c>
      <c r="B4390" s="6">
        <v>44440</v>
      </c>
      <c r="C4390" s="7">
        <v>930000</v>
      </c>
      <c r="D4390" s="7">
        <v>142014.79999999999</v>
      </c>
      <c r="E4390" s="7">
        <v>787985.2</v>
      </c>
      <c r="F4390" t="str">
        <f>VLOOKUP(A4390,[1]!Table1[#All],17,FALSE)</f>
        <v>UGANDA</v>
      </c>
      <c r="G4390" t="str">
        <f>VLOOKUP(A4390,[1]!Table1[#All],22,FALSE)</f>
        <v>INFECTIOUS DISEASES INSTITUTE AT MAKERERE UNIVERSI</v>
      </c>
      <c r="H4390" s="8">
        <f>VLOOKUP(A4390,[1]!Table1[#All],32,FALSE)</f>
        <v>43738</v>
      </c>
      <c r="I4390" s="8">
        <f>VLOOKUP(A4390,[1]!Table1[#All],33,FALSE)</f>
        <v>45564</v>
      </c>
      <c r="J4390" t="str">
        <f t="shared" ca="1" si="72"/>
        <v>UDO</v>
      </c>
    </row>
    <row r="4391" spans="1:10" x14ac:dyDescent="0.35">
      <c r="A4391" s="9" t="s">
        <v>141</v>
      </c>
      <c r="B4391" s="10">
        <v>44470</v>
      </c>
      <c r="C4391" s="11">
        <v>930000</v>
      </c>
      <c r="D4391" s="11">
        <v>142014.79999999999</v>
      </c>
      <c r="E4391" s="11">
        <v>787985.2</v>
      </c>
      <c r="F4391" t="str">
        <f>VLOOKUP(A4391,[1]!Table1[#All],17,FALSE)</f>
        <v>UGANDA</v>
      </c>
      <c r="G4391" t="str">
        <f>VLOOKUP(A4391,[1]!Table1[#All],22,FALSE)</f>
        <v>INFECTIOUS DISEASES INSTITUTE AT MAKERERE UNIVERSI</v>
      </c>
      <c r="H4391" s="8">
        <f>VLOOKUP(A4391,[1]!Table1[#All],32,FALSE)</f>
        <v>43738</v>
      </c>
      <c r="I4391" s="8">
        <f>VLOOKUP(A4391,[1]!Table1[#All],33,FALSE)</f>
        <v>45564</v>
      </c>
      <c r="J4391" t="str">
        <f t="shared" ca="1" si="72"/>
        <v>UDO</v>
      </c>
    </row>
    <row r="4392" spans="1:10" x14ac:dyDescent="0.35">
      <c r="A4392" s="5" t="s">
        <v>141</v>
      </c>
      <c r="B4392" s="6">
        <v>44501</v>
      </c>
      <c r="C4392" s="7">
        <v>930000</v>
      </c>
      <c r="D4392" s="7">
        <v>143103.78</v>
      </c>
      <c r="E4392" s="7">
        <v>786896.22</v>
      </c>
      <c r="F4392" t="str">
        <f>VLOOKUP(A4392,[1]!Table1[#All],17,FALSE)</f>
        <v>UGANDA</v>
      </c>
      <c r="G4392" t="str">
        <f>VLOOKUP(A4392,[1]!Table1[#All],22,FALSE)</f>
        <v>INFECTIOUS DISEASES INSTITUTE AT MAKERERE UNIVERSI</v>
      </c>
      <c r="H4392" s="8">
        <f>VLOOKUP(A4392,[1]!Table1[#All],32,FALSE)</f>
        <v>43738</v>
      </c>
      <c r="I4392" s="8">
        <f>VLOOKUP(A4392,[1]!Table1[#All],33,FALSE)</f>
        <v>45564</v>
      </c>
      <c r="J4392" t="str">
        <f t="shared" ca="1" si="72"/>
        <v>UDO</v>
      </c>
    </row>
    <row r="4393" spans="1:10" x14ac:dyDescent="0.35">
      <c r="A4393" s="9" t="s">
        <v>141</v>
      </c>
      <c r="B4393" s="10">
        <v>44531</v>
      </c>
      <c r="C4393" s="11">
        <v>930000</v>
      </c>
      <c r="D4393" s="11">
        <v>154506.79</v>
      </c>
      <c r="E4393" s="11">
        <v>775493.21</v>
      </c>
      <c r="F4393" t="str">
        <f>VLOOKUP(A4393,[1]!Table1[#All],17,FALSE)</f>
        <v>UGANDA</v>
      </c>
      <c r="G4393" t="str">
        <f>VLOOKUP(A4393,[1]!Table1[#All],22,FALSE)</f>
        <v>INFECTIOUS DISEASES INSTITUTE AT MAKERERE UNIVERSI</v>
      </c>
      <c r="H4393" s="8">
        <f>VLOOKUP(A4393,[1]!Table1[#All],32,FALSE)</f>
        <v>43738</v>
      </c>
      <c r="I4393" s="8">
        <f>VLOOKUP(A4393,[1]!Table1[#All],33,FALSE)</f>
        <v>45564</v>
      </c>
      <c r="J4393" t="str">
        <f t="shared" ca="1" si="72"/>
        <v>UDO</v>
      </c>
    </row>
    <row r="4394" spans="1:10" x14ac:dyDescent="0.35">
      <c r="A4394" s="5" t="s">
        <v>141</v>
      </c>
      <c r="B4394" s="6">
        <v>44562</v>
      </c>
      <c r="C4394" s="7">
        <v>930000</v>
      </c>
      <c r="D4394" s="7">
        <v>157918.74</v>
      </c>
      <c r="E4394" s="7">
        <v>772081.26</v>
      </c>
      <c r="F4394" t="str">
        <f>VLOOKUP(A4394,[1]!Table1[#All],17,FALSE)</f>
        <v>UGANDA</v>
      </c>
      <c r="G4394" t="str">
        <f>VLOOKUP(A4394,[1]!Table1[#All],22,FALSE)</f>
        <v>INFECTIOUS DISEASES INSTITUTE AT MAKERERE UNIVERSI</v>
      </c>
      <c r="H4394" s="8">
        <f>VLOOKUP(A4394,[1]!Table1[#All],32,FALSE)</f>
        <v>43738</v>
      </c>
      <c r="I4394" s="8">
        <f>VLOOKUP(A4394,[1]!Table1[#All],33,FALSE)</f>
        <v>45564</v>
      </c>
      <c r="J4394" t="str">
        <f t="shared" ca="1" si="72"/>
        <v>UDO</v>
      </c>
    </row>
    <row r="4395" spans="1:10" x14ac:dyDescent="0.35">
      <c r="A4395" s="9" t="s">
        <v>141</v>
      </c>
      <c r="B4395" s="10">
        <v>44593</v>
      </c>
      <c r="C4395" s="11">
        <v>930000</v>
      </c>
      <c r="D4395" s="11">
        <v>157918.74</v>
      </c>
      <c r="E4395" s="11">
        <v>772081.26</v>
      </c>
      <c r="F4395" t="str">
        <f>VLOOKUP(A4395,[1]!Table1[#All],17,FALSE)</f>
        <v>UGANDA</v>
      </c>
      <c r="G4395" t="str">
        <f>VLOOKUP(A4395,[1]!Table1[#All],22,FALSE)</f>
        <v>INFECTIOUS DISEASES INSTITUTE AT MAKERERE UNIVERSI</v>
      </c>
      <c r="H4395" s="8">
        <f>VLOOKUP(A4395,[1]!Table1[#All],32,FALSE)</f>
        <v>43738</v>
      </c>
      <c r="I4395" s="8">
        <f>VLOOKUP(A4395,[1]!Table1[#All],33,FALSE)</f>
        <v>45564</v>
      </c>
      <c r="J4395" t="str">
        <f t="shared" ca="1" si="72"/>
        <v>UDO</v>
      </c>
    </row>
    <row r="4396" spans="1:10" x14ac:dyDescent="0.35">
      <c r="A4396" s="5" t="s">
        <v>141</v>
      </c>
      <c r="B4396" s="6">
        <v>44621</v>
      </c>
      <c r="C4396" s="7">
        <v>930000</v>
      </c>
      <c r="D4396" s="7">
        <v>161651.26999999999</v>
      </c>
      <c r="E4396" s="7">
        <v>768348.73</v>
      </c>
      <c r="F4396" t="str">
        <f>VLOOKUP(A4396,[1]!Table1[#All],17,FALSE)</f>
        <v>UGANDA</v>
      </c>
      <c r="G4396" t="str">
        <f>VLOOKUP(A4396,[1]!Table1[#All],22,FALSE)</f>
        <v>INFECTIOUS DISEASES INSTITUTE AT MAKERERE UNIVERSI</v>
      </c>
      <c r="H4396" s="8">
        <f>VLOOKUP(A4396,[1]!Table1[#All],32,FALSE)</f>
        <v>43738</v>
      </c>
      <c r="I4396" s="8">
        <f>VLOOKUP(A4396,[1]!Table1[#All],33,FALSE)</f>
        <v>45564</v>
      </c>
      <c r="J4396" t="str">
        <f t="shared" ca="1" si="72"/>
        <v>UDO</v>
      </c>
    </row>
    <row r="4397" spans="1:10" x14ac:dyDescent="0.35">
      <c r="A4397" s="9" t="s">
        <v>141</v>
      </c>
      <c r="B4397" s="10">
        <v>44652</v>
      </c>
      <c r="C4397" s="11">
        <v>930000</v>
      </c>
      <c r="D4397" s="11">
        <v>172228.45</v>
      </c>
      <c r="E4397" s="11">
        <v>757771.55</v>
      </c>
      <c r="F4397" t="str">
        <f>VLOOKUP(A4397,[1]!Table1[#All],17,FALSE)</f>
        <v>UGANDA</v>
      </c>
      <c r="G4397" t="str">
        <f>VLOOKUP(A4397,[1]!Table1[#All],22,FALSE)</f>
        <v>INFECTIOUS DISEASES INSTITUTE AT MAKERERE UNIVERSI</v>
      </c>
      <c r="H4397" s="8">
        <f>VLOOKUP(A4397,[1]!Table1[#All],32,FALSE)</f>
        <v>43738</v>
      </c>
      <c r="I4397" s="8">
        <f>VLOOKUP(A4397,[1]!Table1[#All],33,FALSE)</f>
        <v>45564</v>
      </c>
      <c r="J4397" t="str">
        <f t="shared" ca="1" si="72"/>
        <v>UDO</v>
      </c>
    </row>
    <row r="4398" spans="1:10" x14ac:dyDescent="0.35">
      <c r="A4398" s="5" t="s">
        <v>141</v>
      </c>
      <c r="B4398" s="6">
        <v>44682</v>
      </c>
      <c r="C4398" s="7">
        <v>930000</v>
      </c>
      <c r="D4398" s="7">
        <v>262759.63</v>
      </c>
      <c r="E4398" s="7">
        <v>667240.37</v>
      </c>
      <c r="F4398" t="str">
        <f>VLOOKUP(A4398,[1]!Table1[#All],17,FALSE)</f>
        <v>UGANDA</v>
      </c>
      <c r="G4398" t="str">
        <f>VLOOKUP(A4398,[1]!Table1[#All],22,FALSE)</f>
        <v>INFECTIOUS DISEASES INSTITUTE AT MAKERERE UNIVERSI</v>
      </c>
      <c r="H4398" s="8">
        <f>VLOOKUP(A4398,[1]!Table1[#All],32,FALSE)</f>
        <v>43738</v>
      </c>
      <c r="I4398" s="8">
        <f>VLOOKUP(A4398,[1]!Table1[#All],33,FALSE)</f>
        <v>45564</v>
      </c>
      <c r="J4398" t="str">
        <f t="shared" ca="1" si="72"/>
        <v>UDO</v>
      </c>
    </row>
    <row r="4399" spans="1:10" x14ac:dyDescent="0.35">
      <c r="A4399" s="9" t="s">
        <v>141</v>
      </c>
      <c r="B4399" s="10">
        <v>44713</v>
      </c>
      <c r="C4399" s="11">
        <v>930000</v>
      </c>
      <c r="D4399" s="11">
        <v>288481.11</v>
      </c>
      <c r="E4399" s="11">
        <v>641518.89</v>
      </c>
      <c r="F4399" t="str">
        <f>VLOOKUP(A4399,[1]!Table1[#All],17,FALSE)</f>
        <v>UGANDA</v>
      </c>
      <c r="G4399" t="str">
        <f>VLOOKUP(A4399,[1]!Table1[#All],22,FALSE)</f>
        <v>INFECTIOUS DISEASES INSTITUTE AT MAKERERE UNIVERSI</v>
      </c>
      <c r="H4399" s="8">
        <f>VLOOKUP(A4399,[1]!Table1[#All],32,FALSE)</f>
        <v>43738</v>
      </c>
      <c r="I4399" s="8">
        <f>VLOOKUP(A4399,[1]!Table1[#All],33,FALSE)</f>
        <v>45564</v>
      </c>
      <c r="J4399" t="str">
        <f t="shared" ca="1" si="72"/>
        <v>UDO</v>
      </c>
    </row>
    <row r="4400" spans="1:10" x14ac:dyDescent="0.35">
      <c r="A4400" s="5" t="s">
        <v>141</v>
      </c>
      <c r="B4400" s="6">
        <v>44743</v>
      </c>
      <c r="C4400" s="7">
        <v>930000</v>
      </c>
      <c r="D4400" s="7">
        <v>303617.74</v>
      </c>
      <c r="E4400" s="7">
        <v>626382.26</v>
      </c>
      <c r="F4400" t="str">
        <f>VLOOKUP(A4400,[1]!Table1[#All],17,FALSE)</f>
        <v>UGANDA</v>
      </c>
      <c r="G4400" t="str">
        <f>VLOOKUP(A4400,[1]!Table1[#All],22,FALSE)</f>
        <v>INFECTIOUS DISEASES INSTITUTE AT MAKERERE UNIVERSI</v>
      </c>
      <c r="H4400" s="8">
        <f>VLOOKUP(A4400,[1]!Table1[#All],32,FALSE)</f>
        <v>43738</v>
      </c>
      <c r="I4400" s="8">
        <f>VLOOKUP(A4400,[1]!Table1[#All],33,FALSE)</f>
        <v>45564</v>
      </c>
      <c r="J4400" t="str">
        <f t="shared" ca="1" si="72"/>
        <v>UDO</v>
      </c>
    </row>
    <row r="4401" spans="1:10" x14ac:dyDescent="0.35">
      <c r="A4401" s="9" t="s">
        <v>141</v>
      </c>
      <c r="B4401" s="10">
        <v>44774</v>
      </c>
      <c r="C4401" s="11">
        <v>930000</v>
      </c>
      <c r="D4401" s="11">
        <v>322678.99</v>
      </c>
      <c r="E4401" s="11">
        <v>607321.01</v>
      </c>
      <c r="F4401" t="str">
        <f>VLOOKUP(A4401,[1]!Table1[#All],17,FALSE)</f>
        <v>UGANDA</v>
      </c>
      <c r="G4401" t="str">
        <f>VLOOKUP(A4401,[1]!Table1[#All],22,FALSE)</f>
        <v>INFECTIOUS DISEASES INSTITUTE AT MAKERERE UNIVERSI</v>
      </c>
      <c r="H4401" s="8">
        <f>VLOOKUP(A4401,[1]!Table1[#All],32,FALSE)</f>
        <v>43738</v>
      </c>
      <c r="I4401" s="8">
        <f>VLOOKUP(A4401,[1]!Table1[#All],33,FALSE)</f>
        <v>45564</v>
      </c>
      <c r="J4401" t="str">
        <f t="shared" ca="1" si="72"/>
        <v>UDO</v>
      </c>
    </row>
    <row r="4402" spans="1:10" x14ac:dyDescent="0.35">
      <c r="A4402" s="5" t="s">
        <v>141</v>
      </c>
      <c r="B4402" s="6">
        <v>44805</v>
      </c>
      <c r="C4402" s="7">
        <v>930000</v>
      </c>
      <c r="D4402" s="7">
        <v>438295.59</v>
      </c>
      <c r="E4402" s="7">
        <v>491704.41</v>
      </c>
      <c r="F4402" t="str">
        <f>VLOOKUP(A4402,[1]!Table1[#All],17,FALSE)</f>
        <v>UGANDA</v>
      </c>
      <c r="G4402" t="str">
        <f>VLOOKUP(A4402,[1]!Table1[#All],22,FALSE)</f>
        <v>INFECTIOUS DISEASES INSTITUTE AT MAKERERE UNIVERSI</v>
      </c>
      <c r="H4402" s="8">
        <f>VLOOKUP(A4402,[1]!Table1[#All],32,FALSE)</f>
        <v>43738</v>
      </c>
      <c r="I4402" s="8">
        <f>VLOOKUP(A4402,[1]!Table1[#All],33,FALSE)</f>
        <v>45564</v>
      </c>
      <c r="J4402" t="str">
        <f t="shared" ca="1" si="72"/>
        <v>UDO</v>
      </c>
    </row>
    <row r="4403" spans="1:10" x14ac:dyDescent="0.35">
      <c r="A4403" s="9" t="s">
        <v>141</v>
      </c>
      <c r="B4403" s="10">
        <v>44835</v>
      </c>
      <c r="C4403" s="11">
        <v>930000</v>
      </c>
      <c r="D4403" s="11">
        <v>438295.59</v>
      </c>
      <c r="E4403" s="11">
        <v>491704.41</v>
      </c>
      <c r="F4403" t="str">
        <f>VLOOKUP(A4403,[1]!Table1[#All],17,FALSE)</f>
        <v>UGANDA</v>
      </c>
      <c r="G4403" t="str">
        <f>VLOOKUP(A4403,[1]!Table1[#All],22,FALSE)</f>
        <v>INFECTIOUS DISEASES INSTITUTE AT MAKERERE UNIVERSI</v>
      </c>
      <c r="H4403" s="8">
        <f>VLOOKUP(A4403,[1]!Table1[#All],32,FALSE)</f>
        <v>43738</v>
      </c>
      <c r="I4403" s="8">
        <f>VLOOKUP(A4403,[1]!Table1[#All],33,FALSE)</f>
        <v>45564</v>
      </c>
      <c r="J4403" t="str">
        <f t="shared" ca="1" si="72"/>
        <v>UDO</v>
      </c>
    </row>
    <row r="4404" spans="1:10" x14ac:dyDescent="0.35">
      <c r="A4404" s="5" t="s">
        <v>141</v>
      </c>
      <c r="B4404" s="6">
        <v>44866</v>
      </c>
      <c r="C4404" s="7">
        <v>930000</v>
      </c>
      <c r="D4404" s="7">
        <v>438295.59</v>
      </c>
      <c r="E4404" s="7">
        <v>491704.41</v>
      </c>
      <c r="F4404" t="str">
        <f>VLOOKUP(A4404,[1]!Table1[#All],17,FALSE)</f>
        <v>UGANDA</v>
      </c>
      <c r="G4404" t="str">
        <f>VLOOKUP(A4404,[1]!Table1[#All],22,FALSE)</f>
        <v>INFECTIOUS DISEASES INSTITUTE AT MAKERERE UNIVERSI</v>
      </c>
      <c r="H4404" s="8">
        <f>VLOOKUP(A4404,[1]!Table1[#All],32,FALSE)</f>
        <v>43738</v>
      </c>
      <c r="I4404" s="8">
        <f>VLOOKUP(A4404,[1]!Table1[#All],33,FALSE)</f>
        <v>45564</v>
      </c>
      <c r="J4404" t="str">
        <f t="shared" ca="1" si="72"/>
        <v>UDO</v>
      </c>
    </row>
    <row r="4405" spans="1:10" x14ac:dyDescent="0.35">
      <c r="A4405" s="9" t="s">
        <v>141</v>
      </c>
      <c r="B4405" s="10">
        <v>44896</v>
      </c>
      <c r="C4405" s="11">
        <v>930000</v>
      </c>
      <c r="D4405" s="11">
        <v>456135.22</v>
      </c>
      <c r="E4405" s="11">
        <v>473864.78</v>
      </c>
      <c r="F4405" t="str">
        <f>VLOOKUP(A4405,[1]!Table1[#All],17,FALSE)</f>
        <v>UGANDA</v>
      </c>
      <c r="G4405" t="str">
        <f>VLOOKUP(A4405,[1]!Table1[#All],22,FALSE)</f>
        <v>INFECTIOUS DISEASES INSTITUTE AT MAKERERE UNIVERSI</v>
      </c>
      <c r="H4405" s="8">
        <f>VLOOKUP(A4405,[1]!Table1[#All],32,FALSE)</f>
        <v>43738</v>
      </c>
      <c r="I4405" s="8">
        <f>VLOOKUP(A4405,[1]!Table1[#All],33,FALSE)</f>
        <v>45564</v>
      </c>
      <c r="J4405" t="str">
        <f t="shared" ca="1" si="72"/>
        <v>UDO</v>
      </c>
    </row>
    <row r="4406" spans="1:10" x14ac:dyDescent="0.35">
      <c r="A4406" s="5" t="s">
        <v>141</v>
      </c>
      <c r="B4406" s="6">
        <v>44927</v>
      </c>
      <c r="C4406" s="7">
        <v>930000</v>
      </c>
      <c r="D4406" s="7">
        <v>456135.22</v>
      </c>
      <c r="E4406" s="7">
        <v>473864.78</v>
      </c>
      <c r="F4406" t="str">
        <f>VLOOKUP(A4406,[1]!Table1[#All],17,FALSE)</f>
        <v>UGANDA</v>
      </c>
      <c r="G4406" t="str">
        <f>VLOOKUP(A4406,[1]!Table1[#All],22,FALSE)</f>
        <v>INFECTIOUS DISEASES INSTITUTE AT MAKERERE UNIVERSI</v>
      </c>
      <c r="H4406" s="8">
        <f>VLOOKUP(A4406,[1]!Table1[#All],32,FALSE)</f>
        <v>43738</v>
      </c>
      <c r="I4406" s="8">
        <f>VLOOKUP(A4406,[1]!Table1[#All],33,FALSE)</f>
        <v>45564</v>
      </c>
      <c r="J4406" t="str">
        <f t="shared" ca="1" si="72"/>
        <v>UDO</v>
      </c>
    </row>
    <row r="4407" spans="1:10" x14ac:dyDescent="0.35">
      <c r="A4407" s="9" t="s">
        <v>141</v>
      </c>
      <c r="B4407" s="10">
        <v>44958</v>
      </c>
      <c r="C4407" s="11">
        <v>930000</v>
      </c>
      <c r="D4407" s="11">
        <v>456135.22</v>
      </c>
      <c r="E4407" s="11">
        <v>473864.78</v>
      </c>
      <c r="F4407" t="str">
        <f>VLOOKUP(A4407,[1]!Table1[#All],17,FALSE)</f>
        <v>UGANDA</v>
      </c>
      <c r="G4407" t="str">
        <f>VLOOKUP(A4407,[1]!Table1[#All],22,FALSE)</f>
        <v>INFECTIOUS DISEASES INSTITUTE AT MAKERERE UNIVERSI</v>
      </c>
      <c r="H4407" s="8">
        <f>VLOOKUP(A4407,[1]!Table1[#All],32,FALSE)</f>
        <v>43738</v>
      </c>
      <c r="I4407" s="8">
        <f>VLOOKUP(A4407,[1]!Table1[#All],33,FALSE)</f>
        <v>45564</v>
      </c>
      <c r="J4407" t="str">
        <f t="shared" ca="1" si="72"/>
        <v>UDO</v>
      </c>
    </row>
    <row r="4408" spans="1:10" x14ac:dyDescent="0.35">
      <c r="A4408" s="5" t="s">
        <v>141</v>
      </c>
      <c r="B4408" s="6">
        <v>44986</v>
      </c>
      <c r="C4408" s="7">
        <v>930000</v>
      </c>
      <c r="D4408" s="7">
        <v>456135.22</v>
      </c>
      <c r="E4408" s="7">
        <v>473864.78</v>
      </c>
      <c r="F4408" t="str">
        <f>VLOOKUP(A4408,[1]!Table1[#All],17,FALSE)</f>
        <v>UGANDA</v>
      </c>
      <c r="G4408" t="str">
        <f>VLOOKUP(A4408,[1]!Table1[#All],22,FALSE)</f>
        <v>INFECTIOUS DISEASES INSTITUTE AT MAKERERE UNIVERSI</v>
      </c>
      <c r="H4408" s="8">
        <f>VLOOKUP(A4408,[1]!Table1[#All],32,FALSE)</f>
        <v>43738</v>
      </c>
      <c r="I4408" s="8">
        <f>VLOOKUP(A4408,[1]!Table1[#All],33,FALSE)</f>
        <v>45564</v>
      </c>
      <c r="J4408" t="str">
        <f t="shared" ca="1" si="72"/>
        <v>UDO</v>
      </c>
    </row>
    <row r="4409" spans="1:10" x14ac:dyDescent="0.35">
      <c r="A4409" s="9" t="s">
        <v>141</v>
      </c>
      <c r="B4409" s="10">
        <v>45017</v>
      </c>
      <c r="C4409" s="11">
        <v>930000</v>
      </c>
      <c r="D4409" s="11">
        <v>456135.22</v>
      </c>
      <c r="E4409" s="11">
        <v>473864.78</v>
      </c>
      <c r="F4409" t="str">
        <f>VLOOKUP(A4409,[1]!Table1[#All],17,FALSE)</f>
        <v>UGANDA</v>
      </c>
      <c r="G4409" t="str">
        <f>VLOOKUP(A4409,[1]!Table1[#All],22,FALSE)</f>
        <v>INFECTIOUS DISEASES INSTITUTE AT MAKERERE UNIVERSI</v>
      </c>
      <c r="H4409" s="8">
        <f>VLOOKUP(A4409,[1]!Table1[#All],32,FALSE)</f>
        <v>43738</v>
      </c>
      <c r="I4409" s="8">
        <f>VLOOKUP(A4409,[1]!Table1[#All],33,FALSE)</f>
        <v>45564</v>
      </c>
      <c r="J4409" t="str">
        <f t="shared" ca="1" si="72"/>
        <v>UDO</v>
      </c>
    </row>
    <row r="4410" spans="1:10" x14ac:dyDescent="0.35">
      <c r="A4410" s="5" t="s">
        <v>141</v>
      </c>
      <c r="B4410" s="6">
        <v>45047</v>
      </c>
      <c r="C4410" s="7">
        <v>930000</v>
      </c>
      <c r="D4410" s="7">
        <v>456135.22</v>
      </c>
      <c r="E4410" s="7">
        <v>473864.78</v>
      </c>
      <c r="F4410" t="str">
        <f>VLOOKUP(A4410,[1]!Table1[#All],17,FALSE)</f>
        <v>UGANDA</v>
      </c>
      <c r="G4410" t="str">
        <f>VLOOKUP(A4410,[1]!Table1[#All],22,FALSE)</f>
        <v>INFECTIOUS DISEASES INSTITUTE AT MAKERERE UNIVERSI</v>
      </c>
      <c r="H4410" s="8">
        <f>VLOOKUP(A4410,[1]!Table1[#All],32,FALSE)</f>
        <v>43738</v>
      </c>
      <c r="I4410" s="8">
        <f>VLOOKUP(A4410,[1]!Table1[#All],33,FALSE)</f>
        <v>45564</v>
      </c>
      <c r="J4410" t="str">
        <f t="shared" ca="1" si="72"/>
        <v>UDO</v>
      </c>
    </row>
    <row r="4411" spans="1:10" x14ac:dyDescent="0.35">
      <c r="A4411" s="9" t="s">
        <v>141</v>
      </c>
      <c r="B4411" s="10">
        <v>45078</v>
      </c>
      <c r="C4411" s="11">
        <v>930000</v>
      </c>
      <c r="D4411" s="11">
        <v>567809.21</v>
      </c>
      <c r="E4411" s="11">
        <v>362190.79</v>
      </c>
      <c r="F4411" t="str">
        <f>VLOOKUP(A4411,[1]!Table1[#All],17,FALSE)</f>
        <v>UGANDA</v>
      </c>
      <c r="G4411" t="str">
        <f>VLOOKUP(A4411,[1]!Table1[#All],22,FALSE)</f>
        <v>INFECTIOUS DISEASES INSTITUTE AT MAKERERE UNIVERSI</v>
      </c>
      <c r="H4411" s="8">
        <f>VLOOKUP(A4411,[1]!Table1[#All],32,FALSE)</f>
        <v>43738</v>
      </c>
      <c r="I4411" s="8">
        <f>VLOOKUP(A4411,[1]!Table1[#All],33,FALSE)</f>
        <v>45564</v>
      </c>
      <c r="J4411" t="str">
        <f t="shared" ca="1" si="72"/>
        <v>UDO</v>
      </c>
    </row>
    <row r="4412" spans="1:10" x14ac:dyDescent="0.35">
      <c r="A4412" s="5" t="s">
        <v>141</v>
      </c>
      <c r="B4412" s="6">
        <v>45108</v>
      </c>
      <c r="C4412" s="7">
        <v>930000</v>
      </c>
      <c r="D4412" s="7">
        <v>567809.21</v>
      </c>
      <c r="E4412" s="7">
        <v>362190.79</v>
      </c>
      <c r="F4412" t="str">
        <f>VLOOKUP(A4412,[1]!Table1[#All],17,FALSE)</f>
        <v>UGANDA</v>
      </c>
      <c r="G4412" t="str">
        <f>VLOOKUP(A4412,[1]!Table1[#All],22,FALSE)</f>
        <v>INFECTIOUS DISEASES INSTITUTE AT MAKERERE UNIVERSI</v>
      </c>
      <c r="H4412" s="8">
        <f>VLOOKUP(A4412,[1]!Table1[#All],32,FALSE)</f>
        <v>43738</v>
      </c>
      <c r="I4412" s="8">
        <f>VLOOKUP(A4412,[1]!Table1[#All],33,FALSE)</f>
        <v>45564</v>
      </c>
      <c r="J4412" t="str">
        <f t="shared" ca="1" si="72"/>
        <v>UDO</v>
      </c>
    </row>
    <row r="4413" spans="1:10" x14ac:dyDescent="0.35">
      <c r="A4413" s="9" t="s">
        <v>141</v>
      </c>
      <c r="B4413" s="10">
        <v>45139</v>
      </c>
      <c r="C4413" s="11">
        <v>930000</v>
      </c>
      <c r="D4413" s="11">
        <v>567809.21</v>
      </c>
      <c r="E4413" s="11">
        <v>362190.79</v>
      </c>
      <c r="F4413" t="str">
        <f>VLOOKUP(A4413,[1]!Table1[#All],17,FALSE)</f>
        <v>UGANDA</v>
      </c>
      <c r="G4413" t="str">
        <f>VLOOKUP(A4413,[1]!Table1[#All],22,FALSE)</f>
        <v>INFECTIOUS DISEASES INSTITUTE AT MAKERERE UNIVERSI</v>
      </c>
      <c r="H4413" s="8">
        <f>VLOOKUP(A4413,[1]!Table1[#All],32,FALSE)</f>
        <v>43738</v>
      </c>
      <c r="I4413" s="8">
        <f>VLOOKUP(A4413,[1]!Table1[#All],33,FALSE)</f>
        <v>45564</v>
      </c>
      <c r="J4413" t="str">
        <f t="shared" ca="1" si="72"/>
        <v>UDO</v>
      </c>
    </row>
    <row r="4414" spans="1:10" x14ac:dyDescent="0.35">
      <c r="A4414" s="5" t="s">
        <v>141</v>
      </c>
      <c r="B4414" s="6">
        <v>45170</v>
      </c>
      <c r="C4414" s="7">
        <v>930000</v>
      </c>
      <c r="D4414" s="7">
        <v>567809.21</v>
      </c>
      <c r="E4414" s="7">
        <v>362190.79</v>
      </c>
      <c r="F4414" t="str">
        <f>VLOOKUP(A4414,[1]!Table1[#All],17,FALSE)</f>
        <v>UGANDA</v>
      </c>
      <c r="G4414" t="str">
        <f>VLOOKUP(A4414,[1]!Table1[#All],22,FALSE)</f>
        <v>INFECTIOUS DISEASES INSTITUTE AT MAKERERE UNIVERSI</v>
      </c>
      <c r="H4414" s="8">
        <f>VLOOKUP(A4414,[1]!Table1[#All],32,FALSE)</f>
        <v>43738</v>
      </c>
      <c r="I4414" s="8">
        <f>VLOOKUP(A4414,[1]!Table1[#All],33,FALSE)</f>
        <v>45564</v>
      </c>
      <c r="J4414" t="str">
        <f t="shared" ca="1" si="72"/>
        <v>UDO</v>
      </c>
    </row>
    <row r="4415" spans="1:10" x14ac:dyDescent="0.35">
      <c r="A4415" s="9" t="s">
        <v>142</v>
      </c>
      <c r="B4415" s="10">
        <v>44105</v>
      </c>
      <c r="C4415" s="11">
        <v>500000</v>
      </c>
      <c r="D4415" s="11">
        <v>221197.45</v>
      </c>
      <c r="E4415" s="11">
        <v>278802.55</v>
      </c>
      <c r="F4415" t="str">
        <f>VLOOKUP(A4415,[1]!Table1[#All],17,FALSE)</f>
        <v>UNITED STATES</v>
      </c>
      <c r="G4415" t="str">
        <f>VLOOKUP(A4415,[1]!Table1[#All],22,FALSE)</f>
        <v>UNIVERSITY OF HAWAII</v>
      </c>
      <c r="H4415" s="8">
        <f>VLOOKUP(A4415,[1]!Table1[#All],32,FALSE)</f>
        <v>43738</v>
      </c>
      <c r="I4415" s="8">
        <f>VLOOKUP(A4415,[1]!Table1[#All],33,FALSE)</f>
        <v>45564</v>
      </c>
      <c r="J4415" t="str">
        <f t="shared" ca="1" si="72"/>
        <v>UDO</v>
      </c>
    </row>
    <row r="4416" spans="1:10" x14ac:dyDescent="0.35">
      <c r="A4416" s="5" t="s">
        <v>142</v>
      </c>
      <c r="B4416" s="6">
        <v>44136</v>
      </c>
      <c r="C4416" s="7">
        <v>500000</v>
      </c>
      <c r="D4416" s="7">
        <v>238830.01</v>
      </c>
      <c r="E4416" s="7">
        <v>261169.99</v>
      </c>
      <c r="F4416" t="str">
        <f>VLOOKUP(A4416,[1]!Table1[#All],17,FALSE)</f>
        <v>UNITED STATES</v>
      </c>
      <c r="G4416" t="str">
        <f>VLOOKUP(A4416,[1]!Table1[#All],22,FALSE)</f>
        <v>UNIVERSITY OF HAWAII</v>
      </c>
      <c r="H4416" s="8">
        <f>VLOOKUP(A4416,[1]!Table1[#All],32,FALSE)</f>
        <v>43738</v>
      </c>
      <c r="I4416" s="8">
        <f>VLOOKUP(A4416,[1]!Table1[#All],33,FALSE)</f>
        <v>45564</v>
      </c>
      <c r="J4416" t="str">
        <f t="shared" ca="1" si="72"/>
        <v>UDO</v>
      </c>
    </row>
    <row r="4417" spans="1:10" x14ac:dyDescent="0.35">
      <c r="A4417" s="9" t="s">
        <v>142</v>
      </c>
      <c r="B4417" s="10">
        <v>44166</v>
      </c>
      <c r="C4417" s="11">
        <v>500000</v>
      </c>
      <c r="D4417" s="11">
        <v>242826.54</v>
      </c>
      <c r="E4417" s="11">
        <v>257173.46</v>
      </c>
      <c r="F4417" t="str">
        <f>VLOOKUP(A4417,[1]!Table1[#All],17,FALSE)</f>
        <v>UNITED STATES</v>
      </c>
      <c r="G4417" t="str">
        <f>VLOOKUP(A4417,[1]!Table1[#All],22,FALSE)</f>
        <v>UNIVERSITY OF HAWAII</v>
      </c>
      <c r="H4417" s="8">
        <f>VLOOKUP(A4417,[1]!Table1[#All],32,FALSE)</f>
        <v>43738</v>
      </c>
      <c r="I4417" s="8">
        <f>VLOOKUP(A4417,[1]!Table1[#All],33,FALSE)</f>
        <v>45564</v>
      </c>
      <c r="J4417" t="str">
        <f t="shared" ca="1" si="72"/>
        <v>UDO</v>
      </c>
    </row>
    <row r="4418" spans="1:10" x14ac:dyDescent="0.35">
      <c r="A4418" s="5" t="s">
        <v>142</v>
      </c>
      <c r="B4418" s="6">
        <v>44197</v>
      </c>
      <c r="C4418" s="7">
        <v>500000</v>
      </c>
      <c r="D4418" s="7">
        <v>308235.76</v>
      </c>
      <c r="E4418" s="7">
        <v>191764.24</v>
      </c>
      <c r="F4418" t="str">
        <f>VLOOKUP(A4418,[1]!Table1[#All],17,FALSE)</f>
        <v>UNITED STATES</v>
      </c>
      <c r="G4418" t="str">
        <f>VLOOKUP(A4418,[1]!Table1[#All],22,FALSE)</f>
        <v>UNIVERSITY OF HAWAII</v>
      </c>
      <c r="H4418" s="8">
        <f>VLOOKUP(A4418,[1]!Table1[#All],32,FALSE)</f>
        <v>43738</v>
      </c>
      <c r="I4418" s="8">
        <f>VLOOKUP(A4418,[1]!Table1[#All],33,FALSE)</f>
        <v>45564</v>
      </c>
      <c r="J4418" t="str">
        <f t="shared" ca="1" si="72"/>
        <v>UDO</v>
      </c>
    </row>
    <row r="4419" spans="1:10" x14ac:dyDescent="0.35">
      <c r="A4419" s="9" t="s">
        <v>142</v>
      </c>
      <c r="B4419" s="10">
        <v>44228</v>
      </c>
      <c r="C4419" s="11">
        <v>500000</v>
      </c>
      <c r="D4419" s="11">
        <v>312065.44</v>
      </c>
      <c r="E4419" s="11">
        <v>187934.56</v>
      </c>
      <c r="F4419" t="str">
        <f>VLOOKUP(A4419,[1]!Table1[#All],17,FALSE)</f>
        <v>UNITED STATES</v>
      </c>
      <c r="G4419" t="str">
        <f>VLOOKUP(A4419,[1]!Table1[#All],22,FALSE)</f>
        <v>UNIVERSITY OF HAWAII</v>
      </c>
      <c r="H4419" s="8">
        <f>VLOOKUP(A4419,[1]!Table1[#All],32,FALSE)</f>
        <v>43738</v>
      </c>
      <c r="I4419" s="8">
        <f>VLOOKUP(A4419,[1]!Table1[#All],33,FALSE)</f>
        <v>45564</v>
      </c>
      <c r="J4419" t="str">
        <f t="shared" ref="J4419:J4482" ca="1" si="73">IF(AND( E4419&gt;0,TODAY()&gt;I4419),"UDO","Non UDO")</f>
        <v>UDO</v>
      </c>
    </row>
    <row r="4420" spans="1:10" x14ac:dyDescent="0.35">
      <c r="A4420" s="5" t="s">
        <v>142</v>
      </c>
      <c r="B4420" s="6">
        <v>44256</v>
      </c>
      <c r="C4420" s="7">
        <v>500000</v>
      </c>
      <c r="D4420" s="7">
        <v>314901.36</v>
      </c>
      <c r="E4420" s="7">
        <v>185098.64</v>
      </c>
      <c r="F4420" t="str">
        <f>VLOOKUP(A4420,[1]!Table1[#All],17,FALSE)</f>
        <v>UNITED STATES</v>
      </c>
      <c r="G4420" t="str">
        <f>VLOOKUP(A4420,[1]!Table1[#All],22,FALSE)</f>
        <v>UNIVERSITY OF HAWAII</v>
      </c>
      <c r="H4420" s="8">
        <f>VLOOKUP(A4420,[1]!Table1[#All],32,FALSE)</f>
        <v>43738</v>
      </c>
      <c r="I4420" s="8">
        <f>VLOOKUP(A4420,[1]!Table1[#All],33,FALSE)</f>
        <v>45564</v>
      </c>
      <c r="J4420" t="str">
        <f t="shared" ca="1" si="73"/>
        <v>UDO</v>
      </c>
    </row>
    <row r="4421" spans="1:10" x14ac:dyDescent="0.35">
      <c r="A4421" s="9" t="s">
        <v>142</v>
      </c>
      <c r="B4421" s="10">
        <v>44317</v>
      </c>
      <c r="C4421" s="11">
        <v>500000</v>
      </c>
      <c r="D4421" s="11">
        <v>370111.03</v>
      </c>
      <c r="E4421" s="11">
        <v>129888.97</v>
      </c>
      <c r="F4421" t="str">
        <f>VLOOKUP(A4421,[1]!Table1[#All],17,FALSE)</f>
        <v>UNITED STATES</v>
      </c>
      <c r="G4421" t="str">
        <f>VLOOKUP(A4421,[1]!Table1[#All],22,FALSE)</f>
        <v>UNIVERSITY OF HAWAII</v>
      </c>
      <c r="H4421" s="8">
        <f>VLOOKUP(A4421,[1]!Table1[#All],32,FALSE)</f>
        <v>43738</v>
      </c>
      <c r="I4421" s="8">
        <f>VLOOKUP(A4421,[1]!Table1[#All],33,FALSE)</f>
        <v>45564</v>
      </c>
      <c r="J4421" t="str">
        <f t="shared" ca="1" si="73"/>
        <v>UDO</v>
      </c>
    </row>
    <row r="4422" spans="1:10" x14ac:dyDescent="0.35">
      <c r="A4422" s="5" t="s">
        <v>142</v>
      </c>
      <c r="B4422" s="6">
        <v>44348</v>
      </c>
      <c r="C4422" s="7">
        <v>500000</v>
      </c>
      <c r="D4422" s="7">
        <v>373569.03</v>
      </c>
      <c r="E4422" s="7">
        <v>126430.97</v>
      </c>
      <c r="F4422" t="str">
        <f>VLOOKUP(A4422,[1]!Table1[#All],17,FALSE)</f>
        <v>UNITED STATES</v>
      </c>
      <c r="G4422" t="str">
        <f>VLOOKUP(A4422,[1]!Table1[#All],22,FALSE)</f>
        <v>UNIVERSITY OF HAWAII</v>
      </c>
      <c r="H4422" s="8">
        <f>VLOOKUP(A4422,[1]!Table1[#All],32,FALSE)</f>
        <v>43738</v>
      </c>
      <c r="I4422" s="8">
        <f>VLOOKUP(A4422,[1]!Table1[#All],33,FALSE)</f>
        <v>45564</v>
      </c>
      <c r="J4422" t="str">
        <f t="shared" ca="1" si="73"/>
        <v>UDO</v>
      </c>
    </row>
    <row r="4423" spans="1:10" x14ac:dyDescent="0.35">
      <c r="A4423" s="9" t="s">
        <v>142</v>
      </c>
      <c r="B4423" s="10">
        <v>44378</v>
      </c>
      <c r="C4423" s="11">
        <v>500000</v>
      </c>
      <c r="D4423" s="11">
        <v>377058.08</v>
      </c>
      <c r="E4423" s="11">
        <v>122941.92</v>
      </c>
      <c r="F4423" t="str">
        <f>VLOOKUP(A4423,[1]!Table1[#All],17,FALSE)</f>
        <v>UNITED STATES</v>
      </c>
      <c r="G4423" t="str">
        <f>VLOOKUP(A4423,[1]!Table1[#All],22,FALSE)</f>
        <v>UNIVERSITY OF HAWAII</v>
      </c>
      <c r="H4423" s="8">
        <f>VLOOKUP(A4423,[1]!Table1[#All],32,FALSE)</f>
        <v>43738</v>
      </c>
      <c r="I4423" s="8">
        <f>VLOOKUP(A4423,[1]!Table1[#All],33,FALSE)</f>
        <v>45564</v>
      </c>
      <c r="J4423" t="str">
        <f t="shared" ca="1" si="73"/>
        <v>UDO</v>
      </c>
    </row>
    <row r="4424" spans="1:10" x14ac:dyDescent="0.35">
      <c r="A4424" s="5" t="s">
        <v>142</v>
      </c>
      <c r="B4424" s="6">
        <v>44409</v>
      </c>
      <c r="C4424" s="7">
        <v>500000</v>
      </c>
      <c r="D4424" s="7">
        <v>380559.28</v>
      </c>
      <c r="E4424" s="7">
        <v>119440.72</v>
      </c>
      <c r="F4424" t="str">
        <f>VLOOKUP(A4424,[1]!Table1[#All],17,FALSE)</f>
        <v>UNITED STATES</v>
      </c>
      <c r="G4424" t="str">
        <f>VLOOKUP(A4424,[1]!Table1[#All],22,FALSE)</f>
        <v>UNIVERSITY OF HAWAII</v>
      </c>
      <c r="H4424" s="8">
        <f>VLOOKUP(A4424,[1]!Table1[#All],32,FALSE)</f>
        <v>43738</v>
      </c>
      <c r="I4424" s="8">
        <f>VLOOKUP(A4424,[1]!Table1[#All],33,FALSE)</f>
        <v>45564</v>
      </c>
      <c r="J4424" t="str">
        <f t="shared" ca="1" si="73"/>
        <v>UDO</v>
      </c>
    </row>
    <row r="4425" spans="1:10" x14ac:dyDescent="0.35">
      <c r="A4425" s="9" t="s">
        <v>142</v>
      </c>
      <c r="B4425" s="10">
        <v>44440</v>
      </c>
      <c r="C4425" s="11">
        <v>500000</v>
      </c>
      <c r="D4425" s="11">
        <v>419299.36</v>
      </c>
      <c r="E4425" s="11">
        <v>80700.639999999999</v>
      </c>
      <c r="F4425" t="str">
        <f>VLOOKUP(A4425,[1]!Table1[#All],17,FALSE)</f>
        <v>UNITED STATES</v>
      </c>
      <c r="G4425" t="str">
        <f>VLOOKUP(A4425,[1]!Table1[#All],22,FALSE)</f>
        <v>UNIVERSITY OF HAWAII</v>
      </c>
      <c r="H4425" s="8">
        <f>VLOOKUP(A4425,[1]!Table1[#All],32,FALSE)</f>
        <v>43738</v>
      </c>
      <c r="I4425" s="8">
        <f>VLOOKUP(A4425,[1]!Table1[#All],33,FALSE)</f>
        <v>45564</v>
      </c>
      <c r="J4425" t="str">
        <f t="shared" ca="1" si="73"/>
        <v>UDO</v>
      </c>
    </row>
    <row r="4426" spans="1:10" x14ac:dyDescent="0.35">
      <c r="A4426" s="5" t="s">
        <v>142</v>
      </c>
      <c r="B4426" s="6">
        <v>44470</v>
      </c>
      <c r="C4426" s="7">
        <v>500000</v>
      </c>
      <c r="D4426" s="7">
        <v>454328.16</v>
      </c>
      <c r="E4426" s="7">
        <v>45671.839999999997</v>
      </c>
      <c r="F4426" t="str">
        <f>VLOOKUP(A4426,[1]!Table1[#All],17,FALSE)</f>
        <v>UNITED STATES</v>
      </c>
      <c r="G4426" t="str">
        <f>VLOOKUP(A4426,[1]!Table1[#All],22,FALSE)</f>
        <v>UNIVERSITY OF HAWAII</v>
      </c>
      <c r="H4426" s="8">
        <f>VLOOKUP(A4426,[1]!Table1[#All],32,FALSE)</f>
        <v>43738</v>
      </c>
      <c r="I4426" s="8">
        <f>VLOOKUP(A4426,[1]!Table1[#All],33,FALSE)</f>
        <v>45564</v>
      </c>
      <c r="J4426" t="str">
        <f t="shared" ca="1" si="73"/>
        <v>UDO</v>
      </c>
    </row>
    <row r="4427" spans="1:10" x14ac:dyDescent="0.35">
      <c r="A4427" s="9" t="s">
        <v>142</v>
      </c>
      <c r="B4427" s="10">
        <v>44501</v>
      </c>
      <c r="C4427" s="11">
        <v>500000</v>
      </c>
      <c r="D4427" s="11">
        <v>457782.4</v>
      </c>
      <c r="E4427" s="11">
        <v>42217.599999999999</v>
      </c>
      <c r="F4427" t="str">
        <f>VLOOKUP(A4427,[1]!Table1[#All],17,FALSE)</f>
        <v>UNITED STATES</v>
      </c>
      <c r="G4427" t="str">
        <f>VLOOKUP(A4427,[1]!Table1[#All],22,FALSE)</f>
        <v>UNIVERSITY OF HAWAII</v>
      </c>
      <c r="H4427" s="8">
        <f>VLOOKUP(A4427,[1]!Table1[#All],32,FALSE)</f>
        <v>43738</v>
      </c>
      <c r="I4427" s="8">
        <f>VLOOKUP(A4427,[1]!Table1[#All],33,FALSE)</f>
        <v>45564</v>
      </c>
      <c r="J4427" t="str">
        <f t="shared" ca="1" si="73"/>
        <v>UDO</v>
      </c>
    </row>
    <row r="4428" spans="1:10" x14ac:dyDescent="0.35">
      <c r="A4428" s="5" t="s">
        <v>142</v>
      </c>
      <c r="B4428" s="6">
        <v>44531</v>
      </c>
      <c r="C4428" s="7">
        <v>500000</v>
      </c>
      <c r="D4428" s="7">
        <v>470239.52</v>
      </c>
      <c r="E4428" s="7">
        <v>29760.48</v>
      </c>
      <c r="F4428" t="str">
        <f>VLOOKUP(A4428,[1]!Table1[#All],17,FALSE)</f>
        <v>UNITED STATES</v>
      </c>
      <c r="G4428" t="str">
        <f>VLOOKUP(A4428,[1]!Table1[#All],22,FALSE)</f>
        <v>UNIVERSITY OF HAWAII</v>
      </c>
      <c r="H4428" s="8">
        <f>VLOOKUP(A4428,[1]!Table1[#All],32,FALSE)</f>
        <v>43738</v>
      </c>
      <c r="I4428" s="8">
        <f>VLOOKUP(A4428,[1]!Table1[#All],33,FALSE)</f>
        <v>45564</v>
      </c>
      <c r="J4428" t="str">
        <f t="shared" ca="1" si="73"/>
        <v>UDO</v>
      </c>
    </row>
    <row r="4429" spans="1:10" x14ac:dyDescent="0.35">
      <c r="A4429" s="9" t="s">
        <v>142</v>
      </c>
      <c r="B4429" s="10">
        <v>44562</v>
      </c>
      <c r="C4429" s="11">
        <v>500000</v>
      </c>
      <c r="D4429" s="11">
        <v>500000</v>
      </c>
      <c r="E4429" s="11">
        <v>0</v>
      </c>
      <c r="F4429" t="str">
        <f>VLOOKUP(A4429,[1]!Table1[#All],17,FALSE)</f>
        <v>UNITED STATES</v>
      </c>
      <c r="G4429" t="str">
        <f>VLOOKUP(A4429,[1]!Table1[#All],22,FALSE)</f>
        <v>UNIVERSITY OF HAWAII</v>
      </c>
      <c r="H4429" s="8">
        <f>VLOOKUP(A4429,[1]!Table1[#All],32,FALSE)</f>
        <v>43738</v>
      </c>
      <c r="I4429" s="8">
        <f>VLOOKUP(A4429,[1]!Table1[#All],33,FALSE)</f>
        <v>45564</v>
      </c>
      <c r="J4429" t="str">
        <f t="shared" ca="1" si="73"/>
        <v>Non UDO</v>
      </c>
    </row>
    <row r="4430" spans="1:10" x14ac:dyDescent="0.35">
      <c r="A4430" s="5" t="s">
        <v>142</v>
      </c>
      <c r="B4430" s="6">
        <v>44593</v>
      </c>
      <c r="C4430" s="7">
        <v>500000</v>
      </c>
      <c r="D4430" s="7">
        <v>500000</v>
      </c>
      <c r="E4430" s="7">
        <v>0</v>
      </c>
      <c r="F4430" t="str">
        <f>VLOOKUP(A4430,[1]!Table1[#All],17,FALSE)</f>
        <v>UNITED STATES</v>
      </c>
      <c r="G4430" t="str">
        <f>VLOOKUP(A4430,[1]!Table1[#All],22,FALSE)</f>
        <v>UNIVERSITY OF HAWAII</v>
      </c>
      <c r="H4430" s="8">
        <f>VLOOKUP(A4430,[1]!Table1[#All],32,FALSE)</f>
        <v>43738</v>
      </c>
      <c r="I4430" s="8">
        <f>VLOOKUP(A4430,[1]!Table1[#All],33,FALSE)</f>
        <v>45564</v>
      </c>
      <c r="J4430" t="str">
        <f t="shared" ca="1" si="73"/>
        <v>Non UDO</v>
      </c>
    </row>
    <row r="4431" spans="1:10" x14ac:dyDescent="0.35">
      <c r="A4431" s="9" t="s">
        <v>142</v>
      </c>
      <c r="B4431" s="10">
        <v>44621</v>
      </c>
      <c r="C4431" s="11">
        <v>500000</v>
      </c>
      <c r="D4431" s="11">
        <v>500000</v>
      </c>
      <c r="E4431" s="11">
        <v>0</v>
      </c>
      <c r="F4431" t="str">
        <f>VLOOKUP(A4431,[1]!Table1[#All],17,FALSE)</f>
        <v>UNITED STATES</v>
      </c>
      <c r="G4431" t="str">
        <f>VLOOKUP(A4431,[1]!Table1[#All],22,FALSE)</f>
        <v>UNIVERSITY OF HAWAII</v>
      </c>
      <c r="H4431" s="8">
        <f>VLOOKUP(A4431,[1]!Table1[#All],32,FALSE)</f>
        <v>43738</v>
      </c>
      <c r="I4431" s="8">
        <f>VLOOKUP(A4431,[1]!Table1[#All],33,FALSE)</f>
        <v>45564</v>
      </c>
      <c r="J4431" t="str">
        <f t="shared" ca="1" si="73"/>
        <v>Non UDO</v>
      </c>
    </row>
    <row r="4432" spans="1:10" x14ac:dyDescent="0.35">
      <c r="A4432" s="5" t="s">
        <v>142</v>
      </c>
      <c r="B4432" s="6">
        <v>44652</v>
      </c>
      <c r="C4432" s="7">
        <v>500000</v>
      </c>
      <c r="D4432" s="7">
        <v>500000</v>
      </c>
      <c r="E4432" s="7">
        <v>0</v>
      </c>
      <c r="F4432" t="str">
        <f>VLOOKUP(A4432,[1]!Table1[#All],17,FALSE)</f>
        <v>UNITED STATES</v>
      </c>
      <c r="G4432" t="str">
        <f>VLOOKUP(A4432,[1]!Table1[#All],22,FALSE)</f>
        <v>UNIVERSITY OF HAWAII</v>
      </c>
      <c r="H4432" s="8">
        <f>VLOOKUP(A4432,[1]!Table1[#All],32,FALSE)</f>
        <v>43738</v>
      </c>
      <c r="I4432" s="8">
        <f>VLOOKUP(A4432,[1]!Table1[#All],33,FALSE)</f>
        <v>45564</v>
      </c>
      <c r="J4432" t="str">
        <f t="shared" ca="1" si="73"/>
        <v>Non UDO</v>
      </c>
    </row>
    <row r="4433" spans="1:10" x14ac:dyDescent="0.35">
      <c r="A4433" s="9" t="s">
        <v>142</v>
      </c>
      <c r="B4433" s="10">
        <v>44682</v>
      </c>
      <c r="C4433" s="11">
        <v>500000</v>
      </c>
      <c r="D4433" s="11">
        <v>500000</v>
      </c>
      <c r="E4433" s="11">
        <v>0</v>
      </c>
      <c r="F4433" t="str">
        <f>VLOOKUP(A4433,[1]!Table1[#All],17,FALSE)</f>
        <v>UNITED STATES</v>
      </c>
      <c r="G4433" t="str">
        <f>VLOOKUP(A4433,[1]!Table1[#All],22,FALSE)</f>
        <v>UNIVERSITY OF HAWAII</v>
      </c>
      <c r="H4433" s="8">
        <f>VLOOKUP(A4433,[1]!Table1[#All],32,FALSE)</f>
        <v>43738</v>
      </c>
      <c r="I4433" s="8">
        <f>VLOOKUP(A4433,[1]!Table1[#All],33,FALSE)</f>
        <v>45564</v>
      </c>
      <c r="J4433" t="str">
        <f t="shared" ca="1" si="73"/>
        <v>Non UDO</v>
      </c>
    </row>
    <row r="4434" spans="1:10" x14ac:dyDescent="0.35">
      <c r="A4434" s="5" t="s">
        <v>142</v>
      </c>
      <c r="B4434" s="6">
        <v>44713</v>
      </c>
      <c r="C4434" s="7">
        <v>500000</v>
      </c>
      <c r="D4434" s="7">
        <v>500000</v>
      </c>
      <c r="E4434" s="7">
        <v>0</v>
      </c>
      <c r="F4434" t="str">
        <f>VLOOKUP(A4434,[1]!Table1[#All],17,FALSE)</f>
        <v>UNITED STATES</v>
      </c>
      <c r="G4434" t="str">
        <f>VLOOKUP(A4434,[1]!Table1[#All],22,FALSE)</f>
        <v>UNIVERSITY OF HAWAII</v>
      </c>
      <c r="H4434" s="8">
        <f>VLOOKUP(A4434,[1]!Table1[#All],32,FALSE)</f>
        <v>43738</v>
      </c>
      <c r="I4434" s="8">
        <f>VLOOKUP(A4434,[1]!Table1[#All],33,FALSE)</f>
        <v>45564</v>
      </c>
      <c r="J4434" t="str">
        <f t="shared" ca="1" si="73"/>
        <v>Non UDO</v>
      </c>
    </row>
    <row r="4435" spans="1:10" x14ac:dyDescent="0.35">
      <c r="A4435" s="9" t="s">
        <v>142</v>
      </c>
      <c r="B4435" s="10">
        <v>44743</v>
      </c>
      <c r="C4435" s="11">
        <v>500000</v>
      </c>
      <c r="D4435" s="11">
        <v>500000</v>
      </c>
      <c r="E4435" s="11">
        <v>0</v>
      </c>
      <c r="F4435" t="str">
        <f>VLOOKUP(A4435,[1]!Table1[#All],17,FALSE)</f>
        <v>UNITED STATES</v>
      </c>
      <c r="G4435" t="str">
        <f>VLOOKUP(A4435,[1]!Table1[#All],22,FALSE)</f>
        <v>UNIVERSITY OF HAWAII</v>
      </c>
      <c r="H4435" s="8">
        <f>VLOOKUP(A4435,[1]!Table1[#All],32,FALSE)</f>
        <v>43738</v>
      </c>
      <c r="I4435" s="8">
        <f>VLOOKUP(A4435,[1]!Table1[#All],33,FALSE)</f>
        <v>45564</v>
      </c>
      <c r="J4435" t="str">
        <f t="shared" ca="1" si="73"/>
        <v>Non UDO</v>
      </c>
    </row>
    <row r="4436" spans="1:10" x14ac:dyDescent="0.35">
      <c r="A4436" s="5" t="s">
        <v>142</v>
      </c>
      <c r="B4436" s="6">
        <v>44774</v>
      </c>
      <c r="C4436" s="7">
        <v>500000</v>
      </c>
      <c r="D4436" s="7">
        <v>500000</v>
      </c>
      <c r="E4436" s="7">
        <v>0</v>
      </c>
      <c r="F4436" t="str">
        <f>VLOOKUP(A4436,[1]!Table1[#All],17,FALSE)</f>
        <v>UNITED STATES</v>
      </c>
      <c r="G4436" t="str">
        <f>VLOOKUP(A4436,[1]!Table1[#All],22,FALSE)</f>
        <v>UNIVERSITY OF HAWAII</v>
      </c>
      <c r="H4436" s="8">
        <f>VLOOKUP(A4436,[1]!Table1[#All],32,FALSE)</f>
        <v>43738</v>
      </c>
      <c r="I4436" s="8">
        <f>VLOOKUP(A4436,[1]!Table1[#All],33,FALSE)</f>
        <v>45564</v>
      </c>
      <c r="J4436" t="str">
        <f t="shared" ca="1" si="73"/>
        <v>Non UDO</v>
      </c>
    </row>
    <row r="4437" spans="1:10" x14ac:dyDescent="0.35">
      <c r="A4437" s="9" t="s">
        <v>142</v>
      </c>
      <c r="B4437" s="10">
        <v>44805</v>
      </c>
      <c r="C4437" s="11">
        <v>500000</v>
      </c>
      <c r="D4437" s="11">
        <v>500000</v>
      </c>
      <c r="E4437" s="11">
        <v>0</v>
      </c>
      <c r="F4437" t="str">
        <f>VLOOKUP(A4437,[1]!Table1[#All],17,FALSE)</f>
        <v>UNITED STATES</v>
      </c>
      <c r="G4437" t="str">
        <f>VLOOKUP(A4437,[1]!Table1[#All],22,FALSE)</f>
        <v>UNIVERSITY OF HAWAII</v>
      </c>
      <c r="H4437" s="8">
        <f>VLOOKUP(A4437,[1]!Table1[#All],32,FALSE)</f>
        <v>43738</v>
      </c>
      <c r="I4437" s="8">
        <f>VLOOKUP(A4437,[1]!Table1[#All],33,FALSE)</f>
        <v>45564</v>
      </c>
      <c r="J4437" t="str">
        <f t="shared" ca="1" si="73"/>
        <v>Non UDO</v>
      </c>
    </row>
    <row r="4438" spans="1:10" x14ac:dyDescent="0.35">
      <c r="A4438" s="5" t="s">
        <v>142</v>
      </c>
      <c r="B4438" s="6">
        <v>44835</v>
      </c>
      <c r="C4438" s="7">
        <v>500000</v>
      </c>
      <c r="D4438" s="7">
        <v>500000</v>
      </c>
      <c r="E4438" s="7">
        <v>0</v>
      </c>
      <c r="F4438" t="str">
        <f>VLOOKUP(A4438,[1]!Table1[#All],17,FALSE)</f>
        <v>UNITED STATES</v>
      </c>
      <c r="G4438" t="str">
        <f>VLOOKUP(A4438,[1]!Table1[#All],22,FALSE)</f>
        <v>UNIVERSITY OF HAWAII</v>
      </c>
      <c r="H4438" s="8">
        <f>VLOOKUP(A4438,[1]!Table1[#All],32,FALSE)</f>
        <v>43738</v>
      </c>
      <c r="I4438" s="8">
        <f>VLOOKUP(A4438,[1]!Table1[#All],33,FALSE)</f>
        <v>45564</v>
      </c>
      <c r="J4438" t="str">
        <f t="shared" ca="1" si="73"/>
        <v>Non UDO</v>
      </c>
    </row>
    <row r="4439" spans="1:10" x14ac:dyDescent="0.35">
      <c r="A4439" s="9" t="s">
        <v>142</v>
      </c>
      <c r="B4439" s="10">
        <v>44866</v>
      </c>
      <c r="C4439" s="11">
        <v>500000</v>
      </c>
      <c r="D4439" s="11">
        <v>500000</v>
      </c>
      <c r="E4439" s="11">
        <v>0</v>
      </c>
      <c r="F4439" t="str">
        <f>VLOOKUP(A4439,[1]!Table1[#All],17,FALSE)</f>
        <v>UNITED STATES</v>
      </c>
      <c r="G4439" t="str">
        <f>VLOOKUP(A4439,[1]!Table1[#All],22,FALSE)</f>
        <v>UNIVERSITY OF HAWAII</v>
      </c>
      <c r="H4439" s="8">
        <f>VLOOKUP(A4439,[1]!Table1[#All],32,FALSE)</f>
        <v>43738</v>
      </c>
      <c r="I4439" s="8">
        <f>VLOOKUP(A4439,[1]!Table1[#All],33,FALSE)</f>
        <v>45564</v>
      </c>
      <c r="J4439" t="str">
        <f t="shared" ca="1" si="73"/>
        <v>Non UDO</v>
      </c>
    </row>
    <row r="4440" spans="1:10" x14ac:dyDescent="0.35">
      <c r="A4440" s="5" t="s">
        <v>142</v>
      </c>
      <c r="B4440" s="6">
        <v>44896</v>
      </c>
      <c r="C4440" s="7">
        <v>500000</v>
      </c>
      <c r="D4440" s="7">
        <v>500000</v>
      </c>
      <c r="E4440" s="7">
        <v>0</v>
      </c>
      <c r="F4440" t="str">
        <f>VLOOKUP(A4440,[1]!Table1[#All],17,FALSE)</f>
        <v>UNITED STATES</v>
      </c>
      <c r="G4440" t="str">
        <f>VLOOKUP(A4440,[1]!Table1[#All],22,FALSE)</f>
        <v>UNIVERSITY OF HAWAII</v>
      </c>
      <c r="H4440" s="8">
        <f>VLOOKUP(A4440,[1]!Table1[#All],32,FALSE)</f>
        <v>43738</v>
      </c>
      <c r="I4440" s="8">
        <f>VLOOKUP(A4440,[1]!Table1[#All],33,FALSE)</f>
        <v>45564</v>
      </c>
      <c r="J4440" t="str">
        <f t="shared" ca="1" si="73"/>
        <v>Non UDO</v>
      </c>
    </row>
    <row r="4441" spans="1:10" x14ac:dyDescent="0.35">
      <c r="A4441" s="9" t="s">
        <v>142</v>
      </c>
      <c r="B4441" s="10">
        <v>44927</v>
      </c>
      <c r="C4441" s="11">
        <v>500000</v>
      </c>
      <c r="D4441" s="11">
        <v>500000</v>
      </c>
      <c r="E4441" s="11">
        <v>0</v>
      </c>
      <c r="F4441" t="str">
        <f>VLOOKUP(A4441,[1]!Table1[#All],17,FALSE)</f>
        <v>UNITED STATES</v>
      </c>
      <c r="G4441" t="str">
        <f>VLOOKUP(A4441,[1]!Table1[#All],22,FALSE)</f>
        <v>UNIVERSITY OF HAWAII</v>
      </c>
      <c r="H4441" s="8">
        <f>VLOOKUP(A4441,[1]!Table1[#All],32,FALSE)</f>
        <v>43738</v>
      </c>
      <c r="I4441" s="8">
        <f>VLOOKUP(A4441,[1]!Table1[#All],33,FALSE)</f>
        <v>45564</v>
      </c>
      <c r="J4441" t="str">
        <f t="shared" ca="1" si="73"/>
        <v>Non UDO</v>
      </c>
    </row>
    <row r="4442" spans="1:10" x14ac:dyDescent="0.35">
      <c r="A4442" s="5" t="s">
        <v>142</v>
      </c>
      <c r="B4442" s="6">
        <v>44958</v>
      </c>
      <c r="C4442" s="7">
        <v>500000</v>
      </c>
      <c r="D4442" s="7">
        <v>500000</v>
      </c>
      <c r="E4442" s="7">
        <v>0</v>
      </c>
      <c r="F4442" t="str">
        <f>VLOOKUP(A4442,[1]!Table1[#All],17,FALSE)</f>
        <v>UNITED STATES</v>
      </c>
      <c r="G4442" t="str">
        <f>VLOOKUP(A4442,[1]!Table1[#All],22,FALSE)</f>
        <v>UNIVERSITY OF HAWAII</v>
      </c>
      <c r="H4442" s="8">
        <f>VLOOKUP(A4442,[1]!Table1[#All],32,FALSE)</f>
        <v>43738</v>
      </c>
      <c r="I4442" s="8">
        <f>VLOOKUP(A4442,[1]!Table1[#All],33,FALSE)</f>
        <v>45564</v>
      </c>
      <c r="J4442" t="str">
        <f t="shared" ca="1" si="73"/>
        <v>Non UDO</v>
      </c>
    </row>
    <row r="4443" spans="1:10" x14ac:dyDescent="0.35">
      <c r="A4443" s="9" t="s">
        <v>142</v>
      </c>
      <c r="B4443" s="10">
        <v>44986</v>
      </c>
      <c r="C4443" s="11">
        <v>500000</v>
      </c>
      <c r="D4443" s="11">
        <v>500000</v>
      </c>
      <c r="E4443" s="11">
        <v>0</v>
      </c>
      <c r="F4443" t="str">
        <f>VLOOKUP(A4443,[1]!Table1[#All],17,FALSE)</f>
        <v>UNITED STATES</v>
      </c>
      <c r="G4443" t="str">
        <f>VLOOKUP(A4443,[1]!Table1[#All],22,FALSE)</f>
        <v>UNIVERSITY OF HAWAII</v>
      </c>
      <c r="H4443" s="8">
        <f>VLOOKUP(A4443,[1]!Table1[#All],32,FALSE)</f>
        <v>43738</v>
      </c>
      <c r="I4443" s="8">
        <f>VLOOKUP(A4443,[1]!Table1[#All],33,FALSE)</f>
        <v>45564</v>
      </c>
      <c r="J4443" t="str">
        <f t="shared" ca="1" si="73"/>
        <v>Non UDO</v>
      </c>
    </row>
    <row r="4444" spans="1:10" x14ac:dyDescent="0.35">
      <c r="A4444" s="5" t="s">
        <v>142</v>
      </c>
      <c r="B4444" s="6">
        <v>45017</v>
      </c>
      <c r="C4444" s="7">
        <v>500000</v>
      </c>
      <c r="D4444" s="7">
        <v>500000</v>
      </c>
      <c r="E4444" s="7">
        <v>0</v>
      </c>
      <c r="F4444" t="str">
        <f>VLOOKUP(A4444,[1]!Table1[#All],17,FALSE)</f>
        <v>UNITED STATES</v>
      </c>
      <c r="G4444" t="str">
        <f>VLOOKUP(A4444,[1]!Table1[#All],22,FALSE)</f>
        <v>UNIVERSITY OF HAWAII</v>
      </c>
      <c r="H4444" s="8">
        <f>VLOOKUP(A4444,[1]!Table1[#All],32,FALSE)</f>
        <v>43738</v>
      </c>
      <c r="I4444" s="8">
        <f>VLOOKUP(A4444,[1]!Table1[#All],33,FALSE)</f>
        <v>45564</v>
      </c>
      <c r="J4444" t="str">
        <f t="shared" ca="1" si="73"/>
        <v>Non UDO</v>
      </c>
    </row>
    <row r="4445" spans="1:10" x14ac:dyDescent="0.35">
      <c r="A4445" s="9" t="s">
        <v>142</v>
      </c>
      <c r="B4445" s="10">
        <v>45047</v>
      </c>
      <c r="C4445" s="11">
        <v>500000</v>
      </c>
      <c r="D4445" s="11">
        <v>500000</v>
      </c>
      <c r="E4445" s="11">
        <v>0</v>
      </c>
      <c r="F4445" t="str">
        <f>VLOOKUP(A4445,[1]!Table1[#All],17,FALSE)</f>
        <v>UNITED STATES</v>
      </c>
      <c r="G4445" t="str">
        <f>VLOOKUP(A4445,[1]!Table1[#All],22,FALSE)</f>
        <v>UNIVERSITY OF HAWAII</v>
      </c>
      <c r="H4445" s="8">
        <f>VLOOKUP(A4445,[1]!Table1[#All],32,FALSE)</f>
        <v>43738</v>
      </c>
      <c r="I4445" s="8">
        <f>VLOOKUP(A4445,[1]!Table1[#All],33,FALSE)</f>
        <v>45564</v>
      </c>
      <c r="J4445" t="str">
        <f t="shared" ca="1" si="73"/>
        <v>Non UDO</v>
      </c>
    </row>
    <row r="4446" spans="1:10" x14ac:dyDescent="0.35">
      <c r="A4446" s="5" t="s">
        <v>142</v>
      </c>
      <c r="B4446" s="6">
        <v>45078</v>
      </c>
      <c r="C4446" s="7">
        <v>500000</v>
      </c>
      <c r="D4446" s="7">
        <v>500000</v>
      </c>
      <c r="E4446" s="7">
        <v>0</v>
      </c>
      <c r="F4446" t="str">
        <f>VLOOKUP(A4446,[1]!Table1[#All],17,FALSE)</f>
        <v>UNITED STATES</v>
      </c>
      <c r="G4446" t="str">
        <f>VLOOKUP(A4446,[1]!Table1[#All],22,FALSE)</f>
        <v>UNIVERSITY OF HAWAII</v>
      </c>
      <c r="H4446" s="8">
        <f>VLOOKUP(A4446,[1]!Table1[#All],32,FALSE)</f>
        <v>43738</v>
      </c>
      <c r="I4446" s="8">
        <f>VLOOKUP(A4446,[1]!Table1[#All],33,FALSE)</f>
        <v>45564</v>
      </c>
      <c r="J4446" t="str">
        <f t="shared" ca="1" si="73"/>
        <v>Non UDO</v>
      </c>
    </row>
    <row r="4447" spans="1:10" x14ac:dyDescent="0.35">
      <c r="A4447" s="9" t="s">
        <v>142</v>
      </c>
      <c r="B4447" s="10">
        <v>45108</v>
      </c>
      <c r="C4447" s="11">
        <v>500000</v>
      </c>
      <c r="D4447" s="11">
        <v>500000</v>
      </c>
      <c r="E4447" s="11">
        <v>0</v>
      </c>
      <c r="F4447" t="str">
        <f>VLOOKUP(A4447,[1]!Table1[#All],17,FALSE)</f>
        <v>UNITED STATES</v>
      </c>
      <c r="G4447" t="str">
        <f>VLOOKUP(A4447,[1]!Table1[#All],22,FALSE)</f>
        <v>UNIVERSITY OF HAWAII</v>
      </c>
      <c r="H4447" s="8">
        <f>VLOOKUP(A4447,[1]!Table1[#All],32,FALSE)</f>
        <v>43738</v>
      </c>
      <c r="I4447" s="8">
        <f>VLOOKUP(A4447,[1]!Table1[#All],33,FALSE)</f>
        <v>45564</v>
      </c>
      <c r="J4447" t="str">
        <f t="shared" ca="1" si="73"/>
        <v>Non UDO</v>
      </c>
    </row>
    <row r="4448" spans="1:10" x14ac:dyDescent="0.35">
      <c r="A4448" s="5" t="s">
        <v>142</v>
      </c>
      <c r="B4448" s="6">
        <v>45139</v>
      </c>
      <c r="C4448" s="7">
        <v>500000</v>
      </c>
      <c r="D4448" s="7">
        <v>500000</v>
      </c>
      <c r="E4448" s="7">
        <v>0</v>
      </c>
      <c r="F4448" t="str">
        <f>VLOOKUP(A4448,[1]!Table1[#All],17,FALSE)</f>
        <v>UNITED STATES</v>
      </c>
      <c r="G4448" t="str">
        <f>VLOOKUP(A4448,[1]!Table1[#All],22,FALSE)</f>
        <v>UNIVERSITY OF HAWAII</v>
      </c>
      <c r="H4448" s="8">
        <f>VLOOKUP(A4448,[1]!Table1[#All],32,FALSE)</f>
        <v>43738</v>
      </c>
      <c r="I4448" s="8">
        <f>VLOOKUP(A4448,[1]!Table1[#All],33,FALSE)</f>
        <v>45564</v>
      </c>
      <c r="J4448" t="str">
        <f t="shared" ca="1" si="73"/>
        <v>Non UDO</v>
      </c>
    </row>
    <row r="4449" spans="1:10" x14ac:dyDescent="0.35">
      <c r="A4449" s="9" t="s">
        <v>142</v>
      </c>
      <c r="B4449" s="10">
        <v>45170</v>
      </c>
      <c r="C4449" s="11">
        <v>500000</v>
      </c>
      <c r="D4449" s="11">
        <v>500000</v>
      </c>
      <c r="E4449" s="11">
        <v>0</v>
      </c>
      <c r="F4449" t="str">
        <f>VLOOKUP(A4449,[1]!Table1[#All],17,FALSE)</f>
        <v>UNITED STATES</v>
      </c>
      <c r="G4449" t="str">
        <f>VLOOKUP(A4449,[1]!Table1[#All],22,FALSE)</f>
        <v>UNIVERSITY OF HAWAII</v>
      </c>
      <c r="H4449" s="8">
        <f>VLOOKUP(A4449,[1]!Table1[#All],32,FALSE)</f>
        <v>43738</v>
      </c>
      <c r="I4449" s="8">
        <f>VLOOKUP(A4449,[1]!Table1[#All],33,FALSE)</f>
        <v>45564</v>
      </c>
      <c r="J4449" t="str">
        <f t="shared" ca="1" si="73"/>
        <v>Non UDO</v>
      </c>
    </row>
    <row r="4450" spans="1:10" x14ac:dyDescent="0.35">
      <c r="A4450" s="5" t="s">
        <v>143</v>
      </c>
      <c r="B4450" s="6">
        <v>44440</v>
      </c>
      <c r="C4450" s="7">
        <v>199500</v>
      </c>
      <c r="D4450" s="7">
        <v>0</v>
      </c>
      <c r="E4450" s="7">
        <v>199500</v>
      </c>
      <c r="F4450" t="str">
        <f>VLOOKUP(A4450,[1]!Table1[#All],17,FALSE)</f>
        <v>UNITED STATES</v>
      </c>
      <c r="G4450" t="str">
        <f>VLOOKUP(A4450,[1]!Table1[#All],22,FALSE)</f>
        <v>UNIVERSITY OF HAWAII</v>
      </c>
      <c r="H4450" s="8">
        <f>VLOOKUP(A4450,[1]!Table1[#All],32,FALSE)</f>
        <v>43738</v>
      </c>
      <c r="I4450" s="8">
        <f>VLOOKUP(A4450,[1]!Table1[#All],33,FALSE)</f>
        <v>45564</v>
      </c>
      <c r="J4450" t="str">
        <f t="shared" ca="1" si="73"/>
        <v>UDO</v>
      </c>
    </row>
    <row r="4451" spans="1:10" x14ac:dyDescent="0.35">
      <c r="A4451" s="9" t="s">
        <v>143</v>
      </c>
      <c r="B4451" s="10">
        <v>44470</v>
      </c>
      <c r="C4451" s="11">
        <v>199500</v>
      </c>
      <c r="D4451" s="11">
        <v>0</v>
      </c>
      <c r="E4451" s="11">
        <v>199500</v>
      </c>
      <c r="F4451" t="str">
        <f>VLOOKUP(A4451,[1]!Table1[#All],17,FALSE)</f>
        <v>UNITED STATES</v>
      </c>
      <c r="G4451" t="str">
        <f>VLOOKUP(A4451,[1]!Table1[#All],22,FALSE)</f>
        <v>UNIVERSITY OF HAWAII</v>
      </c>
      <c r="H4451" s="8">
        <f>VLOOKUP(A4451,[1]!Table1[#All],32,FALSE)</f>
        <v>43738</v>
      </c>
      <c r="I4451" s="8">
        <f>VLOOKUP(A4451,[1]!Table1[#All],33,FALSE)</f>
        <v>45564</v>
      </c>
      <c r="J4451" t="str">
        <f t="shared" ca="1" si="73"/>
        <v>UDO</v>
      </c>
    </row>
    <row r="4452" spans="1:10" x14ac:dyDescent="0.35">
      <c r="A4452" s="5" t="s">
        <v>143</v>
      </c>
      <c r="B4452" s="6">
        <v>44501</v>
      </c>
      <c r="C4452" s="7">
        <v>199500</v>
      </c>
      <c r="D4452" s="7">
        <v>0</v>
      </c>
      <c r="E4452" s="7">
        <v>199500</v>
      </c>
      <c r="F4452" t="str">
        <f>VLOOKUP(A4452,[1]!Table1[#All],17,FALSE)</f>
        <v>UNITED STATES</v>
      </c>
      <c r="G4452" t="str">
        <f>VLOOKUP(A4452,[1]!Table1[#All],22,FALSE)</f>
        <v>UNIVERSITY OF HAWAII</v>
      </c>
      <c r="H4452" s="8">
        <f>VLOOKUP(A4452,[1]!Table1[#All],32,FALSE)</f>
        <v>43738</v>
      </c>
      <c r="I4452" s="8">
        <f>VLOOKUP(A4452,[1]!Table1[#All],33,FALSE)</f>
        <v>45564</v>
      </c>
      <c r="J4452" t="str">
        <f t="shared" ca="1" si="73"/>
        <v>UDO</v>
      </c>
    </row>
    <row r="4453" spans="1:10" x14ac:dyDescent="0.35">
      <c r="A4453" s="9" t="s">
        <v>143</v>
      </c>
      <c r="B4453" s="10">
        <v>44531</v>
      </c>
      <c r="C4453" s="11">
        <v>199500</v>
      </c>
      <c r="D4453" s="11">
        <v>0</v>
      </c>
      <c r="E4453" s="11">
        <v>199500</v>
      </c>
      <c r="F4453" t="str">
        <f>VLOOKUP(A4453,[1]!Table1[#All],17,FALSE)</f>
        <v>UNITED STATES</v>
      </c>
      <c r="G4453" t="str">
        <f>VLOOKUP(A4453,[1]!Table1[#All],22,FALSE)</f>
        <v>UNIVERSITY OF HAWAII</v>
      </c>
      <c r="H4453" s="8">
        <f>VLOOKUP(A4453,[1]!Table1[#All],32,FALSE)</f>
        <v>43738</v>
      </c>
      <c r="I4453" s="8">
        <f>VLOOKUP(A4453,[1]!Table1[#All],33,FALSE)</f>
        <v>45564</v>
      </c>
      <c r="J4453" t="str">
        <f t="shared" ca="1" si="73"/>
        <v>UDO</v>
      </c>
    </row>
    <row r="4454" spans="1:10" x14ac:dyDescent="0.35">
      <c r="A4454" s="5" t="s">
        <v>143</v>
      </c>
      <c r="B4454" s="6">
        <v>44562</v>
      </c>
      <c r="C4454" s="7">
        <v>199500</v>
      </c>
      <c r="D4454" s="7">
        <v>7973.35</v>
      </c>
      <c r="E4454" s="7">
        <v>191526.65</v>
      </c>
      <c r="F4454" t="str">
        <f>VLOOKUP(A4454,[1]!Table1[#All],17,FALSE)</f>
        <v>UNITED STATES</v>
      </c>
      <c r="G4454" t="str">
        <f>VLOOKUP(A4454,[1]!Table1[#All],22,FALSE)</f>
        <v>UNIVERSITY OF HAWAII</v>
      </c>
      <c r="H4454" s="8">
        <f>VLOOKUP(A4454,[1]!Table1[#All],32,FALSE)</f>
        <v>43738</v>
      </c>
      <c r="I4454" s="8">
        <f>VLOOKUP(A4454,[1]!Table1[#All],33,FALSE)</f>
        <v>45564</v>
      </c>
      <c r="J4454" t="str">
        <f t="shared" ca="1" si="73"/>
        <v>UDO</v>
      </c>
    </row>
    <row r="4455" spans="1:10" x14ac:dyDescent="0.35">
      <c r="A4455" s="9" t="s">
        <v>143</v>
      </c>
      <c r="B4455" s="10">
        <v>44593</v>
      </c>
      <c r="C4455" s="11">
        <v>199500</v>
      </c>
      <c r="D4455" s="11">
        <v>15474.93</v>
      </c>
      <c r="E4455" s="11">
        <v>184025.07</v>
      </c>
      <c r="F4455" t="str">
        <f>VLOOKUP(A4455,[1]!Table1[#All],17,FALSE)</f>
        <v>UNITED STATES</v>
      </c>
      <c r="G4455" t="str">
        <f>VLOOKUP(A4455,[1]!Table1[#All],22,FALSE)</f>
        <v>UNIVERSITY OF HAWAII</v>
      </c>
      <c r="H4455" s="8">
        <f>VLOOKUP(A4455,[1]!Table1[#All],32,FALSE)</f>
        <v>43738</v>
      </c>
      <c r="I4455" s="8">
        <f>VLOOKUP(A4455,[1]!Table1[#All],33,FALSE)</f>
        <v>45564</v>
      </c>
      <c r="J4455" t="str">
        <f t="shared" ca="1" si="73"/>
        <v>UDO</v>
      </c>
    </row>
    <row r="4456" spans="1:10" x14ac:dyDescent="0.35">
      <c r="A4456" s="5" t="s">
        <v>143</v>
      </c>
      <c r="B4456" s="6">
        <v>44621</v>
      </c>
      <c r="C4456" s="7">
        <v>199500</v>
      </c>
      <c r="D4456" s="7">
        <v>18931.23</v>
      </c>
      <c r="E4456" s="7">
        <v>180568.77</v>
      </c>
      <c r="F4456" t="str">
        <f>VLOOKUP(A4456,[1]!Table1[#All],17,FALSE)</f>
        <v>UNITED STATES</v>
      </c>
      <c r="G4456" t="str">
        <f>VLOOKUP(A4456,[1]!Table1[#All],22,FALSE)</f>
        <v>UNIVERSITY OF HAWAII</v>
      </c>
      <c r="H4456" s="8">
        <f>VLOOKUP(A4456,[1]!Table1[#All],32,FALSE)</f>
        <v>43738</v>
      </c>
      <c r="I4456" s="8">
        <f>VLOOKUP(A4456,[1]!Table1[#All],33,FALSE)</f>
        <v>45564</v>
      </c>
      <c r="J4456" t="str">
        <f t="shared" ca="1" si="73"/>
        <v>UDO</v>
      </c>
    </row>
    <row r="4457" spans="1:10" x14ac:dyDescent="0.35">
      <c r="A4457" s="9" t="s">
        <v>143</v>
      </c>
      <c r="B4457" s="10">
        <v>44652</v>
      </c>
      <c r="C4457" s="11">
        <v>199500</v>
      </c>
      <c r="D4457" s="11">
        <v>21222.67</v>
      </c>
      <c r="E4457" s="11">
        <v>178277.33</v>
      </c>
      <c r="F4457" t="str">
        <f>VLOOKUP(A4457,[1]!Table1[#All],17,FALSE)</f>
        <v>UNITED STATES</v>
      </c>
      <c r="G4457" t="str">
        <f>VLOOKUP(A4457,[1]!Table1[#All],22,FALSE)</f>
        <v>UNIVERSITY OF HAWAII</v>
      </c>
      <c r="H4457" s="8">
        <f>VLOOKUP(A4457,[1]!Table1[#All],32,FALSE)</f>
        <v>43738</v>
      </c>
      <c r="I4457" s="8">
        <f>VLOOKUP(A4457,[1]!Table1[#All],33,FALSE)</f>
        <v>45564</v>
      </c>
      <c r="J4457" t="str">
        <f t="shared" ca="1" si="73"/>
        <v>UDO</v>
      </c>
    </row>
    <row r="4458" spans="1:10" x14ac:dyDescent="0.35">
      <c r="A4458" s="5" t="s">
        <v>143</v>
      </c>
      <c r="B4458" s="6">
        <v>44682</v>
      </c>
      <c r="C4458" s="7">
        <v>199500</v>
      </c>
      <c r="D4458" s="7">
        <v>21532.76</v>
      </c>
      <c r="E4458" s="7">
        <v>177967.24</v>
      </c>
      <c r="F4458" t="str">
        <f>VLOOKUP(A4458,[1]!Table1[#All],17,FALSE)</f>
        <v>UNITED STATES</v>
      </c>
      <c r="G4458" t="str">
        <f>VLOOKUP(A4458,[1]!Table1[#All],22,FALSE)</f>
        <v>UNIVERSITY OF HAWAII</v>
      </c>
      <c r="H4458" s="8">
        <f>VLOOKUP(A4458,[1]!Table1[#All],32,FALSE)</f>
        <v>43738</v>
      </c>
      <c r="I4458" s="8">
        <f>VLOOKUP(A4458,[1]!Table1[#All],33,FALSE)</f>
        <v>45564</v>
      </c>
      <c r="J4458" t="str">
        <f t="shared" ca="1" si="73"/>
        <v>UDO</v>
      </c>
    </row>
    <row r="4459" spans="1:10" x14ac:dyDescent="0.35">
      <c r="A4459" s="9" t="s">
        <v>143</v>
      </c>
      <c r="B4459" s="10">
        <v>44713</v>
      </c>
      <c r="C4459" s="11">
        <v>199500</v>
      </c>
      <c r="D4459" s="11">
        <v>25692.66</v>
      </c>
      <c r="E4459" s="11">
        <v>173807.34</v>
      </c>
      <c r="F4459" t="str">
        <f>VLOOKUP(A4459,[1]!Table1[#All],17,FALSE)</f>
        <v>UNITED STATES</v>
      </c>
      <c r="G4459" t="str">
        <f>VLOOKUP(A4459,[1]!Table1[#All],22,FALSE)</f>
        <v>UNIVERSITY OF HAWAII</v>
      </c>
      <c r="H4459" s="8">
        <f>VLOOKUP(A4459,[1]!Table1[#All],32,FALSE)</f>
        <v>43738</v>
      </c>
      <c r="I4459" s="8">
        <f>VLOOKUP(A4459,[1]!Table1[#All],33,FALSE)</f>
        <v>45564</v>
      </c>
      <c r="J4459" t="str">
        <f t="shared" ca="1" si="73"/>
        <v>UDO</v>
      </c>
    </row>
    <row r="4460" spans="1:10" x14ac:dyDescent="0.35">
      <c r="A4460" s="5" t="s">
        <v>143</v>
      </c>
      <c r="B4460" s="6">
        <v>44743</v>
      </c>
      <c r="C4460" s="7">
        <v>199500</v>
      </c>
      <c r="D4460" s="7">
        <v>33510.51</v>
      </c>
      <c r="E4460" s="7">
        <v>165989.49</v>
      </c>
      <c r="F4460" t="str">
        <f>VLOOKUP(A4460,[1]!Table1[#All],17,FALSE)</f>
        <v>UNITED STATES</v>
      </c>
      <c r="G4460" t="str">
        <f>VLOOKUP(A4460,[1]!Table1[#All],22,FALSE)</f>
        <v>UNIVERSITY OF HAWAII</v>
      </c>
      <c r="H4460" s="8">
        <f>VLOOKUP(A4460,[1]!Table1[#All],32,FALSE)</f>
        <v>43738</v>
      </c>
      <c r="I4460" s="8">
        <f>VLOOKUP(A4460,[1]!Table1[#All],33,FALSE)</f>
        <v>45564</v>
      </c>
      <c r="J4460" t="str">
        <f t="shared" ca="1" si="73"/>
        <v>UDO</v>
      </c>
    </row>
    <row r="4461" spans="1:10" x14ac:dyDescent="0.35">
      <c r="A4461" s="9" t="s">
        <v>143</v>
      </c>
      <c r="B4461" s="10">
        <v>44774</v>
      </c>
      <c r="C4461" s="11">
        <v>199500</v>
      </c>
      <c r="D4461" s="11">
        <v>35185.660000000003</v>
      </c>
      <c r="E4461" s="11">
        <v>164314.34</v>
      </c>
      <c r="F4461" t="str">
        <f>VLOOKUP(A4461,[1]!Table1[#All],17,FALSE)</f>
        <v>UNITED STATES</v>
      </c>
      <c r="G4461" t="str">
        <f>VLOOKUP(A4461,[1]!Table1[#All],22,FALSE)</f>
        <v>UNIVERSITY OF HAWAII</v>
      </c>
      <c r="H4461" s="8">
        <f>VLOOKUP(A4461,[1]!Table1[#All],32,FALSE)</f>
        <v>43738</v>
      </c>
      <c r="I4461" s="8">
        <f>VLOOKUP(A4461,[1]!Table1[#All],33,FALSE)</f>
        <v>45564</v>
      </c>
      <c r="J4461" t="str">
        <f t="shared" ca="1" si="73"/>
        <v>UDO</v>
      </c>
    </row>
    <row r="4462" spans="1:10" x14ac:dyDescent="0.35">
      <c r="A4462" s="5" t="s">
        <v>143</v>
      </c>
      <c r="B4462" s="6">
        <v>44805</v>
      </c>
      <c r="C4462" s="7">
        <v>199500</v>
      </c>
      <c r="D4462" s="7">
        <v>42016.800000000003</v>
      </c>
      <c r="E4462" s="7">
        <v>157483.20000000001</v>
      </c>
      <c r="F4462" t="str">
        <f>VLOOKUP(A4462,[1]!Table1[#All],17,FALSE)</f>
        <v>UNITED STATES</v>
      </c>
      <c r="G4462" t="str">
        <f>VLOOKUP(A4462,[1]!Table1[#All],22,FALSE)</f>
        <v>UNIVERSITY OF HAWAII</v>
      </c>
      <c r="H4462" s="8">
        <f>VLOOKUP(A4462,[1]!Table1[#All],32,FALSE)</f>
        <v>43738</v>
      </c>
      <c r="I4462" s="8">
        <f>VLOOKUP(A4462,[1]!Table1[#All],33,FALSE)</f>
        <v>45564</v>
      </c>
      <c r="J4462" t="str">
        <f t="shared" ca="1" si="73"/>
        <v>UDO</v>
      </c>
    </row>
    <row r="4463" spans="1:10" x14ac:dyDescent="0.35">
      <c r="A4463" s="9" t="s">
        <v>143</v>
      </c>
      <c r="B4463" s="10">
        <v>44835</v>
      </c>
      <c r="C4463" s="11">
        <v>199500</v>
      </c>
      <c r="D4463" s="11">
        <v>49617.75</v>
      </c>
      <c r="E4463" s="11">
        <v>149882.25</v>
      </c>
      <c r="F4463" t="str">
        <f>VLOOKUP(A4463,[1]!Table1[#All],17,FALSE)</f>
        <v>UNITED STATES</v>
      </c>
      <c r="G4463" t="str">
        <f>VLOOKUP(A4463,[1]!Table1[#All],22,FALSE)</f>
        <v>UNIVERSITY OF HAWAII</v>
      </c>
      <c r="H4463" s="8">
        <f>VLOOKUP(A4463,[1]!Table1[#All],32,FALSE)</f>
        <v>43738</v>
      </c>
      <c r="I4463" s="8">
        <f>VLOOKUP(A4463,[1]!Table1[#All],33,FALSE)</f>
        <v>45564</v>
      </c>
      <c r="J4463" t="str">
        <f t="shared" ca="1" si="73"/>
        <v>UDO</v>
      </c>
    </row>
    <row r="4464" spans="1:10" x14ac:dyDescent="0.35">
      <c r="A4464" s="5" t="s">
        <v>143</v>
      </c>
      <c r="B4464" s="6">
        <v>44866</v>
      </c>
      <c r="C4464" s="7">
        <v>199500</v>
      </c>
      <c r="D4464" s="7">
        <v>70844.87</v>
      </c>
      <c r="E4464" s="7">
        <v>128655.13</v>
      </c>
      <c r="F4464" t="str">
        <f>VLOOKUP(A4464,[1]!Table1[#All],17,FALSE)</f>
        <v>UNITED STATES</v>
      </c>
      <c r="G4464" t="str">
        <f>VLOOKUP(A4464,[1]!Table1[#All],22,FALSE)</f>
        <v>UNIVERSITY OF HAWAII</v>
      </c>
      <c r="H4464" s="8">
        <f>VLOOKUP(A4464,[1]!Table1[#All],32,FALSE)</f>
        <v>43738</v>
      </c>
      <c r="I4464" s="8">
        <f>VLOOKUP(A4464,[1]!Table1[#All],33,FALSE)</f>
        <v>45564</v>
      </c>
      <c r="J4464" t="str">
        <f t="shared" ca="1" si="73"/>
        <v>UDO</v>
      </c>
    </row>
    <row r="4465" spans="1:10" x14ac:dyDescent="0.35">
      <c r="A4465" s="9" t="s">
        <v>143</v>
      </c>
      <c r="B4465" s="10">
        <v>44896</v>
      </c>
      <c r="C4465" s="11">
        <v>199500</v>
      </c>
      <c r="D4465" s="11">
        <v>128557.7</v>
      </c>
      <c r="E4465" s="11">
        <v>70942.3</v>
      </c>
      <c r="F4465" t="str">
        <f>VLOOKUP(A4465,[1]!Table1[#All],17,FALSE)</f>
        <v>UNITED STATES</v>
      </c>
      <c r="G4465" t="str">
        <f>VLOOKUP(A4465,[1]!Table1[#All],22,FALSE)</f>
        <v>UNIVERSITY OF HAWAII</v>
      </c>
      <c r="H4465" s="8">
        <f>VLOOKUP(A4465,[1]!Table1[#All],32,FALSE)</f>
        <v>43738</v>
      </c>
      <c r="I4465" s="8">
        <f>VLOOKUP(A4465,[1]!Table1[#All],33,FALSE)</f>
        <v>45564</v>
      </c>
      <c r="J4465" t="str">
        <f t="shared" ca="1" si="73"/>
        <v>UDO</v>
      </c>
    </row>
    <row r="4466" spans="1:10" x14ac:dyDescent="0.35">
      <c r="A4466" s="5" t="s">
        <v>143</v>
      </c>
      <c r="B4466" s="6">
        <v>44927</v>
      </c>
      <c r="C4466" s="7">
        <v>199500</v>
      </c>
      <c r="D4466" s="7">
        <v>145327.03</v>
      </c>
      <c r="E4466" s="7">
        <v>54172.97</v>
      </c>
      <c r="F4466" t="str">
        <f>VLOOKUP(A4466,[1]!Table1[#All],17,FALSE)</f>
        <v>UNITED STATES</v>
      </c>
      <c r="G4466" t="str">
        <f>VLOOKUP(A4466,[1]!Table1[#All],22,FALSE)</f>
        <v>UNIVERSITY OF HAWAII</v>
      </c>
      <c r="H4466" s="8">
        <f>VLOOKUP(A4466,[1]!Table1[#All],32,FALSE)</f>
        <v>43738</v>
      </c>
      <c r="I4466" s="8">
        <f>VLOOKUP(A4466,[1]!Table1[#All],33,FALSE)</f>
        <v>45564</v>
      </c>
      <c r="J4466" t="str">
        <f t="shared" ca="1" si="73"/>
        <v>UDO</v>
      </c>
    </row>
    <row r="4467" spans="1:10" x14ac:dyDescent="0.35">
      <c r="A4467" s="9" t="s">
        <v>143</v>
      </c>
      <c r="B4467" s="10">
        <v>44958</v>
      </c>
      <c r="C4467" s="11">
        <v>199500</v>
      </c>
      <c r="D4467" s="11">
        <v>153183.21</v>
      </c>
      <c r="E4467" s="11">
        <v>46316.79</v>
      </c>
      <c r="F4467" t="str">
        <f>VLOOKUP(A4467,[1]!Table1[#All],17,FALSE)</f>
        <v>UNITED STATES</v>
      </c>
      <c r="G4467" t="str">
        <f>VLOOKUP(A4467,[1]!Table1[#All],22,FALSE)</f>
        <v>UNIVERSITY OF HAWAII</v>
      </c>
      <c r="H4467" s="8">
        <f>VLOOKUP(A4467,[1]!Table1[#All],32,FALSE)</f>
        <v>43738</v>
      </c>
      <c r="I4467" s="8">
        <f>VLOOKUP(A4467,[1]!Table1[#All],33,FALSE)</f>
        <v>45564</v>
      </c>
      <c r="J4467" t="str">
        <f t="shared" ca="1" si="73"/>
        <v>UDO</v>
      </c>
    </row>
    <row r="4468" spans="1:10" x14ac:dyDescent="0.35">
      <c r="A4468" s="5" t="s">
        <v>143</v>
      </c>
      <c r="B4468" s="6">
        <v>44986</v>
      </c>
      <c r="C4468" s="7">
        <v>199500</v>
      </c>
      <c r="D4468" s="7">
        <v>172349.86</v>
      </c>
      <c r="E4468" s="7">
        <v>27150.14</v>
      </c>
      <c r="F4468" t="str">
        <f>VLOOKUP(A4468,[1]!Table1[#All],17,FALSE)</f>
        <v>UNITED STATES</v>
      </c>
      <c r="G4468" t="str">
        <f>VLOOKUP(A4468,[1]!Table1[#All],22,FALSE)</f>
        <v>UNIVERSITY OF HAWAII</v>
      </c>
      <c r="H4468" s="8">
        <f>VLOOKUP(A4468,[1]!Table1[#All],32,FALSE)</f>
        <v>43738</v>
      </c>
      <c r="I4468" s="8">
        <f>VLOOKUP(A4468,[1]!Table1[#All],33,FALSE)</f>
        <v>45564</v>
      </c>
      <c r="J4468" t="str">
        <f t="shared" ca="1" si="73"/>
        <v>UDO</v>
      </c>
    </row>
    <row r="4469" spans="1:10" x14ac:dyDescent="0.35">
      <c r="A4469" s="9" t="s">
        <v>143</v>
      </c>
      <c r="B4469" s="10">
        <v>45017</v>
      </c>
      <c r="C4469" s="11">
        <v>199500</v>
      </c>
      <c r="D4469" s="11">
        <v>199105.89</v>
      </c>
      <c r="E4469" s="11">
        <v>394.11</v>
      </c>
      <c r="F4469" t="str">
        <f>VLOOKUP(A4469,[1]!Table1[#All],17,FALSE)</f>
        <v>UNITED STATES</v>
      </c>
      <c r="G4469" t="str">
        <f>VLOOKUP(A4469,[1]!Table1[#All],22,FALSE)</f>
        <v>UNIVERSITY OF HAWAII</v>
      </c>
      <c r="H4469" s="8">
        <f>VLOOKUP(A4469,[1]!Table1[#All],32,FALSE)</f>
        <v>43738</v>
      </c>
      <c r="I4469" s="8">
        <f>VLOOKUP(A4469,[1]!Table1[#All],33,FALSE)</f>
        <v>45564</v>
      </c>
      <c r="J4469" t="str">
        <f t="shared" ca="1" si="73"/>
        <v>UDO</v>
      </c>
    </row>
    <row r="4470" spans="1:10" x14ac:dyDescent="0.35">
      <c r="A4470" s="5" t="s">
        <v>143</v>
      </c>
      <c r="B4470" s="6">
        <v>45047</v>
      </c>
      <c r="C4470" s="7">
        <v>199500</v>
      </c>
      <c r="D4470" s="7">
        <v>199500</v>
      </c>
      <c r="E4470" s="7">
        <v>0</v>
      </c>
      <c r="F4470" t="str">
        <f>VLOOKUP(A4470,[1]!Table1[#All],17,FALSE)</f>
        <v>UNITED STATES</v>
      </c>
      <c r="G4470" t="str">
        <f>VLOOKUP(A4470,[1]!Table1[#All],22,FALSE)</f>
        <v>UNIVERSITY OF HAWAII</v>
      </c>
      <c r="H4470" s="8">
        <f>VLOOKUP(A4470,[1]!Table1[#All],32,FALSE)</f>
        <v>43738</v>
      </c>
      <c r="I4470" s="8">
        <f>VLOOKUP(A4470,[1]!Table1[#All],33,FALSE)</f>
        <v>45564</v>
      </c>
      <c r="J4470" t="str">
        <f t="shared" ca="1" si="73"/>
        <v>Non UDO</v>
      </c>
    </row>
    <row r="4471" spans="1:10" x14ac:dyDescent="0.35">
      <c r="A4471" s="9" t="s">
        <v>143</v>
      </c>
      <c r="B4471" s="10">
        <v>45078</v>
      </c>
      <c r="C4471" s="11">
        <v>199500</v>
      </c>
      <c r="D4471" s="11">
        <v>199500</v>
      </c>
      <c r="E4471" s="11">
        <v>0</v>
      </c>
      <c r="F4471" t="str">
        <f>VLOOKUP(A4471,[1]!Table1[#All],17,FALSE)</f>
        <v>UNITED STATES</v>
      </c>
      <c r="G4471" t="str">
        <f>VLOOKUP(A4471,[1]!Table1[#All],22,FALSE)</f>
        <v>UNIVERSITY OF HAWAII</v>
      </c>
      <c r="H4471" s="8">
        <f>VLOOKUP(A4471,[1]!Table1[#All],32,FALSE)</f>
        <v>43738</v>
      </c>
      <c r="I4471" s="8">
        <f>VLOOKUP(A4471,[1]!Table1[#All],33,FALSE)</f>
        <v>45564</v>
      </c>
      <c r="J4471" t="str">
        <f t="shared" ca="1" si="73"/>
        <v>Non UDO</v>
      </c>
    </row>
    <row r="4472" spans="1:10" x14ac:dyDescent="0.35">
      <c r="A4472" s="5" t="s">
        <v>143</v>
      </c>
      <c r="B4472" s="6">
        <v>45108</v>
      </c>
      <c r="C4472" s="7">
        <v>199500</v>
      </c>
      <c r="D4472" s="7">
        <v>199500</v>
      </c>
      <c r="E4472" s="7">
        <v>0</v>
      </c>
      <c r="F4472" t="str">
        <f>VLOOKUP(A4472,[1]!Table1[#All],17,FALSE)</f>
        <v>UNITED STATES</v>
      </c>
      <c r="G4472" t="str">
        <f>VLOOKUP(A4472,[1]!Table1[#All],22,FALSE)</f>
        <v>UNIVERSITY OF HAWAII</v>
      </c>
      <c r="H4472" s="8">
        <f>VLOOKUP(A4472,[1]!Table1[#All],32,FALSE)</f>
        <v>43738</v>
      </c>
      <c r="I4472" s="8">
        <f>VLOOKUP(A4472,[1]!Table1[#All],33,FALSE)</f>
        <v>45564</v>
      </c>
      <c r="J4472" t="str">
        <f t="shared" ca="1" si="73"/>
        <v>Non UDO</v>
      </c>
    </row>
    <row r="4473" spans="1:10" x14ac:dyDescent="0.35">
      <c r="A4473" s="9" t="s">
        <v>143</v>
      </c>
      <c r="B4473" s="10">
        <v>45139</v>
      </c>
      <c r="C4473" s="11">
        <v>199500</v>
      </c>
      <c r="D4473" s="11">
        <v>199500</v>
      </c>
      <c r="E4473" s="11">
        <v>0</v>
      </c>
      <c r="F4473" t="str">
        <f>VLOOKUP(A4473,[1]!Table1[#All],17,FALSE)</f>
        <v>UNITED STATES</v>
      </c>
      <c r="G4473" t="str">
        <f>VLOOKUP(A4473,[1]!Table1[#All],22,FALSE)</f>
        <v>UNIVERSITY OF HAWAII</v>
      </c>
      <c r="H4473" s="8">
        <f>VLOOKUP(A4473,[1]!Table1[#All],32,FALSE)</f>
        <v>43738</v>
      </c>
      <c r="I4473" s="8">
        <f>VLOOKUP(A4473,[1]!Table1[#All],33,FALSE)</f>
        <v>45564</v>
      </c>
      <c r="J4473" t="str">
        <f t="shared" ca="1" si="73"/>
        <v>Non UDO</v>
      </c>
    </row>
    <row r="4474" spans="1:10" x14ac:dyDescent="0.35">
      <c r="A4474" s="5" t="s">
        <v>143</v>
      </c>
      <c r="B4474" s="6">
        <v>45170</v>
      </c>
      <c r="C4474" s="7">
        <v>199500</v>
      </c>
      <c r="D4474" s="7">
        <v>199500</v>
      </c>
      <c r="E4474" s="7">
        <v>0</v>
      </c>
      <c r="F4474" t="str">
        <f>VLOOKUP(A4474,[1]!Table1[#All],17,FALSE)</f>
        <v>UNITED STATES</v>
      </c>
      <c r="G4474" t="str">
        <f>VLOOKUP(A4474,[1]!Table1[#All],22,FALSE)</f>
        <v>UNIVERSITY OF HAWAII</v>
      </c>
      <c r="H4474" s="8">
        <f>VLOOKUP(A4474,[1]!Table1[#All],32,FALSE)</f>
        <v>43738</v>
      </c>
      <c r="I4474" s="8">
        <f>VLOOKUP(A4474,[1]!Table1[#All],33,FALSE)</f>
        <v>45564</v>
      </c>
      <c r="J4474" t="str">
        <f t="shared" ca="1" si="73"/>
        <v>Non UDO</v>
      </c>
    </row>
    <row r="4475" spans="1:10" x14ac:dyDescent="0.35">
      <c r="A4475" s="9" t="s">
        <v>144</v>
      </c>
      <c r="B4475" s="10">
        <v>44105</v>
      </c>
      <c r="C4475" s="11">
        <v>900000</v>
      </c>
      <c r="D4475" s="11">
        <v>0</v>
      </c>
      <c r="E4475" s="11">
        <v>900000</v>
      </c>
      <c r="F4475" t="str">
        <f>VLOOKUP(A4475,[1]!Table1[#All],17,FALSE)</f>
        <v>UNITED STATES</v>
      </c>
      <c r="G4475" t="str">
        <f>VLOOKUP(A4475,[1]!Table1[#All],22,FALSE)</f>
        <v>BAYLOR COLLEGE OF MEDICINE</v>
      </c>
      <c r="H4475" s="8">
        <f>VLOOKUP(A4475,[1]!Table1[#All],32,FALSE)</f>
        <v>44104</v>
      </c>
      <c r="I4475" s="8">
        <f>VLOOKUP(A4475,[1]!Table1[#All],33,FALSE)</f>
        <v>45929</v>
      </c>
      <c r="J4475" t="str">
        <f t="shared" ca="1" si="73"/>
        <v>Non UDO</v>
      </c>
    </row>
    <row r="4476" spans="1:10" x14ac:dyDescent="0.35">
      <c r="A4476" s="5" t="s">
        <v>144</v>
      </c>
      <c r="B4476" s="6">
        <v>44136</v>
      </c>
      <c r="C4476" s="7">
        <v>900000</v>
      </c>
      <c r="D4476" s="7">
        <v>0</v>
      </c>
      <c r="E4476" s="7">
        <v>900000</v>
      </c>
      <c r="F4476" t="str">
        <f>VLOOKUP(A4476,[1]!Table1[#All],17,FALSE)</f>
        <v>UNITED STATES</v>
      </c>
      <c r="G4476" t="str">
        <f>VLOOKUP(A4476,[1]!Table1[#All],22,FALSE)</f>
        <v>BAYLOR COLLEGE OF MEDICINE</v>
      </c>
      <c r="H4476" s="8">
        <f>VLOOKUP(A4476,[1]!Table1[#All],32,FALSE)</f>
        <v>44104</v>
      </c>
      <c r="I4476" s="8">
        <f>VLOOKUP(A4476,[1]!Table1[#All],33,FALSE)</f>
        <v>45929</v>
      </c>
      <c r="J4476" t="str">
        <f t="shared" ca="1" si="73"/>
        <v>Non UDO</v>
      </c>
    </row>
    <row r="4477" spans="1:10" x14ac:dyDescent="0.35">
      <c r="A4477" s="9" t="s">
        <v>144</v>
      </c>
      <c r="B4477" s="10">
        <v>44166</v>
      </c>
      <c r="C4477" s="11">
        <v>900000</v>
      </c>
      <c r="D4477" s="11">
        <v>0</v>
      </c>
      <c r="E4477" s="11">
        <v>900000</v>
      </c>
      <c r="F4477" t="str">
        <f>VLOOKUP(A4477,[1]!Table1[#All],17,FALSE)</f>
        <v>UNITED STATES</v>
      </c>
      <c r="G4477" t="str">
        <f>VLOOKUP(A4477,[1]!Table1[#All],22,FALSE)</f>
        <v>BAYLOR COLLEGE OF MEDICINE</v>
      </c>
      <c r="H4477" s="8">
        <f>VLOOKUP(A4477,[1]!Table1[#All],32,FALSE)</f>
        <v>44104</v>
      </c>
      <c r="I4477" s="8">
        <f>VLOOKUP(A4477,[1]!Table1[#All],33,FALSE)</f>
        <v>45929</v>
      </c>
      <c r="J4477" t="str">
        <f t="shared" ca="1" si="73"/>
        <v>Non UDO</v>
      </c>
    </row>
    <row r="4478" spans="1:10" x14ac:dyDescent="0.35">
      <c r="A4478" s="5" t="s">
        <v>144</v>
      </c>
      <c r="B4478" s="6">
        <v>44197</v>
      </c>
      <c r="C4478" s="7">
        <v>900000</v>
      </c>
      <c r="D4478" s="7">
        <v>1611.79</v>
      </c>
      <c r="E4478" s="7">
        <v>898388.21</v>
      </c>
      <c r="F4478" t="str">
        <f>VLOOKUP(A4478,[1]!Table1[#All],17,FALSE)</f>
        <v>UNITED STATES</v>
      </c>
      <c r="G4478" t="str">
        <f>VLOOKUP(A4478,[1]!Table1[#All],22,FALSE)</f>
        <v>BAYLOR COLLEGE OF MEDICINE</v>
      </c>
      <c r="H4478" s="8">
        <f>VLOOKUP(A4478,[1]!Table1[#All],32,FALSE)</f>
        <v>44104</v>
      </c>
      <c r="I4478" s="8">
        <f>VLOOKUP(A4478,[1]!Table1[#All],33,FALSE)</f>
        <v>45929</v>
      </c>
      <c r="J4478" t="str">
        <f t="shared" ca="1" si="73"/>
        <v>Non UDO</v>
      </c>
    </row>
    <row r="4479" spans="1:10" x14ac:dyDescent="0.35">
      <c r="A4479" s="9" t="s">
        <v>144</v>
      </c>
      <c r="B4479" s="10">
        <v>44228</v>
      </c>
      <c r="C4479" s="11">
        <v>900000</v>
      </c>
      <c r="D4479" s="11">
        <v>3885.98</v>
      </c>
      <c r="E4479" s="11">
        <v>896114.02</v>
      </c>
      <c r="F4479" t="str">
        <f>VLOOKUP(A4479,[1]!Table1[#All],17,FALSE)</f>
        <v>UNITED STATES</v>
      </c>
      <c r="G4479" t="str">
        <f>VLOOKUP(A4479,[1]!Table1[#All],22,FALSE)</f>
        <v>BAYLOR COLLEGE OF MEDICINE</v>
      </c>
      <c r="H4479" s="8">
        <f>VLOOKUP(A4479,[1]!Table1[#All],32,FALSE)</f>
        <v>44104</v>
      </c>
      <c r="I4479" s="8">
        <f>VLOOKUP(A4479,[1]!Table1[#All],33,FALSE)</f>
        <v>45929</v>
      </c>
      <c r="J4479" t="str">
        <f t="shared" ca="1" si="73"/>
        <v>Non UDO</v>
      </c>
    </row>
    <row r="4480" spans="1:10" x14ac:dyDescent="0.35">
      <c r="A4480" s="5" t="s">
        <v>144</v>
      </c>
      <c r="B4480" s="6">
        <v>44256</v>
      </c>
      <c r="C4480" s="7">
        <v>900000</v>
      </c>
      <c r="D4480" s="7">
        <v>8894.16</v>
      </c>
      <c r="E4480" s="7">
        <v>891105.84</v>
      </c>
      <c r="F4480" t="str">
        <f>VLOOKUP(A4480,[1]!Table1[#All],17,FALSE)</f>
        <v>UNITED STATES</v>
      </c>
      <c r="G4480" t="str">
        <f>VLOOKUP(A4480,[1]!Table1[#All],22,FALSE)</f>
        <v>BAYLOR COLLEGE OF MEDICINE</v>
      </c>
      <c r="H4480" s="8">
        <f>VLOOKUP(A4480,[1]!Table1[#All],32,FALSE)</f>
        <v>44104</v>
      </c>
      <c r="I4480" s="8">
        <f>VLOOKUP(A4480,[1]!Table1[#All],33,FALSE)</f>
        <v>45929</v>
      </c>
      <c r="J4480" t="str">
        <f t="shared" ca="1" si="73"/>
        <v>Non UDO</v>
      </c>
    </row>
    <row r="4481" spans="1:10" x14ac:dyDescent="0.35">
      <c r="A4481" s="9" t="s">
        <v>144</v>
      </c>
      <c r="B4481" s="10">
        <v>44317</v>
      </c>
      <c r="C4481" s="11">
        <v>900000</v>
      </c>
      <c r="D4481" s="11">
        <v>26247.919999999998</v>
      </c>
      <c r="E4481" s="11">
        <v>873752.08000000007</v>
      </c>
      <c r="F4481" t="str">
        <f>VLOOKUP(A4481,[1]!Table1[#All],17,FALSE)</f>
        <v>UNITED STATES</v>
      </c>
      <c r="G4481" t="str">
        <f>VLOOKUP(A4481,[1]!Table1[#All],22,FALSE)</f>
        <v>BAYLOR COLLEGE OF MEDICINE</v>
      </c>
      <c r="H4481" s="8">
        <f>VLOOKUP(A4481,[1]!Table1[#All],32,FALSE)</f>
        <v>44104</v>
      </c>
      <c r="I4481" s="8">
        <f>VLOOKUP(A4481,[1]!Table1[#All],33,FALSE)</f>
        <v>45929</v>
      </c>
      <c r="J4481" t="str">
        <f t="shared" ca="1" si="73"/>
        <v>Non UDO</v>
      </c>
    </row>
    <row r="4482" spans="1:10" x14ac:dyDescent="0.35">
      <c r="A4482" s="5" t="s">
        <v>144</v>
      </c>
      <c r="B4482" s="6">
        <v>44348</v>
      </c>
      <c r="C4482" s="7">
        <v>900000</v>
      </c>
      <c r="D4482" s="7">
        <v>26247.919999999998</v>
      </c>
      <c r="E4482" s="7">
        <v>873752.08000000007</v>
      </c>
      <c r="F4482" t="str">
        <f>VLOOKUP(A4482,[1]!Table1[#All],17,FALSE)</f>
        <v>UNITED STATES</v>
      </c>
      <c r="G4482" t="str">
        <f>VLOOKUP(A4482,[1]!Table1[#All],22,FALSE)</f>
        <v>BAYLOR COLLEGE OF MEDICINE</v>
      </c>
      <c r="H4482" s="8">
        <f>VLOOKUP(A4482,[1]!Table1[#All],32,FALSE)</f>
        <v>44104</v>
      </c>
      <c r="I4482" s="8">
        <f>VLOOKUP(A4482,[1]!Table1[#All],33,FALSE)</f>
        <v>45929</v>
      </c>
      <c r="J4482" t="str">
        <f t="shared" ca="1" si="73"/>
        <v>Non UDO</v>
      </c>
    </row>
    <row r="4483" spans="1:10" x14ac:dyDescent="0.35">
      <c r="A4483" s="9" t="s">
        <v>144</v>
      </c>
      <c r="B4483" s="10">
        <v>44378</v>
      </c>
      <c r="C4483" s="11">
        <v>900000</v>
      </c>
      <c r="D4483" s="11">
        <v>26247.919999999998</v>
      </c>
      <c r="E4483" s="11">
        <v>873752.08000000007</v>
      </c>
      <c r="F4483" t="str">
        <f>VLOOKUP(A4483,[1]!Table1[#All],17,FALSE)</f>
        <v>UNITED STATES</v>
      </c>
      <c r="G4483" t="str">
        <f>VLOOKUP(A4483,[1]!Table1[#All],22,FALSE)</f>
        <v>BAYLOR COLLEGE OF MEDICINE</v>
      </c>
      <c r="H4483" s="8">
        <f>VLOOKUP(A4483,[1]!Table1[#All],32,FALSE)</f>
        <v>44104</v>
      </c>
      <c r="I4483" s="8">
        <f>VLOOKUP(A4483,[1]!Table1[#All],33,FALSE)</f>
        <v>45929</v>
      </c>
      <c r="J4483" t="str">
        <f t="shared" ref="J4483:J4546" ca="1" si="74">IF(AND( E4483&gt;0,TODAY()&gt;I4483),"UDO","Non UDO")</f>
        <v>Non UDO</v>
      </c>
    </row>
    <row r="4484" spans="1:10" x14ac:dyDescent="0.35">
      <c r="A4484" s="5" t="s">
        <v>144</v>
      </c>
      <c r="B4484" s="6">
        <v>44409</v>
      </c>
      <c r="C4484" s="7">
        <v>900000</v>
      </c>
      <c r="D4484" s="7">
        <v>26247.919999999998</v>
      </c>
      <c r="E4484" s="7">
        <v>873752.08000000007</v>
      </c>
      <c r="F4484" t="str">
        <f>VLOOKUP(A4484,[1]!Table1[#All],17,FALSE)</f>
        <v>UNITED STATES</v>
      </c>
      <c r="G4484" t="str">
        <f>VLOOKUP(A4484,[1]!Table1[#All],22,FALSE)</f>
        <v>BAYLOR COLLEGE OF MEDICINE</v>
      </c>
      <c r="H4484" s="8">
        <f>VLOOKUP(A4484,[1]!Table1[#All],32,FALSE)</f>
        <v>44104</v>
      </c>
      <c r="I4484" s="8">
        <f>VLOOKUP(A4484,[1]!Table1[#All],33,FALSE)</f>
        <v>45929</v>
      </c>
      <c r="J4484" t="str">
        <f t="shared" ca="1" si="74"/>
        <v>Non UDO</v>
      </c>
    </row>
    <row r="4485" spans="1:10" x14ac:dyDescent="0.35">
      <c r="A4485" s="9" t="s">
        <v>144</v>
      </c>
      <c r="B4485" s="10">
        <v>44440</v>
      </c>
      <c r="C4485" s="11">
        <v>900000</v>
      </c>
      <c r="D4485" s="11">
        <v>26247.919999999998</v>
      </c>
      <c r="E4485" s="11">
        <v>873752.08000000007</v>
      </c>
      <c r="F4485" t="str">
        <f>VLOOKUP(A4485,[1]!Table1[#All],17,FALSE)</f>
        <v>UNITED STATES</v>
      </c>
      <c r="G4485" t="str">
        <f>VLOOKUP(A4485,[1]!Table1[#All],22,FALSE)</f>
        <v>BAYLOR COLLEGE OF MEDICINE</v>
      </c>
      <c r="H4485" s="8">
        <f>VLOOKUP(A4485,[1]!Table1[#All],32,FALSE)</f>
        <v>44104</v>
      </c>
      <c r="I4485" s="8">
        <f>VLOOKUP(A4485,[1]!Table1[#All],33,FALSE)</f>
        <v>45929</v>
      </c>
      <c r="J4485" t="str">
        <f t="shared" ca="1" si="74"/>
        <v>Non UDO</v>
      </c>
    </row>
    <row r="4486" spans="1:10" x14ac:dyDescent="0.35">
      <c r="A4486" s="5" t="s">
        <v>144</v>
      </c>
      <c r="B4486" s="6">
        <v>44470</v>
      </c>
      <c r="C4486" s="7">
        <v>900000</v>
      </c>
      <c r="D4486" s="7">
        <v>26247.919999999998</v>
      </c>
      <c r="E4486" s="7">
        <v>873752.08000000007</v>
      </c>
      <c r="F4486" t="str">
        <f>VLOOKUP(A4486,[1]!Table1[#All],17,FALSE)</f>
        <v>UNITED STATES</v>
      </c>
      <c r="G4486" t="str">
        <f>VLOOKUP(A4486,[1]!Table1[#All],22,FALSE)</f>
        <v>BAYLOR COLLEGE OF MEDICINE</v>
      </c>
      <c r="H4486" s="8">
        <f>VLOOKUP(A4486,[1]!Table1[#All],32,FALSE)</f>
        <v>44104</v>
      </c>
      <c r="I4486" s="8">
        <f>VLOOKUP(A4486,[1]!Table1[#All],33,FALSE)</f>
        <v>45929</v>
      </c>
      <c r="J4486" t="str">
        <f t="shared" ca="1" si="74"/>
        <v>Non UDO</v>
      </c>
    </row>
    <row r="4487" spans="1:10" x14ac:dyDescent="0.35">
      <c r="A4487" s="9" t="s">
        <v>144</v>
      </c>
      <c r="B4487" s="10">
        <v>44501</v>
      </c>
      <c r="C4487" s="11">
        <v>900000</v>
      </c>
      <c r="D4487" s="11">
        <v>26247.919999999998</v>
      </c>
      <c r="E4487" s="11">
        <v>873752.08000000007</v>
      </c>
      <c r="F4487" t="str">
        <f>VLOOKUP(A4487,[1]!Table1[#All],17,FALSE)</f>
        <v>UNITED STATES</v>
      </c>
      <c r="G4487" t="str">
        <f>VLOOKUP(A4487,[1]!Table1[#All],22,FALSE)</f>
        <v>BAYLOR COLLEGE OF MEDICINE</v>
      </c>
      <c r="H4487" s="8">
        <f>VLOOKUP(A4487,[1]!Table1[#All],32,FALSE)</f>
        <v>44104</v>
      </c>
      <c r="I4487" s="8">
        <f>VLOOKUP(A4487,[1]!Table1[#All],33,FALSE)</f>
        <v>45929</v>
      </c>
      <c r="J4487" t="str">
        <f t="shared" ca="1" si="74"/>
        <v>Non UDO</v>
      </c>
    </row>
    <row r="4488" spans="1:10" x14ac:dyDescent="0.35">
      <c r="A4488" s="5" t="s">
        <v>144</v>
      </c>
      <c r="B4488" s="6">
        <v>44531</v>
      </c>
      <c r="C4488" s="7">
        <v>900000</v>
      </c>
      <c r="D4488" s="7">
        <v>26247.919999999998</v>
      </c>
      <c r="E4488" s="7">
        <v>873752.08000000007</v>
      </c>
      <c r="F4488" t="str">
        <f>VLOOKUP(A4488,[1]!Table1[#All],17,FALSE)</f>
        <v>UNITED STATES</v>
      </c>
      <c r="G4488" t="str">
        <f>VLOOKUP(A4488,[1]!Table1[#All],22,FALSE)</f>
        <v>BAYLOR COLLEGE OF MEDICINE</v>
      </c>
      <c r="H4488" s="8">
        <f>VLOOKUP(A4488,[1]!Table1[#All],32,FALSE)</f>
        <v>44104</v>
      </c>
      <c r="I4488" s="8">
        <f>VLOOKUP(A4488,[1]!Table1[#All],33,FALSE)</f>
        <v>45929</v>
      </c>
      <c r="J4488" t="str">
        <f t="shared" ca="1" si="74"/>
        <v>Non UDO</v>
      </c>
    </row>
    <row r="4489" spans="1:10" x14ac:dyDescent="0.35">
      <c r="A4489" s="9" t="s">
        <v>144</v>
      </c>
      <c r="B4489" s="10">
        <v>44562</v>
      </c>
      <c r="C4489" s="11">
        <v>900000</v>
      </c>
      <c r="D4489" s="11">
        <v>26247.919999999998</v>
      </c>
      <c r="E4489" s="11">
        <v>873752.08000000007</v>
      </c>
      <c r="F4489" t="str">
        <f>VLOOKUP(A4489,[1]!Table1[#All],17,FALSE)</f>
        <v>UNITED STATES</v>
      </c>
      <c r="G4489" t="str">
        <f>VLOOKUP(A4489,[1]!Table1[#All],22,FALSE)</f>
        <v>BAYLOR COLLEGE OF MEDICINE</v>
      </c>
      <c r="H4489" s="8">
        <f>VLOOKUP(A4489,[1]!Table1[#All],32,FALSE)</f>
        <v>44104</v>
      </c>
      <c r="I4489" s="8">
        <f>VLOOKUP(A4489,[1]!Table1[#All],33,FALSE)</f>
        <v>45929</v>
      </c>
      <c r="J4489" t="str">
        <f t="shared" ca="1" si="74"/>
        <v>Non UDO</v>
      </c>
    </row>
    <row r="4490" spans="1:10" x14ac:dyDescent="0.35">
      <c r="A4490" s="5" t="s">
        <v>144</v>
      </c>
      <c r="B4490" s="6">
        <v>44593</v>
      </c>
      <c r="C4490" s="7">
        <v>900000</v>
      </c>
      <c r="D4490" s="7">
        <v>26247.919999999998</v>
      </c>
      <c r="E4490" s="7">
        <v>873752.08000000007</v>
      </c>
      <c r="F4490" t="str">
        <f>VLOOKUP(A4490,[1]!Table1[#All],17,FALSE)</f>
        <v>UNITED STATES</v>
      </c>
      <c r="G4490" t="str">
        <f>VLOOKUP(A4490,[1]!Table1[#All],22,FALSE)</f>
        <v>BAYLOR COLLEGE OF MEDICINE</v>
      </c>
      <c r="H4490" s="8">
        <f>VLOOKUP(A4490,[1]!Table1[#All],32,FALSE)</f>
        <v>44104</v>
      </c>
      <c r="I4490" s="8">
        <f>VLOOKUP(A4490,[1]!Table1[#All],33,FALSE)</f>
        <v>45929</v>
      </c>
      <c r="J4490" t="str">
        <f t="shared" ca="1" si="74"/>
        <v>Non UDO</v>
      </c>
    </row>
    <row r="4491" spans="1:10" x14ac:dyDescent="0.35">
      <c r="A4491" s="9" t="s">
        <v>144</v>
      </c>
      <c r="B4491" s="10">
        <v>44621</v>
      </c>
      <c r="C4491" s="11">
        <v>900000</v>
      </c>
      <c r="D4491" s="11">
        <v>26247.919999999998</v>
      </c>
      <c r="E4491" s="11">
        <v>873752.08000000007</v>
      </c>
      <c r="F4491" t="str">
        <f>VLOOKUP(A4491,[1]!Table1[#All],17,FALSE)</f>
        <v>UNITED STATES</v>
      </c>
      <c r="G4491" t="str">
        <f>VLOOKUP(A4491,[1]!Table1[#All],22,FALSE)</f>
        <v>BAYLOR COLLEGE OF MEDICINE</v>
      </c>
      <c r="H4491" s="8">
        <f>VLOOKUP(A4491,[1]!Table1[#All],32,FALSE)</f>
        <v>44104</v>
      </c>
      <c r="I4491" s="8">
        <f>VLOOKUP(A4491,[1]!Table1[#All],33,FALSE)</f>
        <v>45929</v>
      </c>
      <c r="J4491" t="str">
        <f t="shared" ca="1" si="74"/>
        <v>Non UDO</v>
      </c>
    </row>
    <row r="4492" spans="1:10" x14ac:dyDescent="0.35">
      <c r="A4492" s="5" t="s">
        <v>144</v>
      </c>
      <c r="B4492" s="6">
        <v>44652</v>
      </c>
      <c r="C4492" s="7">
        <v>900000</v>
      </c>
      <c r="D4492" s="7">
        <v>26247.919999999998</v>
      </c>
      <c r="E4492" s="7">
        <v>873752.08000000007</v>
      </c>
      <c r="F4492" t="str">
        <f>VLOOKUP(A4492,[1]!Table1[#All],17,FALSE)</f>
        <v>UNITED STATES</v>
      </c>
      <c r="G4492" t="str">
        <f>VLOOKUP(A4492,[1]!Table1[#All],22,FALSE)</f>
        <v>BAYLOR COLLEGE OF MEDICINE</v>
      </c>
      <c r="H4492" s="8">
        <f>VLOOKUP(A4492,[1]!Table1[#All],32,FALSE)</f>
        <v>44104</v>
      </c>
      <c r="I4492" s="8">
        <f>VLOOKUP(A4492,[1]!Table1[#All],33,FALSE)</f>
        <v>45929</v>
      </c>
      <c r="J4492" t="str">
        <f t="shared" ca="1" si="74"/>
        <v>Non UDO</v>
      </c>
    </row>
    <row r="4493" spans="1:10" x14ac:dyDescent="0.35">
      <c r="A4493" s="9" t="s">
        <v>144</v>
      </c>
      <c r="B4493" s="10">
        <v>44682</v>
      </c>
      <c r="C4493" s="11">
        <v>900000</v>
      </c>
      <c r="D4493" s="11">
        <v>205283.46</v>
      </c>
      <c r="E4493" s="11">
        <v>694716.54</v>
      </c>
      <c r="F4493" t="str">
        <f>VLOOKUP(A4493,[1]!Table1[#All],17,FALSE)</f>
        <v>UNITED STATES</v>
      </c>
      <c r="G4493" t="str">
        <f>VLOOKUP(A4493,[1]!Table1[#All],22,FALSE)</f>
        <v>BAYLOR COLLEGE OF MEDICINE</v>
      </c>
      <c r="H4493" s="8">
        <f>VLOOKUP(A4493,[1]!Table1[#All],32,FALSE)</f>
        <v>44104</v>
      </c>
      <c r="I4493" s="8">
        <f>VLOOKUP(A4493,[1]!Table1[#All],33,FALSE)</f>
        <v>45929</v>
      </c>
      <c r="J4493" t="str">
        <f t="shared" ca="1" si="74"/>
        <v>Non UDO</v>
      </c>
    </row>
    <row r="4494" spans="1:10" x14ac:dyDescent="0.35">
      <c r="A4494" s="5" t="s">
        <v>144</v>
      </c>
      <c r="B4494" s="6">
        <v>44713</v>
      </c>
      <c r="C4494" s="7">
        <v>900000</v>
      </c>
      <c r="D4494" s="7">
        <v>287893.08</v>
      </c>
      <c r="E4494" s="7">
        <v>612106.91999999993</v>
      </c>
      <c r="F4494" t="str">
        <f>VLOOKUP(A4494,[1]!Table1[#All],17,FALSE)</f>
        <v>UNITED STATES</v>
      </c>
      <c r="G4494" t="str">
        <f>VLOOKUP(A4494,[1]!Table1[#All],22,FALSE)</f>
        <v>BAYLOR COLLEGE OF MEDICINE</v>
      </c>
      <c r="H4494" s="8">
        <f>VLOOKUP(A4494,[1]!Table1[#All],32,FALSE)</f>
        <v>44104</v>
      </c>
      <c r="I4494" s="8">
        <f>VLOOKUP(A4494,[1]!Table1[#All],33,FALSE)</f>
        <v>45929</v>
      </c>
      <c r="J4494" t="str">
        <f t="shared" ca="1" si="74"/>
        <v>Non UDO</v>
      </c>
    </row>
    <row r="4495" spans="1:10" x14ac:dyDescent="0.35">
      <c r="A4495" s="9" t="s">
        <v>144</v>
      </c>
      <c r="B4495" s="10">
        <v>44743</v>
      </c>
      <c r="C4495" s="11">
        <v>900000</v>
      </c>
      <c r="D4495" s="11">
        <v>411895.58</v>
      </c>
      <c r="E4495" s="11">
        <v>488104.42</v>
      </c>
      <c r="F4495" t="str">
        <f>VLOOKUP(A4495,[1]!Table1[#All],17,FALSE)</f>
        <v>UNITED STATES</v>
      </c>
      <c r="G4495" t="str">
        <f>VLOOKUP(A4495,[1]!Table1[#All],22,FALSE)</f>
        <v>BAYLOR COLLEGE OF MEDICINE</v>
      </c>
      <c r="H4495" s="8">
        <f>VLOOKUP(A4495,[1]!Table1[#All],32,FALSE)</f>
        <v>44104</v>
      </c>
      <c r="I4495" s="8">
        <f>VLOOKUP(A4495,[1]!Table1[#All],33,FALSE)</f>
        <v>45929</v>
      </c>
      <c r="J4495" t="str">
        <f t="shared" ca="1" si="74"/>
        <v>Non UDO</v>
      </c>
    </row>
    <row r="4496" spans="1:10" x14ac:dyDescent="0.35">
      <c r="A4496" s="5" t="s">
        <v>144</v>
      </c>
      <c r="B4496" s="6">
        <v>44774</v>
      </c>
      <c r="C4496" s="7">
        <v>900000</v>
      </c>
      <c r="D4496" s="7">
        <v>447136.18</v>
      </c>
      <c r="E4496" s="7">
        <v>452863.82</v>
      </c>
      <c r="F4496" t="str">
        <f>VLOOKUP(A4496,[1]!Table1[#All],17,FALSE)</f>
        <v>UNITED STATES</v>
      </c>
      <c r="G4496" t="str">
        <f>VLOOKUP(A4496,[1]!Table1[#All],22,FALSE)</f>
        <v>BAYLOR COLLEGE OF MEDICINE</v>
      </c>
      <c r="H4496" s="8">
        <f>VLOOKUP(A4496,[1]!Table1[#All],32,FALSE)</f>
        <v>44104</v>
      </c>
      <c r="I4496" s="8">
        <f>VLOOKUP(A4496,[1]!Table1[#All],33,FALSE)</f>
        <v>45929</v>
      </c>
      <c r="J4496" t="str">
        <f t="shared" ca="1" si="74"/>
        <v>Non UDO</v>
      </c>
    </row>
    <row r="4497" spans="1:10" x14ac:dyDescent="0.35">
      <c r="A4497" s="9" t="s">
        <v>144</v>
      </c>
      <c r="B4497" s="10">
        <v>44805</v>
      </c>
      <c r="C4497" s="11">
        <v>900000</v>
      </c>
      <c r="D4497" s="11">
        <v>473332.26</v>
      </c>
      <c r="E4497" s="11">
        <v>426667.74</v>
      </c>
      <c r="F4497" t="str">
        <f>VLOOKUP(A4497,[1]!Table1[#All],17,FALSE)</f>
        <v>UNITED STATES</v>
      </c>
      <c r="G4497" t="str">
        <f>VLOOKUP(A4497,[1]!Table1[#All],22,FALSE)</f>
        <v>BAYLOR COLLEGE OF MEDICINE</v>
      </c>
      <c r="H4497" s="8">
        <f>VLOOKUP(A4497,[1]!Table1[#All],32,FALSE)</f>
        <v>44104</v>
      </c>
      <c r="I4497" s="8">
        <f>VLOOKUP(A4497,[1]!Table1[#All],33,FALSE)</f>
        <v>45929</v>
      </c>
      <c r="J4497" t="str">
        <f t="shared" ca="1" si="74"/>
        <v>Non UDO</v>
      </c>
    </row>
    <row r="4498" spans="1:10" x14ac:dyDescent="0.35">
      <c r="A4498" s="5" t="s">
        <v>144</v>
      </c>
      <c r="B4498" s="6">
        <v>44835</v>
      </c>
      <c r="C4498" s="7">
        <v>900000</v>
      </c>
      <c r="D4498" s="7">
        <v>486599.09</v>
      </c>
      <c r="E4498" s="7">
        <v>413400.91</v>
      </c>
      <c r="F4498" t="str">
        <f>VLOOKUP(A4498,[1]!Table1[#All],17,FALSE)</f>
        <v>UNITED STATES</v>
      </c>
      <c r="G4498" t="str">
        <f>VLOOKUP(A4498,[1]!Table1[#All],22,FALSE)</f>
        <v>BAYLOR COLLEGE OF MEDICINE</v>
      </c>
      <c r="H4498" s="8">
        <f>VLOOKUP(A4498,[1]!Table1[#All],32,FALSE)</f>
        <v>44104</v>
      </c>
      <c r="I4498" s="8">
        <f>VLOOKUP(A4498,[1]!Table1[#All],33,FALSE)</f>
        <v>45929</v>
      </c>
      <c r="J4498" t="str">
        <f t="shared" ca="1" si="74"/>
        <v>Non UDO</v>
      </c>
    </row>
    <row r="4499" spans="1:10" x14ac:dyDescent="0.35">
      <c r="A4499" s="9" t="s">
        <v>144</v>
      </c>
      <c r="B4499" s="10">
        <v>44866</v>
      </c>
      <c r="C4499" s="11">
        <v>900000</v>
      </c>
      <c r="D4499" s="11">
        <v>542087.18000000005</v>
      </c>
      <c r="E4499" s="11">
        <v>357912.82</v>
      </c>
      <c r="F4499" t="str">
        <f>VLOOKUP(A4499,[1]!Table1[#All],17,FALSE)</f>
        <v>UNITED STATES</v>
      </c>
      <c r="G4499" t="str">
        <f>VLOOKUP(A4499,[1]!Table1[#All],22,FALSE)</f>
        <v>BAYLOR COLLEGE OF MEDICINE</v>
      </c>
      <c r="H4499" s="8">
        <f>VLOOKUP(A4499,[1]!Table1[#All],32,FALSE)</f>
        <v>44104</v>
      </c>
      <c r="I4499" s="8">
        <f>VLOOKUP(A4499,[1]!Table1[#All],33,FALSE)</f>
        <v>45929</v>
      </c>
      <c r="J4499" t="str">
        <f t="shared" ca="1" si="74"/>
        <v>Non UDO</v>
      </c>
    </row>
    <row r="4500" spans="1:10" x14ac:dyDescent="0.35">
      <c r="A4500" s="5" t="s">
        <v>144</v>
      </c>
      <c r="B4500" s="6">
        <v>44896</v>
      </c>
      <c r="C4500" s="7">
        <v>900000</v>
      </c>
      <c r="D4500" s="7">
        <v>683070.13</v>
      </c>
      <c r="E4500" s="7">
        <v>216929.87</v>
      </c>
      <c r="F4500" t="str">
        <f>VLOOKUP(A4500,[1]!Table1[#All],17,FALSE)</f>
        <v>UNITED STATES</v>
      </c>
      <c r="G4500" t="str">
        <f>VLOOKUP(A4500,[1]!Table1[#All],22,FALSE)</f>
        <v>BAYLOR COLLEGE OF MEDICINE</v>
      </c>
      <c r="H4500" s="8">
        <f>VLOOKUP(A4500,[1]!Table1[#All],32,FALSE)</f>
        <v>44104</v>
      </c>
      <c r="I4500" s="8">
        <f>VLOOKUP(A4500,[1]!Table1[#All],33,FALSE)</f>
        <v>45929</v>
      </c>
      <c r="J4500" t="str">
        <f t="shared" ca="1" si="74"/>
        <v>Non UDO</v>
      </c>
    </row>
    <row r="4501" spans="1:10" x14ac:dyDescent="0.35">
      <c r="A4501" s="9" t="s">
        <v>144</v>
      </c>
      <c r="B4501" s="10">
        <v>44927</v>
      </c>
      <c r="C4501" s="11">
        <v>900000</v>
      </c>
      <c r="D4501" s="11">
        <v>683070.13</v>
      </c>
      <c r="E4501" s="11">
        <v>216929.87</v>
      </c>
      <c r="F4501" t="str">
        <f>VLOOKUP(A4501,[1]!Table1[#All],17,FALSE)</f>
        <v>UNITED STATES</v>
      </c>
      <c r="G4501" t="str">
        <f>VLOOKUP(A4501,[1]!Table1[#All],22,FALSE)</f>
        <v>BAYLOR COLLEGE OF MEDICINE</v>
      </c>
      <c r="H4501" s="8">
        <f>VLOOKUP(A4501,[1]!Table1[#All],32,FALSE)</f>
        <v>44104</v>
      </c>
      <c r="I4501" s="8">
        <f>VLOOKUP(A4501,[1]!Table1[#All],33,FALSE)</f>
        <v>45929</v>
      </c>
      <c r="J4501" t="str">
        <f t="shared" ca="1" si="74"/>
        <v>Non UDO</v>
      </c>
    </row>
    <row r="4502" spans="1:10" x14ac:dyDescent="0.35">
      <c r="A4502" s="5" t="s">
        <v>144</v>
      </c>
      <c r="B4502" s="6">
        <v>44958</v>
      </c>
      <c r="C4502" s="7">
        <v>900000</v>
      </c>
      <c r="D4502" s="7">
        <v>681292.09</v>
      </c>
      <c r="E4502" s="7">
        <v>218707.91</v>
      </c>
      <c r="F4502" t="str">
        <f>VLOOKUP(A4502,[1]!Table1[#All],17,FALSE)</f>
        <v>UNITED STATES</v>
      </c>
      <c r="G4502" t="str">
        <f>VLOOKUP(A4502,[1]!Table1[#All],22,FALSE)</f>
        <v>BAYLOR COLLEGE OF MEDICINE</v>
      </c>
      <c r="H4502" s="8">
        <f>VLOOKUP(A4502,[1]!Table1[#All],32,FALSE)</f>
        <v>44104</v>
      </c>
      <c r="I4502" s="8">
        <f>VLOOKUP(A4502,[1]!Table1[#All],33,FALSE)</f>
        <v>45929</v>
      </c>
      <c r="J4502" t="str">
        <f t="shared" ca="1" si="74"/>
        <v>Non UDO</v>
      </c>
    </row>
    <row r="4503" spans="1:10" x14ac:dyDescent="0.35">
      <c r="A4503" s="9" t="s">
        <v>144</v>
      </c>
      <c r="B4503" s="10">
        <v>44986</v>
      </c>
      <c r="C4503" s="11">
        <v>900000</v>
      </c>
      <c r="D4503" s="11">
        <v>900000</v>
      </c>
      <c r="E4503" s="11">
        <v>0</v>
      </c>
      <c r="F4503" t="str">
        <f>VLOOKUP(A4503,[1]!Table1[#All],17,FALSE)</f>
        <v>UNITED STATES</v>
      </c>
      <c r="G4503" t="str">
        <f>VLOOKUP(A4503,[1]!Table1[#All],22,FALSE)</f>
        <v>BAYLOR COLLEGE OF MEDICINE</v>
      </c>
      <c r="H4503" s="8">
        <f>VLOOKUP(A4503,[1]!Table1[#All],32,FALSE)</f>
        <v>44104</v>
      </c>
      <c r="I4503" s="8">
        <f>VLOOKUP(A4503,[1]!Table1[#All],33,FALSE)</f>
        <v>45929</v>
      </c>
      <c r="J4503" t="str">
        <f t="shared" ca="1" si="74"/>
        <v>Non UDO</v>
      </c>
    </row>
    <row r="4504" spans="1:10" x14ac:dyDescent="0.35">
      <c r="A4504" s="5" t="s">
        <v>144</v>
      </c>
      <c r="B4504" s="6">
        <v>45017</v>
      </c>
      <c r="C4504" s="7">
        <v>900000</v>
      </c>
      <c r="D4504" s="7">
        <v>900000</v>
      </c>
      <c r="E4504" s="7">
        <v>0</v>
      </c>
      <c r="F4504" t="str">
        <f>VLOOKUP(A4504,[1]!Table1[#All],17,FALSE)</f>
        <v>UNITED STATES</v>
      </c>
      <c r="G4504" t="str">
        <f>VLOOKUP(A4504,[1]!Table1[#All],22,FALSE)</f>
        <v>BAYLOR COLLEGE OF MEDICINE</v>
      </c>
      <c r="H4504" s="8">
        <f>VLOOKUP(A4504,[1]!Table1[#All],32,FALSE)</f>
        <v>44104</v>
      </c>
      <c r="I4504" s="8">
        <f>VLOOKUP(A4504,[1]!Table1[#All],33,FALSE)</f>
        <v>45929</v>
      </c>
      <c r="J4504" t="str">
        <f t="shared" ca="1" si="74"/>
        <v>Non UDO</v>
      </c>
    </row>
    <row r="4505" spans="1:10" x14ac:dyDescent="0.35">
      <c r="A4505" s="9" t="s">
        <v>144</v>
      </c>
      <c r="B4505" s="10">
        <v>45047</v>
      </c>
      <c r="C4505" s="11">
        <v>900000</v>
      </c>
      <c r="D4505" s="11">
        <v>900000</v>
      </c>
      <c r="E4505" s="11">
        <v>0</v>
      </c>
      <c r="F4505" t="str">
        <f>VLOOKUP(A4505,[1]!Table1[#All],17,FALSE)</f>
        <v>UNITED STATES</v>
      </c>
      <c r="G4505" t="str">
        <f>VLOOKUP(A4505,[1]!Table1[#All],22,FALSE)</f>
        <v>BAYLOR COLLEGE OF MEDICINE</v>
      </c>
      <c r="H4505" s="8">
        <f>VLOOKUP(A4505,[1]!Table1[#All],32,FALSE)</f>
        <v>44104</v>
      </c>
      <c r="I4505" s="8">
        <f>VLOOKUP(A4505,[1]!Table1[#All],33,FALSE)</f>
        <v>45929</v>
      </c>
      <c r="J4505" t="str">
        <f t="shared" ca="1" si="74"/>
        <v>Non UDO</v>
      </c>
    </row>
    <row r="4506" spans="1:10" x14ac:dyDescent="0.35">
      <c r="A4506" s="5" t="s">
        <v>144</v>
      </c>
      <c r="B4506" s="6">
        <v>45078</v>
      </c>
      <c r="C4506" s="7">
        <v>900000</v>
      </c>
      <c r="D4506" s="7">
        <v>900000</v>
      </c>
      <c r="E4506" s="7">
        <v>0</v>
      </c>
      <c r="F4506" t="str">
        <f>VLOOKUP(A4506,[1]!Table1[#All],17,FALSE)</f>
        <v>UNITED STATES</v>
      </c>
      <c r="G4506" t="str">
        <f>VLOOKUP(A4506,[1]!Table1[#All],22,FALSE)</f>
        <v>BAYLOR COLLEGE OF MEDICINE</v>
      </c>
      <c r="H4506" s="8">
        <f>VLOOKUP(A4506,[1]!Table1[#All],32,FALSE)</f>
        <v>44104</v>
      </c>
      <c r="I4506" s="8">
        <f>VLOOKUP(A4506,[1]!Table1[#All],33,FALSE)</f>
        <v>45929</v>
      </c>
      <c r="J4506" t="str">
        <f t="shared" ca="1" si="74"/>
        <v>Non UDO</v>
      </c>
    </row>
    <row r="4507" spans="1:10" x14ac:dyDescent="0.35">
      <c r="A4507" s="9" t="s">
        <v>144</v>
      </c>
      <c r="B4507" s="10">
        <v>45108</v>
      </c>
      <c r="C4507" s="11">
        <v>900000</v>
      </c>
      <c r="D4507" s="11">
        <v>900000</v>
      </c>
      <c r="E4507" s="11">
        <v>0</v>
      </c>
      <c r="F4507" t="str">
        <f>VLOOKUP(A4507,[1]!Table1[#All],17,FALSE)</f>
        <v>UNITED STATES</v>
      </c>
      <c r="G4507" t="str">
        <f>VLOOKUP(A4507,[1]!Table1[#All],22,FALSE)</f>
        <v>BAYLOR COLLEGE OF MEDICINE</v>
      </c>
      <c r="H4507" s="8">
        <f>VLOOKUP(A4507,[1]!Table1[#All],32,FALSE)</f>
        <v>44104</v>
      </c>
      <c r="I4507" s="8">
        <f>VLOOKUP(A4507,[1]!Table1[#All],33,FALSE)</f>
        <v>45929</v>
      </c>
      <c r="J4507" t="str">
        <f t="shared" ca="1" si="74"/>
        <v>Non UDO</v>
      </c>
    </row>
    <row r="4508" spans="1:10" x14ac:dyDescent="0.35">
      <c r="A4508" s="5" t="s">
        <v>144</v>
      </c>
      <c r="B4508" s="6">
        <v>45139</v>
      </c>
      <c r="C4508" s="7">
        <v>900000</v>
      </c>
      <c r="D4508" s="7">
        <v>900000</v>
      </c>
      <c r="E4508" s="7">
        <v>0</v>
      </c>
      <c r="F4508" t="str">
        <f>VLOOKUP(A4508,[1]!Table1[#All],17,FALSE)</f>
        <v>UNITED STATES</v>
      </c>
      <c r="G4508" t="str">
        <f>VLOOKUP(A4508,[1]!Table1[#All],22,FALSE)</f>
        <v>BAYLOR COLLEGE OF MEDICINE</v>
      </c>
      <c r="H4508" s="8">
        <f>VLOOKUP(A4508,[1]!Table1[#All],32,FALSE)</f>
        <v>44104</v>
      </c>
      <c r="I4508" s="8">
        <f>VLOOKUP(A4508,[1]!Table1[#All],33,FALSE)</f>
        <v>45929</v>
      </c>
      <c r="J4508" t="str">
        <f t="shared" ca="1" si="74"/>
        <v>Non UDO</v>
      </c>
    </row>
    <row r="4509" spans="1:10" x14ac:dyDescent="0.35">
      <c r="A4509" s="9" t="s">
        <v>144</v>
      </c>
      <c r="B4509" s="10">
        <v>45170</v>
      </c>
      <c r="C4509" s="11">
        <v>900000</v>
      </c>
      <c r="D4509" s="11">
        <v>900000</v>
      </c>
      <c r="E4509" s="11">
        <v>0</v>
      </c>
      <c r="F4509" t="str">
        <f>VLOOKUP(A4509,[1]!Table1[#All],17,FALSE)</f>
        <v>UNITED STATES</v>
      </c>
      <c r="G4509" t="str">
        <f>VLOOKUP(A4509,[1]!Table1[#All],22,FALSE)</f>
        <v>BAYLOR COLLEGE OF MEDICINE</v>
      </c>
      <c r="H4509" s="8">
        <f>VLOOKUP(A4509,[1]!Table1[#All],32,FALSE)</f>
        <v>44104</v>
      </c>
      <c r="I4509" s="8">
        <f>VLOOKUP(A4509,[1]!Table1[#All],33,FALSE)</f>
        <v>45929</v>
      </c>
      <c r="J4509" t="str">
        <f t="shared" ca="1" si="74"/>
        <v>Non UDO</v>
      </c>
    </row>
    <row r="4510" spans="1:10" x14ac:dyDescent="0.35">
      <c r="A4510" s="5" t="s">
        <v>145</v>
      </c>
      <c r="B4510" s="6">
        <v>44409</v>
      </c>
      <c r="C4510" s="7">
        <v>2000000</v>
      </c>
      <c r="D4510" s="7">
        <v>0</v>
      </c>
      <c r="E4510" s="7">
        <v>2000000</v>
      </c>
      <c r="F4510" t="str">
        <f>VLOOKUP(A4510,[1]!Table1[#All],17,FALSE)</f>
        <v>UNITED STATES</v>
      </c>
      <c r="G4510" t="str">
        <f>VLOOKUP(A4510,[1]!Table1[#All],22,FALSE)</f>
        <v>UNIVERSITY OF FLORIDA</v>
      </c>
      <c r="H4510" s="8">
        <f>VLOOKUP(A4510,[1]!Table1[#All],32,FALSE)</f>
        <v>44439</v>
      </c>
      <c r="I4510" s="8">
        <f>VLOOKUP(A4510,[1]!Table1[#All],33,FALSE)</f>
        <v>46264</v>
      </c>
      <c r="J4510" t="str">
        <f t="shared" ca="1" si="74"/>
        <v>Non UDO</v>
      </c>
    </row>
    <row r="4511" spans="1:10" x14ac:dyDescent="0.35">
      <c r="A4511" s="9" t="s">
        <v>145</v>
      </c>
      <c r="B4511" s="10">
        <v>44440</v>
      </c>
      <c r="C4511" s="11">
        <v>2000000</v>
      </c>
      <c r="D4511" s="11">
        <v>0</v>
      </c>
      <c r="E4511" s="11">
        <v>2000000</v>
      </c>
      <c r="F4511" t="str">
        <f>VLOOKUP(A4511,[1]!Table1[#All],17,FALSE)</f>
        <v>UNITED STATES</v>
      </c>
      <c r="G4511" t="str">
        <f>VLOOKUP(A4511,[1]!Table1[#All],22,FALSE)</f>
        <v>UNIVERSITY OF FLORIDA</v>
      </c>
      <c r="H4511" s="8">
        <f>VLOOKUP(A4511,[1]!Table1[#All],32,FALSE)</f>
        <v>44439</v>
      </c>
      <c r="I4511" s="8">
        <f>VLOOKUP(A4511,[1]!Table1[#All],33,FALSE)</f>
        <v>46264</v>
      </c>
      <c r="J4511" t="str">
        <f t="shared" ca="1" si="74"/>
        <v>Non UDO</v>
      </c>
    </row>
    <row r="4512" spans="1:10" x14ac:dyDescent="0.35">
      <c r="A4512" s="5" t="s">
        <v>145</v>
      </c>
      <c r="B4512" s="6">
        <v>44470</v>
      </c>
      <c r="C4512" s="7">
        <v>2000000</v>
      </c>
      <c r="D4512" s="7">
        <v>0</v>
      </c>
      <c r="E4512" s="7">
        <v>2000000</v>
      </c>
      <c r="F4512" t="str">
        <f>VLOOKUP(A4512,[1]!Table1[#All],17,FALSE)</f>
        <v>UNITED STATES</v>
      </c>
      <c r="G4512" t="str">
        <f>VLOOKUP(A4512,[1]!Table1[#All],22,FALSE)</f>
        <v>UNIVERSITY OF FLORIDA</v>
      </c>
      <c r="H4512" s="8">
        <f>VLOOKUP(A4512,[1]!Table1[#All],32,FALSE)</f>
        <v>44439</v>
      </c>
      <c r="I4512" s="8">
        <f>VLOOKUP(A4512,[1]!Table1[#All],33,FALSE)</f>
        <v>46264</v>
      </c>
      <c r="J4512" t="str">
        <f t="shared" ca="1" si="74"/>
        <v>Non UDO</v>
      </c>
    </row>
    <row r="4513" spans="1:10" x14ac:dyDescent="0.35">
      <c r="A4513" s="9" t="s">
        <v>145</v>
      </c>
      <c r="B4513" s="10">
        <v>44501</v>
      </c>
      <c r="C4513" s="11">
        <v>2000000</v>
      </c>
      <c r="D4513" s="11">
        <v>21942.5</v>
      </c>
      <c r="E4513" s="11">
        <v>1978057.5</v>
      </c>
      <c r="F4513" t="str">
        <f>VLOOKUP(A4513,[1]!Table1[#All],17,FALSE)</f>
        <v>UNITED STATES</v>
      </c>
      <c r="G4513" t="str">
        <f>VLOOKUP(A4513,[1]!Table1[#All],22,FALSE)</f>
        <v>UNIVERSITY OF FLORIDA</v>
      </c>
      <c r="H4513" s="8">
        <f>VLOOKUP(A4513,[1]!Table1[#All],32,FALSE)</f>
        <v>44439</v>
      </c>
      <c r="I4513" s="8">
        <f>VLOOKUP(A4513,[1]!Table1[#All],33,FALSE)</f>
        <v>46264</v>
      </c>
      <c r="J4513" t="str">
        <f t="shared" ca="1" si="74"/>
        <v>Non UDO</v>
      </c>
    </row>
    <row r="4514" spans="1:10" x14ac:dyDescent="0.35">
      <c r="A4514" s="5" t="s">
        <v>145</v>
      </c>
      <c r="B4514" s="6">
        <v>44531</v>
      </c>
      <c r="C4514" s="7">
        <v>2000000</v>
      </c>
      <c r="D4514" s="7">
        <v>30000.06</v>
      </c>
      <c r="E4514" s="7">
        <v>1969999.94</v>
      </c>
      <c r="F4514" t="str">
        <f>VLOOKUP(A4514,[1]!Table1[#All],17,FALSE)</f>
        <v>UNITED STATES</v>
      </c>
      <c r="G4514" t="str">
        <f>VLOOKUP(A4514,[1]!Table1[#All],22,FALSE)</f>
        <v>UNIVERSITY OF FLORIDA</v>
      </c>
      <c r="H4514" s="8">
        <f>VLOOKUP(A4514,[1]!Table1[#All],32,FALSE)</f>
        <v>44439</v>
      </c>
      <c r="I4514" s="8">
        <f>VLOOKUP(A4514,[1]!Table1[#All],33,FALSE)</f>
        <v>46264</v>
      </c>
      <c r="J4514" t="str">
        <f t="shared" ca="1" si="74"/>
        <v>Non UDO</v>
      </c>
    </row>
    <row r="4515" spans="1:10" x14ac:dyDescent="0.35">
      <c r="A4515" s="9" t="s">
        <v>145</v>
      </c>
      <c r="B4515" s="10">
        <v>44562</v>
      </c>
      <c r="C4515" s="11">
        <v>2000000</v>
      </c>
      <c r="D4515" s="11">
        <v>110602.6</v>
      </c>
      <c r="E4515" s="11">
        <v>1889397.4</v>
      </c>
      <c r="F4515" t="str">
        <f>VLOOKUP(A4515,[1]!Table1[#All],17,FALSE)</f>
        <v>UNITED STATES</v>
      </c>
      <c r="G4515" t="str">
        <f>VLOOKUP(A4515,[1]!Table1[#All],22,FALSE)</f>
        <v>UNIVERSITY OF FLORIDA</v>
      </c>
      <c r="H4515" s="8">
        <f>VLOOKUP(A4515,[1]!Table1[#All],32,FALSE)</f>
        <v>44439</v>
      </c>
      <c r="I4515" s="8">
        <f>VLOOKUP(A4515,[1]!Table1[#All],33,FALSE)</f>
        <v>46264</v>
      </c>
      <c r="J4515" t="str">
        <f t="shared" ca="1" si="74"/>
        <v>Non UDO</v>
      </c>
    </row>
    <row r="4516" spans="1:10" x14ac:dyDescent="0.35">
      <c r="A4516" s="5" t="s">
        <v>145</v>
      </c>
      <c r="B4516" s="6">
        <v>44593</v>
      </c>
      <c r="C4516" s="7">
        <v>2000000</v>
      </c>
      <c r="D4516" s="7">
        <v>363218.89</v>
      </c>
      <c r="E4516" s="7">
        <v>1636781.11</v>
      </c>
      <c r="F4516" t="str">
        <f>VLOOKUP(A4516,[1]!Table1[#All],17,FALSE)</f>
        <v>UNITED STATES</v>
      </c>
      <c r="G4516" t="str">
        <f>VLOOKUP(A4516,[1]!Table1[#All],22,FALSE)</f>
        <v>UNIVERSITY OF FLORIDA</v>
      </c>
      <c r="H4516" s="8">
        <f>VLOOKUP(A4516,[1]!Table1[#All],32,FALSE)</f>
        <v>44439</v>
      </c>
      <c r="I4516" s="8">
        <f>VLOOKUP(A4516,[1]!Table1[#All],33,FALSE)</f>
        <v>46264</v>
      </c>
      <c r="J4516" t="str">
        <f t="shared" ca="1" si="74"/>
        <v>Non UDO</v>
      </c>
    </row>
    <row r="4517" spans="1:10" x14ac:dyDescent="0.35">
      <c r="A4517" s="9" t="s">
        <v>145</v>
      </c>
      <c r="B4517" s="10">
        <v>44621</v>
      </c>
      <c r="C4517" s="11">
        <v>2000000</v>
      </c>
      <c r="D4517" s="11">
        <v>444536.17</v>
      </c>
      <c r="E4517" s="11">
        <v>1555463.83</v>
      </c>
      <c r="F4517" t="str">
        <f>VLOOKUP(A4517,[1]!Table1[#All],17,FALSE)</f>
        <v>UNITED STATES</v>
      </c>
      <c r="G4517" t="str">
        <f>VLOOKUP(A4517,[1]!Table1[#All],22,FALSE)</f>
        <v>UNIVERSITY OF FLORIDA</v>
      </c>
      <c r="H4517" s="8">
        <f>VLOOKUP(A4517,[1]!Table1[#All],32,FALSE)</f>
        <v>44439</v>
      </c>
      <c r="I4517" s="8">
        <f>VLOOKUP(A4517,[1]!Table1[#All],33,FALSE)</f>
        <v>46264</v>
      </c>
      <c r="J4517" t="str">
        <f t="shared" ca="1" si="74"/>
        <v>Non UDO</v>
      </c>
    </row>
    <row r="4518" spans="1:10" x14ac:dyDescent="0.35">
      <c r="A4518" s="5" t="s">
        <v>145</v>
      </c>
      <c r="B4518" s="6">
        <v>44652</v>
      </c>
      <c r="C4518" s="7">
        <v>2000000</v>
      </c>
      <c r="D4518" s="7">
        <v>505538.72</v>
      </c>
      <c r="E4518" s="7">
        <v>1494461.28</v>
      </c>
      <c r="F4518" t="str">
        <f>VLOOKUP(A4518,[1]!Table1[#All],17,FALSE)</f>
        <v>UNITED STATES</v>
      </c>
      <c r="G4518" t="str">
        <f>VLOOKUP(A4518,[1]!Table1[#All],22,FALSE)</f>
        <v>UNIVERSITY OF FLORIDA</v>
      </c>
      <c r="H4518" s="8">
        <f>VLOOKUP(A4518,[1]!Table1[#All],32,FALSE)</f>
        <v>44439</v>
      </c>
      <c r="I4518" s="8">
        <f>VLOOKUP(A4518,[1]!Table1[#All],33,FALSE)</f>
        <v>46264</v>
      </c>
      <c r="J4518" t="str">
        <f t="shared" ca="1" si="74"/>
        <v>Non UDO</v>
      </c>
    </row>
    <row r="4519" spans="1:10" x14ac:dyDescent="0.35">
      <c r="A4519" s="9" t="s">
        <v>145</v>
      </c>
      <c r="B4519" s="10">
        <v>44682</v>
      </c>
      <c r="C4519" s="11">
        <v>2000000</v>
      </c>
      <c r="D4519" s="11">
        <v>596216.43999999994</v>
      </c>
      <c r="E4519" s="11">
        <v>1403783.56</v>
      </c>
      <c r="F4519" t="str">
        <f>VLOOKUP(A4519,[1]!Table1[#All],17,FALSE)</f>
        <v>UNITED STATES</v>
      </c>
      <c r="G4519" t="str">
        <f>VLOOKUP(A4519,[1]!Table1[#All],22,FALSE)</f>
        <v>UNIVERSITY OF FLORIDA</v>
      </c>
      <c r="H4519" s="8">
        <f>VLOOKUP(A4519,[1]!Table1[#All],32,FALSE)</f>
        <v>44439</v>
      </c>
      <c r="I4519" s="8">
        <f>VLOOKUP(A4519,[1]!Table1[#All],33,FALSE)</f>
        <v>46264</v>
      </c>
      <c r="J4519" t="str">
        <f t="shared" ca="1" si="74"/>
        <v>Non UDO</v>
      </c>
    </row>
    <row r="4520" spans="1:10" x14ac:dyDescent="0.35">
      <c r="A4520" s="5" t="s">
        <v>145</v>
      </c>
      <c r="B4520" s="6">
        <v>44713</v>
      </c>
      <c r="C4520" s="7">
        <v>2000000</v>
      </c>
      <c r="D4520" s="7">
        <v>794931.43</v>
      </c>
      <c r="E4520" s="7">
        <v>1205068.57</v>
      </c>
      <c r="F4520" t="str">
        <f>VLOOKUP(A4520,[1]!Table1[#All],17,FALSE)</f>
        <v>UNITED STATES</v>
      </c>
      <c r="G4520" t="str">
        <f>VLOOKUP(A4520,[1]!Table1[#All],22,FALSE)</f>
        <v>UNIVERSITY OF FLORIDA</v>
      </c>
      <c r="H4520" s="8">
        <f>VLOOKUP(A4520,[1]!Table1[#All],32,FALSE)</f>
        <v>44439</v>
      </c>
      <c r="I4520" s="8">
        <f>VLOOKUP(A4520,[1]!Table1[#All],33,FALSE)</f>
        <v>46264</v>
      </c>
      <c r="J4520" t="str">
        <f t="shared" ca="1" si="74"/>
        <v>Non UDO</v>
      </c>
    </row>
    <row r="4521" spans="1:10" x14ac:dyDescent="0.35">
      <c r="A4521" s="9" t="s">
        <v>145</v>
      </c>
      <c r="B4521" s="10">
        <v>44743</v>
      </c>
      <c r="C4521" s="11">
        <v>2000000</v>
      </c>
      <c r="D4521" s="11">
        <v>875532.73</v>
      </c>
      <c r="E4521" s="11">
        <v>1124467.27</v>
      </c>
      <c r="F4521" t="str">
        <f>VLOOKUP(A4521,[1]!Table1[#All],17,FALSE)</f>
        <v>UNITED STATES</v>
      </c>
      <c r="G4521" t="str">
        <f>VLOOKUP(A4521,[1]!Table1[#All],22,FALSE)</f>
        <v>UNIVERSITY OF FLORIDA</v>
      </c>
      <c r="H4521" s="8">
        <f>VLOOKUP(A4521,[1]!Table1[#All],32,FALSE)</f>
        <v>44439</v>
      </c>
      <c r="I4521" s="8">
        <f>VLOOKUP(A4521,[1]!Table1[#All],33,FALSE)</f>
        <v>46264</v>
      </c>
      <c r="J4521" t="str">
        <f t="shared" ca="1" si="74"/>
        <v>Non UDO</v>
      </c>
    </row>
    <row r="4522" spans="1:10" x14ac:dyDescent="0.35">
      <c r="A4522" s="5" t="s">
        <v>145</v>
      </c>
      <c r="B4522" s="6">
        <v>44774</v>
      </c>
      <c r="C4522" s="7">
        <v>2000000</v>
      </c>
      <c r="D4522" s="7">
        <v>1017301.81</v>
      </c>
      <c r="E4522" s="7">
        <v>982698.19</v>
      </c>
      <c r="F4522" t="str">
        <f>VLOOKUP(A4522,[1]!Table1[#All],17,FALSE)</f>
        <v>UNITED STATES</v>
      </c>
      <c r="G4522" t="str">
        <f>VLOOKUP(A4522,[1]!Table1[#All],22,FALSE)</f>
        <v>UNIVERSITY OF FLORIDA</v>
      </c>
      <c r="H4522" s="8">
        <f>VLOOKUP(A4522,[1]!Table1[#All],32,FALSE)</f>
        <v>44439</v>
      </c>
      <c r="I4522" s="8">
        <f>VLOOKUP(A4522,[1]!Table1[#All],33,FALSE)</f>
        <v>46264</v>
      </c>
      <c r="J4522" t="str">
        <f t="shared" ca="1" si="74"/>
        <v>Non UDO</v>
      </c>
    </row>
    <row r="4523" spans="1:10" x14ac:dyDescent="0.35">
      <c r="A4523" s="9" t="s">
        <v>145</v>
      </c>
      <c r="B4523" s="10">
        <v>44805</v>
      </c>
      <c r="C4523" s="11">
        <v>2000000</v>
      </c>
      <c r="D4523" s="11">
        <v>1064972.8500000001</v>
      </c>
      <c r="E4523" s="11">
        <v>935027.15</v>
      </c>
      <c r="F4523" t="str">
        <f>VLOOKUP(A4523,[1]!Table1[#All],17,FALSE)</f>
        <v>UNITED STATES</v>
      </c>
      <c r="G4523" t="str">
        <f>VLOOKUP(A4523,[1]!Table1[#All],22,FALSE)</f>
        <v>UNIVERSITY OF FLORIDA</v>
      </c>
      <c r="H4523" s="8">
        <f>VLOOKUP(A4523,[1]!Table1[#All],32,FALSE)</f>
        <v>44439</v>
      </c>
      <c r="I4523" s="8">
        <f>VLOOKUP(A4523,[1]!Table1[#All],33,FALSE)</f>
        <v>46264</v>
      </c>
      <c r="J4523" t="str">
        <f t="shared" ca="1" si="74"/>
        <v>Non UDO</v>
      </c>
    </row>
    <row r="4524" spans="1:10" x14ac:dyDescent="0.35">
      <c r="A4524" s="5" t="s">
        <v>145</v>
      </c>
      <c r="B4524" s="6">
        <v>44835</v>
      </c>
      <c r="C4524" s="7">
        <v>2000000</v>
      </c>
      <c r="D4524" s="7">
        <v>1241252.27</v>
      </c>
      <c r="E4524" s="7">
        <v>758747.73</v>
      </c>
      <c r="F4524" t="str">
        <f>VLOOKUP(A4524,[1]!Table1[#All],17,FALSE)</f>
        <v>UNITED STATES</v>
      </c>
      <c r="G4524" t="str">
        <f>VLOOKUP(A4524,[1]!Table1[#All],22,FALSE)</f>
        <v>UNIVERSITY OF FLORIDA</v>
      </c>
      <c r="H4524" s="8">
        <f>VLOOKUP(A4524,[1]!Table1[#All],32,FALSE)</f>
        <v>44439</v>
      </c>
      <c r="I4524" s="8">
        <f>VLOOKUP(A4524,[1]!Table1[#All],33,FALSE)</f>
        <v>46264</v>
      </c>
      <c r="J4524" t="str">
        <f t="shared" ca="1" si="74"/>
        <v>Non UDO</v>
      </c>
    </row>
    <row r="4525" spans="1:10" x14ac:dyDescent="0.35">
      <c r="A4525" s="9" t="s">
        <v>145</v>
      </c>
      <c r="B4525" s="10">
        <v>44866</v>
      </c>
      <c r="C4525" s="11">
        <v>2000000</v>
      </c>
      <c r="D4525" s="11">
        <v>1417318.39</v>
      </c>
      <c r="E4525" s="11">
        <v>582681.61</v>
      </c>
      <c r="F4525" t="str">
        <f>VLOOKUP(A4525,[1]!Table1[#All],17,FALSE)</f>
        <v>UNITED STATES</v>
      </c>
      <c r="G4525" t="str">
        <f>VLOOKUP(A4525,[1]!Table1[#All],22,FALSE)</f>
        <v>UNIVERSITY OF FLORIDA</v>
      </c>
      <c r="H4525" s="8">
        <f>VLOOKUP(A4525,[1]!Table1[#All],32,FALSE)</f>
        <v>44439</v>
      </c>
      <c r="I4525" s="8">
        <f>VLOOKUP(A4525,[1]!Table1[#All],33,FALSE)</f>
        <v>46264</v>
      </c>
      <c r="J4525" t="str">
        <f t="shared" ca="1" si="74"/>
        <v>Non UDO</v>
      </c>
    </row>
    <row r="4526" spans="1:10" x14ac:dyDescent="0.35">
      <c r="A4526" s="5" t="s">
        <v>145</v>
      </c>
      <c r="B4526" s="6">
        <v>44896</v>
      </c>
      <c r="C4526" s="7">
        <v>2000000</v>
      </c>
      <c r="D4526" s="7">
        <v>1654118.36</v>
      </c>
      <c r="E4526" s="7">
        <v>345881.64</v>
      </c>
      <c r="F4526" t="str">
        <f>VLOOKUP(A4526,[1]!Table1[#All],17,FALSE)</f>
        <v>UNITED STATES</v>
      </c>
      <c r="G4526" t="str">
        <f>VLOOKUP(A4526,[1]!Table1[#All],22,FALSE)</f>
        <v>UNIVERSITY OF FLORIDA</v>
      </c>
      <c r="H4526" s="8">
        <f>VLOOKUP(A4526,[1]!Table1[#All],32,FALSE)</f>
        <v>44439</v>
      </c>
      <c r="I4526" s="8">
        <f>VLOOKUP(A4526,[1]!Table1[#All],33,FALSE)</f>
        <v>46264</v>
      </c>
      <c r="J4526" t="str">
        <f t="shared" ca="1" si="74"/>
        <v>Non UDO</v>
      </c>
    </row>
    <row r="4527" spans="1:10" x14ac:dyDescent="0.35">
      <c r="A4527" s="9" t="s">
        <v>145</v>
      </c>
      <c r="B4527" s="10">
        <v>44927</v>
      </c>
      <c r="C4527" s="11">
        <v>2000000</v>
      </c>
      <c r="D4527" s="11">
        <v>1681117.15</v>
      </c>
      <c r="E4527" s="11">
        <v>318882.84999999998</v>
      </c>
      <c r="F4527" t="str">
        <f>VLOOKUP(A4527,[1]!Table1[#All],17,FALSE)</f>
        <v>UNITED STATES</v>
      </c>
      <c r="G4527" t="str">
        <f>VLOOKUP(A4527,[1]!Table1[#All],22,FALSE)</f>
        <v>UNIVERSITY OF FLORIDA</v>
      </c>
      <c r="H4527" s="8">
        <f>VLOOKUP(A4527,[1]!Table1[#All],32,FALSE)</f>
        <v>44439</v>
      </c>
      <c r="I4527" s="8">
        <f>VLOOKUP(A4527,[1]!Table1[#All],33,FALSE)</f>
        <v>46264</v>
      </c>
      <c r="J4527" t="str">
        <f t="shared" ca="1" si="74"/>
        <v>Non UDO</v>
      </c>
    </row>
    <row r="4528" spans="1:10" x14ac:dyDescent="0.35">
      <c r="A4528" s="5" t="s">
        <v>145</v>
      </c>
      <c r="B4528" s="6">
        <v>44958</v>
      </c>
      <c r="C4528" s="7">
        <v>2000000</v>
      </c>
      <c r="D4528" s="7">
        <v>1719734.45</v>
      </c>
      <c r="E4528" s="7">
        <v>280265.55</v>
      </c>
      <c r="F4528" t="str">
        <f>VLOOKUP(A4528,[1]!Table1[#All],17,FALSE)</f>
        <v>UNITED STATES</v>
      </c>
      <c r="G4528" t="str">
        <f>VLOOKUP(A4528,[1]!Table1[#All],22,FALSE)</f>
        <v>UNIVERSITY OF FLORIDA</v>
      </c>
      <c r="H4528" s="8">
        <f>VLOOKUP(A4528,[1]!Table1[#All],32,FALSE)</f>
        <v>44439</v>
      </c>
      <c r="I4528" s="8">
        <f>VLOOKUP(A4528,[1]!Table1[#All],33,FALSE)</f>
        <v>46264</v>
      </c>
      <c r="J4528" t="str">
        <f t="shared" ca="1" si="74"/>
        <v>Non UDO</v>
      </c>
    </row>
    <row r="4529" spans="1:10" x14ac:dyDescent="0.35">
      <c r="A4529" s="9" t="s">
        <v>145</v>
      </c>
      <c r="B4529" s="10">
        <v>44986</v>
      </c>
      <c r="C4529" s="11">
        <v>2000000</v>
      </c>
      <c r="D4529" s="11">
        <v>1785073.9</v>
      </c>
      <c r="E4529" s="11">
        <v>214926.1</v>
      </c>
      <c r="F4529" t="str">
        <f>VLOOKUP(A4529,[1]!Table1[#All],17,FALSE)</f>
        <v>UNITED STATES</v>
      </c>
      <c r="G4529" t="str">
        <f>VLOOKUP(A4529,[1]!Table1[#All],22,FALSE)</f>
        <v>UNIVERSITY OF FLORIDA</v>
      </c>
      <c r="H4529" s="8">
        <f>VLOOKUP(A4529,[1]!Table1[#All],32,FALSE)</f>
        <v>44439</v>
      </c>
      <c r="I4529" s="8">
        <f>VLOOKUP(A4529,[1]!Table1[#All],33,FALSE)</f>
        <v>46264</v>
      </c>
      <c r="J4529" t="str">
        <f t="shared" ca="1" si="74"/>
        <v>Non UDO</v>
      </c>
    </row>
    <row r="4530" spans="1:10" x14ac:dyDescent="0.35">
      <c r="A4530" s="5" t="s">
        <v>145</v>
      </c>
      <c r="B4530" s="6">
        <v>45017</v>
      </c>
      <c r="C4530" s="7">
        <v>2000000</v>
      </c>
      <c r="D4530" s="7">
        <v>1827629.32</v>
      </c>
      <c r="E4530" s="7">
        <v>172370.68</v>
      </c>
      <c r="F4530" t="str">
        <f>VLOOKUP(A4530,[1]!Table1[#All],17,FALSE)</f>
        <v>UNITED STATES</v>
      </c>
      <c r="G4530" t="str">
        <f>VLOOKUP(A4530,[1]!Table1[#All],22,FALSE)</f>
        <v>UNIVERSITY OF FLORIDA</v>
      </c>
      <c r="H4530" s="8">
        <f>VLOOKUP(A4530,[1]!Table1[#All],32,FALSE)</f>
        <v>44439</v>
      </c>
      <c r="I4530" s="8">
        <f>VLOOKUP(A4530,[1]!Table1[#All],33,FALSE)</f>
        <v>46264</v>
      </c>
      <c r="J4530" t="str">
        <f t="shared" ca="1" si="74"/>
        <v>Non UDO</v>
      </c>
    </row>
    <row r="4531" spans="1:10" x14ac:dyDescent="0.35">
      <c r="A4531" s="9" t="s">
        <v>145</v>
      </c>
      <c r="B4531" s="10">
        <v>45047</v>
      </c>
      <c r="C4531" s="11">
        <v>2000000</v>
      </c>
      <c r="D4531" s="11">
        <v>1860478.11</v>
      </c>
      <c r="E4531" s="11">
        <v>139521.89000000001</v>
      </c>
      <c r="F4531" t="str">
        <f>VLOOKUP(A4531,[1]!Table1[#All],17,FALSE)</f>
        <v>UNITED STATES</v>
      </c>
      <c r="G4531" t="str">
        <f>VLOOKUP(A4531,[1]!Table1[#All],22,FALSE)</f>
        <v>UNIVERSITY OF FLORIDA</v>
      </c>
      <c r="H4531" s="8">
        <f>VLOOKUP(A4531,[1]!Table1[#All],32,FALSE)</f>
        <v>44439</v>
      </c>
      <c r="I4531" s="8">
        <f>VLOOKUP(A4531,[1]!Table1[#All],33,FALSE)</f>
        <v>46264</v>
      </c>
      <c r="J4531" t="str">
        <f t="shared" ca="1" si="74"/>
        <v>Non UDO</v>
      </c>
    </row>
    <row r="4532" spans="1:10" x14ac:dyDescent="0.35">
      <c r="A4532" s="5" t="s">
        <v>145</v>
      </c>
      <c r="B4532" s="6">
        <v>45078</v>
      </c>
      <c r="C4532" s="7">
        <v>2000000</v>
      </c>
      <c r="D4532" s="7">
        <v>1872476.91</v>
      </c>
      <c r="E4532" s="7">
        <v>127523.09</v>
      </c>
      <c r="F4532" t="str">
        <f>VLOOKUP(A4532,[1]!Table1[#All],17,FALSE)</f>
        <v>UNITED STATES</v>
      </c>
      <c r="G4532" t="str">
        <f>VLOOKUP(A4532,[1]!Table1[#All],22,FALSE)</f>
        <v>UNIVERSITY OF FLORIDA</v>
      </c>
      <c r="H4532" s="8">
        <f>VLOOKUP(A4532,[1]!Table1[#All],32,FALSE)</f>
        <v>44439</v>
      </c>
      <c r="I4532" s="8">
        <f>VLOOKUP(A4532,[1]!Table1[#All],33,FALSE)</f>
        <v>46264</v>
      </c>
      <c r="J4532" t="str">
        <f t="shared" ca="1" si="74"/>
        <v>Non UDO</v>
      </c>
    </row>
    <row r="4533" spans="1:10" x14ac:dyDescent="0.35">
      <c r="A4533" s="9" t="s">
        <v>145</v>
      </c>
      <c r="B4533" s="10">
        <v>45108</v>
      </c>
      <c r="C4533" s="11">
        <v>2000000</v>
      </c>
      <c r="D4533" s="11">
        <v>1586181.99</v>
      </c>
      <c r="E4533" s="11">
        <v>413818.01</v>
      </c>
      <c r="F4533" t="str">
        <f>VLOOKUP(A4533,[1]!Table1[#All],17,FALSE)</f>
        <v>UNITED STATES</v>
      </c>
      <c r="G4533" t="str">
        <f>VLOOKUP(A4533,[1]!Table1[#All],22,FALSE)</f>
        <v>UNIVERSITY OF FLORIDA</v>
      </c>
      <c r="H4533" s="8">
        <f>VLOOKUP(A4533,[1]!Table1[#All],32,FALSE)</f>
        <v>44439</v>
      </c>
      <c r="I4533" s="8">
        <f>VLOOKUP(A4533,[1]!Table1[#All],33,FALSE)</f>
        <v>46264</v>
      </c>
      <c r="J4533" t="str">
        <f t="shared" ca="1" si="74"/>
        <v>Non UDO</v>
      </c>
    </row>
    <row r="4534" spans="1:10" x14ac:dyDescent="0.35">
      <c r="A4534" s="5" t="s">
        <v>145</v>
      </c>
      <c r="B4534" s="6">
        <v>45139</v>
      </c>
      <c r="C4534" s="7">
        <v>2000000</v>
      </c>
      <c r="D4534" s="7">
        <v>1643780.61</v>
      </c>
      <c r="E4534" s="7">
        <v>356219.39</v>
      </c>
      <c r="F4534" t="str">
        <f>VLOOKUP(A4534,[1]!Table1[#All],17,FALSE)</f>
        <v>UNITED STATES</v>
      </c>
      <c r="G4534" t="str">
        <f>VLOOKUP(A4534,[1]!Table1[#All],22,FALSE)</f>
        <v>UNIVERSITY OF FLORIDA</v>
      </c>
      <c r="H4534" s="8">
        <f>VLOOKUP(A4534,[1]!Table1[#All],32,FALSE)</f>
        <v>44439</v>
      </c>
      <c r="I4534" s="8">
        <f>VLOOKUP(A4534,[1]!Table1[#All],33,FALSE)</f>
        <v>46264</v>
      </c>
      <c r="J4534" t="str">
        <f t="shared" ca="1" si="74"/>
        <v>Non UDO</v>
      </c>
    </row>
    <row r="4535" spans="1:10" x14ac:dyDescent="0.35">
      <c r="A4535" s="9" t="s">
        <v>145</v>
      </c>
      <c r="B4535" s="10">
        <v>45170</v>
      </c>
      <c r="C4535" s="11">
        <v>2000000</v>
      </c>
      <c r="D4535" s="11">
        <v>1663984.55</v>
      </c>
      <c r="E4535" s="11">
        <v>336015.45</v>
      </c>
      <c r="F4535" t="str">
        <f>VLOOKUP(A4535,[1]!Table1[#All],17,FALSE)</f>
        <v>UNITED STATES</v>
      </c>
      <c r="G4535" t="str">
        <f>VLOOKUP(A4535,[1]!Table1[#All],22,FALSE)</f>
        <v>UNIVERSITY OF FLORIDA</v>
      </c>
      <c r="H4535" s="8">
        <f>VLOOKUP(A4535,[1]!Table1[#All],32,FALSE)</f>
        <v>44439</v>
      </c>
      <c r="I4535" s="8">
        <f>VLOOKUP(A4535,[1]!Table1[#All],33,FALSE)</f>
        <v>46264</v>
      </c>
      <c r="J4535" t="str">
        <f t="shared" ca="1" si="74"/>
        <v>Non UDO</v>
      </c>
    </row>
    <row r="4536" spans="1:10" x14ac:dyDescent="0.35">
      <c r="A4536" s="5" t="s">
        <v>146</v>
      </c>
      <c r="B4536" s="6">
        <v>44409</v>
      </c>
      <c r="C4536" s="7">
        <v>6329348</v>
      </c>
      <c r="D4536" s="7">
        <v>0</v>
      </c>
      <c r="E4536" s="7">
        <v>6329348</v>
      </c>
      <c r="F4536" t="str">
        <f>VLOOKUP(A4536,[1]!Table1[#All],17,FALSE)</f>
        <v>UNITED STATES</v>
      </c>
      <c r="G4536" t="str">
        <f>VLOOKUP(A4536,[1]!Table1[#All],22,FALSE)</f>
        <v>WASHINGTON STATE UNIVERSITY</v>
      </c>
      <c r="H4536" s="8">
        <f>VLOOKUP(A4536,[1]!Table1[#All],32,FALSE)</f>
        <v>44469</v>
      </c>
      <c r="I4536" s="8">
        <f>VLOOKUP(A4536,[1]!Table1[#All],33,FALSE)</f>
        <v>46294</v>
      </c>
      <c r="J4536" t="str">
        <f t="shared" ca="1" si="74"/>
        <v>Non UDO</v>
      </c>
    </row>
    <row r="4537" spans="1:10" x14ac:dyDescent="0.35">
      <c r="A4537" s="9" t="s">
        <v>146</v>
      </c>
      <c r="B4537" s="10">
        <v>44440</v>
      </c>
      <c r="C4537" s="11">
        <v>6329348</v>
      </c>
      <c r="D4537" s="11">
        <v>0</v>
      </c>
      <c r="E4537" s="11">
        <v>6329348</v>
      </c>
      <c r="F4537" t="str">
        <f>VLOOKUP(A4537,[1]!Table1[#All],17,FALSE)</f>
        <v>UNITED STATES</v>
      </c>
      <c r="G4537" t="str">
        <f>VLOOKUP(A4537,[1]!Table1[#All],22,FALSE)</f>
        <v>WASHINGTON STATE UNIVERSITY</v>
      </c>
      <c r="H4537" s="8">
        <f>VLOOKUP(A4537,[1]!Table1[#All],32,FALSE)</f>
        <v>44469</v>
      </c>
      <c r="I4537" s="8">
        <f>VLOOKUP(A4537,[1]!Table1[#All],33,FALSE)</f>
        <v>46294</v>
      </c>
      <c r="J4537" t="str">
        <f t="shared" ca="1" si="74"/>
        <v>Non UDO</v>
      </c>
    </row>
    <row r="4538" spans="1:10" x14ac:dyDescent="0.35">
      <c r="A4538" s="5" t="s">
        <v>146</v>
      </c>
      <c r="B4538" s="6">
        <v>44470</v>
      </c>
      <c r="C4538" s="7">
        <v>6329348</v>
      </c>
      <c r="D4538" s="7">
        <v>1259.92</v>
      </c>
      <c r="E4538" s="7">
        <v>6328088.0800000001</v>
      </c>
      <c r="F4538" t="str">
        <f>VLOOKUP(A4538,[1]!Table1[#All],17,FALSE)</f>
        <v>UNITED STATES</v>
      </c>
      <c r="G4538" t="str">
        <f>VLOOKUP(A4538,[1]!Table1[#All],22,FALSE)</f>
        <v>WASHINGTON STATE UNIVERSITY</v>
      </c>
      <c r="H4538" s="8">
        <f>VLOOKUP(A4538,[1]!Table1[#All],32,FALSE)</f>
        <v>44469</v>
      </c>
      <c r="I4538" s="8">
        <f>VLOOKUP(A4538,[1]!Table1[#All],33,FALSE)</f>
        <v>46294</v>
      </c>
      <c r="J4538" t="str">
        <f t="shared" ca="1" si="74"/>
        <v>Non UDO</v>
      </c>
    </row>
    <row r="4539" spans="1:10" x14ac:dyDescent="0.35">
      <c r="A4539" s="9" t="s">
        <v>146</v>
      </c>
      <c r="B4539" s="10">
        <v>44501</v>
      </c>
      <c r="C4539" s="11">
        <v>6329348</v>
      </c>
      <c r="D4539" s="11">
        <v>4575.2</v>
      </c>
      <c r="E4539" s="11">
        <v>6324772.8000000007</v>
      </c>
      <c r="F4539" t="str">
        <f>VLOOKUP(A4539,[1]!Table1[#All],17,FALSE)</f>
        <v>UNITED STATES</v>
      </c>
      <c r="G4539" t="str">
        <f>VLOOKUP(A4539,[1]!Table1[#All],22,FALSE)</f>
        <v>WASHINGTON STATE UNIVERSITY</v>
      </c>
      <c r="H4539" s="8">
        <f>VLOOKUP(A4539,[1]!Table1[#All],32,FALSE)</f>
        <v>44469</v>
      </c>
      <c r="I4539" s="8">
        <f>VLOOKUP(A4539,[1]!Table1[#All],33,FALSE)</f>
        <v>46294</v>
      </c>
      <c r="J4539" t="str">
        <f t="shared" ca="1" si="74"/>
        <v>Non UDO</v>
      </c>
    </row>
    <row r="4540" spans="1:10" x14ac:dyDescent="0.35">
      <c r="A4540" s="5" t="s">
        <v>146</v>
      </c>
      <c r="B4540" s="6">
        <v>44531</v>
      </c>
      <c r="C4540" s="7">
        <v>6329348</v>
      </c>
      <c r="D4540" s="7">
        <v>200295.84</v>
      </c>
      <c r="E4540" s="7">
        <v>6129052.1600000001</v>
      </c>
      <c r="F4540" t="str">
        <f>VLOOKUP(A4540,[1]!Table1[#All],17,FALSE)</f>
        <v>UNITED STATES</v>
      </c>
      <c r="G4540" t="str">
        <f>VLOOKUP(A4540,[1]!Table1[#All],22,FALSE)</f>
        <v>WASHINGTON STATE UNIVERSITY</v>
      </c>
      <c r="H4540" s="8">
        <f>VLOOKUP(A4540,[1]!Table1[#All],32,FALSE)</f>
        <v>44469</v>
      </c>
      <c r="I4540" s="8">
        <f>VLOOKUP(A4540,[1]!Table1[#All],33,FALSE)</f>
        <v>46294</v>
      </c>
      <c r="J4540" t="str">
        <f t="shared" ca="1" si="74"/>
        <v>Non UDO</v>
      </c>
    </row>
    <row r="4541" spans="1:10" x14ac:dyDescent="0.35">
      <c r="A4541" s="9" t="s">
        <v>146</v>
      </c>
      <c r="B4541" s="10">
        <v>44562</v>
      </c>
      <c r="C4541" s="11">
        <v>6329348</v>
      </c>
      <c r="D4541" s="11">
        <v>200295.84</v>
      </c>
      <c r="E4541" s="11">
        <v>6129052.1600000001</v>
      </c>
      <c r="F4541" t="str">
        <f>VLOOKUP(A4541,[1]!Table1[#All],17,FALSE)</f>
        <v>UNITED STATES</v>
      </c>
      <c r="G4541" t="str">
        <f>VLOOKUP(A4541,[1]!Table1[#All],22,FALSE)</f>
        <v>WASHINGTON STATE UNIVERSITY</v>
      </c>
      <c r="H4541" s="8">
        <f>VLOOKUP(A4541,[1]!Table1[#All],32,FALSE)</f>
        <v>44469</v>
      </c>
      <c r="I4541" s="8">
        <f>VLOOKUP(A4541,[1]!Table1[#All],33,FALSE)</f>
        <v>46294</v>
      </c>
      <c r="J4541" t="str">
        <f t="shared" ca="1" si="74"/>
        <v>Non UDO</v>
      </c>
    </row>
    <row r="4542" spans="1:10" x14ac:dyDescent="0.35">
      <c r="A4542" s="5" t="s">
        <v>146</v>
      </c>
      <c r="B4542" s="6">
        <v>44593</v>
      </c>
      <c r="C4542" s="7">
        <v>6329348</v>
      </c>
      <c r="D4542" s="7">
        <v>200295.84</v>
      </c>
      <c r="E4542" s="7">
        <v>6129052.1600000001</v>
      </c>
      <c r="F4542" t="str">
        <f>VLOOKUP(A4542,[1]!Table1[#All],17,FALSE)</f>
        <v>UNITED STATES</v>
      </c>
      <c r="G4542" t="str">
        <f>VLOOKUP(A4542,[1]!Table1[#All],22,FALSE)</f>
        <v>WASHINGTON STATE UNIVERSITY</v>
      </c>
      <c r="H4542" s="8">
        <f>VLOOKUP(A4542,[1]!Table1[#All],32,FALSE)</f>
        <v>44469</v>
      </c>
      <c r="I4542" s="8">
        <f>VLOOKUP(A4542,[1]!Table1[#All],33,FALSE)</f>
        <v>46294</v>
      </c>
      <c r="J4542" t="str">
        <f t="shared" ca="1" si="74"/>
        <v>Non UDO</v>
      </c>
    </row>
    <row r="4543" spans="1:10" x14ac:dyDescent="0.35">
      <c r="A4543" s="9" t="s">
        <v>146</v>
      </c>
      <c r="B4543" s="10">
        <v>44621</v>
      </c>
      <c r="C4543" s="11">
        <v>6329348</v>
      </c>
      <c r="D4543" s="11">
        <v>200295.84</v>
      </c>
      <c r="E4543" s="11">
        <v>6129052.1600000001</v>
      </c>
      <c r="F4543" t="str">
        <f>VLOOKUP(A4543,[1]!Table1[#All],17,FALSE)</f>
        <v>UNITED STATES</v>
      </c>
      <c r="G4543" t="str">
        <f>VLOOKUP(A4543,[1]!Table1[#All],22,FALSE)</f>
        <v>WASHINGTON STATE UNIVERSITY</v>
      </c>
      <c r="H4543" s="8">
        <f>VLOOKUP(A4543,[1]!Table1[#All],32,FALSE)</f>
        <v>44469</v>
      </c>
      <c r="I4543" s="8">
        <f>VLOOKUP(A4543,[1]!Table1[#All],33,FALSE)</f>
        <v>46294</v>
      </c>
      <c r="J4543" t="str">
        <f t="shared" ca="1" si="74"/>
        <v>Non UDO</v>
      </c>
    </row>
    <row r="4544" spans="1:10" x14ac:dyDescent="0.35">
      <c r="A4544" s="5" t="s">
        <v>146</v>
      </c>
      <c r="B4544" s="6">
        <v>44652</v>
      </c>
      <c r="C4544" s="7">
        <v>6329348</v>
      </c>
      <c r="D4544" s="7">
        <v>1951642.9400000002</v>
      </c>
      <c r="E4544" s="7">
        <v>4377705.0599999996</v>
      </c>
      <c r="F4544" t="str">
        <f>VLOOKUP(A4544,[1]!Table1[#All],17,FALSE)</f>
        <v>UNITED STATES</v>
      </c>
      <c r="G4544" t="str">
        <f>VLOOKUP(A4544,[1]!Table1[#All],22,FALSE)</f>
        <v>WASHINGTON STATE UNIVERSITY</v>
      </c>
      <c r="H4544" s="8">
        <f>VLOOKUP(A4544,[1]!Table1[#All],32,FALSE)</f>
        <v>44469</v>
      </c>
      <c r="I4544" s="8">
        <f>VLOOKUP(A4544,[1]!Table1[#All],33,FALSE)</f>
        <v>46294</v>
      </c>
      <c r="J4544" t="str">
        <f t="shared" ca="1" si="74"/>
        <v>Non UDO</v>
      </c>
    </row>
    <row r="4545" spans="1:10" x14ac:dyDescent="0.35">
      <c r="A4545" s="9" t="s">
        <v>146</v>
      </c>
      <c r="B4545" s="10">
        <v>44682</v>
      </c>
      <c r="C4545" s="11">
        <v>6329348</v>
      </c>
      <c r="D4545" s="11">
        <v>1951642.9400000002</v>
      </c>
      <c r="E4545" s="11">
        <v>4377705.0599999996</v>
      </c>
      <c r="F4545" t="str">
        <f>VLOOKUP(A4545,[1]!Table1[#All],17,FALSE)</f>
        <v>UNITED STATES</v>
      </c>
      <c r="G4545" t="str">
        <f>VLOOKUP(A4545,[1]!Table1[#All],22,FALSE)</f>
        <v>WASHINGTON STATE UNIVERSITY</v>
      </c>
      <c r="H4545" s="8">
        <f>VLOOKUP(A4545,[1]!Table1[#All],32,FALSE)</f>
        <v>44469</v>
      </c>
      <c r="I4545" s="8">
        <f>VLOOKUP(A4545,[1]!Table1[#All],33,FALSE)</f>
        <v>46294</v>
      </c>
      <c r="J4545" t="str">
        <f t="shared" ca="1" si="74"/>
        <v>Non UDO</v>
      </c>
    </row>
    <row r="4546" spans="1:10" x14ac:dyDescent="0.35">
      <c r="A4546" s="5" t="s">
        <v>146</v>
      </c>
      <c r="B4546" s="6">
        <v>44713</v>
      </c>
      <c r="C4546" s="7">
        <v>6329348</v>
      </c>
      <c r="D4546" s="7">
        <v>1951642.9400000002</v>
      </c>
      <c r="E4546" s="7">
        <v>4377705.0599999996</v>
      </c>
      <c r="F4546" t="str">
        <f>VLOOKUP(A4546,[1]!Table1[#All],17,FALSE)</f>
        <v>UNITED STATES</v>
      </c>
      <c r="G4546" t="str">
        <f>VLOOKUP(A4546,[1]!Table1[#All],22,FALSE)</f>
        <v>WASHINGTON STATE UNIVERSITY</v>
      </c>
      <c r="H4546" s="8">
        <f>VLOOKUP(A4546,[1]!Table1[#All],32,FALSE)</f>
        <v>44469</v>
      </c>
      <c r="I4546" s="8">
        <f>VLOOKUP(A4546,[1]!Table1[#All],33,FALSE)</f>
        <v>46294</v>
      </c>
      <c r="J4546" t="str">
        <f t="shared" ca="1" si="74"/>
        <v>Non UDO</v>
      </c>
    </row>
    <row r="4547" spans="1:10" x14ac:dyDescent="0.35">
      <c r="A4547" s="9" t="s">
        <v>146</v>
      </c>
      <c r="B4547" s="10">
        <v>44743</v>
      </c>
      <c r="C4547" s="11">
        <v>6329348</v>
      </c>
      <c r="D4547" s="11">
        <v>1951642.9400000002</v>
      </c>
      <c r="E4547" s="11">
        <v>4377705.0599999996</v>
      </c>
      <c r="F4547" t="str">
        <f>VLOOKUP(A4547,[1]!Table1[#All],17,FALSE)</f>
        <v>UNITED STATES</v>
      </c>
      <c r="G4547" t="str">
        <f>VLOOKUP(A4547,[1]!Table1[#All],22,FALSE)</f>
        <v>WASHINGTON STATE UNIVERSITY</v>
      </c>
      <c r="H4547" s="8">
        <f>VLOOKUP(A4547,[1]!Table1[#All],32,FALSE)</f>
        <v>44469</v>
      </c>
      <c r="I4547" s="8">
        <f>VLOOKUP(A4547,[1]!Table1[#All],33,FALSE)</f>
        <v>46294</v>
      </c>
      <c r="J4547" t="str">
        <f t="shared" ref="J4547:J4561" ca="1" si="75">IF(AND( E4547&gt;0,TODAY()&gt;I4547),"UDO","Non UDO")</f>
        <v>Non UDO</v>
      </c>
    </row>
    <row r="4548" spans="1:10" x14ac:dyDescent="0.35">
      <c r="A4548" s="5" t="s">
        <v>146</v>
      </c>
      <c r="B4548" s="6">
        <v>44774</v>
      </c>
      <c r="C4548" s="7">
        <v>6329348</v>
      </c>
      <c r="D4548" s="7">
        <v>3594260.5300000003</v>
      </c>
      <c r="E4548" s="7">
        <v>2735087.47</v>
      </c>
      <c r="F4548" t="str">
        <f>VLOOKUP(A4548,[1]!Table1[#All],17,FALSE)</f>
        <v>UNITED STATES</v>
      </c>
      <c r="G4548" t="str">
        <f>VLOOKUP(A4548,[1]!Table1[#All],22,FALSE)</f>
        <v>WASHINGTON STATE UNIVERSITY</v>
      </c>
      <c r="H4548" s="8">
        <f>VLOOKUP(A4548,[1]!Table1[#All],32,FALSE)</f>
        <v>44469</v>
      </c>
      <c r="I4548" s="8">
        <f>VLOOKUP(A4548,[1]!Table1[#All],33,FALSE)</f>
        <v>46294</v>
      </c>
      <c r="J4548" t="str">
        <f t="shared" ca="1" si="75"/>
        <v>Non UDO</v>
      </c>
    </row>
    <row r="4549" spans="1:10" x14ac:dyDescent="0.35">
      <c r="A4549" s="9" t="s">
        <v>146</v>
      </c>
      <c r="B4549" s="10">
        <v>44805</v>
      </c>
      <c r="C4549" s="11">
        <v>6329348</v>
      </c>
      <c r="D4549" s="11">
        <v>3862889.14</v>
      </c>
      <c r="E4549" s="11">
        <v>2466458.86</v>
      </c>
      <c r="F4549" t="str">
        <f>VLOOKUP(A4549,[1]!Table1[#All],17,FALSE)</f>
        <v>UNITED STATES</v>
      </c>
      <c r="G4549" t="str">
        <f>VLOOKUP(A4549,[1]!Table1[#All],22,FALSE)</f>
        <v>WASHINGTON STATE UNIVERSITY</v>
      </c>
      <c r="H4549" s="8">
        <f>VLOOKUP(A4549,[1]!Table1[#All],32,FALSE)</f>
        <v>44469</v>
      </c>
      <c r="I4549" s="8">
        <f>VLOOKUP(A4549,[1]!Table1[#All],33,FALSE)</f>
        <v>46294</v>
      </c>
      <c r="J4549" t="str">
        <f t="shared" ca="1" si="75"/>
        <v>Non UDO</v>
      </c>
    </row>
    <row r="4550" spans="1:10" x14ac:dyDescent="0.35">
      <c r="A4550" s="5" t="s">
        <v>146</v>
      </c>
      <c r="B4550" s="6">
        <v>44835</v>
      </c>
      <c r="C4550" s="7">
        <v>6329348</v>
      </c>
      <c r="D4550" s="7">
        <v>3935754.85</v>
      </c>
      <c r="E4550" s="7">
        <v>2393593.1500000004</v>
      </c>
      <c r="F4550" t="str">
        <f>VLOOKUP(A4550,[1]!Table1[#All],17,FALSE)</f>
        <v>UNITED STATES</v>
      </c>
      <c r="G4550" t="str">
        <f>VLOOKUP(A4550,[1]!Table1[#All],22,FALSE)</f>
        <v>WASHINGTON STATE UNIVERSITY</v>
      </c>
      <c r="H4550" s="8">
        <f>VLOOKUP(A4550,[1]!Table1[#All],32,FALSE)</f>
        <v>44469</v>
      </c>
      <c r="I4550" s="8">
        <f>VLOOKUP(A4550,[1]!Table1[#All],33,FALSE)</f>
        <v>46294</v>
      </c>
      <c r="J4550" t="str">
        <f t="shared" ca="1" si="75"/>
        <v>Non UDO</v>
      </c>
    </row>
    <row r="4551" spans="1:10" x14ac:dyDescent="0.35">
      <c r="A4551" s="9" t="s">
        <v>146</v>
      </c>
      <c r="B4551" s="10">
        <v>44866</v>
      </c>
      <c r="C4551" s="11">
        <v>6329348</v>
      </c>
      <c r="D4551" s="11">
        <v>3935754.85</v>
      </c>
      <c r="E4551" s="11">
        <v>2393593.1500000004</v>
      </c>
      <c r="F4551" t="str">
        <f>VLOOKUP(A4551,[1]!Table1[#All],17,FALSE)</f>
        <v>UNITED STATES</v>
      </c>
      <c r="G4551" t="str">
        <f>VLOOKUP(A4551,[1]!Table1[#All],22,FALSE)</f>
        <v>WASHINGTON STATE UNIVERSITY</v>
      </c>
      <c r="H4551" s="8">
        <f>VLOOKUP(A4551,[1]!Table1[#All],32,FALSE)</f>
        <v>44469</v>
      </c>
      <c r="I4551" s="8">
        <f>VLOOKUP(A4551,[1]!Table1[#All],33,FALSE)</f>
        <v>46294</v>
      </c>
      <c r="J4551" t="str">
        <f t="shared" ca="1" si="75"/>
        <v>Non UDO</v>
      </c>
    </row>
    <row r="4552" spans="1:10" x14ac:dyDescent="0.35">
      <c r="A4552" s="5" t="s">
        <v>146</v>
      </c>
      <c r="B4552" s="6">
        <v>44896</v>
      </c>
      <c r="C4552" s="7">
        <v>6329348</v>
      </c>
      <c r="D4552" s="7">
        <v>3935754.85</v>
      </c>
      <c r="E4552" s="7">
        <v>2393593.1500000004</v>
      </c>
      <c r="F4552" t="str">
        <f>VLOOKUP(A4552,[1]!Table1[#All],17,FALSE)</f>
        <v>UNITED STATES</v>
      </c>
      <c r="G4552" t="str">
        <f>VLOOKUP(A4552,[1]!Table1[#All],22,FALSE)</f>
        <v>WASHINGTON STATE UNIVERSITY</v>
      </c>
      <c r="H4552" s="8">
        <f>VLOOKUP(A4552,[1]!Table1[#All],32,FALSE)</f>
        <v>44469</v>
      </c>
      <c r="I4552" s="8">
        <f>VLOOKUP(A4552,[1]!Table1[#All],33,FALSE)</f>
        <v>46294</v>
      </c>
      <c r="J4552" t="str">
        <f t="shared" ca="1" si="75"/>
        <v>Non UDO</v>
      </c>
    </row>
    <row r="4553" spans="1:10" x14ac:dyDescent="0.35">
      <c r="A4553" s="9" t="s">
        <v>146</v>
      </c>
      <c r="B4553" s="10">
        <v>44927</v>
      </c>
      <c r="C4553" s="11">
        <v>6329348</v>
      </c>
      <c r="D4553" s="11">
        <v>4961563.3899999997</v>
      </c>
      <c r="E4553" s="11">
        <v>1367784.61</v>
      </c>
      <c r="F4553" t="str">
        <f>VLOOKUP(A4553,[1]!Table1[#All],17,FALSE)</f>
        <v>UNITED STATES</v>
      </c>
      <c r="G4553" t="str">
        <f>VLOOKUP(A4553,[1]!Table1[#All],22,FALSE)</f>
        <v>WASHINGTON STATE UNIVERSITY</v>
      </c>
      <c r="H4553" s="8">
        <f>VLOOKUP(A4553,[1]!Table1[#All],32,FALSE)</f>
        <v>44469</v>
      </c>
      <c r="I4553" s="8">
        <f>VLOOKUP(A4553,[1]!Table1[#All],33,FALSE)</f>
        <v>46294</v>
      </c>
      <c r="J4553" t="str">
        <f t="shared" ca="1" si="75"/>
        <v>Non UDO</v>
      </c>
    </row>
    <row r="4554" spans="1:10" x14ac:dyDescent="0.35">
      <c r="A4554" s="5" t="s">
        <v>146</v>
      </c>
      <c r="B4554" s="6">
        <v>44958</v>
      </c>
      <c r="C4554" s="7">
        <v>6329348</v>
      </c>
      <c r="D4554" s="7">
        <v>5307837.55</v>
      </c>
      <c r="E4554" s="7">
        <v>1021510.45</v>
      </c>
      <c r="F4554" t="str">
        <f>VLOOKUP(A4554,[1]!Table1[#All],17,FALSE)</f>
        <v>UNITED STATES</v>
      </c>
      <c r="G4554" t="str">
        <f>VLOOKUP(A4554,[1]!Table1[#All],22,FALSE)</f>
        <v>WASHINGTON STATE UNIVERSITY</v>
      </c>
      <c r="H4554" s="8">
        <f>VLOOKUP(A4554,[1]!Table1[#All],32,FALSE)</f>
        <v>44469</v>
      </c>
      <c r="I4554" s="8">
        <f>VLOOKUP(A4554,[1]!Table1[#All],33,FALSE)</f>
        <v>46294</v>
      </c>
      <c r="J4554" t="str">
        <f t="shared" ca="1" si="75"/>
        <v>Non UDO</v>
      </c>
    </row>
    <row r="4555" spans="1:10" x14ac:dyDescent="0.35">
      <c r="A4555" s="9" t="s">
        <v>146</v>
      </c>
      <c r="B4555" s="10">
        <v>44986</v>
      </c>
      <c r="C4555" s="11">
        <v>6329348</v>
      </c>
      <c r="D4555" s="11">
        <v>5307837.55</v>
      </c>
      <c r="E4555" s="11">
        <v>1021510.45</v>
      </c>
      <c r="F4555" t="str">
        <f>VLOOKUP(A4555,[1]!Table1[#All],17,FALSE)</f>
        <v>UNITED STATES</v>
      </c>
      <c r="G4555" t="str">
        <f>VLOOKUP(A4555,[1]!Table1[#All],22,FALSE)</f>
        <v>WASHINGTON STATE UNIVERSITY</v>
      </c>
      <c r="H4555" s="8">
        <f>VLOOKUP(A4555,[1]!Table1[#All],32,FALSE)</f>
        <v>44469</v>
      </c>
      <c r="I4555" s="8">
        <f>VLOOKUP(A4555,[1]!Table1[#All],33,FALSE)</f>
        <v>46294</v>
      </c>
      <c r="J4555" t="str">
        <f t="shared" ca="1" si="75"/>
        <v>Non UDO</v>
      </c>
    </row>
    <row r="4556" spans="1:10" x14ac:dyDescent="0.35">
      <c r="A4556" s="5" t="s">
        <v>146</v>
      </c>
      <c r="B4556" s="6">
        <v>45017</v>
      </c>
      <c r="C4556" s="7">
        <v>6329348</v>
      </c>
      <c r="D4556" s="7">
        <v>5307837.55</v>
      </c>
      <c r="E4556" s="7">
        <v>1021510.45</v>
      </c>
      <c r="F4556" t="str">
        <f>VLOOKUP(A4556,[1]!Table1[#All],17,FALSE)</f>
        <v>UNITED STATES</v>
      </c>
      <c r="G4556" t="str">
        <f>VLOOKUP(A4556,[1]!Table1[#All],22,FALSE)</f>
        <v>WASHINGTON STATE UNIVERSITY</v>
      </c>
      <c r="H4556" s="8">
        <f>VLOOKUP(A4556,[1]!Table1[#All],32,FALSE)</f>
        <v>44469</v>
      </c>
      <c r="I4556" s="8">
        <f>VLOOKUP(A4556,[1]!Table1[#All],33,FALSE)</f>
        <v>46294</v>
      </c>
      <c r="J4556" t="str">
        <f t="shared" ca="1" si="75"/>
        <v>Non UDO</v>
      </c>
    </row>
    <row r="4557" spans="1:10" x14ac:dyDescent="0.35">
      <c r="A4557" s="9" t="s">
        <v>146</v>
      </c>
      <c r="B4557" s="10">
        <v>45047</v>
      </c>
      <c r="C4557" s="11">
        <v>6329348</v>
      </c>
      <c r="D4557" s="11">
        <v>5308637.1899999995</v>
      </c>
      <c r="E4557" s="11">
        <v>1020710.81</v>
      </c>
      <c r="F4557" t="str">
        <f>VLOOKUP(A4557,[1]!Table1[#All],17,FALSE)</f>
        <v>UNITED STATES</v>
      </c>
      <c r="G4557" t="str">
        <f>VLOOKUP(A4557,[1]!Table1[#All],22,FALSE)</f>
        <v>WASHINGTON STATE UNIVERSITY</v>
      </c>
      <c r="H4557" s="8">
        <f>VLOOKUP(A4557,[1]!Table1[#All],32,FALSE)</f>
        <v>44469</v>
      </c>
      <c r="I4557" s="8">
        <f>VLOOKUP(A4557,[1]!Table1[#All],33,FALSE)</f>
        <v>46294</v>
      </c>
      <c r="J4557" t="str">
        <f t="shared" ca="1" si="75"/>
        <v>Non UDO</v>
      </c>
    </row>
    <row r="4558" spans="1:10" x14ac:dyDescent="0.35">
      <c r="A4558" s="5" t="s">
        <v>146</v>
      </c>
      <c r="B4558" s="6">
        <v>45078</v>
      </c>
      <c r="C4558" s="7">
        <v>6329348</v>
      </c>
      <c r="D4558" s="7">
        <v>5309123.53</v>
      </c>
      <c r="E4558" s="7">
        <v>1020224.47</v>
      </c>
      <c r="F4558" t="str">
        <f>VLOOKUP(A4558,[1]!Table1[#All],17,FALSE)</f>
        <v>UNITED STATES</v>
      </c>
      <c r="G4558" t="str">
        <f>VLOOKUP(A4558,[1]!Table1[#All],22,FALSE)</f>
        <v>WASHINGTON STATE UNIVERSITY</v>
      </c>
      <c r="H4558" s="8">
        <f>VLOOKUP(A4558,[1]!Table1[#All],32,FALSE)</f>
        <v>44469</v>
      </c>
      <c r="I4558" s="8">
        <f>VLOOKUP(A4558,[1]!Table1[#All],33,FALSE)</f>
        <v>46294</v>
      </c>
      <c r="J4558" t="str">
        <f t="shared" ca="1" si="75"/>
        <v>Non UDO</v>
      </c>
    </row>
    <row r="4559" spans="1:10" x14ac:dyDescent="0.35">
      <c r="A4559" s="9" t="s">
        <v>146</v>
      </c>
      <c r="B4559" s="10">
        <v>45108</v>
      </c>
      <c r="C4559" s="11">
        <v>6329348</v>
      </c>
      <c r="D4559" s="11">
        <v>5358722.7</v>
      </c>
      <c r="E4559" s="11">
        <v>970625.3</v>
      </c>
      <c r="F4559" t="str">
        <f>VLOOKUP(A4559,[1]!Table1[#All],17,FALSE)</f>
        <v>UNITED STATES</v>
      </c>
      <c r="G4559" t="str">
        <f>VLOOKUP(A4559,[1]!Table1[#All],22,FALSE)</f>
        <v>WASHINGTON STATE UNIVERSITY</v>
      </c>
      <c r="H4559" s="8">
        <f>VLOOKUP(A4559,[1]!Table1[#All],32,FALSE)</f>
        <v>44469</v>
      </c>
      <c r="I4559" s="8">
        <f>VLOOKUP(A4559,[1]!Table1[#All],33,FALSE)</f>
        <v>46294</v>
      </c>
      <c r="J4559" t="str">
        <f t="shared" ca="1" si="75"/>
        <v>Non UDO</v>
      </c>
    </row>
    <row r="4560" spans="1:10" x14ac:dyDescent="0.35">
      <c r="A4560" s="5" t="s">
        <v>146</v>
      </c>
      <c r="B4560" s="6">
        <v>45139</v>
      </c>
      <c r="C4560" s="7">
        <v>6329348</v>
      </c>
      <c r="D4560" s="7">
        <v>5817424.9000000004</v>
      </c>
      <c r="E4560" s="7">
        <v>511923.1</v>
      </c>
      <c r="F4560" t="str">
        <f>VLOOKUP(A4560,[1]!Table1[#All],17,FALSE)</f>
        <v>UNITED STATES</v>
      </c>
      <c r="G4560" t="str">
        <f>VLOOKUP(A4560,[1]!Table1[#All],22,FALSE)</f>
        <v>WASHINGTON STATE UNIVERSITY</v>
      </c>
      <c r="H4560" s="8">
        <f>VLOOKUP(A4560,[1]!Table1[#All],32,FALSE)</f>
        <v>44469</v>
      </c>
      <c r="I4560" s="8">
        <f>VLOOKUP(A4560,[1]!Table1[#All],33,FALSE)</f>
        <v>46294</v>
      </c>
      <c r="J4560" t="str">
        <f t="shared" ca="1" si="75"/>
        <v>Non UDO</v>
      </c>
    </row>
    <row r="4561" spans="1:10" x14ac:dyDescent="0.35">
      <c r="A4561" s="9" t="s">
        <v>146</v>
      </c>
      <c r="B4561" s="10">
        <v>45170</v>
      </c>
      <c r="C4561" s="11">
        <v>6329348</v>
      </c>
      <c r="D4561" s="11">
        <v>5908156.6899999995</v>
      </c>
      <c r="E4561" s="11">
        <v>421191.31</v>
      </c>
      <c r="F4561" t="str">
        <f>VLOOKUP(A4561,[1]!Table1[#All],17,FALSE)</f>
        <v>UNITED STATES</v>
      </c>
      <c r="G4561" t="str">
        <f>VLOOKUP(A4561,[1]!Table1[#All],22,FALSE)</f>
        <v>WASHINGTON STATE UNIVERSITY</v>
      </c>
      <c r="H4561" s="8">
        <f>VLOOKUP(A4561,[1]!Table1[#All],32,FALSE)</f>
        <v>44469</v>
      </c>
      <c r="I4561" s="8">
        <f>VLOOKUP(A4561,[1]!Table1[#All],33,FALSE)</f>
        <v>46294</v>
      </c>
      <c r="J4561" t="str">
        <f t="shared" ca="1" si="75"/>
        <v>Non UDO</v>
      </c>
    </row>
    <row r="4562" spans="1:10" x14ac:dyDescent="0.35">
      <c r="A4562" t="s">
        <v>153</v>
      </c>
      <c r="B4562">
        <v>44927</v>
      </c>
      <c r="C4562">
        <v>250000</v>
      </c>
      <c r="D4562">
        <v>0</v>
      </c>
      <c r="E4562">
        <v>250000</v>
      </c>
      <c r="F4562" t="s">
        <v>154</v>
      </c>
      <c r="G4562" t="s">
        <v>155</v>
      </c>
      <c r="H4562" s="8">
        <v>44834</v>
      </c>
      <c r="I4562" s="8">
        <v>46659</v>
      </c>
      <c r="J4562" t="s">
        <v>156</v>
      </c>
    </row>
    <row r="4563" spans="1:10" x14ac:dyDescent="0.35">
      <c r="A4563" t="s">
        <v>153</v>
      </c>
      <c r="B4563">
        <v>44958</v>
      </c>
      <c r="C4563">
        <v>250000</v>
      </c>
      <c r="D4563">
        <v>0</v>
      </c>
      <c r="E4563">
        <v>250000</v>
      </c>
      <c r="F4563" t="s">
        <v>154</v>
      </c>
      <c r="G4563" t="s">
        <v>155</v>
      </c>
      <c r="H4563" s="8">
        <v>44834</v>
      </c>
      <c r="I4563" s="8">
        <v>46659</v>
      </c>
      <c r="J4563" t="s">
        <v>156</v>
      </c>
    </row>
    <row r="4564" spans="1:10" x14ac:dyDescent="0.35">
      <c r="A4564" t="s">
        <v>153</v>
      </c>
      <c r="B4564">
        <v>44986</v>
      </c>
      <c r="C4564">
        <v>250000</v>
      </c>
      <c r="D4564">
        <v>0</v>
      </c>
      <c r="E4564">
        <v>250000</v>
      </c>
      <c r="F4564" t="s">
        <v>154</v>
      </c>
      <c r="G4564" t="s">
        <v>155</v>
      </c>
      <c r="H4564" s="8">
        <v>44834</v>
      </c>
      <c r="I4564" s="8">
        <v>46659</v>
      </c>
      <c r="J4564" t="s">
        <v>156</v>
      </c>
    </row>
    <row r="4565" spans="1:10" x14ac:dyDescent="0.35">
      <c r="A4565" t="s">
        <v>153</v>
      </c>
      <c r="B4565">
        <v>45017</v>
      </c>
      <c r="C4565">
        <v>250000</v>
      </c>
      <c r="D4565">
        <v>0</v>
      </c>
      <c r="E4565">
        <v>250000</v>
      </c>
      <c r="F4565" t="s">
        <v>154</v>
      </c>
      <c r="G4565" t="s">
        <v>155</v>
      </c>
      <c r="H4565" s="8">
        <v>44834</v>
      </c>
      <c r="I4565" s="8">
        <v>46659</v>
      </c>
      <c r="J4565" t="s">
        <v>156</v>
      </c>
    </row>
    <row r="4566" spans="1:10" x14ac:dyDescent="0.35">
      <c r="A4566" t="s">
        <v>153</v>
      </c>
      <c r="B4566">
        <v>45047</v>
      </c>
      <c r="C4566">
        <v>250000</v>
      </c>
      <c r="D4566">
        <v>0</v>
      </c>
      <c r="E4566">
        <v>250000</v>
      </c>
      <c r="F4566" t="s">
        <v>154</v>
      </c>
      <c r="G4566" t="s">
        <v>155</v>
      </c>
      <c r="H4566" s="8">
        <v>44834</v>
      </c>
      <c r="I4566" s="8">
        <v>46659</v>
      </c>
      <c r="J4566" t="s">
        <v>156</v>
      </c>
    </row>
    <row r="4567" spans="1:10" x14ac:dyDescent="0.35">
      <c r="A4567" t="s">
        <v>153</v>
      </c>
      <c r="B4567">
        <v>45078</v>
      </c>
      <c r="C4567">
        <v>250000</v>
      </c>
      <c r="D4567">
        <v>0</v>
      </c>
      <c r="E4567">
        <v>250000</v>
      </c>
      <c r="F4567" t="s">
        <v>154</v>
      </c>
      <c r="G4567" t="s">
        <v>155</v>
      </c>
      <c r="H4567" s="8">
        <v>44834</v>
      </c>
      <c r="I4567" s="8">
        <v>46659</v>
      </c>
      <c r="J4567" t="s">
        <v>156</v>
      </c>
    </row>
    <row r="4568" spans="1:10" x14ac:dyDescent="0.35">
      <c r="A4568" t="s">
        <v>153</v>
      </c>
      <c r="B4568">
        <v>45108</v>
      </c>
      <c r="C4568">
        <v>250000</v>
      </c>
      <c r="D4568">
        <v>0</v>
      </c>
      <c r="E4568">
        <v>250000</v>
      </c>
      <c r="F4568" t="s">
        <v>154</v>
      </c>
      <c r="G4568" t="s">
        <v>155</v>
      </c>
      <c r="H4568" s="8">
        <v>44834</v>
      </c>
      <c r="I4568" s="8">
        <v>46659</v>
      </c>
      <c r="J4568" t="s">
        <v>156</v>
      </c>
    </row>
    <row r="4569" spans="1:10" x14ac:dyDescent="0.35">
      <c r="A4569" t="s">
        <v>153</v>
      </c>
      <c r="B4569">
        <v>45139</v>
      </c>
      <c r="C4569">
        <v>250000</v>
      </c>
      <c r="D4569">
        <v>50000</v>
      </c>
      <c r="E4569">
        <v>200000</v>
      </c>
      <c r="F4569" t="s">
        <v>154</v>
      </c>
      <c r="G4569" t="s">
        <v>155</v>
      </c>
      <c r="H4569" s="8">
        <v>44834</v>
      </c>
      <c r="I4569" s="8">
        <v>46659</v>
      </c>
      <c r="J4569" t="s">
        <v>156</v>
      </c>
    </row>
    <row r="4570" spans="1:10" x14ac:dyDescent="0.35">
      <c r="A4570" t="s">
        <v>153</v>
      </c>
      <c r="B4570">
        <v>45170</v>
      </c>
      <c r="C4570">
        <v>2010000</v>
      </c>
      <c r="D4570">
        <v>50000</v>
      </c>
      <c r="E4570">
        <v>1960000</v>
      </c>
      <c r="F4570" t="s">
        <v>154</v>
      </c>
      <c r="G4570" t="s">
        <v>155</v>
      </c>
      <c r="H4570" s="8">
        <v>44834</v>
      </c>
      <c r="I4570" s="8">
        <v>46659</v>
      </c>
      <c r="J4570" t="s">
        <v>156</v>
      </c>
    </row>
    <row r="4571" spans="1:10" x14ac:dyDescent="0.35">
      <c r="A4571" t="s">
        <v>157</v>
      </c>
      <c r="B4571">
        <v>44986</v>
      </c>
      <c r="C4571">
        <v>2031336</v>
      </c>
      <c r="D4571">
        <v>0</v>
      </c>
      <c r="E4571">
        <v>2031336</v>
      </c>
      <c r="F4571" t="s">
        <v>158</v>
      </c>
      <c r="G4571" t="s">
        <v>159</v>
      </c>
      <c r="H4571" s="8">
        <v>44834</v>
      </c>
      <c r="I4571" s="8">
        <v>46659</v>
      </c>
      <c r="J4571" t="s">
        <v>156</v>
      </c>
    </row>
    <row r="4572" spans="1:10" x14ac:dyDescent="0.35">
      <c r="A4572" t="s">
        <v>157</v>
      </c>
      <c r="B4572">
        <v>45017</v>
      </c>
      <c r="C4572">
        <v>2031336</v>
      </c>
      <c r="D4572">
        <v>0</v>
      </c>
      <c r="E4572">
        <v>2031336</v>
      </c>
      <c r="F4572" t="s">
        <v>158</v>
      </c>
      <c r="G4572" t="s">
        <v>159</v>
      </c>
      <c r="H4572" s="8">
        <v>44834</v>
      </c>
      <c r="I4572" s="8">
        <v>46659</v>
      </c>
      <c r="J4572" t="s">
        <v>156</v>
      </c>
    </row>
    <row r="4573" spans="1:10" x14ac:dyDescent="0.35">
      <c r="A4573" t="s">
        <v>157</v>
      </c>
      <c r="B4573">
        <v>45047</v>
      </c>
      <c r="C4573">
        <v>2031336</v>
      </c>
      <c r="D4573">
        <v>0</v>
      </c>
      <c r="E4573">
        <v>2031336</v>
      </c>
      <c r="F4573" t="s">
        <v>158</v>
      </c>
      <c r="G4573" t="s">
        <v>159</v>
      </c>
      <c r="H4573" s="8">
        <v>44834</v>
      </c>
      <c r="I4573" s="8">
        <v>46659</v>
      </c>
      <c r="J4573" t="s">
        <v>156</v>
      </c>
    </row>
    <row r="4574" spans="1:10" x14ac:dyDescent="0.35">
      <c r="A4574" t="s">
        <v>157</v>
      </c>
      <c r="B4574">
        <v>45078</v>
      </c>
      <c r="C4574">
        <v>2031336</v>
      </c>
      <c r="D4574">
        <v>412551.78</v>
      </c>
      <c r="E4574">
        <v>1618784.22</v>
      </c>
      <c r="F4574" t="s">
        <v>158</v>
      </c>
      <c r="G4574" t="s">
        <v>159</v>
      </c>
      <c r="H4574" s="8">
        <v>44834</v>
      </c>
      <c r="I4574" s="8">
        <v>46659</v>
      </c>
      <c r="J4574" t="s">
        <v>156</v>
      </c>
    </row>
    <row r="4575" spans="1:10" x14ac:dyDescent="0.35">
      <c r="A4575" t="s">
        <v>157</v>
      </c>
      <c r="B4575">
        <v>45108</v>
      </c>
      <c r="C4575">
        <v>2031336</v>
      </c>
      <c r="D4575">
        <v>838852.71</v>
      </c>
      <c r="E4575">
        <v>1192483.29</v>
      </c>
      <c r="F4575" t="s">
        <v>158</v>
      </c>
      <c r="G4575" t="s">
        <v>159</v>
      </c>
      <c r="H4575" s="8">
        <v>44834</v>
      </c>
      <c r="I4575" s="8">
        <v>46659</v>
      </c>
      <c r="J4575" t="s">
        <v>156</v>
      </c>
    </row>
    <row r="4576" spans="1:10" x14ac:dyDescent="0.35">
      <c r="A4576" t="s">
        <v>157</v>
      </c>
      <c r="B4576">
        <v>45139</v>
      </c>
      <c r="C4576">
        <v>6455868</v>
      </c>
      <c r="D4576">
        <v>1373312.8</v>
      </c>
      <c r="E4576">
        <v>5082555.2</v>
      </c>
      <c r="F4576" t="s">
        <v>158</v>
      </c>
      <c r="G4576" t="s">
        <v>159</v>
      </c>
      <c r="H4576" s="8">
        <v>44834</v>
      </c>
      <c r="I4576" s="8">
        <v>46659</v>
      </c>
      <c r="J4576" t="s">
        <v>156</v>
      </c>
    </row>
    <row r="4577" spans="1:10" x14ac:dyDescent="0.35">
      <c r="A4577" t="s">
        <v>157</v>
      </c>
      <c r="B4577">
        <v>45170</v>
      </c>
      <c r="C4577">
        <v>6455868</v>
      </c>
      <c r="D4577">
        <v>2031336</v>
      </c>
      <c r="E4577">
        <v>4424532</v>
      </c>
      <c r="F4577" t="s">
        <v>158</v>
      </c>
      <c r="G4577" t="s">
        <v>159</v>
      </c>
      <c r="H4577" s="8">
        <v>44834</v>
      </c>
      <c r="I4577" s="8">
        <v>46659</v>
      </c>
      <c r="J4577" t="s">
        <v>156</v>
      </c>
    </row>
    <row r="4578" spans="1:10" x14ac:dyDescent="0.35">
      <c r="A4578" t="s">
        <v>160</v>
      </c>
      <c r="B4578">
        <v>44774</v>
      </c>
      <c r="C4578">
        <v>50000</v>
      </c>
      <c r="D4578">
        <v>0</v>
      </c>
      <c r="E4578">
        <v>50000</v>
      </c>
      <c r="F4578" t="s">
        <v>161</v>
      </c>
      <c r="G4578" t="s">
        <v>162</v>
      </c>
      <c r="H4578" s="8">
        <v>44834</v>
      </c>
      <c r="I4578" s="8">
        <v>46659</v>
      </c>
      <c r="J4578" t="s">
        <v>156</v>
      </c>
    </row>
    <row r="4579" spans="1:10" x14ac:dyDescent="0.35">
      <c r="A4579" t="s">
        <v>160</v>
      </c>
      <c r="B4579">
        <v>44805</v>
      </c>
      <c r="C4579">
        <v>50000</v>
      </c>
      <c r="D4579">
        <v>0</v>
      </c>
      <c r="E4579">
        <v>50000</v>
      </c>
      <c r="F4579" t="s">
        <v>161</v>
      </c>
      <c r="G4579" t="s">
        <v>162</v>
      </c>
      <c r="H4579" s="8">
        <v>44834</v>
      </c>
      <c r="I4579" s="8">
        <v>46659</v>
      </c>
      <c r="J4579" t="s">
        <v>156</v>
      </c>
    </row>
    <row r="4580" spans="1:10" x14ac:dyDescent="0.35">
      <c r="A4580" t="s">
        <v>160</v>
      </c>
      <c r="B4580">
        <v>44835</v>
      </c>
      <c r="C4580">
        <v>50000</v>
      </c>
      <c r="D4580">
        <v>0</v>
      </c>
      <c r="E4580">
        <v>50000</v>
      </c>
      <c r="F4580" t="s">
        <v>161</v>
      </c>
      <c r="G4580" t="s">
        <v>162</v>
      </c>
      <c r="H4580" s="8">
        <v>44834</v>
      </c>
      <c r="I4580" s="8">
        <v>46659</v>
      </c>
      <c r="J4580" t="s">
        <v>156</v>
      </c>
    </row>
    <row r="4581" spans="1:10" x14ac:dyDescent="0.35">
      <c r="A4581" t="s">
        <v>160</v>
      </c>
      <c r="B4581">
        <v>44866</v>
      </c>
      <c r="C4581">
        <v>50000</v>
      </c>
      <c r="D4581">
        <v>0</v>
      </c>
      <c r="E4581">
        <v>50000</v>
      </c>
      <c r="F4581" t="s">
        <v>161</v>
      </c>
      <c r="G4581" t="s">
        <v>162</v>
      </c>
      <c r="H4581" s="8">
        <v>44834</v>
      </c>
      <c r="I4581" s="8">
        <v>46659</v>
      </c>
      <c r="J4581" t="s">
        <v>156</v>
      </c>
    </row>
    <row r="4582" spans="1:10" x14ac:dyDescent="0.35">
      <c r="A4582" t="s">
        <v>160</v>
      </c>
      <c r="B4582">
        <v>44896</v>
      </c>
      <c r="C4582">
        <v>50000</v>
      </c>
      <c r="D4582">
        <v>0</v>
      </c>
      <c r="E4582">
        <v>50000</v>
      </c>
      <c r="F4582" t="s">
        <v>161</v>
      </c>
      <c r="G4582" t="s">
        <v>162</v>
      </c>
      <c r="H4582" s="8">
        <v>44834</v>
      </c>
      <c r="I4582" s="8">
        <v>46659</v>
      </c>
      <c r="J4582" t="s">
        <v>156</v>
      </c>
    </row>
    <row r="4583" spans="1:10" x14ac:dyDescent="0.35">
      <c r="A4583" t="s">
        <v>160</v>
      </c>
      <c r="B4583">
        <v>44927</v>
      </c>
      <c r="C4583">
        <v>50000</v>
      </c>
      <c r="D4583">
        <v>0</v>
      </c>
      <c r="E4583">
        <v>50000</v>
      </c>
      <c r="F4583" t="s">
        <v>161</v>
      </c>
      <c r="G4583" t="s">
        <v>162</v>
      </c>
      <c r="H4583" s="8">
        <v>44834</v>
      </c>
      <c r="I4583" s="8">
        <v>46659</v>
      </c>
      <c r="J4583" t="s">
        <v>156</v>
      </c>
    </row>
    <row r="4584" spans="1:10" x14ac:dyDescent="0.35">
      <c r="A4584" t="s">
        <v>160</v>
      </c>
      <c r="B4584">
        <v>44958</v>
      </c>
      <c r="C4584">
        <v>50000</v>
      </c>
      <c r="D4584">
        <v>0</v>
      </c>
      <c r="E4584">
        <v>50000</v>
      </c>
      <c r="F4584" t="s">
        <v>161</v>
      </c>
      <c r="G4584" t="s">
        <v>162</v>
      </c>
      <c r="H4584" s="8">
        <v>44834</v>
      </c>
      <c r="I4584" s="8">
        <v>46659</v>
      </c>
      <c r="J4584" t="s">
        <v>156</v>
      </c>
    </row>
    <row r="4585" spans="1:10" x14ac:dyDescent="0.35">
      <c r="A4585" t="s">
        <v>160</v>
      </c>
      <c r="B4585">
        <v>44986</v>
      </c>
      <c r="C4585">
        <v>50000</v>
      </c>
      <c r="D4585">
        <v>0</v>
      </c>
      <c r="E4585">
        <v>50000</v>
      </c>
      <c r="F4585" t="s">
        <v>161</v>
      </c>
      <c r="G4585" t="s">
        <v>162</v>
      </c>
      <c r="H4585" s="8">
        <v>44834</v>
      </c>
      <c r="I4585" s="8">
        <v>46659</v>
      </c>
      <c r="J4585" t="s">
        <v>156</v>
      </c>
    </row>
    <row r="4586" spans="1:10" x14ac:dyDescent="0.35">
      <c r="A4586" t="s">
        <v>160</v>
      </c>
      <c r="B4586">
        <v>45017</v>
      </c>
      <c r="C4586">
        <v>50000</v>
      </c>
      <c r="D4586">
        <v>0</v>
      </c>
      <c r="E4586">
        <v>50000</v>
      </c>
      <c r="F4586" t="s">
        <v>161</v>
      </c>
      <c r="G4586" t="s">
        <v>162</v>
      </c>
      <c r="H4586" s="8">
        <v>44834</v>
      </c>
      <c r="I4586" s="8">
        <v>46659</v>
      </c>
      <c r="J4586" t="s">
        <v>156</v>
      </c>
    </row>
    <row r="4587" spans="1:10" x14ac:dyDescent="0.35">
      <c r="A4587" t="s">
        <v>160</v>
      </c>
      <c r="B4587">
        <v>45047</v>
      </c>
      <c r="C4587">
        <v>50000</v>
      </c>
      <c r="D4587">
        <v>0</v>
      </c>
      <c r="E4587">
        <v>50000</v>
      </c>
      <c r="F4587" t="s">
        <v>161</v>
      </c>
      <c r="G4587" t="s">
        <v>162</v>
      </c>
      <c r="H4587" s="8">
        <v>44834</v>
      </c>
      <c r="I4587" s="8">
        <v>46659</v>
      </c>
      <c r="J4587" t="s">
        <v>156</v>
      </c>
    </row>
    <row r="4588" spans="1:10" x14ac:dyDescent="0.35">
      <c r="A4588" t="s">
        <v>160</v>
      </c>
      <c r="B4588">
        <v>45078</v>
      </c>
      <c r="C4588">
        <v>50000</v>
      </c>
      <c r="D4588">
        <v>0</v>
      </c>
      <c r="E4588">
        <v>50000</v>
      </c>
      <c r="F4588" t="s">
        <v>161</v>
      </c>
      <c r="G4588" t="s">
        <v>162</v>
      </c>
      <c r="H4588" s="8">
        <v>44834</v>
      </c>
      <c r="I4588" s="8">
        <v>46659</v>
      </c>
      <c r="J4588" t="s">
        <v>156</v>
      </c>
    </row>
    <row r="4589" spans="1:10" x14ac:dyDescent="0.35">
      <c r="A4589" t="s">
        <v>160</v>
      </c>
      <c r="B4589">
        <v>45108</v>
      </c>
      <c r="C4589">
        <v>50000</v>
      </c>
      <c r="D4589">
        <v>0</v>
      </c>
      <c r="E4589">
        <v>50000</v>
      </c>
      <c r="F4589" t="s">
        <v>161</v>
      </c>
      <c r="G4589" t="s">
        <v>162</v>
      </c>
      <c r="H4589" s="8">
        <v>44834</v>
      </c>
      <c r="I4589" s="8">
        <v>46659</v>
      </c>
      <c r="J4589" t="s">
        <v>156</v>
      </c>
    </row>
    <row r="4590" spans="1:10" x14ac:dyDescent="0.35">
      <c r="A4590" t="s">
        <v>160</v>
      </c>
      <c r="B4590">
        <v>45139</v>
      </c>
      <c r="C4590">
        <v>50000</v>
      </c>
      <c r="D4590">
        <v>0</v>
      </c>
      <c r="E4590">
        <v>50000</v>
      </c>
      <c r="F4590" t="s">
        <v>161</v>
      </c>
      <c r="G4590" t="s">
        <v>162</v>
      </c>
      <c r="H4590" s="8">
        <v>44834</v>
      </c>
      <c r="I4590" s="8">
        <v>46659</v>
      </c>
      <c r="J4590" t="s">
        <v>156</v>
      </c>
    </row>
    <row r="4591" spans="1:10" x14ac:dyDescent="0.35">
      <c r="A4591" t="s">
        <v>160</v>
      </c>
      <c r="B4591">
        <v>45170</v>
      </c>
      <c r="C4591">
        <v>50000</v>
      </c>
      <c r="D4591">
        <v>7812.5</v>
      </c>
      <c r="E4591">
        <v>42187.5</v>
      </c>
      <c r="F4591" t="s">
        <v>161</v>
      </c>
      <c r="G4591" t="s">
        <v>162</v>
      </c>
      <c r="H4591" s="8">
        <v>44834</v>
      </c>
      <c r="I4591" s="8">
        <v>46659</v>
      </c>
      <c r="J4591" t="s">
        <v>156</v>
      </c>
    </row>
    <row r="4592" spans="1:10" x14ac:dyDescent="0.35">
      <c r="A4592" t="s">
        <v>163</v>
      </c>
      <c r="B4592" s="8">
        <v>44805</v>
      </c>
      <c r="C4592">
        <v>288000</v>
      </c>
      <c r="D4592">
        <v>0</v>
      </c>
      <c r="E4592">
        <v>288000</v>
      </c>
      <c r="F4592" t="s">
        <v>164</v>
      </c>
      <c r="G4592" t="s">
        <v>165</v>
      </c>
      <c r="H4592" s="8">
        <v>44834</v>
      </c>
      <c r="I4592" s="8">
        <v>46659</v>
      </c>
      <c r="J4592" t="s">
        <v>156</v>
      </c>
    </row>
    <row r="4593" spans="1:10" x14ac:dyDescent="0.35">
      <c r="A4593" t="s">
        <v>163</v>
      </c>
      <c r="B4593" s="8">
        <v>44835</v>
      </c>
      <c r="C4593">
        <v>288000</v>
      </c>
      <c r="D4593">
        <v>0</v>
      </c>
      <c r="E4593">
        <v>288000</v>
      </c>
      <c r="F4593" t="s">
        <v>164</v>
      </c>
      <c r="G4593" t="s">
        <v>165</v>
      </c>
      <c r="H4593" s="8">
        <v>44834</v>
      </c>
      <c r="I4593" s="8">
        <v>46659</v>
      </c>
      <c r="J4593" t="s">
        <v>156</v>
      </c>
    </row>
    <row r="4594" spans="1:10" x14ac:dyDescent="0.35">
      <c r="A4594" t="s">
        <v>163</v>
      </c>
      <c r="B4594" s="8">
        <v>44866</v>
      </c>
      <c r="C4594">
        <v>288000</v>
      </c>
      <c r="D4594">
        <v>0</v>
      </c>
      <c r="E4594">
        <v>288000</v>
      </c>
      <c r="F4594" t="s">
        <v>164</v>
      </c>
      <c r="G4594" t="s">
        <v>165</v>
      </c>
      <c r="H4594" s="8">
        <v>44834</v>
      </c>
      <c r="I4594" s="8">
        <v>46659</v>
      </c>
      <c r="J4594" t="s">
        <v>156</v>
      </c>
    </row>
    <row r="4595" spans="1:10" x14ac:dyDescent="0.35">
      <c r="A4595" t="s">
        <v>163</v>
      </c>
      <c r="B4595" s="8">
        <v>44896</v>
      </c>
      <c r="C4595">
        <v>288000</v>
      </c>
      <c r="D4595">
        <v>0</v>
      </c>
      <c r="E4595">
        <v>288000</v>
      </c>
      <c r="F4595" t="s">
        <v>164</v>
      </c>
      <c r="G4595" t="s">
        <v>165</v>
      </c>
      <c r="H4595" s="8">
        <v>44834</v>
      </c>
      <c r="I4595" s="8">
        <v>46659</v>
      </c>
      <c r="J4595" t="s">
        <v>156</v>
      </c>
    </row>
    <row r="4596" spans="1:10" x14ac:dyDescent="0.35">
      <c r="A4596" t="s">
        <v>163</v>
      </c>
      <c r="B4596" s="8">
        <v>44927</v>
      </c>
      <c r="C4596">
        <v>288000</v>
      </c>
      <c r="D4596">
        <v>0</v>
      </c>
      <c r="E4596">
        <v>288000</v>
      </c>
      <c r="F4596" t="s">
        <v>164</v>
      </c>
      <c r="G4596" t="s">
        <v>165</v>
      </c>
      <c r="H4596" s="8">
        <v>44834</v>
      </c>
      <c r="I4596" s="8">
        <v>46659</v>
      </c>
      <c r="J4596" t="s">
        <v>156</v>
      </c>
    </row>
    <row r="4597" spans="1:10" x14ac:dyDescent="0.35">
      <c r="A4597" t="s">
        <v>163</v>
      </c>
      <c r="B4597" s="8">
        <v>44958</v>
      </c>
      <c r="C4597">
        <v>288000</v>
      </c>
      <c r="D4597">
        <v>0</v>
      </c>
      <c r="E4597">
        <v>288000</v>
      </c>
      <c r="F4597" t="s">
        <v>164</v>
      </c>
      <c r="G4597" t="s">
        <v>165</v>
      </c>
      <c r="H4597" s="8">
        <v>44834</v>
      </c>
      <c r="I4597" s="8">
        <v>46659</v>
      </c>
      <c r="J4597" t="s">
        <v>156</v>
      </c>
    </row>
    <row r="4598" spans="1:10" x14ac:dyDescent="0.35">
      <c r="A4598" t="s">
        <v>163</v>
      </c>
      <c r="B4598" s="8">
        <v>44986</v>
      </c>
      <c r="C4598">
        <v>288000</v>
      </c>
      <c r="D4598">
        <v>0</v>
      </c>
      <c r="E4598">
        <v>288000</v>
      </c>
      <c r="F4598" t="s">
        <v>164</v>
      </c>
      <c r="G4598" t="s">
        <v>165</v>
      </c>
      <c r="H4598" s="8">
        <v>44834</v>
      </c>
      <c r="I4598" s="8">
        <v>46659</v>
      </c>
      <c r="J4598" t="s">
        <v>156</v>
      </c>
    </row>
    <row r="4599" spans="1:10" x14ac:dyDescent="0.35">
      <c r="A4599" t="s">
        <v>163</v>
      </c>
      <c r="B4599" s="8">
        <v>45017</v>
      </c>
      <c r="C4599">
        <v>288000</v>
      </c>
      <c r="D4599">
        <v>0</v>
      </c>
      <c r="E4599">
        <v>288000</v>
      </c>
      <c r="F4599" t="s">
        <v>164</v>
      </c>
      <c r="G4599" t="s">
        <v>165</v>
      </c>
      <c r="H4599" s="8">
        <v>44834</v>
      </c>
      <c r="I4599" s="8">
        <v>46659</v>
      </c>
      <c r="J4599" t="s">
        <v>156</v>
      </c>
    </row>
    <row r="4600" spans="1:10" x14ac:dyDescent="0.35">
      <c r="A4600" t="s">
        <v>163</v>
      </c>
      <c r="B4600" s="8">
        <v>45047</v>
      </c>
      <c r="C4600">
        <v>288000</v>
      </c>
      <c r="D4600">
        <v>118013</v>
      </c>
      <c r="E4600">
        <v>169987</v>
      </c>
      <c r="F4600" t="s">
        <v>164</v>
      </c>
      <c r="G4600" t="s">
        <v>165</v>
      </c>
      <c r="H4600" s="8">
        <v>44834</v>
      </c>
      <c r="I4600" s="8">
        <v>46659</v>
      </c>
      <c r="J4600" t="s">
        <v>156</v>
      </c>
    </row>
    <row r="4601" spans="1:10" x14ac:dyDescent="0.35">
      <c r="A4601" t="s">
        <v>163</v>
      </c>
      <c r="B4601" s="8">
        <v>45078</v>
      </c>
      <c r="C4601">
        <v>288000</v>
      </c>
      <c r="D4601">
        <v>203013</v>
      </c>
      <c r="E4601">
        <v>84987</v>
      </c>
      <c r="F4601" t="s">
        <v>164</v>
      </c>
      <c r="G4601" t="s">
        <v>165</v>
      </c>
      <c r="H4601" s="8">
        <v>44834</v>
      </c>
      <c r="I4601" s="8">
        <v>46659</v>
      </c>
      <c r="J4601" t="s">
        <v>156</v>
      </c>
    </row>
    <row r="4602" spans="1:10" x14ac:dyDescent="0.35">
      <c r="A4602" t="s">
        <v>163</v>
      </c>
      <c r="B4602" s="8">
        <v>45108</v>
      </c>
      <c r="C4602">
        <v>288000</v>
      </c>
      <c r="D4602">
        <v>203013</v>
      </c>
      <c r="E4602">
        <v>84987</v>
      </c>
      <c r="F4602" t="s">
        <v>164</v>
      </c>
      <c r="G4602" t="s">
        <v>165</v>
      </c>
      <c r="H4602" s="8">
        <v>44834</v>
      </c>
      <c r="I4602" s="8">
        <v>46659</v>
      </c>
      <c r="J4602" t="s">
        <v>156</v>
      </c>
    </row>
    <row r="4603" spans="1:10" x14ac:dyDescent="0.35">
      <c r="A4603" t="s">
        <v>163</v>
      </c>
      <c r="B4603" s="8">
        <v>45139</v>
      </c>
      <c r="C4603">
        <v>288000</v>
      </c>
      <c r="D4603">
        <v>216448.57</v>
      </c>
      <c r="E4603">
        <v>71551.429999999993</v>
      </c>
      <c r="F4603" t="s">
        <v>164</v>
      </c>
      <c r="G4603" t="s">
        <v>165</v>
      </c>
      <c r="H4603" s="8">
        <v>44834</v>
      </c>
      <c r="I4603" s="8">
        <v>46659</v>
      </c>
      <c r="J4603" t="s">
        <v>156</v>
      </c>
    </row>
    <row r="4604" spans="1:10" x14ac:dyDescent="0.35">
      <c r="A4604" t="s">
        <v>163</v>
      </c>
      <c r="B4604" s="8">
        <v>45170</v>
      </c>
      <c r="C4604">
        <v>288000</v>
      </c>
      <c r="D4604">
        <v>271908.57</v>
      </c>
      <c r="E4604">
        <v>16091.43</v>
      </c>
      <c r="F4604" t="s">
        <v>164</v>
      </c>
      <c r="G4604" t="s">
        <v>165</v>
      </c>
      <c r="H4604" s="8">
        <v>44834</v>
      </c>
      <c r="I4604" s="8">
        <v>46659</v>
      </c>
      <c r="J4604" t="s">
        <v>156</v>
      </c>
    </row>
    <row r="4605" spans="1:10" x14ac:dyDescent="0.35">
      <c r="A4605" t="s">
        <v>166</v>
      </c>
      <c r="B4605" s="8">
        <v>44986</v>
      </c>
      <c r="C4605">
        <v>654600</v>
      </c>
      <c r="D4605">
        <v>0</v>
      </c>
      <c r="E4605">
        <v>654600</v>
      </c>
      <c r="F4605" t="s">
        <v>167</v>
      </c>
      <c r="G4605" t="s">
        <v>168</v>
      </c>
      <c r="H4605" s="8">
        <v>44834</v>
      </c>
      <c r="I4605" s="8">
        <v>46659</v>
      </c>
      <c r="J4605" t="s">
        <v>156</v>
      </c>
    </row>
    <row r="4606" spans="1:10" x14ac:dyDescent="0.35">
      <c r="A4606" t="s">
        <v>166</v>
      </c>
      <c r="B4606" s="8">
        <v>45017</v>
      </c>
      <c r="C4606">
        <v>654600</v>
      </c>
      <c r="D4606">
        <v>0</v>
      </c>
      <c r="E4606">
        <v>654600</v>
      </c>
      <c r="F4606" t="s">
        <v>167</v>
      </c>
      <c r="G4606" t="s">
        <v>168</v>
      </c>
      <c r="H4606" s="8">
        <v>44834</v>
      </c>
      <c r="I4606" s="8">
        <v>46659</v>
      </c>
      <c r="J4606" t="s">
        <v>156</v>
      </c>
    </row>
    <row r="4607" spans="1:10" x14ac:dyDescent="0.35">
      <c r="A4607" t="s">
        <v>166</v>
      </c>
      <c r="B4607" s="8">
        <v>45047</v>
      </c>
      <c r="C4607">
        <v>654600</v>
      </c>
      <c r="D4607">
        <v>0</v>
      </c>
      <c r="E4607">
        <v>654600</v>
      </c>
      <c r="F4607" t="s">
        <v>167</v>
      </c>
      <c r="G4607" t="s">
        <v>168</v>
      </c>
      <c r="H4607" s="8">
        <v>44834</v>
      </c>
      <c r="I4607" s="8">
        <v>46659</v>
      </c>
      <c r="J4607" t="s">
        <v>156</v>
      </c>
    </row>
    <row r="4608" spans="1:10" x14ac:dyDescent="0.35">
      <c r="A4608" t="s">
        <v>166</v>
      </c>
      <c r="B4608" s="8">
        <v>45078</v>
      </c>
      <c r="C4608">
        <v>654600</v>
      </c>
      <c r="D4608">
        <v>0</v>
      </c>
      <c r="E4608">
        <v>654600</v>
      </c>
      <c r="F4608" t="s">
        <v>167</v>
      </c>
      <c r="G4608" t="s">
        <v>168</v>
      </c>
      <c r="H4608" s="8">
        <v>44834</v>
      </c>
      <c r="I4608" s="8">
        <v>46659</v>
      </c>
      <c r="J4608" t="s">
        <v>156</v>
      </c>
    </row>
    <row r="4609" spans="1:10" x14ac:dyDescent="0.35">
      <c r="A4609" t="s">
        <v>166</v>
      </c>
      <c r="B4609" s="8">
        <v>45108</v>
      </c>
      <c r="C4609">
        <v>654600</v>
      </c>
      <c r="D4609">
        <v>76491.62</v>
      </c>
      <c r="E4609">
        <v>578108.38</v>
      </c>
      <c r="F4609" t="s">
        <v>167</v>
      </c>
      <c r="G4609" t="s">
        <v>168</v>
      </c>
      <c r="H4609" s="8">
        <v>44834</v>
      </c>
      <c r="I4609" s="8">
        <v>46659</v>
      </c>
      <c r="J4609" t="s">
        <v>156</v>
      </c>
    </row>
    <row r="4610" spans="1:10" x14ac:dyDescent="0.35">
      <c r="A4610" t="s">
        <v>166</v>
      </c>
      <c r="B4610" s="8">
        <v>45139</v>
      </c>
      <c r="C4610">
        <v>654600</v>
      </c>
      <c r="D4610">
        <v>119333.27</v>
      </c>
      <c r="E4610">
        <v>535266.73</v>
      </c>
      <c r="F4610" t="s">
        <v>167</v>
      </c>
      <c r="G4610" t="s">
        <v>168</v>
      </c>
      <c r="H4610" s="8">
        <v>44834</v>
      </c>
      <c r="I4610" s="8">
        <v>46659</v>
      </c>
      <c r="J4610" t="s">
        <v>156</v>
      </c>
    </row>
    <row r="4611" spans="1:10" x14ac:dyDescent="0.35">
      <c r="A4611" t="s">
        <v>166</v>
      </c>
      <c r="B4611" s="8">
        <v>45170</v>
      </c>
      <c r="C4611">
        <v>1812475</v>
      </c>
      <c r="D4611">
        <v>654600</v>
      </c>
      <c r="E4611">
        <v>1157875</v>
      </c>
      <c r="F4611" t="s">
        <v>167</v>
      </c>
      <c r="G4611" t="s">
        <v>168</v>
      </c>
      <c r="H4611" s="8">
        <v>44834</v>
      </c>
      <c r="I4611" s="8">
        <v>46659</v>
      </c>
      <c r="J4611" t="s">
        <v>156</v>
      </c>
    </row>
    <row r="4612" spans="1:10" x14ac:dyDescent="0.35">
      <c r="A4612" t="s">
        <v>169</v>
      </c>
      <c r="B4612" s="8">
        <v>44805</v>
      </c>
      <c r="C4612">
        <v>527140</v>
      </c>
      <c r="D4612">
        <v>0</v>
      </c>
      <c r="E4612">
        <v>527140</v>
      </c>
      <c r="F4612" t="s">
        <v>170</v>
      </c>
      <c r="G4612" t="s">
        <v>171</v>
      </c>
      <c r="H4612" s="8">
        <v>44834</v>
      </c>
      <c r="I4612" s="8">
        <v>46659</v>
      </c>
      <c r="J4612" t="s">
        <v>156</v>
      </c>
    </row>
    <row r="4613" spans="1:10" x14ac:dyDescent="0.35">
      <c r="A4613" t="s">
        <v>169</v>
      </c>
      <c r="B4613" s="8">
        <v>44835</v>
      </c>
      <c r="C4613">
        <v>527140</v>
      </c>
      <c r="D4613">
        <v>0</v>
      </c>
      <c r="E4613">
        <v>527140</v>
      </c>
      <c r="F4613" t="s">
        <v>170</v>
      </c>
      <c r="G4613" t="s">
        <v>171</v>
      </c>
      <c r="H4613" s="8">
        <v>44834</v>
      </c>
      <c r="I4613" s="8">
        <v>46659</v>
      </c>
      <c r="J4613" t="s">
        <v>156</v>
      </c>
    </row>
    <row r="4614" spans="1:10" x14ac:dyDescent="0.35">
      <c r="A4614" t="s">
        <v>169</v>
      </c>
      <c r="B4614" s="8">
        <v>44866</v>
      </c>
      <c r="C4614">
        <v>527140</v>
      </c>
      <c r="D4614">
        <v>0</v>
      </c>
      <c r="E4614">
        <v>527140</v>
      </c>
      <c r="F4614" t="s">
        <v>170</v>
      </c>
      <c r="G4614" t="s">
        <v>171</v>
      </c>
      <c r="H4614" s="8">
        <v>44834</v>
      </c>
      <c r="I4614" s="8">
        <v>46659</v>
      </c>
      <c r="J4614" t="s">
        <v>156</v>
      </c>
    </row>
    <row r="4615" spans="1:10" x14ac:dyDescent="0.35">
      <c r="A4615" t="s">
        <v>169</v>
      </c>
      <c r="B4615" s="8">
        <v>44896</v>
      </c>
      <c r="C4615">
        <v>527140</v>
      </c>
      <c r="D4615">
        <v>41000</v>
      </c>
      <c r="E4615">
        <v>486140</v>
      </c>
      <c r="F4615" t="s">
        <v>170</v>
      </c>
      <c r="G4615" t="s">
        <v>171</v>
      </c>
      <c r="H4615" s="8">
        <v>44834</v>
      </c>
      <c r="I4615" s="8">
        <v>46659</v>
      </c>
      <c r="J4615" t="s">
        <v>156</v>
      </c>
    </row>
    <row r="4616" spans="1:10" x14ac:dyDescent="0.35">
      <c r="A4616" t="s">
        <v>169</v>
      </c>
      <c r="B4616" s="8">
        <v>44927</v>
      </c>
      <c r="C4616">
        <v>527140</v>
      </c>
      <c r="D4616">
        <v>132913</v>
      </c>
      <c r="E4616">
        <v>394227</v>
      </c>
      <c r="F4616" t="s">
        <v>170</v>
      </c>
      <c r="G4616" t="s">
        <v>171</v>
      </c>
      <c r="H4616" s="8">
        <v>44834</v>
      </c>
      <c r="I4616" s="8">
        <v>46659</v>
      </c>
      <c r="J4616" t="s">
        <v>156</v>
      </c>
    </row>
    <row r="4617" spans="1:10" x14ac:dyDescent="0.35">
      <c r="A4617" t="s">
        <v>169</v>
      </c>
      <c r="B4617" s="8">
        <v>44958</v>
      </c>
      <c r="C4617">
        <v>527140</v>
      </c>
      <c r="D4617">
        <v>145856</v>
      </c>
      <c r="E4617">
        <v>381284</v>
      </c>
      <c r="F4617" t="s">
        <v>170</v>
      </c>
      <c r="G4617" t="s">
        <v>171</v>
      </c>
      <c r="H4617" s="8">
        <v>44834</v>
      </c>
      <c r="I4617" s="8">
        <v>46659</v>
      </c>
      <c r="J4617" t="s">
        <v>156</v>
      </c>
    </row>
    <row r="4618" spans="1:10" x14ac:dyDescent="0.35">
      <c r="A4618" t="s">
        <v>169</v>
      </c>
      <c r="B4618" s="8">
        <v>44986</v>
      </c>
      <c r="C4618">
        <v>527140</v>
      </c>
      <c r="D4618">
        <v>250237</v>
      </c>
      <c r="E4618">
        <v>276903</v>
      </c>
      <c r="F4618" t="s">
        <v>170</v>
      </c>
      <c r="G4618" t="s">
        <v>171</v>
      </c>
      <c r="H4618" s="8">
        <v>44834</v>
      </c>
      <c r="I4618" s="8">
        <v>46659</v>
      </c>
      <c r="J4618" t="s">
        <v>156</v>
      </c>
    </row>
    <row r="4619" spans="1:10" x14ac:dyDescent="0.35">
      <c r="A4619" t="s">
        <v>169</v>
      </c>
      <c r="B4619" s="8">
        <v>45017</v>
      </c>
      <c r="C4619">
        <v>527140</v>
      </c>
      <c r="D4619">
        <v>407737</v>
      </c>
      <c r="E4619">
        <v>119403</v>
      </c>
      <c r="F4619" t="s">
        <v>170</v>
      </c>
      <c r="G4619" t="s">
        <v>171</v>
      </c>
      <c r="H4619" s="8">
        <v>44834</v>
      </c>
      <c r="I4619" s="8">
        <v>46659</v>
      </c>
      <c r="J4619" t="s">
        <v>156</v>
      </c>
    </row>
    <row r="4620" spans="1:10" x14ac:dyDescent="0.35">
      <c r="A4620" t="s">
        <v>169</v>
      </c>
      <c r="B4620" s="8">
        <v>45047</v>
      </c>
      <c r="C4620">
        <v>527140</v>
      </c>
      <c r="D4620">
        <v>527140</v>
      </c>
      <c r="E4620">
        <v>0</v>
      </c>
      <c r="F4620" t="s">
        <v>170</v>
      </c>
      <c r="G4620" t="s">
        <v>171</v>
      </c>
      <c r="H4620" s="8">
        <v>44834</v>
      </c>
      <c r="I4620" s="8">
        <v>46659</v>
      </c>
      <c r="J4620" t="s">
        <v>156</v>
      </c>
    </row>
    <row r="4621" spans="1:10" x14ac:dyDescent="0.35">
      <c r="A4621" t="s">
        <v>169</v>
      </c>
      <c r="B4621" s="8">
        <v>45078</v>
      </c>
      <c r="C4621">
        <v>527140</v>
      </c>
      <c r="D4621">
        <v>527140</v>
      </c>
      <c r="E4621">
        <v>0</v>
      </c>
      <c r="F4621" t="s">
        <v>170</v>
      </c>
      <c r="G4621" t="s">
        <v>171</v>
      </c>
      <c r="H4621" s="8">
        <v>44834</v>
      </c>
      <c r="I4621" s="8">
        <v>46659</v>
      </c>
      <c r="J4621" t="s">
        <v>156</v>
      </c>
    </row>
    <row r="4622" spans="1:10" x14ac:dyDescent="0.35">
      <c r="A4622" t="s">
        <v>169</v>
      </c>
      <c r="B4622" s="8">
        <v>45108</v>
      </c>
      <c r="C4622">
        <v>527140</v>
      </c>
      <c r="D4622">
        <v>527140</v>
      </c>
      <c r="E4622">
        <v>0</v>
      </c>
      <c r="F4622" t="s">
        <v>170</v>
      </c>
      <c r="G4622" t="s">
        <v>171</v>
      </c>
      <c r="H4622" s="8">
        <v>44834</v>
      </c>
      <c r="I4622" s="8">
        <v>46659</v>
      </c>
      <c r="J4622" t="s">
        <v>156</v>
      </c>
    </row>
    <row r="4623" spans="1:10" x14ac:dyDescent="0.35">
      <c r="A4623" t="s">
        <v>169</v>
      </c>
      <c r="B4623" s="8">
        <v>45139</v>
      </c>
      <c r="C4623">
        <v>527140</v>
      </c>
      <c r="D4623">
        <v>527140</v>
      </c>
      <c r="E4623">
        <v>0</v>
      </c>
      <c r="F4623" t="s">
        <v>170</v>
      </c>
      <c r="G4623" t="s">
        <v>171</v>
      </c>
      <c r="H4623" s="8">
        <v>44834</v>
      </c>
      <c r="I4623" s="8">
        <v>46659</v>
      </c>
      <c r="J4623" t="s">
        <v>156</v>
      </c>
    </row>
    <row r="4624" spans="1:10" x14ac:dyDescent="0.35">
      <c r="A4624" t="s">
        <v>169</v>
      </c>
      <c r="B4624" s="8">
        <v>45170</v>
      </c>
      <c r="C4624">
        <v>527140</v>
      </c>
      <c r="D4624">
        <v>527140</v>
      </c>
      <c r="E4624">
        <v>0</v>
      </c>
      <c r="F4624" t="s">
        <v>170</v>
      </c>
      <c r="G4624" t="s">
        <v>171</v>
      </c>
      <c r="H4624" s="8">
        <v>44834</v>
      </c>
      <c r="I4624" s="8">
        <v>46659</v>
      </c>
      <c r="J4624" t="s">
        <v>156</v>
      </c>
    </row>
    <row r="4625" spans="1:10" x14ac:dyDescent="0.35">
      <c r="A4625" t="s">
        <v>172</v>
      </c>
      <c r="B4625" s="8">
        <v>44986</v>
      </c>
      <c r="C4625">
        <v>527140</v>
      </c>
      <c r="D4625">
        <v>0</v>
      </c>
      <c r="E4625">
        <v>527140</v>
      </c>
      <c r="F4625" t="s">
        <v>170</v>
      </c>
      <c r="G4625" t="s">
        <v>171</v>
      </c>
      <c r="H4625" s="8">
        <v>44834</v>
      </c>
      <c r="I4625" s="8">
        <v>46659</v>
      </c>
      <c r="J4625" t="s">
        <v>156</v>
      </c>
    </row>
    <row r="4626" spans="1:10" x14ac:dyDescent="0.35">
      <c r="A4626" t="s">
        <v>172</v>
      </c>
      <c r="B4626" s="8">
        <v>45017</v>
      </c>
      <c r="C4626">
        <v>527140</v>
      </c>
      <c r="D4626">
        <v>0</v>
      </c>
      <c r="E4626">
        <v>527140</v>
      </c>
      <c r="F4626" t="s">
        <v>170</v>
      </c>
      <c r="G4626" t="s">
        <v>171</v>
      </c>
      <c r="H4626" s="8">
        <v>44834</v>
      </c>
      <c r="I4626" s="8">
        <v>46659</v>
      </c>
      <c r="J4626" t="s">
        <v>156</v>
      </c>
    </row>
    <row r="4627" spans="1:10" x14ac:dyDescent="0.35">
      <c r="A4627" t="s">
        <v>172</v>
      </c>
      <c r="B4627" s="8">
        <v>45047</v>
      </c>
      <c r="C4627">
        <v>527140</v>
      </c>
      <c r="D4627">
        <v>60597</v>
      </c>
      <c r="E4627">
        <v>466543</v>
      </c>
      <c r="F4627" t="s">
        <v>170</v>
      </c>
      <c r="G4627" t="s">
        <v>171</v>
      </c>
      <c r="H4627" s="8">
        <v>44834</v>
      </c>
      <c r="I4627" s="8">
        <v>46659</v>
      </c>
      <c r="J4627" t="s">
        <v>156</v>
      </c>
    </row>
    <row r="4628" spans="1:10" x14ac:dyDescent="0.35">
      <c r="A4628" t="s">
        <v>172</v>
      </c>
      <c r="B4628" s="8">
        <v>45078</v>
      </c>
      <c r="C4628">
        <v>527140</v>
      </c>
      <c r="D4628">
        <v>159097</v>
      </c>
      <c r="E4628">
        <v>368043</v>
      </c>
      <c r="F4628" t="s">
        <v>170</v>
      </c>
      <c r="G4628" t="s">
        <v>171</v>
      </c>
      <c r="H4628" s="8">
        <v>44834</v>
      </c>
      <c r="I4628" s="8">
        <v>46659</v>
      </c>
      <c r="J4628" t="s">
        <v>156</v>
      </c>
    </row>
    <row r="4629" spans="1:10" x14ac:dyDescent="0.35">
      <c r="A4629" t="s">
        <v>172</v>
      </c>
      <c r="B4629" s="8">
        <v>45108</v>
      </c>
      <c r="C4629">
        <v>527140</v>
      </c>
      <c r="D4629">
        <v>249097</v>
      </c>
      <c r="E4629">
        <v>278043</v>
      </c>
      <c r="F4629" t="s">
        <v>170</v>
      </c>
      <c r="G4629" t="s">
        <v>171</v>
      </c>
      <c r="H4629" s="8">
        <v>44834</v>
      </c>
      <c r="I4629" s="8">
        <v>46659</v>
      </c>
      <c r="J4629" t="s">
        <v>156</v>
      </c>
    </row>
    <row r="4630" spans="1:10" x14ac:dyDescent="0.35">
      <c r="A4630" t="s">
        <v>172</v>
      </c>
      <c r="B4630" s="8">
        <v>45139</v>
      </c>
      <c r="C4630">
        <v>527140</v>
      </c>
      <c r="D4630">
        <v>347597</v>
      </c>
      <c r="E4630">
        <v>179543</v>
      </c>
      <c r="F4630" t="s">
        <v>170</v>
      </c>
      <c r="G4630" t="s">
        <v>171</v>
      </c>
      <c r="H4630" s="8">
        <v>44834</v>
      </c>
      <c r="I4630" s="8">
        <v>46659</v>
      </c>
      <c r="J4630" t="s">
        <v>156</v>
      </c>
    </row>
    <row r="4631" spans="1:10" x14ac:dyDescent="0.35">
      <c r="A4631" t="s">
        <v>172</v>
      </c>
      <c r="B4631" s="8">
        <v>45170</v>
      </c>
      <c r="C4631">
        <v>1293727</v>
      </c>
      <c r="D4631">
        <v>447597</v>
      </c>
      <c r="E4631">
        <v>846130</v>
      </c>
      <c r="F4631" t="s">
        <v>170</v>
      </c>
      <c r="G4631" t="s">
        <v>171</v>
      </c>
      <c r="H4631" s="8">
        <v>44834</v>
      </c>
      <c r="I4631" s="8">
        <v>46659</v>
      </c>
      <c r="J4631" t="s">
        <v>156</v>
      </c>
    </row>
    <row r="4632" spans="1:10" x14ac:dyDescent="0.35">
      <c r="A4632" t="s">
        <v>173</v>
      </c>
      <c r="B4632" s="8">
        <v>45017</v>
      </c>
      <c r="C4632">
        <v>135602</v>
      </c>
      <c r="D4632">
        <v>0</v>
      </c>
      <c r="E4632">
        <v>135602</v>
      </c>
      <c r="F4632" t="s">
        <v>161</v>
      </c>
      <c r="G4632" t="s">
        <v>174</v>
      </c>
      <c r="H4632" s="8">
        <v>44834</v>
      </c>
      <c r="I4632" s="8">
        <v>46659</v>
      </c>
      <c r="J4632" t="s">
        <v>156</v>
      </c>
    </row>
    <row r="4633" spans="1:10" x14ac:dyDescent="0.35">
      <c r="A4633" t="s">
        <v>173</v>
      </c>
      <c r="B4633" s="8">
        <v>45047</v>
      </c>
      <c r="C4633">
        <v>135602</v>
      </c>
      <c r="D4633">
        <v>0</v>
      </c>
      <c r="E4633">
        <v>135602</v>
      </c>
      <c r="F4633" t="s">
        <v>161</v>
      </c>
      <c r="G4633" t="s">
        <v>174</v>
      </c>
      <c r="H4633" s="8">
        <v>44834</v>
      </c>
      <c r="I4633" s="8">
        <v>46659</v>
      </c>
      <c r="J4633" t="s">
        <v>156</v>
      </c>
    </row>
    <row r="4634" spans="1:10" x14ac:dyDescent="0.35">
      <c r="A4634" t="s">
        <v>173</v>
      </c>
      <c r="B4634" s="8">
        <v>45078</v>
      </c>
      <c r="C4634">
        <v>135602</v>
      </c>
      <c r="D4634">
        <v>0</v>
      </c>
      <c r="E4634">
        <v>135602</v>
      </c>
      <c r="F4634" t="s">
        <v>161</v>
      </c>
      <c r="G4634" t="s">
        <v>174</v>
      </c>
      <c r="H4634" s="8">
        <v>44834</v>
      </c>
      <c r="I4634" s="8">
        <v>46659</v>
      </c>
      <c r="J4634" t="s">
        <v>156</v>
      </c>
    </row>
    <row r="4635" spans="1:10" x14ac:dyDescent="0.35">
      <c r="A4635" t="s">
        <v>173</v>
      </c>
      <c r="B4635" s="8">
        <v>45108</v>
      </c>
      <c r="C4635">
        <v>585602</v>
      </c>
      <c r="D4635">
        <v>0</v>
      </c>
      <c r="E4635">
        <v>585602</v>
      </c>
      <c r="F4635" t="s">
        <v>161</v>
      </c>
      <c r="G4635" t="s">
        <v>174</v>
      </c>
      <c r="H4635" s="8">
        <v>44834</v>
      </c>
      <c r="I4635" s="8">
        <v>46659</v>
      </c>
      <c r="J4635" t="s">
        <v>156</v>
      </c>
    </row>
    <row r="4636" spans="1:10" x14ac:dyDescent="0.35">
      <c r="A4636" t="s">
        <v>173</v>
      </c>
      <c r="B4636" s="8">
        <v>45139</v>
      </c>
      <c r="C4636">
        <v>585602</v>
      </c>
      <c r="D4636">
        <v>0</v>
      </c>
      <c r="E4636">
        <v>585602</v>
      </c>
      <c r="F4636" t="s">
        <v>161</v>
      </c>
      <c r="G4636" t="s">
        <v>174</v>
      </c>
      <c r="H4636" s="8">
        <v>44834</v>
      </c>
      <c r="I4636" s="8">
        <v>46659</v>
      </c>
      <c r="J4636" t="s">
        <v>156</v>
      </c>
    </row>
    <row r="4637" spans="1:10" x14ac:dyDescent="0.35">
      <c r="A4637" t="s">
        <v>173</v>
      </c>
      <c r="B4637" s="8">
        <v>45170</v>
      </c>
      <c r="C4637">
        <v>585602</v>
      </c>
      <c r="D4637">
        <v>39511</v>
      </c>
      <c r="E4637">
        <v>546091</v>
      </c>
      <c r="F4637" t="s">
        <v>161</v>
      </c>
      <c r="G4637" t="s">
        <v>174</v>
      </c>
      <c r="H4637" s="8">
        <v>44834</v>
      </c>
      <c r="I4637" s="8">
        <v>46659</v>
      </c>
      <c r="J4637" t="s">
        <v>156</v>
      </c>
    </row>
    <row r="4638" spans="1:10" x14ac:dyDescent="0.35">
      <c r="A4638" t="s">
        <v>175</v>
      </c>
      <c r="B4638" s="8">
        <v>44958</v>
      </c>
      <c r="C4638">
        <v>650000</v>
      </c>
      <c r="D4638">
        <v>0</v>
      </c>
      <c r="E4638">
        <v>650000</v>
      </c>
      <c r="F4638" t="s">
        <v>176</v>
      </c>
      <c r="G4638" t="s">
        <v>177</v>
      </c>
      <c r="H4638" s="8">
        <v>44834</v>
      </c>
      <c r="I4638" s="8">
        <v>46659</v>
      </c>
      <c r="J4638" t="s">
        <v>156</v>
      </c>
    </row>
    <row r="4639" spans="1:10" x14ac:dyDescent="0.35">
      <c r="A4639" t="s">
        <v>175</v>
      </c>
      <c r="B4639" s="8">
        <v>44986</v>
      </c>
      <c r="C4639">
        <v>650000</v>
      </c>
      <c r="D4639">
        <v>0</v>
      </c>
      <c r="E4639">
        <v>650000</v>
      </c>
      <c r="F4639" t="s">
        <v>176</v>
      </c>
      <c r="G4639" t="s">
        <v>177</v>
      </c>
      <c r="H4639" s="8">
        <v>44834</v>
      </c>
      <c r="I4639" s="8">
        <v>46659</v>
      </c>
      <c r="J4639" t="s">
        <v>156</v>
      </c>
    </row>
    <row r="4640" spans="1:10" x14ac:dyDescent="0.35">
      <c r="A4640" t="s">
        <v>175</v>
      </c>
      <c r="B4640" s="8">
        <v>45017</v>
      </c>
      <c r="C4640">
        <v>650000</v>
      </c>
      <c r="D4640">
        <v>0</v>
      </c>
      <c r="E4640">
        <v>650000</v>
      </c>
      <c r="F4640" t="s">
        <v>176</v>
      </c>
      <c r="G4640" t="s">
        <v>177</v>
      </c>
      <c r="H4640" s="8">
        <v>44834</v>
      </c>
      <c r="I4640" s="8">
        <v>46659</v>
      </c>
      <c r="J4640" t="s">
        <v>156</v>
      </c>
    </row>
    <row r="4641" spans="1:10" x14ac:dyDescent="0.35">
      <c r="A4641" t="s">
        <v>175</v>
      </c>
      <c r="B4641" s="8">
        <v>45047</v>
      </c>
      <c r="C4641">
        <v>650000</v>
      </c>
      <c r="D4641">
        <v>0</v>
      </c>
      <c r="E4641">
        <v>650000</v>
      </c>
      <c r="F4641" t="s">
        <v>176</v>
      </c>
      <c r="G4641" t="s">
        <v>177</v>
      </c>
      <c r="H4641" s="8">
        <v>44834</v>
      </c>
      <c r="I4641" s="8">
        <v>46659</v>
      </c>
      <c r="J4641" t="s">
        <v>156</v>
      </c>
    </row>
    <row r="4642" spans="1:10" x14ac:dyDescent="0.35">
      <c r="A4642" t="s">
        <v>175</v>
      </c>
      <c r="B4642" s="8">
        <v>45078</v>
      </c>
      <c r="C4642">
        <v>650000</v>
      </c>
      <c r="D4642">
        <v>0</v>
      </c>
      <c r="E4642">
        <v>650000</v>
      </c>
      <c r="F4642" t="s">
        <v>176</v>
      </c>
      <c r="G4642" t="s">
        <v>177</v>
      </c>
      <c r="H4642" s="8">
        <v>44834</v>
      </c>
      <c r="I4642" s="8">
        <v>46659</v>
      </c>
      <c r="J4642" t="s">
        <v>156</v>
      </c>
    </row>
    <row r="4643" spans="1:10" x14ac:dyDescent="0.35">
      <c r="A4643" t="s">
        <v>175</v>
      </c>
      <c r="B4643" s="8">
        <v>45108</v>
      </c>
      <c r="C4643">
        <v>650000</v>
      </c>
      <c r="D4643">
        <v>56352</v>
      </c>
      <c r="E4643">
        <v>593648</v>
      </c>
      <c r="F4643" t="s">
        <v>176</v>
      </c>
      <c r="G4643" t="s">
        <v>177</v>
      </c>
      <c r="H4643" s="8">
        <v>44834</v>
      </c>
      <c r="I4643" s="8">
        <v>46659</v>
      </c>
      <c r="J4643" t="s">
        <v>156</v>
      </c>
    </row>
    <row r="4644" spans="1:10" x14ac:dyDescent="0.35">
      <c r="A4644" t="s">
        <v>175</v>
      </c>
      <c r="B4644" s="8">
        <v>45139</v>
      </c>
      <c r="C4644">
        <v>650000</v>
      </c>
      <c r="D4644">
        <v>56352</v>
      </c>
      <c r="E4644">
        <v>593648</v>
      </c>
      <c r="F4644" t="s">
        <v>176</v>
      </c>
      <c r="G4644" t="s">
        <v>177</v>
      </c>
      <c r="H4644" s="8">
        <v>44834</v>
      </c>
      <c r="I4644" s="8">
        <v>46659</v>
      </c>
      <c r="J4644" t="s">
        <v>156</v>
      </c>
    </row>
    <row r="4645" spans="1:10" x14ac:dyDescent="0.35">
      <c r="A4645" t="s">
        <v>175</v>
      </c>
      <c r="B4645" s="8">
        <v>45170</v>
      </c>
      <c r="C4645">
        <v>1350000</v>
      </c>
      <c r="D4645">
        <v>262982.84000000003</v>
      </c>
      <c r="E4645">
        <v>1087017.1599999999</v>
      </c>
      <c r="F4645" t="s">
        <v>176</v>
      </c>
      <c r="G4645" t="s">
        <v>177</v>
      </c>
      <c r="H4645" s="8">
        <v>44834</v>
      </c>
      <c r="I4645" s="8">
        <v>46659</v>
      </c>
      <c r="J4645" t="s">
        <v>156</v>
      </c>
    </row>
    <row r="4646" spans="1:10" x14ac:dyDescent="0.35">
      <c r="A4646" t="s">
        <v>181</v>
      </c>
      <c r="B4646" s="8">
        <v>45017</v>
      </c>
      <c r="C4646">
        <v>4118770</v>
      </c>
      <c r="D4646">
        <v>0</v>
      </c>
      <c r="E4646">
        <v>4118770</v>
      </c>
      <c r="F4646" t="s">
        <v>182</v>
      </c>
      <c r="G4646" t="s">
        <v>183</v>
      </c>
      <c r="H4646" s="8">
        <v>44469</v>
      </c>
      <c r="I4646" s="8">
        <v>46294</v>
      </c>
      <c r="J4646" t="s">
        <v>156</v>
      </c>
    </row>
    <row r="4647" spans="1:10" x14ac:dyDescent="0.35">
      <c r="A4647" t="s">
        <v>181</v>
      </c>
      <c r="B4647" s="8">
        <v>45047</v>
      </c>
      <c r="C4647">
        <v>4118770</v>
      </c>
      <c r="D4647">
        <v>0</v>
      </c>
      <c r="E4647">
        <v>4118770</v>
      </c>
      <c r="F4647" t="s">
        <v>182</v>
      </c>
      <c r="G4647" t="s">
        <v>183</v>
      </c>
      <c r="H4647" s="8">
        <v>44469</v>
      </c>
      <c r="I4647" s="8">
        <v>46294</v>
      </c>
      <c r="J4647" t="s">
        <v>156</v>
      </c>
    </row>
    <row r="4648" spans="1:10" x14ac:dyDescent="0.35">
      <c r="A4648" t="s">
        <v>181</v>
      </c>
      <c r="B4648" s="8">
        <v>45078</v>
      </c>
      <c r="C4648">
        <v>4118770</v>
      </c>
      <c r="D4648">
        <v>0</v>
      </c>
      <c r="E4648">
        <v>4118770</v>
      </c>
      <c r="F4648" t="s">
        <v>182</v>
      </c>
      <c r="G4648" t="s">
        <v>183</v>
      </c>
      <c r="H4648" s="8">
        <v>44469</v>
      </c>
      <c r="I4648" s="8">
        <v>46294</v>
      </c>
      <c r="J4648" t="s">
        <v>156</v>
      </c>
    </row>
    <row r="4649" spans="1:10" x14ac:dyDescent="0.35">
      <c r="A4649" t="s">
        <v>181</v>
      </c>
      <c r="B4649" s="8">
        <v>45108</v>
      </c>
      <c r="C4649">
        <v>4118770</v>
      </c>
      <c r="D4649">
        <v>0</v>
      </c>
      <c r="E4649">
        <v>4118770</v>
      </c>
      <c r="F4649" t="s">
        <v>182</v>
      </c>
      <c r="G4649" t="s">
        <v>183</v>
      </c>
      <c r="H4649" s="8">
        <v>44469</v>
      </c>
      <c r="I4649" s="8">
        <v>46294</v>
      </c>
      <c r="J4649" t="s">
        <v>156</v>
      </c>
    </row>
    <row r="4650" spans="1:10" x14ac:dyDescent="0.35">
      <c r="A4650" t="s">
        <v>181</v>
      </c>
      <c r="B4650" s="8">
        <v>45139</v>
      </c>
      <c r="C4650">
        <v>4118770</v>
      </c>
      <c r="D4650">
        <v>168921.89</v>
      </c>
      <c r="E4650">
        <v>3949848.11</v>
      </c>
      <c r="F4650" t="s">
        <v>182</v>
      </c>
      <c r="G4650" t="s">
        <v>183</v>
      </c>
      <c r="H4650" s="8">
        <v>44469</v>
      </c>
      <c r="I4650" s="8">
        <v>46294</v>
      </c>
      <c r="J4650" t="s">
        <v>156</v>
      </c>
    </row>
    <row r="4651" spans="1:10" x14ac:dyDescent="0.35">
      <c r="A4651" t="s">
        <v>181</v>
      </c>
      <c r="B4651" s="8">
        <v>45170</v>
      </c>
      <c r="C4651">
        <v>15573276</v>
      </c>
      <c r="D4651">
        <v>2811211.07</v>
      </c>
      <c r="E4651">
        <v>12762064.93</v>
      </c>
      <c r="F4651" t="s">
        <v>182</v>
      </c>
      <c r="G4651" t="s">
        <v>183</v>
      </c>
      <c r="H4651" s="8">
        <v>44469</v>
      </c>
      <c r="I4651" s="8">
        <v>46294</v>
      </c>
      <c r="J4651" t="s">
        <v>156</v>
      </c>
    </row>
    <row r="4652" spans="1:10" x14ac:dyDescent="0.35">
      <c r="A4652" t="s">
        <v>184</v>
      </c>
      <c r="B4652" s="8">
        <v>44958</v>
      </c>
      <c r="C4652">
        <v>1471530</v>
      </c>
      <c r="D4652">
        <v>0</v>
      </c>
      <c r="E4652">
        <v>1471530</v>
      </c>
      <c r="F4652" t="s">
        <v>167</v>
      </c>
      <c r="G4652" t="s">
        <v>185</v>
      </c>
      <c r="H4652" s="8">
        <v>44104</v>
      </c>
      <c r="I4652" s="8">
        <v>45929</v>
      </c>
      <c r="J4652" t="s">
        <v>156</v>
      </c>
    </row>
    <row r="4653" spans="1:10" x14ac:dyDescent="0.35">
      <c r="A4653" t="s">
        <v>184</v>
      </c>
      <c r="B4653" s="8">
        <v>44986</v>
      </c>
      <c r="C4653">
        <v>1471530</v>
      </c>
      <c r="D4653">
        <v>0</v>
      </c>
      <c r="E4653">
        <v>1471530</v>
      </c>
      <c r="F4653" t="s">
        <v>167</v>
      </c>
      <c r="G4653" t="s">
        <v>185</v>
      </c>
      <c r="H4653" s="8">
        <v>44104</v>
      </c>
      <c r="I4653" s="8">
        <v>45929</v>
      </c>
      <c r="J4653" t="s">
        <v>156</v>
      </c>
    </row>
    <row r="4654" spans="1:10" x14ac:dyDescent="0.35">
      <c r="A4654" t="s">
        <v>184</v>
      </c>
      <c r="B4654" s="8">
        <v>45017</v>
      </c>
      <c r="C4654">
        <v>1471530</v>
      </c>
      <c r="D4654">
        <v>0</v>
      </c>
      <c r="E4654">
        <v>1471530</v>
      </c>
      <c r="F4654" t="s">
        <v>167</v>
      </c>
      <c r="G4654" t="s">
        <v>185</v>
      </c>
      <c r="H4654" s="8">
        <v>44104</v>
      </c>
      <c r="I4654" s="8">
        <v>45929</v>
      </c>
      <c r="J4654" t="s">
        <v>156</v>
      </c>
    </row>
    <row r="4655" spans="1:10" x14ac:dyDescent="0.35">
      <c r="A4655" t="s">
        <v>184</v>
      </c>
      <c r="B4655" s="8">
        <v>45047</v>
      </c>
      <c r="C4655">
        <v>1471530</v>
      </c>
      <c r="D4655">
        <v>0</v>
      </c>
      <c r="E4655">
        <v>1471530</v>
      </c>
      <c r="F4655" t="s">
        <v>167</v>
      </c>
      <c r="G4655" t="s">
        <v>185</v>
      </c>
      <c r="H4655" s="8">
        <v>44104</v>
      </c>
      <c r="I4655" s="8">
        <v>45929</v>
      </c>
      <c r="J4655" t="s">
        <v>156</v>
      </c>
    </row>
    <row r="4656" spans="1:10" x14ac:dyDescent="0.35">
      <c r="A4656" t="s">
        <v>184</v>
      </c>
      <c r="B4656" s="8">
        <v>45078</v>
      </c>
      <c r="C4656">
        <v>1471530</v>
      </c>
      <c r="D4656">
        <v>143482.70000000001</v>
      </c>
      <c r="E4656">
        <v>1328047.3</v>
      </c>
      <c r="F4656" t="s">
        <v>167</v>
      </c>
      <c r="G4656" t="s">
        <v>185</v>
      </c>
      <c r="H4656" s="8">
        <v>44104</v>
      </c>
      <c r="I4656" s="8">
        <v>45929</v>
      </c>
      <c r="J4656" t="s">
        <v>156</v>
      </c>
    </row>
    <row r="4657" spans="1:10" x14ac:dyDescent="0.35">
      <c r="A4657" t="s">
        <v>184</v>
      </c>
      <c r="B4657" s="8">
        <v>45108</v>
      </c>
      <c r="C4657">
        <v>1471530</v>
      </c>
      <c r="D4657">
        <v>143482.70000000001</v>
      </c>
      <c r="E4657">
        <v>1328047.3</v>
      </c>
      <c r="F4657" t="s">
        <v>167</v>
      </c>
      <c r="G4657" t="s">
        <v>185</v>
      </c>
      <c r="H4657" s="8">
        <v>44104</v>
      </c>
      <c r="I4657" s="8">
        <v>45929</v>
      </c>
      <c r="J4657" t="s">
        <v>156</v>
      </c>
    </row>
    <row r="4658" spans="1:10" x14ac:dyDescent="0.35">
      <c r="A4658" t="s">
        <v>184</v>
      </c>
      <c r="B4658" s="8">
        <v>45139</v>
      </c>
      <c r="C4658">
        <v>1471530</v>
      </c>
      <c r="D4658">
        <v>716416.83</v>
      </c>
      <c r="E4658">
        <v>755113.17</v>
      </c>
      <c r="F4658" t="s">
        <v>167</v>
      </c>
      <c r="G4658" t="s">
        <v>185</v>
      </c>
      <c r="H4658" s="8">
        <v>44104</v>
      </c>
      <c r="I4658" s="8">
        <v>45929</v>
      </c>
      <c r="J4658" t="s">
        <v>156</v>
      </c>
    </row>
    <row r="4659" spans="1:10" x14ac:dyDescent="0.35">
      <c r="A4659" t="s">
        <v>184</v>
      </c>
      <c r="B4659" s="8">
        <v>45170</v>
      </c>
      <c r="C4659">
        <v>3471530</v>
      </c>
      <c r="D4659">
        <v>976988.1</v>
      </c>
      <c r="E4659">
        <v>2494541.9</v>
      </c>
      <c r="F4659" t="s">
        <v>167</v>
      </c>
      <c r="G4659" t="s">
        <v>185</v>
      </c>
      <c r="H4659" s="8">
        <v>44104</v>
      </c>
      <c r="I4659" s="8">
        <v>45929</v>
      </c>
      <c r="J4659" t="s">
        <v>156</v>
      </c>
    </row>
    <row r="4660" spans="1:10" x14ac:dyDescent="0.35">
      <c r="A4660" t="s">
        <v>186</v>
      </c>
      <c r="B4660" s="8">
        <v>44409</v>
      </c>
      <c r="C4660">
        <v>669515</v>
      </c>
      <c r="D4660">
        <v>0</v>
      </c>
      <c r="E4660">
        <v>669515</v>
      </c>
      <c r="F4660" t="s">
        <v>167</v>
      </c>
      <c r="G4660" t="s">
        <v>187</v>
      </c>
      <c r="H4660" s="8">
        <v>44104</v>
      </c>
      <c r="I4660" s="8">
        <v>45929</v>
      </c>
      <c r="J4660" t="s">
        <v>156</v>
      </c>
    </row>
    <row r="4661" spans="1:10" x14ac:dyDescent="0.35">
      <c r="A4661" t="s">
        <v>186</v>
      </c>
      <c r="B4661" s="8">
        <v>44440</v>
      </c>
      <c r="C4661">
        <v>669515</v>
      </c>
      <c r="D4661">
        <v>0</v>
      </c>
      <c r="E4661">
        <v>669515</v>
      </c>
      <c r="F4661" t="s">
        <v>167</v>
      </c>
      <c r="G4661" t="s">
        <v>187</v>
      </c>
      <c r="H4661" s="8">
        <v>44104</v>
      </c>
      <c r="I4661" s="8">
        <v>45929</v>
      </c>
      <c r="J4661" t="s">
        <v>156</v>
      </c>
    </row>
    <row r="4662" spans="1:10" x14ac:dyDescent="0.35">
      <c r="A4662" t="s">
        <v>186</v>
      </c>
      <c r="B4662" s="8">
        <v>44470</v>
      </c>
      <c r="C4662">
        <v>669515</v>
      </c>
      <c r="D4662">
        <v>0</v>
      </c>
      <c r="E4662">
        <v>669515</v>
      </c>
      <c r="F4662" t="s">
        <v>167</v>
      </c>
      <c r="G4662" t="s">
        <v>187</v>
      </c>
      <c r="H4662" s="8">
        <v>44104</v>
      </c>
      <c r="I4662" s="8">
        <v>45929</v>
      </c>
      <c r="J4662" t="s">
        <v>156</v>
      </c>
    </row>
    <row r="4663" spans="1:10" x14ac:dyDescent="0.35">
      <c r="A4663" t="s">
        <v>186</v>
      </c>
      <c r="B4663" s="8">
        <v>44501</v>
      </c>
      <c r="C4663">
        <v>669515</v>
      </c>
      <c r="D4663">
        <v>0</v>
      </c>
      <c r="E4663">
        <v>669515</v>
      </c>
      <c r="F4663" t="s">
        <v>167</v>
      </c>
      <c r="G4663" t="s">
        <v>187</v>
      </c>
      <c r="H4663" s="8">
        <v>44104</v>
      </c>
      <c r="I4663" s="8">
        <v>45929</v>
      </c>
      <c r="J4663" t="s">
        <v>156</v>
      </c>
    </row>
    <row r="4664" spans="1:10" x14ac:dyDescent="0.35">
      <c r="A4664" t="s">
        <v>186</v>
      </c>
      <c r="B4664" s="8">
        <v>44531</v>
      </c>
      <c r="C4664">
        <v>669515</v>
      </c>
      <c r="D4664">
        <v>0</v>
      </c>
      <c r="E4664">
        <v>669515</v>
      </c>
      <c r="F4664" t="s">
        <v>167</v>
      </c>
      <c r="G4664" t="s">
        <v>187</v>
      </c>
      <c r="H4664" s="8">
        <v>44104</v>
      </c>
      <c r="I4664" s="8">
        <v>45929</v>
      </c>
      <c r="J4664" t="s">
        <v>156</v>
      </c>
    </row>
    <row r="4665" spans="1:10" x14ac:dyDescent="0.35">
      <c r="A4665" t="s">
        <v>186</v>
      </c>
      <c r="B4665" s="8">
        <v>44562</v>
      </c>
      <c r="C4665">
        <v>669515</v>
      </c>
      <c r="D4665">
        <v>0</v>
      </c>
      <c r="E4665">
        <v>669515</v>
      </c>
      <c r="F4665" t="s">
        <v>167</v>
      </c>
      <c r="G4665" t="s">
        <v>187</v>
      </c>
      <c r="H4665" s="8">
        <v>44104</v>
      </c>
      <c r="I4665" s="8">
        <v>45929</v>
      </c>
      <c r="J4665" t="s">
        <v>156</v>
      </c>
    </row>
    <row r="4666" spans="1:10" x14ac:dyDescent="0.35">
      <c r="A4666" t="s">
        <v>186</v>
      </c>
      <c r="B4666" s="8">
        <v>44593</v>
      </c>
      <c r="C4666">
        <v>669515</v>
      </c>
      <c r="D4666">
        <v>0</v>
      </c>
      <c r="E4666">
        <v>669515</v>
      </c>
      <c r="F4666" t="s">
        <v>167</v>
      </c>
      <c r="G4666" t="s">
        <v>187</v>
      </c>
      <c r="H4666" s="8">
        <v>44104</v>
      </c>
      <c r="I4666" s="8">
        <v>45929</v>
      </c>
      <c r="J4666" t="s">
        <v>156</v>
      </c>
    </row>
    <row r="4667" spans="1:10" x14ac:dyDescent="0.35">
      <c r="A4667" t="s">
        <v>186</v>
      </c>
      <c r="B4667" s="8">
        <v>44621</v>
      </c>
      <c r="C4667">
        <v>669515</v>
      </c>
      <c r="D4667">
        <v>0</v>
      </c>
      <c r="E4667">
        <v>669515</v>
      </c>
      <c r="F4667" t="s">
        <v>167</v>
      </c>
      <c r="G4667" t="s">
        <v>187</v>
      </c>
      <c r="H4667" s="8">
        <v>44104</v>
      </c>
      <c r="I4667" s="8">
        <v>45929</v>
      </c>
      <c r="J4667" t="s">
        <v>156</v>
      </c>
    </row>
    <row r="4668" spans="1:10" x14ac:dyDescent="0.35">
      <c r="A4668" t="s">
        <v>186</v>
      </c>
      <c r="B4668" s="8">
        <v>44652</v>
      </c>
      <c r="C4668">
        <v>669515</v>
      </c>
      <c r="D4668">
        <v>0</v>
      </c>
      <c r="E4668">
        <v>669515</v>
      </c>
      <c r="F4668" t="s">
        <v>167</v>
      </c>
      <c r="G4668" t="s">
        <v>187</v>
      </c>
      <c r="H4668" s="8">
        <v>44104</v>
      </c>
      <c r="I4668" s="8">
        <v>45929</v>
      </c>
      <c r="J4668" t="s">
        <v>156</v>
      </c>
    </row>
    <row r="4669" spans="1:10" x14ac:dyDescent="0.35">
      <c r="A4669" t="s">
        <v>186</v>
      </c>
      <c r="B4669" s="8">
        <v>44682</v>
      </c>
      <c r="C4669">
        <v>669515</v>
      </c>
      <c r="D4669">
        <v>0</v>
      </c>
      <c r="E4669">
        <v>669515</v>
      </c>
      <c r="F4669" t="s">
        <v>167</v>
      </c>
      <c r="G4669" t="s">
        <v>187</v>
      </c>
      <c r="H4669" s="8">
        <v>44104</v>
      </c>
      <c r="I4669" s="8">
        <v>45929</v>
      </c>
      <c r="J4669" t="s">
        <v>156</v>
      </c>
    </row>
    <row r="4670" spans="1:10" x14ac:dyDescent="0.35">
      <c r="A4670" t="s">
        <v>186</v>
      </c>
      <c r="B4670" s="8">
        <v>44713</v>
      </c>
      <c r="C4670">
        <v>669515</v>
      </c>
      <c r="D4670">
        <v>0</v>
      </c>
      <c r="E4670">
        <v>669515</v>
      </c>
      <c r="F4670" t="s">
        <v>167</v>
      </c>
      <c r="G4670" t="s">
        <v>187</v>
      </c>
      <c r="H4670" s="8">
        <v>44104</v>
      </c>
      <c r="I4670" s="8">
        <v>45929</v>
      </c>
      <c r="J4670" t="s">
        <v>156</v>
      </c>
    </row>
    <row r="4671" spans="1:10" x14ac:dyDescent="0.35">
      <c r="A4671" t="s">
        <v>186</v>
      </c>
      <c r="B4671" s="8">
        <v>44743</v>
      </c>
      <c r="C4671">
        <v>669515</v>
      </c>
      <c r="D4671">
        <v>0</v>
      </c>
      <c r="E4671">
        <v>669515</v>
      </c>
      <c r="F4671" t="s">
        <v>167</v>
      </c>
      <c r="G4671" t="s">
        <v>187</v>
      </c>
      <c r="H4671" s="8">
        <v>44104</v>
      </c>
      <c r="I4671" s="8">
        <v>45929</v>
      </c>
      <c r="J4671" t="s">
        <v>156</v>
      </c>
    </row>
    <row r="4672" spans="1:10" x14ac:dyDescent="0.35">
      <c r="A4672" t="s">
        <v>186</v>
      </c>
      <c r="B4672" s="8">
        <v>44774</v>
      </c>
      <c r="C4672">
        <v>669515</v>
      </c>
      <c r="D4672">
        <v>0</v>
      </c>
      <c r="E4672">
        <v>669515</v>
      </c>
      <c r="F4672" t="s">
        <v>167</v>
      </c>
      <c r="G4672" t="s">
        <v>187</v>
      </c>
      <c r="H4672" s="8">
        <v>44104</v>
      </c>
      <c r="I4672" s="8">
        <v>45929</v>
      </c>
      <c r="J4672" t="s">
        <v>156</v>
      </c>
    </row>
    <row r="4673" spans="1:10" x14ac:dyDescent="0.35">
      <c r="A4673" t="s">
        <v>186</v>
      </c>
      <c r="B4673" s="8">
        <v>44805</v>
      </c>
      <c r="C4673">
        <v>669515</v>
      </c>
      <c r="D4673">
        <v>168040</v>
      </c>
      <c r="E4673">
        <v>501475</v>
      </c>
      <c r="F4673" t="s">
        <v>167</v>
      </c>
      <c r="G4673" t="s">
        <v>187</v>
      </c>
      <c r="H4673" s="8">
        <v>44104</v>
      </c>
      <c r="I4673" s="8">
        <v>45929</v>
      </c>
      <c r="J4673" t="s">
        <v>156</v>
      </c>
    </row>
    <row r="4674" spans="1:10" x14ac:dyDescent="0.35">
      <c r="A4674" t="s">
        <v>186</v>
      </c>
      <c r="B4674" s="8">
        <v>44835</v>
      </c>
      <c r="C4674">
        <v>669515</v>
      </c>
      <c r="D4674">
        <v>168040</v>
      </c>
      <c r="E4674">
        <v>501475</v>
      </c>
      <c r="F4674" t="s">
        <v>167</v>
      </c>
      <c r="G4674" t="s">
        <v>187</v>
      </c>
      <c r="H4674" s="8">
        <v>44104</v>
      </c>
      <c r="I4674" s="8">
        <v>45929</v>
      </c>
      <c r="J4674" t="s">
        <v>156</v>
      </c>
    </row>
    <row r="4675" spans="1:10" x14ac:dyDescent="0.35">
      <c r="A4675" t="s">
        <v>186</v>
      </c>
      <c r="B4675" s="8">
        <v>44866</v>
      </c>
      <c r="C4675">
        <v>669515</v>
      </c>
      <c r="D4675">
        <v>249206.59999999899</v>
      </c>
      <c r="E4675">
        <v>420308.39999999898</v>
      </c>
      <c r="F4675" t="s">
        <v>167</v>
      </c>
      <c r="G4675" t="s">
        <v>187</v>
      </c>
      <c r="H4675" s="8">
        <v>44104</v>
      </c>
      <c r="I4675" s="8">
        <v>45929</v>
      </c>
      <c r="J4675" t="s">
        <v>156</v>
      </c>
    </row>
    <row r="4676" spans="1:10" x14ac:dyDescent="0.35">
      <c r="A4676" t="s">
        <v>186</v>
      </c>
      <c r="B4676" s="8">
        <v>44896</v>
      </c>
      <c r="C4676">
        <v>669515</v>
      </c>
      <c r="D4676">
        <v>249206.59999999899</v>
      </c>
      <c r="E4676">
        <v>420308.39999999898</v>
      </c>
      <c r="F4676" t="s">
        <v>167</v>
      </c>
      <c r="G4676" t="s">
        <v>187</v>
      </c>
      <c r="H4676" s="8">
        <v>44104</v>
      </c>
      <c r="I4676" s="8">
        <v>45929</v>
      </c>
      <c r="J4676" t="s">
        <v>156</v>
      </c>
    </row>
    <row r="4677" spans="1:10" x14ac:dyDescent="0.35">
      <c r="A4677" t="s">
        <v>186</v>
      </c>
      <c r="B4677" s="8">
        <v>44927</v>
      </c>
      <c r="C4677">
        <v>669515</v>
      </c>
      <c r="D4677">
        <v>249206.59999999899</v>
      </c>
      <c r="E4677">
        <v>420308.39999999898</v>
      </c>
      <c r="F4677" t="s">
        <v>167</v>
      </c>
      <c r="G4677" t="s">
        <v>187</v>
      </c>
      <c r="H4677" s="8">
        <v>44104</v>
      </c>
      <c r="I4677" s="8">
        <v>45929</v>
      </c>
      <c r="J4677" t="s">
        <v>156</v>
      </c>
    </row>
    <row r="4678" spans="1:10" x14ac:dyDescent="0.35">
      <c r="A4678" t="s">
        <v>186</v>
      </c>
      <c r="B4678" s="8">
        <v>44958</v>
      </c>
      <c r="C4678">
        <v>669515</v>
      </c>
      <c r="D4678">
        <v>249206.59999999899</v>
      </c>
      <c r="E4678">
        <v>420308.39999999898</v>
      </c>
      <c r="F4678" t="s">
        <v>167</v>
      </c>
      <c r="G4678" t="s">
        <v>187</v>
      </c>
      <c r="H4678" s="8">
        <v>44104</v>
      </c>
      <c r="I4678" s="8">
        <v>45929</v>
      </c>
      <c r="J4678" t="s">
        <v>156</v>
      </c>
    </row>
    <row r="4679" spans="1:10" x14ac:dyDescent="0.35">
      <c r="A4679" t="s">
        <v>186</v>
      </c>
      <c r="B4679" s="8">
        <v>44986</v>
      </c>
      <c r="C4679">
        <v>669515</v>
      </c>
      <c r="D4679">
        <v>249206.59999999899</v>
      </c>
      <c r="E4679">
        <v>420308.39999999898</v>
      </c>
      <c r="F4679" t="s">
        <v>167</v>
      </c>
      <c r="G4679" t="s">
        <v>187</v>
      </c>
      <c r="H4679" s="8">
        <v>44104</v>
      </c>
      <c r="I4679" s="8">
        <v>45929</v>
      </c>
      <c r="J4679" t="s">
        <v>156</v>
      </c>
    </row>
    <row r="4680" spans="1:10" x14ac:dyDescent="0.35">
      <c r="A4680" t="s">
        <v>186</v>
      </c>
      <c r="B4680" s="8">
        <v>45017</v>
      </c>
      <c r="C4680">
        <v>669515</v>
      </c>
      <c r="D4680">
        <v>249206.59999999899</v>
      </c>
      <c r="E4680">
        <v>420308.39999999898</v>
      </c>
      <c r="F4680" t="s">
        <v>167</v>
      </c>
      <c r="G4680" t="s">
        <v>187</v>
      </c>
      <c r="H4680" s="8">
        <v>44104</v>
      </c>
      <c r="I4680" s="8">
        <v>45929</v>
      </c>
      <c r="J4680" t="s">
        <v>156</v>
      </c>
    </row>
    <row r="4681" spans="1:10" x14ac:dyDescent="0.35">
      <c r="A4681" t="s">
        <v>186</v>
      </c>
      <c r="B4681" s="8">
        <v>45047</v>
      </c>
      <c r="C4681">
        <v>669515</v>
      </c>
      <c r="D4681">
        <v>249206.59999999899</v>
      </c>
      <c r="E4681">
        <v>420308.39999999898</v>
      </c>
      <c r="F4681" t="s">
        <v>167</v>
      </c>
      <c r="G4681" t="s">
        <v>187</v>
      </c>
      <c r="H4681" s="8">
        <v>44104</v>
      </c>
      <c r="I4681" s="8">
        <v>45929</v>
      </c>
      <c r="J4681" t="s">
        <v>156</v>
      </c>
    </row>
    <row r="4682" spans="1:10" x14ac:dyDescent="0.35">
      <c r="A4682" t="s">
        <v>186</v>
      </c>
      <c r="B4682" s="8">
        <v>45078</v>
      </c>
      <c r="C4682">
        <v>669515</v>
      </c>
      <c r="D4682">
        <v>249206.59999999899</v>
      </c>
      <c r="E4682">
        <v>420308.39999999898</v>
      </c>
      <c r="F4682" t="s">
        <v>167</v>
      </c>
      <c r="G4682" t="s">
        <v>187</v>
      </c>
      <c r="H4682" s="8">
        <v>44104</v>
      </c>
      <c r="I4682" s="8">
        <v>45929</v>
      </c>
      <c r="J4682" t="s">
        <v>156</v>
      </c>
    </row>
    <row r="4683" spans="1:10" x14ac:dyDescent="0.35">
      <c r="A4683" t="s">
        <v>186</v>
      </c>
      <c r="B4683" s="8">
        <v>45108</v>
      </c>
      <c r="C4683">
        <v>669515</v>
      </c>
      <c r="D4683">
        <v>249206.59999999899</v>
      </c>
      <c r="E4683">
        <v>420308.39999999898</v>
      </c>
      <c r="F4683" t="s">
        <v>167</v>
      </c>
      <c r="G4683" t="s">
        <v>187</v>
      </c>
      <c r="H4683" s="8">
        <v>44104</v>
      </c>
      <c r="I4683" s="8">
        <v>45929</v>
      </c>
      <c r="J4683" t="s">
        <v>156</v>
      </c>
    </row>
    <row r="4684" spans="1:10" x14ac:dyDescent="0.35">
      <c r="A4684" t="s">
        <v>186</v>
      </c>
      <c r="B4684" s="8">
        <v>45139</v>
      </c>
      <c r="C4684">
        <v>669515</v>
      </c>
      <c r="D4684">
        <v>249206.59999999899</v>
      </c>
      <c r="E4684">
        <v>420308.39999999898</v>
      </c>
      <c r="F4684" t="s">
        <v>167</v>
      </c>
      <c r="G4684" t="s">
        <v>187</v>
      </c>
      <c r="H4684" s="8">
        <v>44104</v>
      </c>
      <c r="I4684" s="8">
        <v>45929</v>
      </c>
      <c r="J4684" t="s">
        <v>156</v>
      </c>
    </row>
    <row r="4685" spans="1:10" x14ac:dyDescent="0.35">
      <c r="A4685" t="s">
        <v>186</v>
      </c>
      <c r="B4685" s="8">
        <v>45170</v>
      </c>
      <c r="C4685">
        <v>669515</v>
      </c>
      <c r="D4685">
        <v>249206.59999999899</v>
      </c>
      <c r="E4685">
        <v>420308.39999999898</v>
      </c>
      <c r="F4685" t="s">
        <v>167</v>
      </c>
      <c r="G4685" t="s">
        <v>187</v>
      </c>
      <c r="H4685" s="8">
        <v>44104</v>
      </c>
      <c r="I4685" s="8">
        <v>45929</v>
      </c>
      <c r="J4685" t="s">
        <v>156</v>
      </c>
    </row>
    <row r="4686" spans="1:10" x14ac:dyDescent="0.35">
      <c r="A4686" t="s">
        <v>7</v>
      </c>
      <c r="B4686" s="8">
        <v>44105</v>
      </c>
      <c r="C4686">
        <v>1628724</v>
      </c>
      <c r="D4686">
        <v>471219.59</v>
      </c>
      <c r="E4686">
        <v>1157504.4099999999</v>
      </c>
      <c r="F4686" t="s">
        <v>182</v>
      </c>
      <c r="G4686" t="s">
        <v>188</v>
      </c>
      <c r="H4686" s="8">
        <v>42643</v>
      </c>
      <c r="I4686" s="8">
        <v>44833</v>
      </c>
      <c r="J4686" t="s">
        <v>189</v>
      </c>
    </row>
    <row r="4687" spans="1:10" x14ac:dyDescent="0.35">
      <c r="A4687" t="s">
        <v>7</v>
      </c>
      <c r="B4687" s="8">
        <v>44136</v>
      </c>
      <c r="C4687">
        <v>1628724</v>
      </c>
      <c r="D4687">
        <v>471219.59</v>
      </c>
      <c r="E4687">
        <v>1157504.4099999999</v>
      </c>
      <c r="F4687" t="s">
        <v>182</v>
      </c>
      <c r="G4687" t="s">
        <v>188</v>
      </c>
      <c r="H4687" s="8">
        <v>42643</v>
      </c>
      <c r="I4687" s="8">
        <v>44833</v>
      </c>
      <c r="J4687" t="s">
        <v>189</v>
      </c>
    </row>
    <row r="4688" spans="1:10" x14ac:dyDescent="0.35">
      <c r="A4688" t="s">
        <v>7</v>
      </c>
      <c r="B4688" s="8">
        <v>44166</v>
      </c>
      <c r="C4688">
        <v>1628724</v>
      </c>
      <c r="D4688" s="12" t="s">
        <v>190</v>
      </c>
      <c r="E4688">
        <v>1109247.8899999999</v>
      </c>
      <c r="F4688" t="s">
        <v>182</v>
      </c>
      <c r="G4688" t="s">
        <v>188</v>
      </c>
      <c r="H4688" s="8">
        <v>42643</v>
      </c>
      <c r="I4688" s="8">
        <v>44833</v>
      </c>
      <c r="J4688" t="s">
        <v>189</v>
      </c>
    </row>
    <row r="4689" spans="1:10" x14ac:dyDescent="0.35">
      <c r="A4689" t="s">
        <v>7</v>
      </c>
      <c r="B4689" s="8">
        <v>44197</v>
      </c>
      <c r="C4689">
        <v>1628724</v>
      </c>
      <c r="D4689">
        <v>594969.06000000006</v>
      </c>
      <c r="E4689" s="12" t="s">
        <v>191</v>
      </c>
      <c r="F4689" t="s">
        <v>182</v>
      </c>
      <c r="G4689" t="s">
        <v>188</v>
      </c>
      <c r="H4689" s="8">
        <v>42643</v>
      </c>
      <c r="I4689" s="8">
        <v>44833</v>
      </c>
      <c r="J4689" t="s">
        <v>189</v>
      </c>
    </row>
    <row r="4690" spans="1:10" x14ac:dyDescent="0.35">
      <c r="A4690" t="s">
        <v>7</v>
      </c>
      <c r="B4690" s="8">
        <v>44228</v>
      </c>
      <c r="C4690">
        <v>1628724</v>
      </c>
      <c r="D4690">
        <v>612582.63</v>
      </c>
      <c r="E4690">
        <v>1016141.37</v>
      </c>
      <c r="F4690" t="s">
        <v>182</v>
      </c>
      <c r="G4690" t="s">
        <v>188</v>
      </c>
      <c r="H4690" s="8">
        <v>42643</v>
      </c>
      <c r="I4690" s="8">
        <v>44833</v>
      </c>
      <c r="J4690" t="s">
        <v>189</v>
      </c>
    </row>
    <row r="4691" spans="1:10" x14ac:dyDescent="0.35">
      <c r="A4691" t="s">
        <v>7</v>
      </c>
      <c r="B4691" s="8">
        <v>44256</v>
      </c>
      <c r="C4691">
        <v>1628724</v>
      </c>
      <c r="D4691">
        <v>652946.49</v>
      </c>
      <c r="E4691">
        <v>975777.51</v>
      </c>
      <c r="F4691" t="s">
        <v>182</v>
      </c>
      <c r="G4691" t="s">
        <v>188</v>
      </c>
      <c r="H4691" s="8">
        <v>42643</v>
      </c>
      <c r="I4691" s="8">
        <v>44833</v>
      </c>
      <c r="J4691" t="s">
        <v>189</v>
      </c>
    </row>
    <row r="4692" spans="1:10" x14ac:dyDescent="0.35">
      <c r="A4692" t="s">
        <v>7</v>
      </c>
      <c r="B4692" s="8">
        <v>44287</v>
      </c>
      <c r="C4692">
        <v>1000000</v>
      </c>
      <c r="D4692">
        <v>264706</v>
      </c>
      <c r="E4692">
        <v>735294</v>
      </c>
      <c r="F4692" t="s">
        <v>182</v>
      </c>
      <c r="G4692" t="s">
        <v>188</v>
      </c>
      <c r="H4692" s="8">
        <v>42643</v>
      </c>
      <c r="I4692" s="8">
        <v>44833</v>
      </c>
      <c r="J4692" t="s">
        <v>189</v>
      </c>
    </row>
    <row r="4693" spans="1:10" x14ac:dyDescent="0.35">
      <c r="A4693" t="s">
        <v>7</v>
      </c>
      <c r="B4693" s="8">
        <v>44317</v>
      </c>
      <c r="C4693">
        <v>1628724</v>
      </c>
      <c r="D4693">
        <v>816739.86</v>
      </c>
      <c r="E4693">
        <v>811984.14</v>
      </c>
      <c r="F4693" t="s">
        <v>182</v>
      </c>
      <c r="G4693" t="s">
        <v>188</v>
      </c>
      <c r="H4693" s="8">
        <v>42643</v>
      </c>
      <c r="I4693" s="8">
        <v>44833</v>
      </c>
      <c r="J4693" t="s">
        <v>189</v>
      </c>
    </row>
    <row r="4694" spans="1:10" x14ac:dyDescent="0.35">
      <c r="A4694" t="s">
        <v>7</v>
      </c>
      <c r="B4694" s="8">
        <v>44348</v>
      </c>
      <c r="C4694">
        <v>1628724</v>
      </c>
      <c r="D4694" s="12" t="s">
        <v>192</v>
      </c>
      <c r="E4694">
        <v>701518.93</v>
      </c>
      <c r="F4694" t="s">
        <v>182</v>
      </c>
      <c r="G4694" t="s">
        <v>188</v>
      </c>
      <c r="H4694" s="8">
        <v>42643</v>
      </c>
      <c r="I4694" s="8">
        <v>44833</v>
      </c>
      <c r="J4694" t="s">
        <v>189</v>
      </c>
    </row>
    <row r="4695" spans="1:10" x14ac:dyDescent="0.35">
      <c r="A4695" t="s">
        <v>7</v>
      </c>
      <c r="B4695" s="8">
        <v>44378</v>
      </c>
      <c r="C4695">
        <v>1628724</v>
      </c>
      <c r="D4695" s="12" t="s">
        <v>192</v>
      </c>
      <c r="E4695">
        <v>701518.93</v>
      </c>
      <c r="F4695" t="s">
        <v>182</v>
      </c>
      <c r="G4695" t="s">
        <v>188</v>
      </c>
      <c r="H4695" s="8">
        <v>42643</v>
      </c>
      <c r="I4695" s="8">
        <v>44833</v>
      </c>
      <c r="J4695" t="s">
        <v>189</v>
      </c>
    </row>
    <row r="4696" spans="1:10" x14ac:dyDescent="0.35">
      <c r="A4696" t="s">
        <v>7</v>
      </c>
      <c r="B4696" s="8">
        <v>44409</v>
      </c>
      <c r="C4696">
        <v>1628724</v>
      </c>
      <c r="D4696">
        <v>981175.89</v>
      </c>
      <c r="E4696">
        <v>647548.11</v>
      </c>
      <c r="F4696" t="s">
        <v>182</v>
      </c>
      <c r="G4696" t="s">
        <v>188</v>
      </c>
      <c r="H4696" s="8">
        <v>42643</v>
      </c>
      <c r="I4696" s="8">
        <v>44833</v>
      </c>
      <c r="J4696" t="s">
        <v>189</v>
      </c>
    </row>
    <row r="4697" spans="1:10" x14ac:dyDescent="0.35">
      <c r="A4697" t="s">
        <v>7</v>
      </c>
      <c r="B4697" s="8">
        <v>44440</v>
      </c>
      <c r="C4697">
        <v>1628724</v>
      </c>
      <c r="D4697">
        <v>1187798.5</v>
      </c>
      <c r="E4697">
        <v>440925.5</v>
      </c>
      <c r="F4697" t="s">
        <v>182</v>
      </c>
      <c r="G4697" t="s">
        <v>188</v>
      </c>
      <c r="H4697" s="8">
        <v>42643</v>
      </c>
      <c r="I4697" s="8">
        <v>44833</v>
      </c>
      <c r="J4697" t="s">
        <v>189</v>
      </c>
    </row>
    <row r="4698" spans="1:10" x14ac:dyDescent="0.35">
      <c r="A4698" t="s">
        <v>7</v>
      </c>
      <c r="B4698" s="8">
        <v>44470</v>
      </c>
      <c r="C4698">
        <v>1628724</v>
      </c>
      <c r="D4698">
        <v>1187798.5</v>
      </c>
      <c r="E4698">
        <v>440925.5</v>
      </c>
      <c r="F4698" t="s">
        <v>182</v>
      </c>
      <c r="G4698" t="s">
        <v>188</v>
      </c>
      <c r="H4698" s="8">
        <v>42643</v>
      </c>
      <c r="I4698" s="8">
        <v>44833</v>
      </c>
      <c r="J4698" t="s">
        <v>189</v>
      </c>
    </row>
    <row r="4699" spans="1:10" x14ac:dyDescent="0.35">
      <c r="A4699" t="s">
        <v>7</v>
      </c>
      <c r="B4699" s="8">
        <v>44501</v>
      </c>
      <c r="C4699">
        <v>1628724</v>
      </c>
      <c r="D4699">
        <v>1187798.5</v>
      </c>
      <c r="E4699">
        <v>440925.5</v>
      </c>
      <c r="F4699" t="s">
        <v>182</v>
      </c>
      <c r="G4699" t="s">
        <v>188</v>
      </c>
      <c r="H4699" s="8">
        <v>42643</v>
      </c>
      <c r="I4699" s="8">
        <v>44833</v>
      </c>
      <c r="J4699" t="s">
        <v>189</v>
      </c>
    </row>
    <row r="4700" spans="1:10" x14ac:dyDescent="0.35">
      <c r="A4700" t="s">
        <v>7</v>
      </c>
      <c r="B4700" s="8">
        <v>44531</v>
      </c>
      <c r="C4700">
        <v>1628724</v>
      </c>
      <c r="D4700" s="12" t="s">
        <v>193</v>
      </c>
      <c r="E4700">
        <v>398803.07</v>
      </c>
      <c r="F4700" t="s">
        <v>182</v>
      </c>
      <c r="G4700" t="s">
        <v>188</v>
      </c>
      <c r="H4700" s="8">
        <v>42643</v>
      </c>
      <c r="I4700" s="8">
        <v>44833</v>
      </c>
      <c r="J4700" t="s">
        <v>189</v>
      </c>
    </row>
    <row r="4701" spans="1:10" x14ac:dyDescent="0.35">
      <c r="A4701" t="s">
        <v>7</v>
      </c>
      <c r="B4701" s="8">
        <v>44562</v>
      </c>
      <c r="C4701">
        <v>1628724</v>
      </c>
      <c r="D4701" s="12" t="s">
        <v>193</v>
      </c>
      <c r="E4701">
        <v>398803.07</v>
      </c>
      <c r="F4701" t="s">
        <v>182</v>
      </c>
      <c r="G4701" t="s">
        <v>188</v>
      </c>
      <c r="H4701" s="8">
        <v>42643</v>
      </c>
      <c r="I4701" s="8">
        <v>44833</v>
      </c>
      <c r="J4701" t="s">
        <v>189</v>
      </c>
    </row>
    <row r="4702" spans="1:10" x14ac:dyDescent="0.35">
      <c r="A4702" t="s">
        <v>7</v>
      </c>
      <c r="B4702" s="8">
        <v>44593</v>
      </c>
      <c r="C4702">
        <v>1628724</v>
      </c>
      <c r="D4702" s="12" t="s">
        <v>193</v>
      </c>
      <c r="E4702">
        <v>398803.07</v>
      </c>
      <c r="F4702" t="s">
        <v>182</v>
      </c>
      <c r="G4702" t="s">
        <v>188</v>
      </c>
      <c r="H4702" s="8">
        <v>42643</v>
      </c>
      <c r="I4702" s="8">
        <v>44833</v>
      </c>
      <c r="J4702" t="s">
        <v>189</v>
      </c>
    </row>
    <row r="4703" spans="1:10" x14ac:dyDescent="0.35">
      <c r="A4703" t="s">
        <v>7</v>
      </c>
      <c r="B4703" s="8">
        <v>44621</v>
      </c>
      <c r="C4703">
        <v>1628724</v>
      </c>
      <c r="D4703">
        <v>1265515.1200000001</v>
      </c>
      <c r="E4703">
        <v>363208.88</v>
      </c>
      <c r="F4703" t="s">
        <v>182</v>
      </c>
      <c r="G4703" t="s">
        <v>188</v>
      </c>
      <c r="H4703" s="8">
        <v>42643</v>
      </c>
      <c r="I4703" s="8">
        <v>44833</v>
      </c>
      <c r="J4703" t="s">
        <v>189</v>
      </c>
    </row>
    <row r="4704" spans="1:10" x14ac:dyDescent="0.35">
      <c r="A4704" t="s">
        <v>7</v>
      </c>
      <c r="B4704" s="8">
        <v>44652</v>
      </c>
      <c r="C4704">
        <v>1628724</v>
      </c>
      <c r="D4704">
        <v>1358148.63</v>
      </c>
      <c r="E4704">
        <v>270575.37</v>
      </c>
      <c r="F4704" t="s">
        <v>182</v>
      </c>
      <c r="G4704" t="s">
        <v>188</v>
      </c>
      <c r="H4704" s="8">
        <v>42643</v>
      </c>
      <c r="I4704" s="8">
        <v>44833</v>
      </c>
      <c r="J4704" t="s">
        <v>189</v>
      </c>
    </row>
    <row r="4705" spans="1:10" x14ac:dyDescent="0.35">
      <c r="A4705" t="s">
        <v>7</v>
      </c>
      <c r="B4705" s="8">
        <v>44682</v>
      </c>
      <c r="C4705">
        <v>1628724</v>
      </c>
      <c r="D4705">
        <v>1366201.62</v>
      </c>
      <c r="E4705">
        <v>262522.38</v>
      </c>
      <c r="F4705" t="s">
        <v>182</v>
      </c>
      <c r="G4705" t="s">
        <v>188</v>
      </c>
      <c r="H4705" s="8">
        <v>42643</v>
      </c>
      <c r="I4705" s="8">
        <v>44833</v>
      </c>
      <c r="J4705" t="s">
        <v>189</v>
      </c>
    </row>
    <row r="4706" spans="1:10" x14ac:dyDescent="0.35">
      <c r="A4706" t="s">
        <v>7</v>
      </c>
      <c r="B4706" s="8">
        <v>44713</v>
      </c>
      <c r="C4706">
        <v>1628724</v>
      </c>
      <c r="D4706">
        <v>1388945.56</v>
      </c>
      <c r="E4706">
        <v>239778.44</v>
      </c>
      <c r="F4706" t="s">
        <v>182</v>
      </c>
      <c r="G4706" t="s">
        <v>188</v>
      </c>
      <c r="H4706" s="8">
        <v>42643</v>
      </c>
      <c r="I4706" s="8">
        <v>44833</v>
      </c>
      <c r="J4706" t="s">
        <v>189</v>
      </c>
    </row>
    <row r="4707" spans="1:10" x14ac:dyDescent="0.35">
      <c r="A4707" t="s">
        <v>7</v>
      </c>
      <c r="B4707" s="8">
        <v>44743</v>
      </c>
      <c r="C4707">
        <v>1628724</v>
      </c>
      <c r="D4707" s="12" t="s">
        <v>194</v>
      </c>
      <c r="E4707" s="12" t="s">
        <v>195</v>
      </c>
      <c r="F4707" t="s">
        <v>182</v>
      </c>
      <c r="G4707" t="s">
        <v>188</v>
      </c>
      <c r="H4707" s="8">
        <v>42643</v>
      </c>
      <c r="I4707" s="8">
        <v>44833</v>
      </c>
      <c r="J4707" t="s">
        <v>189</v>
      </c>
    </row>
    <row r="4708" spans="1:10" x14ac:dyDescent="0.35">
      <c r="A4708" t="s">
        <v>7</v>
      </c>
      <c r="B4708" s="8">
        <v>44774</v>
      </c>
      <c r="C4708">
        <v>1628724</v>
      </c>
      <c r="D4708">
        <v>1469638.51</v>
      </c>
      <c r="E4708">
        <v>159085.49</v>
      </c>
      <c r="F4708" t="s">
        <v>182</v>
      </c>
      <c r="G4708" t="s">
        <v>188</v>
      </c>
      <c r="H4708" s="8">
        <v>42643</v>
      </c>
      <c r="I4708" s="8">
        <v>44833</v>
      </c>
      <c r="J4708" t="s">
        <v>189</v>
      </c>
    </row>
    <row r="4709" spans="1:10" x14ac:dyDescent="0.35">
      <c r="A4709" t="s">
        <v>7</v>
      </c>
      <c r="B4709" s="8">
        <v>44805</v>
      </c>
      <c r="C4709">
        <v>1628724</v>
      </c>
      <c r="D4709">
        <v>1500013.88</v>
      </c>
      <c r="E4709">
        <v>128710.12</v>
      </c>
      <c r="F4709" t="s">
        <v>182</v>
      </c>
      <c r="G4709" t="s">
        <v>188</v>
      </c>
      <c r="H4709" s="8">
        <v>42643</v>
      </c>
      <c r="I4709" s="8">
        <v>44833</v>
      </c>
      <c r="J4709" t="s">
        <v>189</v>
      </c>
    </row>
    <row r="4710" spans="1:10" x14ac:dyDescent="0.35">
      <c r="A4710" t="s">
        <v>7</v>
      </c>
      <c r="B4710" s="8">
        <v>44835</v>
      </c>
      <c r="C4710">
        <v>1628724</v>
      </c>
      <c r="D4710">
        <v>1574960.26</v>
      </c>
      <c r="E4710">
        <v>53763.74</v>
      </c>
      <c r="F4710" t="s">
        <v>182</v>
      </c>
      <c r="G4710" t="s">
        <v>188</v>
      </c>
      <c r="H4710" s="8">
        <v>42643</v>
      </c>
      <c r="I4710" s="8">
        <v>44833</v>
      </c>
      <c r="J4710" t="s">
        <v>189</v>
      </c>
    </row>
    <row r="4711" spans="1:10" x14ac:dyDescent="0.35">
      <c r="A4711" t="s">
        <v>7</v>
      </c>
      <c r="B4711" s="8">
        <v>44866</v>
      </c>
      <c r="C4711">
        <v>1628724</v>
      </c>
      <c r="D4711">
        <v>1574960.26</v>
      </c>
      <c r="E4711">
        <v>53763.74</v>
      </c>
      <c r="F4711" t="s">
        <v>182</v>
      </c>
      <c r="G4711" t="s">
        <v>188</v>
      </c>
      <c r="H4711" s="8">
        <v>42643</v>
      </c>
      <c r="I4711" s="8">
        <v>44833</v>
      </c>
      <c r="J4711" t="s">
        <v>189</v>
      </c>
    </row>
    <row r="4712" spans="1:10" x14ac:dyDescent="0.35">
      <c r="A4712" t="s">
        <v>7</v>
      </c>
      <c r="B4712" s="8">
        <v>44896</v>
      </c>
      <c r="C4712">
        <v>1628724</v>
      </c>
      <c r="D4712">
        <v>1574960.26</v>
      </c>
      <c r="E4712">
        <v>53763.74</v>
      </c>
      <c r="F4712" t="s">
        <v>182</v>
      </c>
      <c r="G4712" t="s">
        <v>188</v>
      </c>
      <c r="H4712" s="8">
        <v>42643</v>
      </c>
      <c r="I4712" s="8">
        <v>44833</v>
      </c>
      <c r="J4712" t="s">
        <v>189</v>
      </c>
    </row>
    <row r="4713" spans="1:10" x14ac:dyDescent="0.35">
      <c r="A4713" t="s">
        <v>7</v>
      </c>
      <c r="B4713" s="8">
        <v>44927</v>
      </c>
      <c r="C4713">
        <v>1628724</v>
      </c>
      <c r="D4713">
        <v>1574960.26</v>
      </c>
      <c r="E4713">
        <v>53763.74</v>
      </c>
      <c r="F4713" t="s">
        <v>182</v>
      </c>
      <c r="G4713" t="s">
        <v>188</v>
      </c>
      <c r="H4713" s="8">
        <v>42643</v>
      </c>
      <c r="I4713" s="8">
        <v>44833</v>
      </c>
      <c r="J4713" t="s">
        <v>189</v>
      </c>
    </row>
    <row r="4714" spans="1:10" x14ac:dyDescent="0.35">
      <c r="A4714" t="s">
        <v>7</v>
      </c>
      <c r="B4714" s="8">
        <v>44958</v>
      </c>
      <c r="C4714">
        <v>1628724</v>
      </c>
      <c r="D4714">
        <v>1574960.26</v>
      </c>
      <c r="E4714">
        <v>53763.74</v>
      </c>
      <c r="F4714" t="s">
        <v>182</v>
      </c>
      <c r="G4714" t="s">
        <v>188</v>
      </c>
      <c r="H4714" s="8">
        <v>42643</v>
      </c>
      <c r="I4714" s="8">
        <v>44833</v>
      </c>
      <c r="J4714" t="s">
        <v>189</v>
      </c>
    </row>
    <row r="4715" spans="1:10" x14ac:dyDescent="0.35">
      <c r="A4715" t="s">
        <v>7</v>
      </c>
      <c r="B4715" s="8">
        <v>44986</v>
      </c>
      <c r="C4715">
        <v>1628724</v>
      </c>
      <c r="D4715">
        <v>1574960.26</v>
      </c>
      <c r="E4715">
        <v>53763.74</v>
      </c>
      <c r="F4715" t="s">
        <v>182</v>
      </c>
      <c r="G4715" t="s">
        <v>188</v>
      </c>
      <c r="H4715" s="8">
        <v>42643</v>
      </c>
      <c r="I4715" s="8">
        <v>44833</v>
      </c>
      <c r="J4715" t="s">
        <v>189</v>
      </c>
    </row>
    <row r="4716" spans="1:10" x14ac:dyDescent="0.35">
      <c r="A4716" t="s">
        <v>7</v>
      </c>
      <c r="B4716" s="8">
        <v>45017</v>
      </c>
      <c r="C4716">
        <v>1628724</v>
      </c>
      <c r="D4716">
        <v>1574960.26</v>
      </c>
      <c r="E4716">
        <v>53763.74</v>
      </c>
      <c r="F4716" t="s">
        <v>182</v>
      </c>
      <c r="G4716" t="s">
        <v>188</v>
      </c>
      <c r="H4716" s="8">
        <v>42643</v>
      </c>
      <c r="I4716" s="8">
        <v>44833</v>
      </c>
      <c r="J4716" t="s">
        <v>189</v>
      </c>
    </row>
    <row r="4717" spans="1:10" x14ac:dyDescent="0.35">
      <c r="A4717" t="s">
        <v>7</v>
      </c>
      <c r="B4717" s="8">
        <v>45047</v>
      </c>
      <c r="C4717">
        <v>1628724</v>
      </c>
      <c r="D4717">
        <v>1574960.26</v>
      </c>
      <c r="E4717">
        <v>53763.74</v>
      </c>
      <c r="F4717" t="s">
        <v>182</v>
      </c>
      <c r="G4717" t="s">
        <v>188</v>
      </c>
      <c r="H4717" s="8">
        <v>42643</v>
      </c>
      <c r="I4717" s="8">
        <v>44833</v>
      </c>
      <c r="J4717" t="s">
        <v>189</v>
      </c>
    </row>
    <row r="4718" spans="1:10" x14ac:dyDescent="0.35">
      <c r="A4718" t="s">
        <v>7</v>
      </c>
      <c r="B4718" s="8">
        <v>45078</v>
      </c>
      <c r="C4718">
        <v>1628724</v>
      </c>
      <c r="D4718">
        <v>1574960.26</v>
      </c>
      <c r="E4718">
        <v>53763.74</v>
      </c>
      <c r="F4718" t="s">
        <v>182</v>
      </c>
      <c r="G4718" t="s">
        <v>188</v>
      </c>
      <c r="H4718" s="8">
        <v>42643</v>
      </c>
      <c r="I4718" s="8">
        <v>44833</v>
      </c>
      <c r="J4718" t="s">
        <v>189</v>
      </c>
    </row>
    <row r="4719" spans="1:10" x14ac:dyDescent="0.35">
      <c r="A4719" t="s">
        <v>7</v>
      </c>
      <c r="B4719" s="8">
        <v>45108</v>
      </c>
      <c r="C4719">
        <v>1628724</v>
      </c>
      <c r="D4719">
        <v>1574960.26</v>
      </c>
      <c r="E4719">
        <v>53763.74</v>
      </c>
      <c r="F4719" t="s">
        <v>182</v>
      </c>
      <c r="G4719" t="s">
        <v>188</v>
      </c>
      <c r="H4719" s="8">
        <v>42643</v>
      </c>
      <c r="I4719" s="8">
        <v>44833</v>
      </c>
      <c r="J4719" t="s">
        <v>189</v>
      </c>
    </row>
    <row r="4720" spans="1:10" x14ac:dyDescent="0.35">
      <c r="A4720" t="s">
        <v>7</v>
      </c>
      <c r="B4720" s="8">
        <v>45139</v>
      </c>
      <c r="C4720">
        <v>1628724</v>
      </c>
      <c r="D4720">
        <v>1574960.26</v>
      </c>
      <c r="E4720">
        <v>53763.74</v>
      </c>
      <c r="F4720" t="s">
        <v>182</v>
      </c>
      <c r="G4720" t="s">
        <v>188</v>
      </c>
      <c r="H4720" s="8">
        <v>42643</v>
      </c>
      <c r="I4720" s="8">
        <v>44833</v>
      </c>
      <c r="J4720" t="s">
        <v>189</v>
      </c>
    </row>
    <row r="4721" spans="1:10" x14ac:dyDescent="0.35">
      <c r="A4721" t="s">
        <v>7</v>
      </c>
      <c r="B4721" s="8">
        <v>45170</v>
      </c>
      <c r="C4721">
        <v>1628724</v>
      </c>
      <c r="D4721">
        <v>1574960.26</v>
      </c>
      <c r="E4721">
        <v>53763.74</v>
      </c>
      <c r="F4721" t="s">
        <v>182</v>
      </c>
      <c r="G4721" t="s">
        <v>188</v>
      </c>
      <c r="H4721" s="8">
        <v>42643</v>
      </c>
      <c r="I4721" s="8">
        <v>44833</v>
      </c>
      <c r="J4721" t="s">
        <v>189</v>
      </c>
    </row>
    <row r="4722" spans="1:10" x14ac:dyDescent="0.35">
      <c r="A4722" t="s">
        <v>8</v>
      </c>
      <c r="B4722" s="8">
        <v>44317</v>
      </c>
      <c r="C4722">
        <v>350000</v>
      </c>
      <c r="D4722">
        <v>0</v>
      </c>
      <c r="E4722">
        <v>350000</v>
      </c>
      <c r="F4722" t="s">
        <v>182</v>
      </c>
      <c r="G4722" t="s">
        <v>188</v>
      </c>
      <c r="H4722" s="8">
        <v>42643</v>
      </c>
      <c r="I4722" s="8">
        <v>44833</v>
      </c>
      <c r="J4722" t="s">
        <v>189</v>
      </c>
    </row>
    <row r="4723" spans="1:10" x14ac:dyDescent="0.35">
      <c r="A4723" t="s">
        <v>8</v>
      </c>
      <c r="B4723" s="8">
        <v>44348</v>
      </c>
      <c r="C4723">
        <v>350000</v>
      </c>
      <c r="D4723">
        <v>0</v>
      </c>
      <c r="E4723">
        <v>350000</v>
      </c>
      <c r="F4723" t="s">
        <v>182</v>
      </c>
      <c r="G4723" t="s">
        <v>188</v>
      </c>
      <c r="H4723" s="8">
        <v>42643</v>
      </c>
      <c r="I4723" s="8">
        <v>44833</v>
      </c>
      <c r="J4723" t="s">
        <v>189</v>
      </c>
    </row>
    <row r="4724" spans="1:10" x14ac:dyDescent="0.35">
      <c r="A4724" t="s">
        <v>8</v>
      </c>
      <c r="B4724" s="8">
        <v>44378</v>
      </c>
      <c r="C4724">
        <v>350000</v>
      </c>
      <c r="D4724">
        <v>0</v>
      </c>
      <c r="E4724">
        <v>350000</v>
      </c>
      <c r="F4724" t="s">
        <v>182</v>
      </c>
      <c r="G4724" t="s">
        <v>188</v>
      </c>
      <c r="H4724" s="8">
        <v>42643</v>
      </c>
      <c r="I4724" s="8">
        <v>44833</v>
      </c>
      <c r="J4724" t="s">
        <v>189</v>
      </c>
    </row>
    <row r="4725" spans="1:10" x14ac:dyDescent="0.35">
      <c r="A4725" t="s">
        <v>8</v>
      </c>
      <c r="B4725" s="8">
        <v>44409</v>
      </c>
      <c r="C4725">
        <v>350000</v>
      </c>
      <c r="D4725">
        <v>0</v>
      </c>
      <c r="E4725">
        <v>350000</v>
      </c>
      <c r="F4725" t="s">
        <v>182</v>
      </c>
      <c r="G4725" t="s">
        <v>188</v>
      </c>
      <c r="H4725" s="8">
        <v>42643</v>
      </c>
      <c r="I4725" s="8">
        <v>44833</v>
      </c>
      <c r="J4725" t="s">
        <v>189</v>
      </c>
    </row>
    <row r="4726" spans="1:10" x14ac:dyDescent="0.35">
      <c r="A4726" t="s">
        <v>8</v>
      </c>
      <c r="B4726" s="8">
        <v>44440</v>
      </c>
      <c r="C4726">
        <v>350000</v>
      </c>
      <c r="D4726">
        <v>0</v>
      </c>
      <c r="E4726">
        <v>350000</v>
      </c>
      <c r="F4726" t="s">
        <v>182</v>
      </c>
      <c r="G4726" t="s">
        <v>188</v>
      </c>
      <c r="H4726" s="8">
        <v>42643</v>
      </c>
      <c r="I4726" s="8">
        <v>44833</v>
      </c>
      <c r="J4726" t="s">
        <v>189</v>
      </c>
    </row>
    <row r="4727" spans="1:10" x14ac:dyDescent="0.35">
      <c r="A4727" t="s">
        <v>8</v>
      </c>
      <c r="B4727" s="8">
        <v>44470</v>
      </c>
      <c r="C4727">
        <v>350000</v>
      </c>
      <c r="D4727">
        <v>0</v>
      </c>
      <c r="E4727">
        <v>350000</v>
      </c>
      <c r="F4727" t="s">
        <v>182</v>
      </c>
      <c r="G4727" t="s">
        <v>188</v>
      </c>
      <c r="H4727" s="8">
        <v>42643</v>
      </c>
      <c r="I4727" s="8">
        <v>44833</v>
      </c>
      <c r="J4727" t="s">
        <v>189</v>
      </c>
    </row>
    <row r="4728" spans="1:10" x14ac:dyDescent="0.35">
      <c r="A4728" t="s">
        <v>8</v>
      </c>
      <c r="B4728" s="8">
        <v>44501</v>
      </c>
      <c r="C4728">
        <v>350000</v>
      </c>
      <c r="D4728">
        <v>0</v>
      </c>
      <c r="E4728">
        <v>350000</v>
      </c>
      <c r="F4728" t="s">
        <v>182</v>
      </c>
      <c r="G4728" t="s">
        <v>188</v>
      </c>
      <c r="H4728" s="8">
        <v>42643</v>
      </c>
      <c r="I4728" s="8">
        <v>44833</v>
      </c>
      <c r="J4728" t="s">
        <v>189</v>
      </c>
    </row>
    <row r="4729" spans="1:10" x14ac:dyDescent="0.35">
      <c r="A4729" t="s">
        <v>8</v>
      </c>
      <c r="B4729" s="8">
        <v>44531</v>
      </c>
      <c r="C4729">
        <v>350000</v>
      </c>
      <c r="D4729">
        <v>24159.21</v>
      </c>
      <c r="E4729">
        <v>325840.78999999998</v>
      </c>
      <c r="F4729" t="s">
        <v>182</v>
      </c>
      <c r="G4729" t="s">
        <v>188</v>
      </c>
      <c r="H4729" s="8">
        <v>42643</v>
      </c>
      <c r="I4729" s="8">
        <v>44833</v>
      </c>
      <c r="J4729" t="s">
        <v>189</v>
      </c>
    </row>
    <row r="4730" spans="1:10" x14ac:dyDescent="0.35">
      <c r="A4730" t="s">
        <v>8</v>
      </c>
      <c r="B4730" s="8">
        <v>44562</v>
      </c>
      <c r="C4730">
        <v>350000</v>
      </c>
      <c r="D4730">
        <v>24159.21</v>
      </c>
      <c r="E4730">
        <v>325840.78999999998</v>
      </c>
      <c r="F4730" t="s">
        <v>182</v>
      </c>
      <c r="G4730" t="s">
        <v>188</v>
      </c>
      <c r="H4730" s="8">
        <v>42643</v>
      </c>
      <c r="I4730" s="8">
        <v>44833</v>
      </c>
      <c r="J4730" t="s">
        <v>189</v>
      </c>
    </row>
    <row r="4731" spans="1:10" x14ac:dyDescent="0.35">
      <c r="A4731" t="s">
        <v>8</v>
      </c>
      <c r="B4731" s="8">
        <v>44593</v>
      </c>
      <c r="C4731">
        <v>350000</v>
      </c>
      <c r="D4731">
        <v>24159.21</v>
      </c>
      <c r="E4731">
        <v>325840.78999999998</v>
      </c>
      <c r="F4731" t="s">
        <v>182</v>
      </c>
      <c r="G4731" t="s">
        <v>188</v>
      </c>
      <c r="H4731" s="8">
        <v>42643</v>
      </c>
      <c r="I4731" s="8">
        <v>44833</v>
      </c>
      <c r="J4731" t="s">
        <v>189</v>
      </c>
    </row>
    <row r="4732" spans="1:10" x14ac:dyDescent="0.35">
      <c r="A4732" t="s">
        <v>8</v>
      </c>
      <c r="B4732" s="8">
        <v>44621</v>
      </c>
      <c r="C4732">
        <v>350000</v>
      </c>
      <c r="D4732">
        <v>34080.800000000003</v>
      </c>
      <c r="E4732">
        <v>315919.2</v>
      </c>
      <c r="F4732" t="s">
        <v>182</v>
      </c>
      <c r="G4732" t="s">
        <v>188</v>
      </c>
      <c r="H4732" s="8">
        <v>42643</v>
      </c>
      <c r="I4732" s="8">
        <v>44833</v>
      </c>
      <c r="J4732" t="s">
        <v>189</v>
      </c>
    </row>
    <row r="4733" spans="1:10" x14ac:dyDescent="0.35">
      <c r="A4733" t="s">
        <v>8</v>
      </c>
      <c r="B4733" s="8">
        <v>44652</v>
      </c>
      <c r="C4733">
        <v>350000</v>
      </c>
      <c r="D4733">
        <v>57056.25</v>
      </c>
      <c r="E4733">
        <v>292943.75</v>
      </c>
      <c r="F4733" t="s">
        <v>182</v>
      </c>
      <c r="G4733" t="s">
        <v>188</v>
      </c>
      <c r="H4733" s="8">
        <v>42643</v>
      </c>
      <c r="I4733" s="8">
        <v>44833</v>
      </c>
      <c r="J4733" t="s">
        <v>189</v>
      </c>
    </row>
    <row r="4734" spans="1:10" x14ac:dyDescent="0.35">
      <c r="A4734" t="s">
        <v>8</v>
      </c>
      <c r="B4734" s="8">
        <v>44682</v>
      </c>
      <c r="C4734">
        <v>350000</v>
      </c>
      <c r="D4734">
        <v>66371.37</v>
      </c>
      <c r="E4734">
        <v>283628.63</v>
      </c>
      <c r="F4734" t="s">
        <v>182</v>
      </c>
      <c r="G4734" t="s">
        <v>188</v>
      </c>
      <c r="H4734" s="8">
        <v>42643</v>
      </c>
      <c r="I4734" s="8">
        <v>44833</v>
      </c>
      <c r="J4734" t="s">
        <v>189</v>
      </c>
    </row>
    <row r="4735" spans="1:10" x14ac:dyDescent="0.35">
      <c r="A4735" t="s">
        <v>8</v>
      </c>
      <c r="B4735" s="8">
        <v>44713</v>
      </c>
      <c r="C4735">
        <v>350000</v>
      </c>
      <c r="D4735">
        <v>77915.66</v>
      </c>
      <c r="E4735">
        <v>272084.34000000003</v>
      </c>
      <c r="F4735" t="s">
        <v>182</v>
      </c>
      <c r="G4735" t="s">
        <v>188</v>
      </c>
      <c r="H4735" s="8">
        <v>42643</v>
      </c>
      <c r="I4735" s="8">
        <v>44833</v>
      </c>
      <c r="J4735" t="s">
        <v>189</v>
      </c>
    </row>
    <row r="4736" spans="1:10" x14ac:dyDescent="0.35">
      <c r="A4736" t="s">
        <v>8</v>
      </c>
      <c r="B4736" s="8">
        <v>44743</v>
      </c>
      <c r="C4736">
        <v>350000</v>
      </c>
      <c r="D4736">
        <v>92494.35</v>
      </c>
      <c r="E4736">
        <v>257505.65</v>
      </c>
      <c r="F4736" t="s">
        <v>182</v>
      </c>
      <c r="G4736" t="s">
        <v>188</v>
      </c>
      <c r="H4736" s="8">
        <v>42643</v>
      </c>
      <c r="I4736" s="8">
        <v>44833</v>
      </c>
      <c r="J4736" t="s">
        <v>189</v>
      </c>
    </row>
    <row r="4737" spans="1:10" x14ac:dyDescent="0.35">
      <c r="A4737" t="s">
        <v>8</v>
      </c>
      <c r="B4737" s="8">
        <v>44774</v>
      </c>
      <c r="C4737">
        <v>350000</v>
      </c>
      <c r="D4737">
        <v>107169.32</v>
      </c>
      <c r="E4737">
        <v>242830.68</v>
      </c>
      <c r="F4737" t="s">
        <v>182</v>
      </c>
      <c r="G4737" t="s">
        <v>188</v>
      </c>
      <c r="H4737" s="8">
        <v>42643</v>
      </c>
      <c r="I4737" s="8">
        <v>44833</v>
      </c>
      <c r="J4737" t="s">
        <v>189</v>
      </c>
    </row>
    <row r="4738" spans="1:10" x14ac:dyDescent="0.35">
      <c r="A4738" t="s">
        <v>8</v>
      </c>
      <c r="B4738" s="8">
        <v>44805</v>
      </c>
      <c r="C4738">
        <v>350000</v>
      </c>
      <c r="D4738">
        <v>123210.32</v>
      </c>
      <c r="E4738">
        <v>226789.68</v>
      </c>
      <c r="F4738" t="s">
        <v>182</v>
      </c>
      <c r="G4738" t="s">
        <v>188</v>
      </c>
      <c r="H4738" s="8">
        <v>42643</v>
      </c>
      <c r="I4738" s="8">
        <v>44833</v>
      </c>
      <c r="J4738" t="s">
        <v>189</v>
      </c>
    </row>
    <row r="4739" spans="1:10" x14ac:dyDescent="0.35">
      <c r="A4739" t="s">
        <v>8</v>
      </c>
      <c r="B4739" s="8">
        <v>44835</v>
      </c>
      <c r="C4739">
        <v>350000</v>
      </c>
      <c r="D4739">
        <v>158585.5</v>
      </c>
      <c r="E4739">
        <v>191414.5</v>
      </c>
      <c r="F4739" t="s">
        <v>182</v>
      </c>
      <c r="G4739" t="s">
        <v>188</v>
      </c>
      <c r="H4739" s="8">
        <v>42643</v>
      </c>
      <c r="I4739" s="8">
        <v>44833</v>
      </c>
      <c r="J4739" t="s">
        <v>189</v>
      </c>
    </row>
    <row r="4740" spans="1:10" x14ac:dyDescent="0.35">
      <c r="A4740" t="s">
        <v>8</v>
      </c>
      <c r="B4740" s="8">
        <v>44866</v>
      </c>
      <c r="C4740">
        <v>350000</v>
      </c>
      <c r="D4740">
        <v>187739.11</v>
      </c>
      <c r="E4740">
        <v>162260.89000000001</v>
      </c>
      <c r="F4740" t="s">
        <v>182</v>
      </c>
      <c r="G4740" t="s">
        <v>188</v>
      </c>
      <c r="H4740" s="8">
        <v>42643</v>
      </c>
      <c r="I4740" s="8">
        <v>44833</v>
      </c>
      <c r="J4740" t="s">
        <v>189</v>
      </c>
    </row>
    <row r="4741" spans="1:10" x14ac:dyDescent="0.35">
      <c r="A4741" t="s">
        <v>8</v>
      </c>
      <c r="B4741" s="8">
        <v>44896</v>
      </c>
      <c r="C4741">
        <v>350000</v>
      </c>
      <c r="D4741">
        <v>203031.01</v>
      </c>
      <c r="E4741">
        <v>146968.99</v>
      </c>
      <c r="F4741" t="s">
        <v>182</v>
      </c>
      <c r="G4741" t="s">
        <v>188</v>
      </c>
      <c r="H4741" s="8">
        <v>42643</v>
      </c>
      <c r="I4741" s="8">
        <v>44833</v>
      </c>
      <c r="J4741" t="s">
        <v>189</v>
      </c>
    </row>
    <row r="4742" spans="1:10" x14ac:dyDescent="0.35">
      <c r="A4742" t="s">
        <v>8</v>
      </c>
      <c r="B4742" s="8">
        <v>44927</v>
      </c>
      <c r="C4742">
        <v>350000</v>
      </c>
      <c r="D4742">
        <v>203031.01</v>
      </c>
      <c r="E4742">
        <v>146968.99</v>
      </c>
      <c r="F4742" t="s">
        <v>182</v>
      </c>
      <c r="G4742" t="s">
        <v>188</v>
      </c>
      <c r="H4742" s="8">
        <v>42643</v>
      </c>
      <c r="I4742" s="8">
        <v>44833</v>
      </c>
      <c r="J4742" t="s">
        <v>189</v>
      </c>
    </row>
    <row r="4743" spans="1:10" x14ac:dyDescent="0.35">
      <c r="A4743" t="s">
        <v>8</v>
      </c>
      <c r="B4743" s="8">
        <v>44958</v>
      </c>
      <c r="C4743">
        <v>350000</v>
      </c>
      <c r="D4743">
        <v>203031.01</v>
      </c>
      <c r="E4743">
        <v>146968.99</v>
      </c>
      <c r="F4743" t="s">
        <v>182</v>
      </c>
      <c r="G4743" t="s">
        <v>188</v>
      </c>
      <c r="H4743" s="8">
        <v>42643</v>
      </c>
      <c r="I4743" s="8">
        <v>44833</v>
      </c>
      <c r="J4743" t="s">
        <v>189</v>
      </c>
    </row>
    <row r="4744" spans="1:10" x14ac:dyDescent="0.35">
      <c r="A4744" t="s">
        <v>8</v>
      </c>
      <c r="B4744" s="8">
        <v>44986</v>
      </c>
      <c r="C4744">
        <v>350000</v>
      </c>
      <c r="D4744">
        <v>231082.42</v>
      </c>
      <c r="E4744">
        <v>118917.58</v>
      </c>
      <c r="F4744" t="s">
        <v>182</v>
      </c>
      <c r="G4744" t="s">
        <v>188</v>
      </c>
      <c r="H4744" s="8">
        <v>42643</v>
      </c>
      <c r="I4744" s="8">
        <v>44833</v>
      </c>
      <c r="J4744" t="s">
        <v>189</v>
      </c>
    </row>
    <row r="4745" spans="1:10" x14ac:dyDescent="0.35">
      <c r="A4745" t="s">
        <v>8</v>
      </c>
      <c r="B4745" s="8">
        <v>45017</v>
      </c>
      <c r="C4745">
        <v>350000</v>
      </c>
      <c r="D4745">
        <v>245881.95</v>
      </c>
      <c r="E4745">
        <v>104118.05</v>
      </c>
      <c r="F4745" t="s">
        <v>182</v>
      </c>
      <c r="G4745" t="s">
        <v>188</v>
      </c>
      <c r="H4745" s="8">
        <v>42643</v>
      </c>
      <c r="I4745" s="8">
        <v>44833</v>
      </c>
      <c r="J4745" t="s">
        <v>189</v>
      </c>
    </row>
    <row r="4746" spans="1:10" x14ac:dyDescent="0.35">
      <c r="A4746" t="s">
        <v>8</v>
      </c>
      <c r="B4746" s="8">
        <v>45047</v>
      </c>
      <c r="C4746">
        <v>350000</v>
      </c>
      <c r="D4746">
        <v>256555.6</v>
      </c>
      <c r="E4746">
        <v>93444.4</v>
      </c>
      <c r="F4746" t="s">
        <v>182</v>
      </c>
      <c r="G4746" t="s">
        <v>188</v>
      </c>
      <c r="H4746" s="8">
        <v>42643</v>
      </c>
      <c r="I4746" s="8">
        <v>44833</v>
      </c>
      <c r="J4746" t="s">
        <v>189</v>
      </c>
    </row>
    <row r="4747" spans="1:10" x14ac:dyDescent="0.35">
      <c r="A4747" t="s">
        <v>8</v>
      </c>
      <c r="B4747" s="8">
        <v>45078</v>
      </c>
      <c r="C4747">
        <v>350000</v>
      </c>
      <c r="D4747">
        <v>265787.32</v>
      </c>
      <c r="E4747">
        <v>84212.68</v>
      </c>
      <c r="F4747" t="s">
        <v>182</v>
      </c>
      <c r="G4747" t="s">
        <v>188</v>
      </c>
      <c r="H4747" s="8">
        <v>42643</v>
      </c>
      <c r="I4747" s="8">
        <v>44833</v>
      </c>
      <c r="J4747" t="s">
        <v>189</v>
      </c>
    </row>
    <row r="4748" spans="1:10" x14ac:dyDescent="0.35">
      <c r="A4748" t="s">
        <v>8</v>
      </c>
      <c r="B4748" s="8">
        <v>45108</v>
      </c>
      <c r="C4748">
        <v>350000</v>
      </c>
      <c r="D4748">
        <v>278621.28999999998</v>
      </c>
      <c r="E4748">
        <v>71378.710000000006</v>
      </c>
      <c r="F4748" t="s">
        <v>182</v>
      </c>
      <c r="G4748" t="s">
        <v>188</v>
      </c>
      <c r="H4748" s="8">
        <v>42643</v>
      </c>
      <c r="I4748" s="8">
        <v>44833</v>
      </c>
      <c r="J4748" t="s">
        <v>189</v>
      </c>
    </row>
    <row r="4749" spans="1:10" x14ac:dyDescent="0.35">
      <c r="A4749" t="s">
        <v>8</v>
      </c>
      <c r="B4749" s="8">
        <v>45139</v>
      </c>
      <c r="C4749">
        <v>350000</v>
      </c>
      <c r="D4749">
        <v>290441.67</v>
      </c>
      <c r="E4749">
        <v>59558.33</v>
      </c>
      <c r="F4749" t="s">
        <v>182</v>
      </c>
      <c r="G4749" t="s">
        <v>188</v>
      </c>
      <c r="H4749" s="8">
        <v>42643</v>
      </c>
      <c r="I4749" s="8">
        <v>44833</v>
      </c>
      <c r="J4749" t="s">
        <v>189</v>
      </c>
    </row>
    <row r="4750" spans="1:10" x14ac:dyDescent="0.35">
      <c r="A4750" t="s">
        <v>8</v>
      </c>
      <c r="B4750" s="8">
        <v>45170</v>
      </c>
      <c r="C4750">
        <v>350000</v>
      </c>
      <c r="D4750">
        <v>350000</v>
      </c>
      <c r="E4750">
        <v>0</v>
      </c>
      <c r="F4750" t="s">
        <v>182</v>
      </c>
      <c r="G4750" t="s">
        <v>188</v>
      </c>
      <c r="H4750" s="8">
        <v>42643</v>
      </c>
      <c r="I4750" s="8">
        <v>44833</v>
      </c>
      <c r="J4750" t="s">
        <v>156</v>
      </c>
    </row>
    <row r="4751" spans="1:10" x14ac:dyDescent="0.35">
      <c r="A4751" t="s">
        <v>12</v>
      </c>
      <c r="B4751" s="8">
        <v>44105</v>
      </c>
      <c r="C4751">
        <v>102175953</v>
      </c>
      <c r="D4751">
        <v>49445958</v>
      </c>
      <c r="E4751">
        <v>52729995</v>
      </c>
      <c r="F4751" t="s">
        <v>182</v>
      </c>
      <c r="G4751" t="s">
        <v>183</v>
      </c>
      <c r="H4751" s="8">
        <v>42643</v>
      </c>
      <c r="I4751" s="8">
        <v>44833</v>
      </c>
      <c r="J4751" t="s">
        <v>189</v>
      </c>
    </row>
    <row r="4752" spans="1:10" x14ac:dyDescent="0.35">
      <c r="A4752" t="s">
        <v>12</v>
      </c>
      <c r="B4752" s="8">
        <v>44136</v>
      </c>
      <c r="C4752">
        <v>102175953</v>
      </c>
      <c r="D4752">
        <v>54945958</v>
      </c>
      <c r="E4752">
        <v>47229995</v>
      </c>
      <c r="F4752" t="s">
        <v>182</v>
      </c>
      <c r="G4752" t="s">
        <v>183</v>
      </c>
      <c r="H4752" s="8">
        <v>42643</v>
      </c>
      <c r="I4752" s="8">
        <v>44833</v>
      </c>
      <c r="J4752" t="s">
        <v>189</v>
      </c>
    </row>
    <row r="4753" spans="1:10" x14ac:dyDescent="0.35">
      <c r="A4753" t="s">
        <v>12</v>
      </c>
      <c r="B4753" s="8">
        <v>44166</v>
      </c>
      <c r="C4753">
        <v>102175953</v>
      </c>
      <c r="D4753" s="12" t="s">
        <v>196</v>
      </c>
      <c r="E4753" s="12" t="s">
        <v>197</v>
      </c>
      <c r="F4753" t="s">
        <v>182</v>
      </c>
      <c r="G4753" t="s">
        <v>183</v>
      </c>
      <c r="H4753" s="8">
        <v>42643</v>
      </c>
      <c r="I4753" s="8">
        <v>44833</v>
      </c>
      <c r="J4753" t="s">
        <v>189</v>
      </c>
    </row>
    <row r="4754" spans="1:10" x14ac:dyDescent="0.35">
      <c r="A4754" t="s">
        <v>12</v>
      </c>
      <c r="B4754" s="8">
        <v>44197</v>
      </c>
      <c r="C4754">
        <v>102175953</v>
      </c>
      <c r="D4754">
        <v>69155998</v>
      </c>
      <c r="E4754">
        <v>33019955</v>
      </c>
      <c r="F4754" t="s">
        <v>182</v>
      </c>
      <c r="G4754" t="s">
        <v>183</v>
      </c>
      <c r="H4754" s="8">
        <v>42643</v>
      </c>
      <c r="I4754" s="8">
        <v>44833</v>
      </c>
      <c r="J4754" t="s">
        <v>189</v>
      </c>
    </row>
    <row r="4755" spans="1:10" x14ac:dyDescent="0.35">
      <c r="A4755" t="s">
        <v>12</v>
      </c>
      <c r="B4755" s="8">
        <v>44228</v>
      </c>
      <c r="C4755">
        <v>102175953</v>
      </c>
      <c r="D4755">
        <v>74291010</v>
      </c>
      <c r="E4755">
        <v>27884943</v>
      </c>
      <c r="F4755" t="s">
        <v>182</v>
      </c>
      <c r="G4755" t="s">
        <v>183</v>
      </c>
      <c r="H4755" s="8">
        <v>42643</v>
      </c>
      <c r="I4755" s="8">
        <v>44833</v>
      </c>
      <c r="J4755" t="s">
        <v>189</v>
      </c>
    </row>
    <row r="4756" spans="1:10" x14ac:dyDescent="0.35">
      <c r="A4756" t="s">
        <v>12</v>
      </c>
      <c r="B4756" s="8">
        <v>44256</v>
      </c>
      <c r="C4756">
        <v>102175953</v>
      </c>
      <c r="D4756">
        <v>78591485</v>
      </c>
      <c r="E4756">
        <v>23584468</v>
      </c>
      <c r="F4756" t="s">
        <v>182</v>
      </c>
      <c r="G4756" t="s">
        <v>183</v>
      </c>
      <c r="H4756" s="8">
        <v>42643</v>
      </c>
      <c r="I4756" s="8">
        <v>44833</v>
      </c>
      <c r="J4756" t="s">
        <v>189</v>
      </c>
    </row>
    <row r="4757" spans="1:10" x14ac:dyDescent="0.35">
      <c r="A4757" t="s">
        <v>12</v>
      </c>
      <c r="B4757" s="8">
        <v>44287</v>
      </c>
      <c r="C4757">
        <v>1190000</v>
      </c>
      <c r="D4757">
        <v>460000</v>
      </c>
      <c r="E4757">
        <v>730000</v>
      </c>
      <c r="F4757" t="s">
        <v>182</v>
      </c>
      <c r="G4757" t="s">
        <v>183</v>
      </c>
      <c r="H4757" s="8">
        <v>42643</v>
      </c>
      <c r="I4757" s="8">
        <v>44833</v>
      </c>
      <c r="J4757" t="s">
        <v>189</v>
      </c>
    </row>
    <row r="4758" spans="1:10" x14ac:dyDescent="0.35">
      <c r="A4758" t="s">
        <v>12</v>
      </c>
      <c r="B4758" s="8">
        <v>44317</v>
      </c>
      <c r="C4758">
        <v>102175953</v>
      </c>
      <c r="D4758">
        <v>89869100</v>
      </c>
      <c r="E4758">
        <v>12306853</v>
      </c>
      <c r="F4758" t="s">
        <v>182</v>
      </c>
      <c r="G4758" t="s">
        <v>183</v>
      </c>
      <c r="H4758" s="8">
        <v>42643</v>
      </c>
      <c r="I4758" s="8">
        <v>44833</v>
      </c>
      <c r="J4758" t="s">
        <v>189</v>
      </c>
    </row>
    <row r="4759" spans="1:10" x14ac:dyDescent="0.35">
      <c r="A4759" t="s">
        <v>12</v>
      </c>
      <c r="B4759" s="8">
        <v>44348</v>
      </c>
      <c r="C4759">
        <v>102175953</v>
      </c>
      <c r="D4759" s="12" t="s">
        <v>198</v>
      </c>
      <c r="E4759">
        <v>7258198</v>
      </c>
      <c r="F4759" t="s">
        <v>182</v>
      </c>
      <c r="G4759" t="s">
        <v>183</v>
      </c>
      <c r="H4759" s="8">
        <v>42643</v>
      </c>
      <c r="I4759" s="8">
        <v>44833</v>
      </c>
      <c r="J4759" t="s">
        <v>189</v>
      </c>
    </row>
    <row r="4760" spans="1:10" x14ac:dyDescent="0.35">
      <c r="A4760" t="s">
        <v>12</v>
      </c>
      <c r="B4760" s="8">
        <v>44378</v>
      </c>
      <c r="C4760">
        <v>102175953</v>
      </c>
      <c r="D4760" s="12" t="s">
        <v>199</v>
      </c>
      <c r="E4760">
        <v>4351245</v>
      </c>
      <c r="F4760" t="s">
        <v>182</v>
      </c>
      <c r="G4760" t="s">
        <v>183</v>
      </c>
      <c r="H4760" s="8">
        <v>42643</v>
      </c>
      <c r="I4760" s="8">
        <v>44833</v>
      </c>
      <c r="J4760" t="s">
        <v>189</v>
      </c>
    </row>
    <row r="4761" spans="1:10" x14ac:dyDescent="0.35">
      <c r="A4761" t="s">
        <v>12</v>
      </c>
      <c r="B4761" s="8">
        <v>44409</v>
      </c>
      <c r="C4761">
        <v>102175953</v>
      </c>
      <c r="D4761">
        <v>101695953</v>
      </c>
      <c r="E4761">
        <v>480000</v>
      </c>
      <c r="F4761" t="s">
        <v>182</v>
      </c>
      <c r="G4761" t="s">
        <v>183</v>
      </c>
      <c r="H4761" s="8">
        <v>42643</v>
      </c>
      <c r="I4761" s="8">
        <v>44833</v>
      </c>
      <c r="J4761" t="s">
        <v>189</v>
      </c>
    </row>
    <row r="4762" spans="1:10" x14ac:dyDescent="0.35">
      <c r="A4762" t="s">
        <v>12</v>
      </c>
      <c r="B4762" s="8">
        <v>44440</v>
      </c>
      <c r="C4762">
        <v>102175953</v>
      </c>
      <c r="D4762">
        <v>101695953</v>
      </c>
      <c r="E4762">
        <v>480000</v>
      </c>
      <c r="F4762" t="s">
        <v>182</v>
      </c>
      <c r="G4762" t="s">
        <v>183</v>
      </c>
      <c r="H4762" s="8">
        <v>42643</v>
      </c>
      <c r="I4762" s="8">
        <v>44833</v>
      </c>
      <c r="J4762" t="s">
        <v>189</v>
      </c>
    </row>
    <row r="4763" spans="1:10" x14ac:dyDescent="0.35">
      <c r="A4763" t="s">
        <v>12</v>
      </c>
      <c r="B4763" s="8">
        <v>44470</v>
      </c>
      <c r="C4763">
        <v>102175953</v>
      </c>
      <c r="D4763">
        <v>101695953</v>
      </c>
      <c r="E4763">
        <v>480000</v>
      </c>
      <c r="F4763" t="s">
        <v>182</v>
      </c>
      <c r="G4763" t="s">
        <v>183</v>
      </c>
      <c r="H4763" s="8">
        <v>42643</v>
      </c>
      <c r="I4763" s="8">
        <v>44833</v>
      </c>
      <c r="J4763" t="s">
        <v>189</v>
      </c>
    </row>
    <row r="4764" spans="1:10" x14ac:dyDescent="0.35">
      <c r="A4764" t="s">
        <v>12</v>
      </c>
      <c r="B4764" s="8">
        <v>44501</v>
      </c>
      <c r="C4764">
        <v>102175953</v>
      </c>
      <c r="D4764">
        <v>101695953</v>
      </c>
      <c r="E4764">
        <v>480000</v>
      </c>
      <c r="F4764" t="s">
        <v>182</v>
      </c>
      <c r="G4764" t="s">
        <v>183</v>
      </c>
      <c r="H4764" s="8">
        <v>42643</v>
      </c>
      <c r="I4764" s="8">
        <v>44833</v>
      </c>
      <c r="J4764" t="s">
        <v>189</v>
      </c>
    </row>
    <row r="4765" spans="1:10" x14ac:dyDescent="0.35">
      <c r="A4765" t="s">
        <v>12</v>
      </c>
      <c r="B4765" s="8">
        <v>44531</v>
      </c>
      <c r="C4765">
        <v>102175953</v>
      </c>
      <c r="D4765">
        <v>101838389</v>
      </c>
      <c r="E4765">
        <v>337564</v>
      </c>
      <c r="F4765" t="s">
        <v>182</v>
      </c>
      <c r="G4765" t="s">
        <v>183</v>
      </c>
      <c r="H4765" s="8">
        <v>42643</v>
      </c>
      <c r="I4765" s="8">
        <v>44833</v>
      </c>
      <c r="J4765" t="s">
        <v>189</v>
      </c>
    </row>
    <row r="4766" spans="1:10" x14ac:dyDescent="0.35">
      <c r="A4766" t="s">
        <v>12</v>
      </c>
      <c r="B4766" s="8">
        <v>44562</v>
      </c>
      <c r="C4766">
        <v>102175953</v>
      </c>
      <c r="D4766">
        <v>101846207</v>
      </c>
      <c r="E4766">
        <v>329746</v>
      </c>
      <c r="F4766" t="s">
        <v>182</v>
      </c>
      <c r="G4766" t="s">
        <v>183</v>
      </c>
      <c r="H4766" s="8">
        <v>42643</v>
      </c>
      <c r="I4766" s="8">
        <v>44833</v>
      </c>
      <c r="J4766" t="s">
        <v>189</v>
      </c>
    </row>
    <row r="4767" spans="1:10" x14ac:dyDescent="0.35">
      <c r="A4767" t="s">
        <v>12</v>
      </c>
      <c r="B4767" s="8">
        <v>44593</v>
      </c>
      <c r="C4767">
        <v>102175953</v>
      </c>
      <c r="D4767">
        <v>101897902</v>
      </c>
      <c r="E4767">
        <v>278051</v>
      </c>
      <c r="F4767" t="s">
        <v>182</v>
      </c>
      <c r="G4767" t="s">
        <v>183</v>
      </c>
      <c r="H4767" s="8">
        <v>42643</v>
      </c>
      <c r="I4767" s="8">
        <v>44833</v>
      </c>
      <c r="J4767" t="s">
        <v>189</v>
      </c>
    </row>
    <row r="4768" spans="1:10" x14ac:dyDescent="0.35">
      <c r="A4768" t="s">
        <v>12</v>
      </c>
      <c r="B4768" s="8">
        <v>44621</v>
      </c>
      <c r="C4768">
        <v>102175953</v>
      </c>
      <c r="D4768">
        <v>101915402</v>
      </c>
      <c r="E4768">
        <v>260551</v>
      </c>
      <c r="F4768" t="s">
        <v>182</v>
      </c>
      <c r="G4768" t="s">
        <v>183</v>
      </c>
      <c r="H4768" s="8">
        <v>42643</v>
      </c>
      <c r="I4768" s="8">
        <v>44833</v>
      </c>
      <c r="J4768" t="s">
        <v>189</v>
      </c>
    </row>
    <row r="4769" spans="1:10" x14ac:dyDescent="0.35">
      <c r="A4769" t="s">
        <v>12</v>
      </c>
      <c r="B4769" s="8">
        <v>44652</v>
      </c>
      <c r="C4769">
        <v>102175953</v>
      </c>
      <c r="D4769">
        <v>101915402</v>
      </c>
      <c r="E4769">
        <v>260551</v>
      </c>
      <c r="F4769" t="s">
        <v>182</v>
      </c>
      <c r="G4769" t="s">
        <v>183</v>
      </c>
      <c r="H4769" s="8">
        <v>42643</v>
      </c>
      <c r="I4769" s="8">
        <v>44833</v>
      </c>
      <c r="J4769" t="s">
        <v>189</v>
      </c>
    </row>
    <row r="4770" spans="1:10" x14ac:dyDescent="0.35">
      <c r="A4770" t="s">
        <v>12</v>
      </c>
      <c r="B4770" s="8">
        <v>44682</v>
      </c>
      <c r="C4770">
        <v>102175953</v>
      </c>
      <c r="D4770">
        <v>101915402</v>
      </c>
      <c r="E4770">
        <v>260551</v>
      </c>
      <c r="F4770" t="s">
        <v>182</v>
      </c>
      <c r="G4770" t="s">
        <v>183</v>
      </c>
      <c r="H4770" s="8">
        <v>42643</v>
      </c>
      <c r="I4770" s="8">
        <v>44833</v>
      </c>
      <c r="J4770" t="s">
        <v>189</v>
      </c>
    </row>
    <row r="4771" spans="1:10" x14ac:dyDescent="0.35">
      <c r="A4771" t="s">
        <v>12</v>
      </c>
      <c r="B4771" s="8">
        <v>44713</v>
      </c>
      <c r="C4771">
        <v>102175953</v>
      </c>
      <c r="D4771">
        <v>101915402</v>
      </c>
      <c r="E4771">
        <v>260551</v>
      </c>
      <c r="F4771" t="s">
        <v>182</v>
      </c>
      <c r="G4771" t="s">
        <v>183</v>
      </c>
      <c r="H4771" s="8">
        <v>42643</v>
      </c>
      <c r="I4771" s="8">
        <v>44833</v>
      </c>
      <c r="J4771" t="s">
        <v>189</v>
      </c>
    </row>
    <row r="4772" spans="1:10" x14ac:dyDescent="0.35">
      <c r="A4772" t="s">
        <v>12</v>
      </c>
      <c r="B4772" s="8">
        <v>44743</v>
      </c>
      <c r="C4772">
        <v>102175953</v>
      </c>
      <c r="D4772">
        <v>102094539</v>
      </c>
      <c r="E4772">
        <v>81414</v>
      </c>
      <c r="F4772" t="s">
        <v>182</v>
      </c>
      <c r="G4772" t="s">
        <v>183</v>
      </c>
      <c r="H4772" s="8">
        <v>42643</v>
      </c>
      <c r="I4772" s="8">
        <v>44833</v>
      </c>
      <c r="J4772" t="s">
        <v>189</v>
      </c>
    </row>
    <row r="4773" spans="1:10" x14ac:dyDescent="0.35">
      <c r="A4773" t="s">
        <v>12</v>
      </c>
      <c r="B4773" s="8">
        <v>44774</v>
      </c>
      <c r="C4773">
        <v>102175953</v>
      </c>
      <c r="D4773">
        <v>102175953</v>
      </c>
      <c r="E4773">
        <v>0</v>
      </c>
      <c r="F4773" t="s">
        <v>182</v>
      </c>
      <c r="G4773" t="s">
        <v>183</v>
      </c>
      <c r="H4773" s="8">
        <v>42643</v>
      </c>
      <c r="I4773" s="8">
        <v>44833</v>
      </c>
      <c r="J4773" t="s">
        <v>156</v>
      </c>
    </row>
    <row r="4774" spans="1:10" x14ac:dyDescent="0.35">
      <c r="A4774" t="s">
        <v>12</v>
      </c>
      <c r="B4774" s="8">
        <v>44805</v>
      </c>
      <c r="C4774">
        <v>102175953</v>
      </c>
      <c r="D4774">
        <v>102175953</v>
      </c>
      <c r="E4774">
        <v>0</v>
      </c>
      <c r="F4774" t="s">
        <v>182</v>
      </c>
      <c r="G4774" t="s">
        <v>183</v>
      </c>
      <c r="H4774" s="8">
        <v>42643</v>
      </c>
      <c r="I4774" s="8">
        <v>44833</v>
      </c>
      <c r="J4774" t="s">
        <v>156</v>
      </c>
    </row>
    <row r="4775" spans="1:10" x14ac:dyDescent="0.35">
      <c r="A4775" t="s">
        <v>12</v>
      </c>
      <c r="B4775" s="8">
        <v>44835</v>
      </c>
      <c r="C4775">
        <v>102175953</v>
      </c>
      <c r="D4775">
        <v>102175953</v>
      </c>
      <c r="E4775">
        <v>0</v>
      </c>
      <c r="F4775" t="s">
        <v>182</v>
      </c>
      <c r="G4775" t="s">
        <v>183</v>
      </c>
      <c r="H4775" s="8">
        <v>42643</v>
      </c>
      <c r="I4775" s="8">
        <v>44833</v>
      </c>
      <c r="J4775" t="s">
        <v>156</v>
      </c>
    </row>
    <row r="4776" spans="1:10" x14ac:dyDescent="0.35">
      <c r="A4776" t="s">
        <v>12</v>
      </c>
      <c r="B4776" s="8">
        <v>44866</v>
      </c>
      <c r="C4776">
        <v>102175953</v>
      </c>
      <c r="D4776">
        <v>102175953</v>
      </c>
      <c r="E4776">
        <v>0</v>
      </c>
      <c r="F4776" t="s">
        <v>182</v>
      </c>
      <c r="G4776" t="s">
        <v>183</v>
      </c>
      <c r="H4776" s="8">
        <v>42643</v>
      </c>
      <c r="I4776" s="8">
        <v>44833</v>
      </c>
      <c r="J4776" t="s">
        <v>156</v>
      </c>
    </row>
    <row r="4777" spans="1:10" x14ac:dyDescent="0.35">
      <c r="A4777" t="s">
        <v>12</v>
      </c>
      <c r="B4777" s="8">
        <v>44896</v>
      </c>
      <c r="C4777">
        <v>102175953</v>
      </c>
      <c r="D4777">
        <v>102175953</v>
      </c>
      <c r="E4777">
        <v>0</v>
      </c>
      <c r="F4777" t="s">
        <v>182</v>
      </c>
      <c r="G4777" t="s">
        <v>183</v>
      </c>
      <c r="H4777" s="8">
        <v>42643</v>
      </c>
      <c r="I4777" s="8">
        <v>44833</v>
      </c>
      <c r="J4777" t="s">
        <v>156</v>
      </c>
    </row>
    <row r="4778" spans="1:10" x14ac:dyDescent="0.35">
      <c r="A4778" t="s">
        <v>12</v>
      </c>
      <c r="B4778" s="8">
        <v>44927</v>
      </c>
      <c r="C4778">
        <v>102175953</v>
      </c>
      <c r="D4778">
        <v>102175953</v>
      </c>
      <c r="E4778">
        <v>0</v>
      </c>
      <c r="F4778" t="s">
        <v>182</v>
      </c>
      <c r="G4778" t="s">
        <v>183</v>
      </c>
      <c r="H4778" s="8">
        <v>42643</v>
      </c>
      <c r="I4778" s="8">
        <v>44833</v>
      </c>
      <c r="J4778" t="s">
        <v>156</v>
      </c>
    </row>
    <row r="4779" spans="1:10" x14ac:dyDescent="0.35">
      <c r="A4779" t="s">
        <v>12</v>
      </c>
      <c r="B4779" s="8">
        <v>44958</v>
      </c>
      <c r="C4779">
        <v>102175953</v>
      </c>
      <c r="D4779">
        <v>102175953</v>
      </c>
      <c r="E4779">
        <v>0</v>
      </c>
      <c r="F4779" t="s">
        <v>182</v>
      </c>
      <c r="G4779" t="s">
        <v>183</v>
      </c>
      <c r="H4779" s="8">
        <v>42643</v>
      </c>
      <c r="I4779" s="8">
        <v>44833</v>
      </c>
      <c r="J4779" t="s">
        <v>156</v>
      </c>
    </row>
    <row r="4780" spans="1:10" x14ac:dyDescent="0.35">
      <c r="A4780" t="s">
        <v>12</v>
      </c>
      <c r="B4780" s="8">
        <v>44986</v>
      </c>
      <c r="C4780">
        <v>102175953</v>
      </c>
      <c r="D4780">
        <v>102175953</v>
      </c>
      <c r="E4780">
        <v>0</v>
      </c>
      <c r="F4780" t="s">
        <v>182</v>
      </c>
      <c r="G4780" t="s">
        <v>183</v>
      </c>
      <c r="H4780" s="8">
        <v>42643</v>
      </c>
      <c r="I4780" s="8">
        <v>44833</v>
      </c>
      <c r="J4780" t="s">
        <v>156</v>
      </c>
    </row>
    <row r="4781" spans="1:10" x14ac:dyDescent="0.35">
      <c r="A4781" t="s">
        <v>12</v>
      </c>
      <c r="B4781" s="8">
        <v>45017</v>
      </c>
      <c r="C4781">
        <v>102175953</v>
      </c>
      <c r="D4781">
        <v>102175953</v>
      </c>
      <c r="E4781">
        <v>0</v>
      </c>
      <c r="F4781" t="s">
        <v>182</v>
      </c>
      <c r="G4781" t="s">
        <v>183</v>
      </c>
      <c r="H4781" s="8">
        <v>42643</v>
      </c>
      <c r="I4781" s="8">
        <v>44833</v>
      </c>
      <c r="J4781" t="s">
        <v>156</v>
      </c>
    </row>
    <row r="4782" spans="1:10" x14ac:dyDescent="0.35">
      <c r="A4782" t="s">
        <v>12</v>
      </c>
      <c r="B4782" s="8">
        <v>45047</v>
      </c>
      <c r="C4782">
        <v>102175953</v>
      </c>
      <c r="D4782">
        <v>102175953</v>
      </c>
      <c r="E4782">
        <v>0</v>
      </c>
      <c r="F4782" t="s">
        <v>182</v>
      </c>
      <c r="G4782" t="s">
        <v>183</v>
      </c>
      <c r="H4782" s="8">
        <v>42643</v>
      </c>
      <c r="I4782" s="8">
        <v>44833</v>
      </c>
      <c r="J4782" t="s">
        <v>156</v>
      </c>
    </row>
    <row r="4783" spans="1:10" x14ac:dyDescent="0.35">
      <c r="A4783" t="s">
        <v>12</v>
      </c>
      <c r="B4783" s="8">
        <v>45078</v>
      </c>
      <c r="C4783">
        <v>102175953</v>
      </c>
      <c r="D4783">
        <v>102175953</v>
      </c>
      <c r="E4783">
        <v>0</v>
      </c>
      <c r="F4783" t="s">
        <v>182</v>
      </c>
      <c r="G4783" t="s">
        <v>183</v>
      </c>
      <c r="H4783" s="8">
        <v>42643</v>
      </c>
      <c r="I4783" s="8">
        <v>44833</v>
      </c>
      <c r="J4783" t="s">
        <v>156</v>
      </c>
    </row>
    <row r="4784" spans="1:10" x14ac:dyDescent="0.35">
      <c r="A4784" t="s">
        <v>12</v>
      </c>
      <c r="B4784" s="8">
        <v>45108</v>
      </c>
      <c r="C4784">
        <v>102175953</v>
      </c>
      <c r="D4784">
        <v>102175953</v>
      </c>
      <c r="E4784">
        <v>0</v>
      </c>
      <c r="F4784" t="s">
        <v>182</v>
      </c>
      <c r="G4784" t="s">
        <v>183</v>
      </c>
      <c r="H4784" s="8">
        <v>42643</v>
      </c>
      <c r="I4784" s="8">
        <v>44833</v>
      </c>
      <c r="J4784" t="s">
        <v>156</v>
      </c>
    </row>
    <row r="4785" spans="1:10" x14ac:dyDescent="0.35">
      <c r="A4785" t="s">
        <v>12</v>
      </c>
      <c r="B4785" s="8">
        <v>45139</v>
      </c>
      <c r="C4785">
        <v>102175953</v>
      </c>
      <c r="D4785">
        <v>102175953</v>
      </c>
      <c r="E4785">
        <v>0</v>
      </c>
      <c r="F4785" t="s">
        <v>182</v>
      </c>
      <c r="G4785" t="s">
        <v>183</v>
      </c>
      <c r="H4785" s="8">
        <v>42643</v>
      </c>
      <c r="I4785" s="8">
        <v>44833</v>
      </c>
      <c r="J4785" t="s">
        <v>156</v>
      </c>
    </row>
    <row r="4786" spans="1:10" x14ac:dyDescent="0.35">
      <c r="A4786" t="s">
        <v>12</v>
      </c>
      <c r="B4786" s="8">
        <v>45170</v>
      </c>
      <c r="C4786">
        <v>102175953</v>
      </c>
      <c r="D4786">
        <v>102175953</v>
      </c>
      <c r="E4786">
        <v>0</v>
      </c>
      <c r="F4786" t="s">
        <v>182</v>
      </c>
      <c r="G4786" t="s">
        <v>183</v>
      </c>
      <c r="H4786" s="8">
        <v>42643</v>
      </c>
      <c r="I4786" s="8">
        <v>44833</v>
      </c>
      <c r="J4786" t="s">
        <v>156</v>
      </c>
    </row>
    <row r="4787" spans="1:10" x14ac:dyDescent="0.35">
      <c r="A4787" t="s">
        <v>38</v>
      </c>
      <c r="B4787" s="8">
        <v>44105</v>
      </c>
      <c r="C4787">
        <v>21834669</v>
      </c>
      <c r="D4787">
        <v>5549962.2400000002</v>
      </c>
      <c r="E4787">
        <v>16284706.76</v>
      </c>
      <c r="F4787" t="s">
        <v>182</v>
      </c>
      <c r="G4787" t="s">
        <v>200</v>
      </c>
      <c r="H4787" s="8">
        <v>43738</v>
      </c>
      <c r="I4787" s="8">
        <v>45564</v>
      </c>
      <c r="J4787" t="s">
        <v>189</v>
      </c>
    </row>
    <row r="4788" spans="1:10" x14ac:dyDescent="0.35">
      <c r="A4788" t="s">
        <v>38</v>
      </c>
      <c r="B4788" s="8">
        <v>44136</v>
      </c>
      <c r="C4788">
        <v>21834669</v>
      </c>
      <c r="D4788">
        <v>6687456.4100000001</v>
      </c>
      <c r="E4788">
        <v>15147212.59</v>
      </c>
      <c r="F4788" t="s">
        <v>182</v>
      </c>
      <c r="G4788" t="s">
        <v>200</v>
      </c>
      <c r="H4788" s="8">
        <v>43738</v>
      </c>
      <c r="I4788" s="8">
        <v>45564</v>
      </c>
      <c r="J4788" t="s">
        <v>189</v>
      </c>
    </row>
    <row r="4789" spans="1:10" x14ac:dyDescent="0.35">
      <c r="A4789" t="s">
        <v>38</v>
      </c>
      <c r="B4789" s="8">
        <v>44166</v>
      </c>
      <c r="C4789">
        <v>21834669</v>
      </c>
      <c r="D4789">
        <v>7332938.7800000003</v>
      </c>
      <c r="E4789" s="12" t="s">
        <v>201</v>
      </c>
      <c r="F4789" t="s">
        <v>182</v>
      </c>
      <c r="G4789" t="s">
        <v>200</v>
      </c>
      <c r="H4789" s="8">
        <v>43738</v>
      </c>
      <c r="I4789" s="8">
        <v>45564</v>
      </c>
      <c r="J4789" t="s">
        <v>189</v>
      </c>
    </row>
    <row r="4790" spans="1:10" x14ac:dyDescent="0.35">
      <c r="A4790" t="s">
        <v>38</v>
      </c>
      <c r="B4790" s="8">
        <v>44197</v>
      </c>
      <c r="C4790">
        <v>21834669</v>
      </c>
      <c r="D4790">
        <v>9584325.8200000003</v>
      </c>
      <c r="E4790">
        <v>12250343.18</v>
      </c>
      <c r="F4790" t="s">
        <v>182</v>
      </c>
      <c r="G4790" t="s">
        <v>200</v>
      </c>
      <c r="H4790" s="8">
        <v>43738</v>
      </c>
      <c r="I4790" s="8">
        <v>45564</v>
      </c>
      <c r="J4790" t="s">
        <v>189</v>
      </c>
    </row>
    <row r="4791" spans="1:10" x14ac:dyDescent="0.35">
      <c r="A4791" t="s">
        <v>38</v>
      </c>
      <c r="B4791" s="8">
        <v>44228</v>
      </c>
      <c r="C4791">
        <v>21834669</v>
      </c>
      <c r="D4791">
        <v>10544670.92</v>
      </c>
      <c r="E4791">
        <v>11289998.08</v>
      </c>
      <c r="F4791" t="s">
        <v>182</v>
      </c>
      <c r="G4791" t="s">
        <v>200</v>
      </c>
      <c r="H4791" s="8">
        <v>43738</v>
      </c>
      <c r="I4791" s="8">
        <v>45564</v>
      </c>
      <c r="J4791" t="s">
        <v>189</v>
      </c>
    </row>
    <row r="4792" spans="1:10" x14ac:dyDescent="0.35">
      <c r="A4792" t="s">
        <v>38</v>
      </c>
      <c r="B4792" s="8">
        <v>44256</v>
      </c>
      <c r="C4792">
        <v>21834669</v>
      </c>
      <c r="D4792">
        <v>13064692.949999999</v>
      </c>
      <c r="E4792">
        <v>8769976.0500000007</v>
      </c>
      <c r="F4792" t="s">
        <v>182</v>
      </c>
      <c r="G4792" t="s">
        <v>200</v>
      </c>
      <c r="H4792" s="8">
        <v>43738</v>
      </c>
      <c r="I4792" s="8">
        <v>45564</v>
      </c>
      <c r="J4792" t="s">
        <v>189</v>
      </c>
    </row>
    <row r="4793" spans="1:10" x14ac:dyDescent="0.35">
      <c r="A4793" t="s">
        <v>38</v>
      </c>
      <c r="B4793" s="8">
        <v>44317</v>
      </c>
      <c r="C4793">
        <v>21834669</v>
      </c>
      <c r="D4793" s="12" t="s">
        <v>202</v>
      </c>
      <c r="E4793">
        <v>6212103.0300000003</v>
      </c>
      <c r="F4793" t="s">
        <v>182</v>
      </c>
      <c r="G4793" t="s">
        <v>200</v>
      </c>
      <c r="H4793" s="8">
        <v>43738</v>
      </c>
      <c r="I4793" s="8">
        <v>45564</v>
      </c>
      <c r="J4793" t="s">
        <v>189</v>
      </c>
    </row>
    <row r="4794" spans="1:10" x14ac:dyDescent="0.35">
      <c r="A4794" t="s">
        <v>38</v>
      </c>
      <c r="B4794" s="8">
        <v>44348</v>
      </c>
      <c r="C4794">
        <v>21834669</v>
      </c>
      <c r="D4794">
        <v>16926851.640000001</v>
      </c>
      <c r="E4794" s="12" t="s">
        <v>203</v>
      </c>
      <c r="F4794" t="s">
        <v>182</v>
      </c>
      <c r="G4794" t="s">
        <v>200</v>
      </c>
      <c r="H4794" s="8">
        <v>43738</v>
      </c>
      <c r="I4794" s="8">
        <v>45564</v>
      </c>
      <c r="J4794" t="s">
        <v>189</v>
      </c>
    </row>
    <row r="4795" spans="1:10" x14ac:dyDescent="0.35">
      <c r="A4795" t="s">
        <v>38</v>
      </c>
      <c r="B4795" s="8">
        <v>44378</v>
      </c>
      <c r="C4795">
        <v>21834669</v>
      </c>
      <c r="D4795">
        <v>18307170.34</v>
      </c>
      <c r="E4795">
        <v>3527498.66</v>
      </c>
      <c r="F4795" t="s">
        <v>182</v>
      </c>
      <c r="G4795" t="s">
        <v>200</v>
      </c>
      <c r="H4795" s="8">
        <v>43738</v>
      </c>
      <c r="I4795" s="8">
        <v>45564</v>
      </c>
      <c r="J4795" t="s">
        <v>189</v>
      </c>
    </row>
    <row r="4796" spans="1:10" x14ac:dyDescent="0.35">
      <c r="A4796" t="s">
        <v>38</v>
      </c>
      <c r="B4796" s="8">
        <v>44409</v>
      </c>
      <c r="C4796">
        <v>21834669</v>
      </c>
      <c r="D4796">
        <v>19811608.07</v>
      </c>
      <c r="E4796" s="12" t="s">
        <v>204</v>
      </c>
      <c r="F4796" t="s">
        <v>182</v>
      </c>
      <c r="G4796" t="s">
        <v>200</v>
      </c>
      <c r="H4796" s="8">
        <v>43738</v>
      </c>
      <c r="I4796" s="8">
        <v>45564</v>
      </c>
      <c r="J4796" t="s">
        <v>189</v>
      </c>
    </row>
    <row r="4797" spans="1:10" x14ac:dyDescent="0.35">
      <c r="A4797" t="s">
        <v>38</v>
      </c>
      <c r="B4797" s="8">
        <v>44440</v>
      </c>
      <c r="C4797">
        <v>21834669</v>
      </c>
      <c r="D4797" s="12" t="s">
        <v>205</v>
      </c>
      <c r="E4797">
        <v>1272351.2</v>
      </c>
      <c r="F4797" t="s">
        <v>182</v>
      </c>
      <c r="G4797" t="s">
        <v>200</v>
      </c>
      <c r="H4797" s="8">
        <v>43738</v>
      </c>
      <c r="I4797" s="8">
        <v>45564</v>
      </c>
      <c r="J4797" t="s">
        <v>189</v>
      </c>
    </row>
    <row r="4798" spans="1:10" x14ac:dyDescent="0.35">
      <c r="A4798" t="s">
        <v>38</v>
      </c>
      <c r="B4798" s="8">
        <v>44470</v>
      </c>
      <c r="C4798">
        <v>21834669</v>
      </c>
      <c r="D4798" s="12" t="s">
        <v>206</v>
      </c>
      <c r="E4798">
        <v>379457.31</v>
      </c>
      <c r="F4798" t="s">
        <v>182</v>
      </c>
      <c r="G4798" t="s">
        <v>200</v>
      </c>
      <c r="H4798" s="8">
        <v>43738</v>
      </c>
      <c r="I4798" s="8">
        <v>45564</v>
      </c>
      <c r="J4798" t="s">
        <v>189</v>
      </c>
    </row>
    <row r="4799" spans="1:10" x14ac:dyDescent="0.35">
      <c r="A4799" t="s">
        <v>38</v>
      </c>
      <c r="B4799" s="8">
        <v>44501</v>
      </c>
      <c r="C4799">
        <v>21834669</v>
      </c>
      <c r="D4799">
        <v>21834669</v>
      </c>
      <c r="E4799">
        <v>0</v>
      </c>
      <c r="F4799" t="s">
        <v>182</v>
      </c>
      <c r="G4799" t="s">
        <v>200</v>
      </c>
      <c r="H4799" s="8">
        <v>43738</v>
      </c>
      <c r="I4799" s="8">
        <v>45564</v>
      </c>
      <c r="J4799" t="s">
        <v>156</v>
      </c>
    </row>
    <row r="4800" spans="1:10" x14ac:dyDescent="0.35">
      <c r="A4800" t="s">
        <v>38</v>
      </c>
      <c r="B4800" s="8">
        <v>44531</v>
      </c>
      <c r="C4800">
        <v>21834669</v>
      </c>
      <c r="D4800">
        <v>21834669</v>
      </c>
      <c r="E4800">
        <v>0</v>
      </c>
      <c r="F4800" t="s">
        <v>182</v>
      </c>
      <c r="G4800" t="s">
        <v>200</v>
      </c>
      <c r="H4800" s="8">
        <v>43738</v>
      </c>
      <c r="I4800" s="8">
        <v>45564</v>
      </c>
      <c r="J4800" t="s">
        <v>156</v>
      </c>
    </row>
    <row r="4801" spans="1:10" x14ac:dyDescent="0.35">
      <c r="A4801" t="s">
        <v>38</v>
      </c>
      <c r="B4801" s="8">
        <v>44562</v>
      </c>
      <c r="C4801">
        <v>21834669</v>
      </c>
      <c r="D4801">
        <v>21834669</v>
      </c>
      <c r="E4801">
        <v>0</v>
      </c>
      <c r="F4801" t="s">
        <v>182</v>
      </c>
      <c r="G4801" t="s">
        <v>200</v>
      </c>
      <c r="H4801" s="8">
        <v>43738</v>
      </c>
      <c r="I4801" s="8">
        <v>45564</v>
      </c>
      <c r="J4801" t="s">
        <v>156</v>
      </c>
    </row>
    <row r="4802" spans="1:10" x14ac:dyDescent="0.35">
      <c r="A4802" t="s">
        <v>38</v>
      </c>
      <c r="B4802" s="8">
        <v>44593</v>
      </c>
      <c r="C4802">
        <v>21834669</v>
      </c>
      <c r="D4802">
        <v>21834669</v>
      </c>
      <c r="E4802">
        <v>0</v>
      </c>
      <c r="F4802" t="s">
        <v>182</v>
      </c>
      <c r="G4802" t="s">
        <v>200</v>
      </c>
      <c r="H4802" s="8">
        <v>43738</v>
      </c>
      <c r="I4802" s="8">
        <v>45564</v>
      </c>
      <c r="J4802" t="s">
        <v>156</v>
      </c>
    </row>
    <row r="4803" spans="1:10" x14ac:dyDescent="0.35">
      <c r="A4803" t="s">
        <v>38</v>
      </c>
      <c r="B4803" s="8">
        <v>44621</v>
      </c>
      <c r="C4803">
        <v>21834669</v>
      </c>
      <c r="D4803">
        <v>21834669</v>
      </c>
      <c r="E4803">
        <v>0</v>
      </c>
      <c r="F4803" t="s">
        <v>182</v>
      </c>
      <c r="G4803" t="s">
        <v>200</v>
      </c>
      <c r="H4803" s="8">
        <v>43738</v>
      </c>
      <c r="I4803" s="8">
        <v>45564</v>
      </c>
      <c r="J4803" t="s">
        <v>156</v>
      </c>
    </row>
    <row r="4804" spans="1:10" x14ac:dyDescent="0.35">
      <c r="A4804" t="s">
        <v>38</v>
      </c>
      <c r="B4804" s="8">
        <v>44652</v>
      </c>
      <c r="C4804">
        <v>21834669</v>
      </c>
      <c r="D4804">
        <v>21834669</v>
      </c>
      <c r="E4804">
        <v>0</v>
      </c>
      <c r="F4804" t="s">
        <v>182</v>
      </c>
      <c r="G4804" t="s">
        <v>200</v>
      </c>
      <c r="H4804" s="8">
        <v>43738</v>
      </c>
      <c r="I4804" s="8">
        <v>45564</v>
      </c>
      <c r="J4804" t="s">
        <v>156</v>
      </c>
    </row>
    <row r="4805" spans="1:10" x14ac:dyDescent="0.35">
      <c r="A4805" t="s">
        <v>38</v>
      </c>
      <c r="B4805" s="8">
        <v>44682</v>
      </c>
      <c r="C4805">
        <v>21834669</v>
      </c>
      <c r="D4805">
        <v>21834669</v>
      </c>
      <c r="E4805">
        <v>0</v>
      </c>
      <c r="F4805" t="s">
        <v>182</v>
      </c>
      <c r="G4805" t="s">
        <v>200</v>
      </c>
      <c r="H4805" s="8">
        <v>43738</v>
      </c>
      <c r="I4805" s="8">
        <v>45564</v>
      </c>
      <c r="J4805" t="s">
        <v>156</v>
      </c>
    </row>
    <row r="4806" spans="1:10" x14ac:dyDescent="0.35">
      <c r="A4806" t="s">
        <v>38</v>
      </c>
      <c r="B4806" s="8">
        <v>44713</v>
      </c>
      <c r="C4806">
        <v>21834669</v>
      </c>
      <c r="D4806">
        <v>21834669</v>
      </c>
      <c r="E4806">
        <v>0</v>
      </c>
      <c r="F4806" t="s">
        <v>182</v>
      </c>
      <c r="G4806" t="s">
        <v>200</v>
      </c>
      <c r="H4806" s="8">
        <v>43738</v>
      </c>
      <c r="I4806" s="8">
        <v>45564</v>
      </c>
      <c r="J4806" t="s">
        <v>156</v>
      </c>
    </row>
    <row r="4807" spans="1:10" x14ac:dyDescent="0.35">
      <c r="A4807" t="s">
        <v>38</v>
      </c>
      <c r="B4807" s="8">
        <v>44743</v>
      </c>
      <c r="C4807">
        <v>21834669</v>
      </c>
      <c r="D4807">
        <v>21834669</v>
      </c>
      <c r="E4807">
        <v>0</v>
      </c>
      <c r="F4807" t="s">
        <v>182</v>
      </c>
      <c r="G4807" t="s">
        <v>200</v>
      </c>
      <c r="H4807" s="8">
        <v>43738</v>
      </c>
      <c r="I4807" s="8">
        <v>45564</v>
      </c>
      <c r="J4807" t="s">
        <v>156</v>
      </c>
    </row>
    <row r="4808" spans="1:10" x14ac:dyDescent="0.35">
      <c r="A4808" t="s">
        <v>38</v>
      </c>
      <c r="B4808" s="8">
        <v>44774</v>
      </c>
      <c r="C4808">
        <v>21834669</v>
      </c>
      <c r="D4808">
        <v>21834669</v>
      </c>
      <c r="E4808">
        <v>0</v>
      </c>
      <c r="F4808" t="s">
        <v>182</v>
      </c>
      <c r="G4808" t="s">
        <v>200</v>
      </c>
      <c r="H4808" s="8">
        <v>43738</v>
      </c>
      <c r="I4808" s="8">
        <v>45564</v>
      </c>
      <c r="J4808" t="s">
        <v>156</v>
      </c>
    </row>
    <row r="4809" spans="1:10" x14ac:dyDescent="0.35">
      <c r="A4809" t="s">
        <v>38</v>
      </c>
      <c r="B4809" s="8">
        <v>44805</v>
      </c>
      <c r="C4809">
        <v>21834669</v>
      </c>
      <c r="D4809">
        <v>21834669</v>
      </c>
      <c r="E4809">
        <v>0</v>
      </c>
      <c r="F4809" t="s">
        <v>182</v>
      </c>
      <c r="G4809" t="s">
        <v>200</v>
      </c>
      <c r="H4809" s="8">
        <v>43738</v>
      </c>
      <c r="I4809" s="8">
        <v>45564</v>
      </c>
      <c r="J4809" t="s">
        <v>156</v>
      </c>
    </row>
    <row r="4810" spans="1:10" x14ac:dyDescent="0.35">
      <c r="A4810" t="s">
        <v>38</v>
      </c>
      <c r="B4810" s="8">
        <v>44835</v>
      </c>
      <c r="C4810">
        <v>21834669</v>
      </c>
      <c r="D4810">
        <v>21834669</v>
      </c>
      <c r="E4810">
        <v>0</v>
      </c>
      <c r="F4810" t="s">
        <v>182</v>
      </c>
      <c r="G4810" t="s">
        <v>200</v>
      </c>
      <c r="H4810" s="8">
        <v>43738</v>
      </c>
      <c r="I4810" s="8">
        <v>45564</v>
      </c>
      <c r="J4810" t="s">
        <v>156</v>
      </c>
    </row>
    <row r="4811" spans="1:10" x14ac:dyDescent="0.35">
      <c r="A4811" t="s">
        <v>38</v>
      </c>
      <c r="B4811" s="8">
        <v>44866</v>
      </c>
      <c r="C4811">
        <v>21834669</v>
      </c>
      <c r="D4811">
        <v>21834669</v>
      </c>
      <c r="E4811">
        <v>0</v>
      </c>
      <c r="F4811" t="s">
        <v>182</v>
      </c>
      <c r="G4811" t="s">
        <v>200</v>
      </c>
      <c r="H4811" s="8">
        <v>43738</v>
      </c>
      <c r="I4811" s="8">
        <v>45564</v>
      </c>
      <c r="J4811" t="s">
        <v>156</v>
      </c>
    </row>
    <row r="4812" spans="1:10" x14ac:dyDescent="0.35">
      <c r="A4812" t="s">
        <v>38</v>
      </c>
      <c r="B4812" s="8">
        <v>44896</v>
      </c>
      <c r="C4812">
        <v>21834669</v>
      </c>
      <c r="D4812">
        <v>21834669</v>
      </c>
      <c r="E4812">
        <v>0</v>
      </c>
      <c r="F4812" t="s">
        <v>182</v>
      </c>
      <c r="G4812" t="s">
        <v>200</v>
      </c>
      <c r="H4812" s="8">
        <v>43738</v>
      </c>
      <c r="I4812" s="8">
        <v>45564</v>
      </c>
      <c r="J4812" t="s">
        <v>156</v>
      </c>
    </row>
    <row r="4813" spans="1:10" x14ac:dyDescent="0.35">
      <c r="A4813" t="s">
        <v>38</v>
      </c>
      <c r="B4813" s="8">
        <v>44927</v>
      </c>
      <c r="C4813">
        <v>21834669</v>
      </c>
      <c r="D4813">
        <v>21834669</v>
      </c>
      <c r="E4813">
        <v>0</v>
      </c>
      <c r="F4813" t="s">
        <v>182</v>
      </c>
      <c r="G4813" t="s">
        <v>200</v>
      </c>
      <c r="H4813" s="8">
        <v>43738</v>
      </c>
      <c r="I4813" s="8">
        <v>45564</v>
      </c>
      <c r="J4813" t="s">
        <v>156</v>
      </c>
    </row>
    <row r="4814" spans="1:10" x14ac:dyDescent="0.35">
      <c r="A4814" t="s">
        <v>38</v>
      </c>
      <c r="B4814" s="8">
        <v>44958</v>
      </c>
      <c r="C4814">
        <v>21834669</v>
      </c>
      <c r="D4814">
        <v>21834669</v>
      </c>
      <c r="E4814">
        <v>0</v>
      </c>
      <c r="F4814" t="s">
        <v>182</v>
      </c>
      <c r="G4814" t="s">
        <v>200</v>
      </c>
      <c r="H4814" s="8">
        <v>43738</v>
      </c>
      <c r="I4814" s="8">
        <v>45564</v>
      </c>
      <c r="J4814" t="s">
        <v>156</v>
      </c>
    </row>
    <row r="4815" spans="1:10" x14ac:dyDescent="0.35">
      <c r="A4815" t="s">
        <v>38</v>
      </c>
      <c r="B4815" s="8">
        <v>44986</v>
      </c>
      <c r="C4815">
        <v>21834669</v>
      </c>
      <c r="D4815">
        <v>21834669</v>
      </c>
      <c r="E4815">
        <v>0</v>
      </c>
      <c r="F4815" t="s">
        <v>182</v>
      </c>
      <c r="G4815" t="s">
        <v>200</v>
      </c>
      <c r="H4815" s="8">
        <v>43738</v>
      </c>
      <c r="I4815" s="8">
        <v>45564</v>
      </c>
      <c r="J4815" t="s">
        <v>156</v>
      </c>
    </row>
    <row r="4816" spans="1:10" x14ac:dyDescent="0.35">
      <c r="A4816" t="s">
        <v>38</v>
      </c>
      <c r="B4816" s="8">
        <v>45017</v>
      </c>
      <c r="C4816">
        <v>21834669</v>
      </c>
      <c r="D4816">
        <v>21834669</v>
      </c>
      <c r="E4816">
        <v>0</v>
      </c>
      <c r="F4816" t="s">
        <v>182</v>
      </c>
      <c r="G4816" t="s">
        <v>200</v>
      </c>
      <c r="H4816" s="8">
        <v>43738</v>
      </c>
      <c r="I4816" s="8">
        <v>45564</v>
      </c>
      <c r="J4816" t="s">
        <v>156</v>
      </c>
    </row>
    <row r="4817" spans="1:10" x14ac:dyDescent="0.35">
      <c r="A4817" t="s">
        <v>38</v>
      </c>
      <c r="B4817" s="8">
        <v>45047</v>
      </c>
      <c r="C4817">
        <v>21834669</v>
      </c>
      <c r="D4817">
        <v>21834669</v>
      </c>
      <c r="E4817">
        <v>0</v>
      </c>
      <c r="F4817" t="s">
        <v>182</v>
      </c>
      <c r="G4817" t="s">
        <v>200</v>
      </c>
      <c r="H4817" s="8">
        <v>43738</v>
      </c>
      <c r="I4817" s="8">
        <v>45564</v>
      </c>
      <c r="J4817" t="s">
        <v>156</v>
      </c>
    </row>
    <row r="4818" spans="1:10" x14ac:dyDescent="0.35">
      <c r="A4818" t="s">
        <v>38</v>
      </c>
      <c r="B4818" s="8">
        <v>45078</v>
      </c>
      <c r="C4818">
        <v>21834669</v>
      </c>
      <c r="D4818">
        <v>21834669</v>
      </c>
      <c r="E4818">
        <v>0</v>
      </c>
      <c r="F4818" t="s">
        <v>182</v>
      </c>
      <c r="G4818" t="s">
        <v>200</v>
      </c>
      <c r="H4818" s="8">
        <v>43738</v>
      </c>
      <c r="I4818" s="8">
        <v>45564</v>
      </c>
      <c r="J4818" t="s">
        <v>156</v>
      </c>
    </row>
    <row r="4819" spans="1:10" x14ac:dyDescent="0.35">
      <c r="A4819" t="s">
        <v>38</v>
      </c>
      <c r="B4819" s="8">
        <v>45108</v>
      </c>
      <c r="C4819">
        <v>21834669</v>
      </c>
      <c r="D4819">
        <v>21834669</v>
      </c>
      <c r="E4819">
        <v>0</v>
      </c>
      <c r="F4819" t="s">
        <v>182</v>
      </c>
      <c r="G4819" t="s">
        <v>200</v>
      </c>
      <c r="H4819" s="8">
        <v>43738</v>
      </c>
      <c r="I4819" s="8">
        <v>45564</v>
      </c>
      <c r="J4819" t="s">
        <v>156</v>
      </c>
    </row>
    <row r="4820" spans="1:10" x14ac:dyDescent="0.35">
      <c r="A4820" t="s">
        <v>38</v>
      </c>
      <c r="B4820" s="8">
        <v>45139</v>
      </c>
      <c r="C4820">
        <v>21834669</v>
      </c>
      <c r="D4820">
        <v>21834669</v>
      </c>
      <c r="E4820">
        <v>0</v>
      </c>
      <c r="F4820" t="s">
        <v>182</v>
      </c>
      <c r="G4820" t="s">
        <v>200</v>
      </c>
      <c r="H4820" s="8">
        <v>43738</v>
      </c>
      <c r="I4820" s="8">
        <v>45564</v>
      </c>
      <c r="J4820" t="s">
        <v>156</v>
      </c>
    </row>
    <row r="4821" spans="1:10" x14ac:dyDescent="0.35">
      <c r="A4821" t="s">
        <v>38</v>
      </c>
      <c r="B4821" s="8">
        <v>45170</v>
      </c>
      <c r="C4821">
        <v>21834669</v>
      </c>
      <c r="D4821">
        <v>21834669</v>
      </c>
      <c r="E4821">
        <v>0</v>
      </c>
      <c r="F4821" t="s">
        <v>182</v>
      </c>
      <c r="G4821" t="s">
        <v>200</v>
      </c>
      <c r="H4821" s="8">
        <v>43738</v>
      </c>
      <c r="I4821" s="8">
        <v>45564</v>
      </c>
      <c r="J4821" t="s">
        <v>156</v>
      </c>
    </row>
    <row r="4822" spans="1:10" x14ac:dyDescent="0.35">
      <c r="A4822" t="s">
        <v>39</v>
      </c>
      <c r="B4822" s="8">
        <v>44105</v>
      </c>
      <c r="C4822">
        <v>4295474</v>
      </c>
      <c r="D4822">
        <v>379875.67</v>
      </c>
      <c r="E4822">
        <v>3915598.33</v>
      </c>
      <c r="F4822" t="s">
        <v>182</v>
      </c>
      <c r="G4822" t="s">
        <v>200</v>
      </c>
      <c r="H4822" s="8">
        <v>43738</v>
      </c>
      <c r="I4822" s="8">
        <v>45564</v>
      </c>
      <c r="J4822" t="s">
        <v>189</v>
      </c>
    </row>
    <row r="4823" spans="1:10" x14ac:dyDescent="0.35">
      <c r="A4823" t="s">
        <v>39</v>
      </c>
      <c r="B4823" s="8">
        <v>44136</v>
      </c>
      <c r="C4823">
        <v>4295474</v>
      </c>
      <c r="D4823">
        <v>719833.63</v>
      </c>
      <c r="E4823" s="12" t="s">
        <v>207</v>
      </c>
      <c r="F4823" t="s">
        <v>182</v>
      </c>
      <c r="G4823" t="s">
        <v>200</v>
      </c>
      <c r="H4823" s="8">
        <v>43738</v>
      </c>
      <c r="I4823" s="8">
        <v>45564</v>
      </c>
      <c r="J4823" t="s">
        <v>189</v>
      </c>
    </row>
    <row r="4824" spans="1:10" x14ac:dyDescent="0.35">
      <c r="A4824" t="s">
        <v>39</v>
      </c>
      <c r="B4824" s="8">
        <v>44166</v>
      </c>
      <c r="C4824">
        <v>4295474</v>
      </c>
      <c r="D4824">
        <v>965834.22</v>
      </c>
      <c r="E4824">
        <v>3329639.78</v>
      </c>
      <c r="F4824" t="s">
        <v>182</v>
      </c>
      <c r="G4824" t="s">
        <v>200</v>
      </c>
      <c r="H4824" s="8">
        <v>43738</v>
      </c>
      <c r="I4824" s="8">
        <v>45564</v>
      </c>
      <c r="J4824" t="s">
        <v>189</v>
      </c>
    </row>
    <row r="4825" spans="1:10" x14ac:dyDescent="0.35">
      <c r="A4825" t="s">
        <v>39</v>
      </c>
      <c r="B4825" s="8">
        <v>44197</v>
      </c>
      <c r="C4825">
        <v>4295474</v>
      </c>
      <c r="D4825">
        <v>1306141.47</v>
      </c>
      <c r="E4825" s="12" t="s">
        <v>208</v>
      </c>
      <c r="F4825" t="s">
        <v>182</v>
      </c>
      <c r="G4825" t="s">
        <v>200</v>
      </c>
      <c r="H4825" s="8">
        <v>43738</v>
      </c>
      <c r="I4825" s="8">
        <v>45564</v>
      </c>
      <c r="J4825" t="s">
        <v>189</v>
      </c>
    </row>
    <row r="4826" spans="1:10" x14ac:dyDescent="0.35">
      <c r="A4826" t="s">
        <v>39</v>
      </c>
      <c r="B4826" s="8">
        <v>44228</v>
      </c>
      <c r="C4826">
        <v>4295474</v>
      </c>
      <c r="D4826">
        <v>1555525.19</v>
      </c>
      <c r="E4826">
        <v>2739948.81</v>
      </c>
      <c r="F4826" t="s">
        <v>182</v>
      </c>
      <c r="G4826" t="s">
        <v>200</v>
      </c>
      <c r="H4826" s="8">
        <v>43738</v>
      </c>
      <c r="I4826" s="8">
        <v>45564</v>
      </c>
      <c r="J4826" t="s">
        <v>189</v>
      </c>
    </row>
    <row r="4827" spans="1:10" x14ac:dyDescent="0.35">
      <c r="A4827" t="s">
        <v>39</v>
      </c>
      <c r="B4827" s="8">
        <v>44256</v>
      </c>
      <c r="C4827">
        <v>4295474</v>
      </c>
      <c r="D4827" s="12" t="s">
        <v>209</v>
      </c>
      <c r="E4827">
        <v>2285891.64</v>
      </c>
      <c r="F4827" t="s">
        <v>182</v>
      </c>
      <c r="G4827" t="s">
        <v>200</v>
      </c>
      <c r="H4827" s="8">
        <v>43738</v>
      </c>
      <c r="I4827" s="8">
        <v>45564</v>
      </c>
      <c r="J4827" t="s">
        <v>189</v>
      </c>
    </row>
    <row r="4828" spans="1:10" x14ac:dyDescent="0.35">
      <c r="A4828" t="s">
        <v>39</v>
      </c>
      <c r="B4828" s="8">
        <v>44317</v>
      </c>
      <c r="C4828">
        <v>4295474</v>
      </c>
      <c r="D4828">
        <v>2510140.4</v>
      </c>
      <c r="E4828">
        <v>1785333.6</v>
      </c>
      <c r="F4828" t="s">
        <v>182</v>
      </c>
      <c r="G4828" t="s">
        <v>200</v>
      </c>
      <c r="H4828" s="8">
        <v>43738</v>
      </c>
      <c r="I4828" s="8">
        <v>45564</v>
      </c>
      <c r="J4828" t="s">
        <v>189</v>
      </c>
    </row>
    <row r="4829" spans="1:10" x14ac:dyDescent="0.35">
      <c r="A4829" t="s">
        <v>39</v>
      </c>
      <c r="B4829" s="8">
        <v>44348</v>
      </c>
      <c r="C4829">
        <v>4295474</v>
      </c>
      <c r="D4829">
        <v>2805321.43</v>
      </c>
      <c r="E4829" s="12" t="s">
        <v>210</v>
      </c>
      <c r="F4829" t="s">
        <v>182</v>
      </c>
      <c r="G4829" t="s">
        <v>200</v>
      </c>
      <c r="H4829" s="8">
        <v>43738</v>
      </c>
      <c r="I4829" s="8">
        <v>45564</v>
      </c>
      <c r="J4829" t="s">
        <v>189</v>
      </c>
    </row>
    <row r="4830" spans="1:10" x14ac:dyDescent="0.35">
      <c r="A4830" t="s">
        <v>39</v>
      </c>
      <c r="B4830" s="8">
        <v>44378</v>
      </c>
      <c r="C4830">
        <v>4295474</v>
      </c>
      <c r="D4830">
        <v>3172302.54</v>
      </c>
      <c r="E4830">
        <v>1123171.46</v>
      </c>
      <c r="F4830" t="s">
        <v>182</v>
      </c>
      <c r="G4830" t="s">
        <v>200</v>
      </c>
      <c r="H4830" s="8">
        <v>43738</v>
      </c>
      <c r="I4830" s="8">
        <v>45564</v>
      </c>
      <c r="J4830" t="s">
        <v>189</v>
      </c>
    </row>
    <row r="4831" spans="1:10" x14ac:dyDescent="0.35">
      <c r="A4831" t="s">
        <v>39</v>
      </c>
      <c r="B4831" s="8">
        <v>44409</v>
      </c>
      <c r="C4831">
        <v>4295474</v>
      </c>
      <c r="D4831">
        <v>3462884.13</v>
      </c>
      <c r="E4831">
        <v>832589.87</v>
      </c>
      <c r="F4831" t="s">
        <v>182</v>
      </c>
      <c r="G4831" t="s">
        <v>200</v>
      </c>
      <c r="H4831" s="8">
        <v>43738</v>
      </c>
      <c r="I4831" s="8">
        <v>45564</v>
      </c>
      <c r="J4831" t="s">
        <v>189</v>
      </c>
    </row>
    <row r="4832" spans="1:10" x14ac:dyDescent="0.35">
      <c r="A4832" t="s">
        <v>39</v>
      </c>
      <c r="B4832" s="8">
        <v>44440</v>
      </c>
      <c r="C4832">
        <v>4295474</v>
      </c>
      <c r="D4832">
        <v>3544659.82</v>
      </c>
      <c r="E4832">
        <v>750814.18</v>
      </c>
      <c r="F4832" t="s">
        <v>182</v>
      </c>
      <c r="G4832" t="s">
        <v>200</v>
      </c>
      <c r="H4832" s="8">
        <v>43738</v>
      </c>
      <c r="I4832" s="8">
        <v>45564</v>
      </c>
      <c r="J4832" t="s">
        <v>189</v>
      </c>
    </row>
    <row r="4833" spans="1:10" x14ac:dyDescent="0.35">
      <c r="A4833" t="s">
        <v>39</v>
      </c>
      <c r="B4833" s="8">
        <v>44470</v>
      </c>
      <c r="C4833">
        <v>4295474</v>
      </c>
      <c r="D4833">
        <v>3964074.59</v>
      </c>
      <c r="E4833" s="12" t="s">
        <v>211</v>
      </c>
      <c r="F4833" t="s">
        <v>182</v>
      </c>
      <c r="G4833" t="s">
        <v>200</v>
      </c>
      <c r="H4833" s="8">
        <v>43738</v>
      </c>
      <c r="I4833" s="8">
        <v>45564</v>
      </c>
      <c r="J4833" t="s">
        <v>189</v>
      </c>
    </row>
    <row r="4834" spans="1:10" x14ac:dyDescent="0.35">
      <c r="A4834" t="s">
        <v>39</v>
      </c>
      <c r="B4834" s="8">
        <v>44501</v>
      </c>
      <c r="C4834">
        <v>4295474</v>
      </c>
      <c r="D4834">
        <v>4286476.66</v>
      </c>
      <c r="E4834">
        <v>8997.34</v>
      </c>
      <c r="F4834" t="s">
        <v>182</v>
      </c>
      <c r="G4834" t="s">
        <v>200</v>
      </c>
      <c r="H4834" s="8">
        <v>43738</v>
      </c>
      <c r="I4834" s="8">
        <v>45564</v>
      </c>
      <c r="J4834" t="s">
        <v>189</v>
      </c>
    </row>
    <row r="4835" spans="1:10" x14ac:dyDescent="0.35">
      <c r="A4835" t="s">
        <v>39</v>
      </c>
      <c r="B4835" s="8">
        <v>44531</v>
      </c>
      <c r="C4835">
        <v>4295474</v>
      </c>
      <c r="D4835">
        <v>4295474</v>
      </c>
      <c r="E4835">
        <v>0</v>
      </c>
      <c r="F4835" t="s">
        <v>182</v>
      </c>
      <c r="G4835" t="s">
        <v>200</v>
      </c>
      <c r="H4835" s="8">
        <v>43738</v>
      </c>
      <c r="I4835" s="8">
        <v>45564</v>
      </c>
      <c r="J4835" t="s">
        <v>156</v>
      </c>
    </row>
    <row r="4836" spans="1:10" x14ac:dyDescent="0.35">
      <c r="A4836" t="s">
        <v>39</v>
      </c>
      <c r="B4836" s="8">
        <v>44562</v>
      </c>
      <c r="C4836">
        <v>4295474</v>
      </c>
      <c r="D4836">
        <v>4295474</v>
      </c>
      <c r="E4836">
        <v>0</v>
      </c>
      <c r="F4836" t="s">
        <v>182</v>
      </c>
      <c r="G4836" t="s">
        <v>200</v>
      </c>
      <c r="H4836" s="8">
        <v>43738</v>
      </c>
      <c r="I4836" s="8">
        <v>45564</v>
      </c>
      <c r="J4836" t="s">
        <v>156</v>
      </c>
    </row>
    <row r="4837" spans="1:10" x14ac:dyDescent="0.35">
      <c r="A4837" t="s">
        <v>39</v>
      </c>
      <c r="B4837" s="8">
        <v>44593</v>
      </c>
      <c r="C4837">
        <v>4295474</v>
      </c>
      <c r="D4837">
        <v>4295474</v>
      </c>
      <c r="E4837">
        <v>0</v>
      </c>
      <c r="F4837" t="s">
        <v>182</v>
      </c>
      <c r="G4837" t="s">
        <v>200</v>
      </c>
      <c r="H4837" s="8">
        <v>43738</v>
      </c>
      <c r="I4837" s="8">
        <v>45564</v>
      </c>
      <c r="J4837" t="s">
        <v>156</v>
      </c>
    </row>
    <row r="4838" spans="1:10" x14ac:dyDescent="0.35">
      <c r="A4838" t="s">
        <v>39</v>
      </c>
      <c r="B4838" s="8">
        <v>44621</v>
      </c>
      <c r="C4838">
        <v>4295474</v>
      </c>
      <c r="D4838">
        <v>4295474</v>
      </c>
      <c r="E4838">
        <v>0</v>
      </c>
      <c r="F4838" t="s">
        <v>182</v>
      </c>
      <c r="G4838" t="s">
        <v>200</v>
      </c>
      <c r="H4838" s="8">
        <v>43738</v>
      </c>
      <c r="I4838" s="8">
        <v>45564</v>
      </c>
      <c r="J4838" t="s">
        <v>156</v>
      </c>
    </row>
    <row r="4839" spans="1:10" x14ac:dyDescent="0.35">
      <c r="A4839" t="s">
        <v>39</v>
      </c>
      <c r="B4839" s="8">
        <v>44652</v>
      </c>
      <c r="C4839">
        <v>4295474</v>
      </c>
      <c r="D4839">
        <v>4295474</v>
      </c>
      <c r="E4839">
        <v>0</v>
      </c>
      <c r="F4839" t="s">
        <v>182</v>
      </c>
      <c r="G4839" t="s">
        <v>200</v>
      </c>
      <c r="H4839" s="8">
        <v>43738</v>
      </c>
      <c r="I4839" s="8">
        <v>45564</v>
      </c>
      <c r="J4839" t="s">
        <v>156</v>
      </c>
    </row>
    <row r="4840" spans="1:10" x14ac:dyDescent="0.35">
      <c r="A4840" t="s">
        <v>39</v>
      </c>
      <c r="B4840" s="8">
        <v>44682</v>
      </c>
      <c r="C4840">
        <v>4295474</v>
      </c>
      <c r="D4840">
        <v>4295474</v>
      </c>
      <c r="E4840">
        <v>0</v>
      </c>
      <c r="F4840" t="s">
        <v>182</v>
      </c>
      <c r="G4840" t="s">
        <v>200</v>
      </c>
      <c r="H4840" s="8">
        <v>43738</v>
      </c>
      <c r="I4840" s="8">
        <v>45564</v>
      </c>
      <c r="J4840" t="s">
        <v>156</v>
      </c>
    </row>
    <row r="4841" spans="1:10" x14ac:dyDescent="0.35">
      <c r="A4841" t="s">
        <v>39</v>
      </c>
      <c r="B4841" s="8">
        <v>44713</v>
      </c>
      <c r="C4841">
        <v>4295474</v>
      </c>
      <c r="D4841">
        <v>4295474</v>
      </c>
      <c r="E4841">
        <v>0</v>
      </c>
      <c r="F4841" t="s">
        <v>182</v>
      </c>
      <c r="G4841" t="s">
        <v>200</v>
      </c>
      <c r="H4841" s="8">
        <v>43738</v>
      </c>
      <c r="I4841" s="8">
        <v>45564</v>
      </c>
      <c r="J4841" t="s">
        <v>156</v>
      </c>
    </row>
    <row r="4842" spans="1:10" x14ac:dyDescent="0.35">
      <c r="A4842" t="s">
        <v>39</v>
      </c>
      <c r="B4842" s="8">
        <v>44743</v>
      </c>
      <c r="C4842">
        <v>4295474</v>
      </c>
      <c r="D4842">
        <v>4295474</v>
      </c>
      <c r="E4842">
        <v>0</v>
      </c>
      <c r="F4842" t="s">
        <v>182</v>
      </c>
      <c r="G4842" t="s">
        <v>200</v>
      </c>
      <c r="H4842" s="8">
        <v>43738</v>
      </c>
      <c r="I4842" s="8">
        <v>45564</v>
      </c>
      <c r="J4842" t="s">
        <v>156</v>
      </c>
    </row>
    <row r="4843" spans="1:10" x14ac:dyDescent="0.35">
      <c r="A4843" t="s">
        <v>39</v>
      </c>
      <c r="B4843" s="8">
        <v>44774</v>
      </c>
      <c r="C4843">
        <v>4295474</v>
      </c>
      <c r="D4843">
        <v>4295474</v>
      </c>
      <c r="E4843">
        <v>0</v>
      </c>
      <c r="F4843" t="s">
        <v>182</v>
      </c>
      <c r="G4843" t="s">
        <v>200</v>
      </c>
      <c r="H4843" s="8">
        <v>43738</v>
      </c>
      <c r="I4843" s="8">
        <v>45564</v>
      </c>
      <c r="J4843" t="s">
        <v>156</v>
      </c>
    </row>
    <row r="4844" spans="1:10" x14ac:dyDescent="0.35">
      <c r="A4844" t="s">
        <v>39</v>
      </c>
      <c r="B4844" s="8">
        <v>44805</v>
      </c>
      <c r="C4844">
        <v>4295474</v>
      </c>
      <c r="D4844">
        <v>4295474</v>
      </c>
      <c r="E4844">
        <v>0</v>
      </c>
      <c r="F4844" t="s">
        <v>182</v>
      </c>
      <c r="G4844" t="s">
        <v>200</v>
      </c>
      <c r="H4844" s="8">
        <v>43738</v>
      </c>
      <c r="I4844" s="8">
        <v>45564</v>
      </c>
      <c r="J4844" t="s">
        <v>156</v>
      </c>
    </row>
    <row r="4845" spans="1:10" x14ac:dyDescent="0.35">
      <c r="A4845" t="s">
        <v>39</v>
      </c>
      <c r="B4845" s="8">
        <v>44835</v>
      </c>
      <c r="C4845">
        <v>4295474</v>
      </c>
      <c r="D4845">
        <v>4295474</v>
      </c>
      <c r="E4845">
        <v>0</v>
      </c>
      <c r="F4845" t="s">
        <v>182</v>
      </c>
      <c r="G4845" t="s">
        <v>200</v>
      </c>
      <c r="H4845" s="8">
        <v>43738</v>
      </c>
      <c r="I4845" s="8">
        <v>45564</v>
      </c>
      <c r="J4845" t="s">
        <v>156</v>
      </c>
    </row>
    <row r="4846" spans="1:10" x14ac:dyDescent="0.35">
      <c r="A4846" t="s">
        <v>39</v>
      </c>
      <c r="B4846" s="8">
        <v>44866</v>
      </c>
      <c r="C4846">
        <v>4295474</v>
      </c>
      <c r="D4846">
        <v>4295474</v>
      </c>
      <c r="E4846">
        <v>0</v>
      </c>
      <c r="F4846" t="s">
        <v>182</v>
      </c>
      <c r="G4846" t="s">
        <v>200</v>
      </c>
      <c r="H4846" s="8">
        <v>43738</v>
      </c>
      <c r="I4846" s="8">
        <v>45564</v>
      </c>
      <c r="J4846" t="s">
        <v>156</v>
      </c>
    </row>
    <row r="4847" spans="1:10" x14ac:dyDescent="0.35">
      <c r="A4847" t="s">
        <v>39</v>
      </c>
      <c r="B4847" s="8">
        <v>44896</v>
      </c>
      <c r="C4847">
        <v>4295474</v>
      </c>
      <c r="D4847">
        <v>4295474</v>
      </c>
      <c r="E4847">
        <v>0</v>
      </c>
      <c r="F4847" t="s">
        <v>182</v>
      </c>
      <c r="G4847" t="s">
        <v>200</v>
      </c>
      <c r="H4847" s="8">
        <v>43738</v>
      </c>
      <c r="I4847" s="8">
        <v>45564</v>
      </c>
      <c r="J4847" t="s">
        <v>156</v>
      </c>
    </row>
    <row r="4848" spans="1:10" x14ac:dyDescent="0.35">
      <c r="A4848" t="s">
        <v>39</v>
      </c>
      <c r="B4848" s="8">
        <v>44927</v>
      </c>
      <c r="C4848">
        <v>4295474</v>
      </c>
      <c r="D4848">
        <v>4295474</v>
      </c>
      <c r="E4848">
        <v>0</v>
      </c>
      <c r="F4848" t="s">
        <v>182</v>
      </c>
      <c r="G4848" t="s">
        <v>200</v>
      </c>
      <c r="H4848" s="8">
        <v>43738</v>
      </c>
      <c r="I4848" s="8">
        <v>45564</v>
      </c>
      <c r="J4848" t="s">
        <v>156</v>
      </c>
    </row>
    <row r="4849" spans="1:10" x14ac:dyDescent="0.35">
      <c r="A4849" t="s">
        <v>39</v>
      </c>
      <c r="B4849" s="8">
        <v>44958</v>
      </c>
      <c r="C4849">
        <v>4295474</v>
      </c>
      <c r="D4849">
        <v>4295474</v>
      </c>
      <c r="E4849">
        <v>0</v>
      </c>
      <c r="F4849" t="s">
        <v>182</v>
      </c>
      <c r="G4849" t="s">
        <v>200</v>
      </c>
      <c r="H4849" s="8">
        <v>43738</v>
      </c>
      <c r="I4849" s="8">
        <v>45564</v>
      </c>
      <c r="J4849" t="s">
        <v>156</v>
      </c>
    </row>
    <row r="4850" spans="1:10" x14ac:dyDescent="0.35">
      <c r="A4850" t="s">
        <v>39</v>
      </c>
      <c r="B4850" s="8">
        <v>44986</v>
      </c>
      <c r="C4850">
        <v>4295474</v>
      </c>
      <c r="D4850">
        <v>4295474</v>
      </c>
      <c r="E4850">
        <v>0</v>
      </c>
      <c r="F4850" t="s">
        <v>182</v>
      </c>
      <c r="G4850" t="s">
        <v>200</v>
      </c>
      <c r="H4850" s="8">
        <v>43738</v>
      </c>
      <c r="I4850" s="8">
        <v>45564</v>
      </c>
      <c r="J4850" t="s">
        <v>156</v>
      </c>
    </row>
    <row r="4851" spans="1:10" x14ac:dyDescent="0.35">
      <c r="A4851" t="s">
        <v>39</v>
      </c>
      <c r="B4851" s="8">
        <v>45017</v>
      </c>
      <c r="C4851">
        <v>4295474</v>
      </c>
      <c r="D4851">
        <v>4295474</v>
      </c>
      <c r="E4851">
        <v>0</v>
      </c>
      <c r="F4851" t="s">
        <v>182</v>
      </c>
      <c r="G4851" t="s">
        <v>200</v>
      </c>
      <c r="H4851" s="8">
        <v>43738</v>
      </c>
      <c r="I4851" s="8">
        <v>45564</v>
      </c>
      <c r="J4851" t="s">
        <v>156</v>
      </c>
    </row>
    <row r="4852" spans="1:10" x14ac:dyDescent="0.35">
      <c r="A4852" t="s">
        <v>39</v>
      </c>
      <c r="B4852" s="8">
        <v>45047</v>
      </c>
      <c r="C4852">
        <v>4295474</v>
      </c>
      <c r="D4852">
        <v>4295474</v>
      </c>
      <c r="E4852">
        <v>0</v>
      </c>
      <c r="F4852" t="s">
        <v>182</v>
      </c>
      <c r="G4852" t="s">
        <v>200</v>
      </c>
      <c r="H4852" s="8">
        <v>43738</v>
      </c>
      <c r="I4852" s="8">
        <v>45564</v>
      </c>
      <c r="J4852" t="s">
        <v>156</v>
      </c>
    </row>
    <row r="4853" spans="1:10" x14ac:dyDescent="0.35">
      <c r="A4853" t="s">
        <v>39</v>
      </c>
      <c r="B4853" s="8">
        <v>45078</v>
      </c>
      <c r="C4853">
        <v>4295474</v>
      </c>
      <c r="D4853">
        <v>4295474</v>
      </c>
      <c r="E4853">
        <v>0</v>
      </c>
      <c r="F4853" t="s">
        <v>182</v>
      </c>
      <c r="G4853" t="s">
        <v>200</v>
      </c>
      <c r="H4853" s="8">
        <v>43738</v>
      </c>
      <c r="I4853" s="8">
        <v>45564</v>
      </c>
      <c r="J4853" t="s">
        <v>156</v>
      </c>
    </row>
    <row r="4854" spans="1:10" x14ac:dyDescent="0.35">
      <c r="A4854" t="s">
        <v>39</v>
      </c>
      <c r="B4854" s="8">
        <v>45108</v>
      </c>
      <c r="C4854">
        <v>4295474</v>
      </c>
      <c r="D4854">
        <v>4295474</v>
      </c>
      <c r="E4854">
        <v>0</v>
      </c>
      <c r="F4854" t="s">
        <v>182</v>
      </c>
      <c r="G4854" t="s">
        <v>200</v>
      </c>
      <c r="H4854" s="8">
        <v>43738</v>
      </c>
      <c r="I4854" s="8">
        <v>45564</v>
      </c>
      <c r="J4854" t="s">
        <v>156</v>
      </c>
    </row>
    <row r="4855" spans="1:10" x14ac:dyDescent="0.35">
      <c r="A4855" t="s">
        <v>39</v>
      </c>
      <c r="B4855" s="8">
        <v>45139</v>
      </c>
      <c r="C4855">
        <v>4295474</v>
      </c>
      <c r="D4855">
        <v>4295474</v>
      </c>
      <c r="E4855">
        <v>0</v>
      </c>
      <c r="F4855" t="s">
        <v>182</v>
      </c>
      <c r="G4855" t="s">
        <v>200</v>
      </c>
      <c r="H4855" s="8">
        <v>43738</v>
      </c>
      <c r="I4855" s="8">
        <v>45564</v>
      </c>
      <c r="J4855" t="s">
        <v>156</v>
      </c>
    </row>
    <row r="4856" spans="1:10" x14ac:dyDescent="0.35">
      <c r="A4856" t="s">
        <v>39</v>
      </c>
      <c r="B4856" s="8">
        <v>45170</v>
      </c>
      <c r="C4856">
        <v>4295474</v>
      </c>
      <c r="D4856">
        <v>4295474</v>
      </c>
      <c r="E4856">
        <v>0</v>
      </c>
      <c r="F4856" t="s">
        <v>182</v>
      </c>
      <c r="G4856" t="s">
        <v>200</v>
      </c>
      <c r="H4856" s="8">
        <v>43738</v>
      </c>
      <c r="I4856" s="8">
        <v>45564</v>
      </c>
      <c r="J4856" t="s">
        <v>156</v>
      </c>
    </row>
    <row r="4857" spans="1:10" x14ac:dyDescent="0.35">
      <c r="A4857" t="s">
        <v>40</v>
      </c>
      <c r="B4857" s="8">
        <v>44105</v>
      </c>
      <c r="C4857">
        <v>2743890</v>
      </c>
      <c r="D4857" s="12" t="s">
        <v>212</v>
      </c>
      <c r="E4857">
        <v>1725873.65</v>
      </c>
      <c r="F4857" t="s">
        <v>182</v>
      </c>
      <c r="G4857" t="s">
        <v>213</v>
      </c>
      <c r="H4857" s="8">
        <v>43738</v>
      </c>
      <c r="I4857" s="8">
        <v>45564</v>
      </c>
      <c r="J4857" t="s">
        <v>189</v>
      </c>
    </row>
    <row r="4858" spans="1:10" x14ac:dyDescent="0.35">
      <c r="A4858" t="s">
        <v>40</v>
      </c>
      <c r="B4858" s="8">
        <v>44136</v>
      </c>
      <c r="C4858">
        <v>2743890</v>
      </c>
      <c r="D4858">
        <v>1161044.21</v>
      </c>
      <c r="E4858">
        <v>1582845.79</v>
      </c>
      <c r="F4858" t="s">
        <v>182</v>
      </c>
      <c r="G4858" t="s">
        <v>213</v>
      </c>
      <c r="H4858" s="8">
        <v>43738</v>
      </c>
      <c r="I4858" s="8">
        <v>45564</v>
      </c>
      <c r="J4858" t="s">
        <v>189</v>
      </c>
    </row>
    <row r="4859" spans="1:10" x14ac:dyDescent="0.35">
      <c r="A4859" t="s">
        <v>40</v>
      </c>
      <c r="B4859" s="8">
        <v>44166</v>
      </c>
      <c r="C4859">
        <v>2743890</v>
      </c>
      <c r="D4859">
        <v>1161044.21</v>
      </c>
      <c r="E4859">
        <v>1582845.79</v>
      </c>
      <c r="F4859" t="s">
        <v>182</v>
      </c>
      <c r="G4859" t="s">
        <v>213</v>
      </c>
      <c r="H4859" s="8">
        <v>43738</v>
      </c>
      <c r="I4859" s="8">
        <v>45564</v>
      </c>
      <c r="J4859" t="s">
        <v>189</v>
      </c>
    </row>
    <row r="4860" spans="1:10" x14ac:dyDescent="0.35">
      <c r="A4860" t="s">
        <v>40</v>
      </c>
      <c r="B4860" s="8">
        <v>44197</v>
      </c>
      <c r="C4860">
        <v>2743890</v>
      </c>
      <c r="D4860">
        <v>1407640.61</v>
      </c>
      <c r="E4860">
        <v>1336249.3899999999</v>
      </c>
      <c r="F4860" t="s">
        <v>182</v>
      </c>
      <c r="G4860" t="s">
        <v>213</v>
      </c>
      <c r="H4860" s="8">
        <v>43738</v>
      </c>
      <c r="I4860" s="8">
        <v>45564</v>
      </c>
      <c r="J4860" t="s">
        <v>189</v>
      </c>
    </row>
    <row r="4861" spans="1:10" x14ac:dyDescent="0.35">
      <c r="A4861" t="s">
        <v>40</v>
      </c>
      <c r="B4861" s="8">
        <v>44228</v>
      </c>
      <c r="C4861">
        <v>2743890</v>
      </c>
      <c r="D4861">
        <v>1407640.61</v>
      </c>
      <c r="E4861">
        <v>1336249.3899999999</v>
      </c>
      <c r="F4861" t="s">
        <v>182</v>
      </c>
      <c r="G4861" t="s">
        <v>213</v>
      </c>
      <c r="H4861" s="8">
        <v>43738</v>
      </c>
      <c r="I4861" s="8">
        <v>45564</v>
      </c>
      <c r="J4861" t="s">
        <v>189</v>
      </c>
    </row>
    <row r="4862" spans="1:10" x14ac:dyDescent="0.35">
      <c r="A4862" t="s">
        <v>40</v>
      </c>
      <c r="B4862" s="8">
        <v>44256</v>
      </c>
      <c r="C4862">
        <v>2743890</v>
      </c>
      <c r="D4862" s="12" t="s">
        <v>214</v>
      </c>
      <c r="E4862" s="12" t="s">
        <v>215</v>
      </c>
      <c r="F4862" t="s">
        <v>182</v>
      </c>
      <c r="G4862" t="s">
        <v>213</v>
      </c>
      <c r="H4862" s="8">
        <v>43738</v>
      </c>
      <c r="I4862" s="8">
        <v>45564</v>
      </c>
      <c r="J4862" t="s">
        <v>189</v>
      </c>
    </row>
    <row r="4863" spans="1:10" x14ac:dyDescent="0.35">
      <c r="A4863" t="s">
        <v>40</v>
      </c>
      <c r="B4863" s="8">
        <v>44317</v>
      </c>
      <c r="C4863">
        <v>2743890</v>
      </c>
      <c r="D4863" s="12" t="s">
        <v>216</v>
      </c>
      <c r="E4863" s="12" t="s">
        <v>217</v>
      </c>
      <c r="F4863" t="s">
        <v>182</v>
      </c>
      <c r="G4863" t="s">
        <v>213</v>
      </c>
      <c r="H4863" s="8">
        <v>43738</v>
      </c>
      <c r="I4863" s="8">
        <v>45564</v>
      </c>
      <c r="J4863" t="s">
        <v>189</v>
      </c>
    </row>
    <row r="4864" spans="1:10" x14ac:dyDescent="0.35">
      <c r="A4864" t="s">
        <v>40</v>
      </c>
      <c r="B4864" s="8">
        <v>44348</v>
      </c>
      <c r="C4864">
        <v>2743890</v>
      </c>
      <c r="D4864" s="12" t="s">
        <v>218</v>
      </c>
      <c r="E4864">
        <v>784555.39</v>
      </c>
      <c r="F4864" t="s">
        <v>182</v>
      </c>
      <c r="G4864" t="s">
        <v>213</v>
      </c>
      <c r="H4864" s="8">
        <v>43738</v>
      </c>
      <c r="I4864" s="8">
        <v>45564</v>
      </c>
      <c r="J4864" t="s">
        <v>189</v>
      </c>
    </row>
    <row r="4865" spans="1:10" x14ac:dyDescent="0.35">
      <c r="A4865" t="s">
        <v>40</v>
      </c>
      <c r="B4865" s="8">
        <v>44378</v>
      </c>
      <c r="C4865">
        <v>2743890</v>
      </c>
      <c r="D4865">
        <v>2073388.61</v>
      </c>
      <c r="E4865">
        <v>670501.39</v>
      </c>
      <c r="F4865" t="s">
        <v>182</v>
      </c>
      <c r="G4865" t="s">
        <v>213</v>
      </c>
      <c r="H4865" s="8">
        <v>43738</v>
      </c>
      <c r="I4865" s="8">
        <v>45564</v>
      </c>
      <c r="J4865" t="s">
        <v>189</v>
      </c>
    </row>
    <row r="4866" spans="1:10" x14ac:dyDescent="0.35">
      <c r="A4866" t="s">
        <v>40</v>
      </c>
      <c r="B4866" s="8">
        <v>44409</v>
      </c>
      <c r="C4866">
        <v>2743890</v>
      </c>
      <c r="D4866">
        <v>2073388.61</v>
      </c>
      <c r="E4866">
        <v>670501.39</v>
      </c>
      <c r="F4866" t="s">
        <v>182</v>
      </c>
      <c r="G4866" t="s">
        <v>213</v>
      </c>
      <c r="H4866" s="8">
        <v>43738</v>
      </c>
      <c r="I4866" s="8">
        <v>45564</v>
      </c>
      <c r="J4866" t="s">
        <v>189</v>
      </c>
    </row>
    <row r="4867" spans="1:10" x14ac:dyDescent="0.35">
      <c r="A4867" t="s">
        <v>40</v>
      </c>
      <c r="B4867" s="8">
        <v>44440</v>
      </c>
      <c r="C4867">
        <v>2743890</v>
      </c>
      <c r="D4867">
        <v>2391585.61</v>
      </c>
      <c r="E4867">
        <v>352304.39</v>
      </c>
      <c r="F4867" t="s">
        <v>182</v>
      </c>
      <c r="G4867" t="s">
        <v>213</v>
      </c>
      <c r="H4867" s="8">
        <v>43738</v>
      </c>
      <c r="I4867" s="8">
        <v>45564</v>
      </c>
      <c r="J4867" t="s">
        <v>189</v>
      </c>
    </row>
    <row r="4868" spans="1:10" x14ac:dyDescent="0.35">
      <c r="A4868" t="s">
        <v>40</v>
      </c>
      <c r="B4868" s="8">
        <v>44470</v>
      </c>
      <c r="C4868">
        <v>2743890</v>
      </c>
      <c r="D4868" s="12" t="s">
        <v>219</v>
      </c>
      <c r="E4868">
        <v>219199.39</v>
      </c>
      <c r="F4868" t="s">
        <v>182</v>
      </c>
      <c r="G4868" t="s">
        <v>213</v>
      </c>
      <c r="H4868" s="8">
        <v>43738</v>
      </c>
      <c r="I4868" s="8">
        <v>45564</v>
      </c>
      <c r="J4868" t="s">
        <v>189</v>
      </c>
    </row>
    <row r="4869" spans="1:10" x14ac:dyDescent="0.35">
      <c r="A4869" t="s">
        <v>40</v>
      </c>
      <c r="B4869" s="8">
        <v>44501</v>
      </c>
      <c r="C4869">
        <v>2743890</v>
      </c>
      <c r="D4869">
        <v>2606566.61</v>
      </c>
      <c r="E4869">
        <v>137323.39000000001</v>
      </c>
      <c r="F4869" t="s">
        <v>182</v>
      </c>
      <c r="G4869" t="s">
        <v>213</v>
      </c>
      <c r="H4869" s="8">
        <v>43738</v>
      </c>
      <c r="I4869" s="8">
        <v>45564</v>
      </c>
      <c r="J4869" t="s">
        <v>189</v>
      </c>
    </row>
    <row r="4870" spans="1:10" x14ac:dyDescent="0.35">
      <c r="A4870" t="s">
        <v>40</v>
      </c>
      <c r="B4870" s="8">
        <v>44531</v>
      </c>
      <c r="C4870">
        <v>2743890</v>
      </c>
      <c r="D4870">
        <v>2730283.61</v>
      </c>
      <c r="E4870">
        <v>13606.39</v>
      </c>
      <c r="F4870" t="s">
        <v>182</v>
      </c>
      <c r="G4870" t="s">
        <v>213</v>
      </c>
      <c r="H4870" s="8">
        <v>43738</v>
      </c>
      <c r="I4870" s="8">
        <v>45564</v>
      </c>
      <c r="J4870" t="s">
        <v>189</v>
      </c>
    </row>
    <row r="4871" spans="1:10" x14ac:dyDescent="0.35">
      <c r="A4871" t="s">
        <v>40</v>
      </c>
      <c r="B4871" s="8">
        <v>44562</v>
      </c>
      <c r="C4871">
        <v>2743890</v>
      </c>
      <c r="D4871">
        <v>2743890</v>
      </c>
      <c r="E4871">
        <v>0</v>
      </c>
      <c r="F4871" t="s">
        <v>182</v>
      </c>
      <c r="G4871" t="s">
        <v>213</v>
      </c>
      <c r="H4871" s="8">
        <v>43738</v>
      </c>
      <c r="I4871" s="8">
        <v>45564</v>
      </c>
      <c r="J4871" t="s">
        <v>156</v>
      </c>
    </row>
    <row r="4872" spans="1:10" x14ac:dyDescent="0.35">
      <c r="A4872" t="s">
        <v>40</v>
      </c>
      <c r="B4872" s="8">
        <v>44593</v>
      </c>
      <c r="C4872">
        <v>2743890</v>
      </c>
      <c r="D4872">
        <v>2743890</v>
      </c>
      <c r="E4872">
        <v>0</v>
      </c>
      <c r="F4872" t="s">
        <v>182</v>
      </c>
      <c r="G4872" t="s">
        <v>213</v>
      </c>
      <c r="H4872" s="8">
        <v>43738</v>
      </c>
      <c r="I4872" s="8">
        <v>45564</v>
      </c>
      <c r="J4872" t="s">
        <v>156</v>
      </c>
    </row>
    <row r="4873" spans="1:10" x14ac:dyDescent="0.35">
      <c r="A4873" t="s">
        <v>40</v>
      </c>
      <c r="B4873" s="8">
        <v>44621</v>
      </c>
      <c r="C4873">
        <v>2743890</v>
      </c>
      <c r="D4873">
        <v>2743890</v>
      </c>
      <c r="E4873">
        <v>0</v>
      </c>
      <c r="F4873" t="s">
        <v>182</v>
      </c>
      <c r="G4873" t="s">
        <v>213</v>
      </c>
      <c r="H4873" s="8">
        <v>43738</v>
      </c>
      <c r="I4873" s="8">
        <v>45564</v>
      </c>
      <c r="J4873" t="s">
        <v>156</v>
      </c>
    </row>
    <row r="4874" spans="1:10" x14ac:dyDescent="0.35">
      <c r="A4874" t="s">
        <v>40</v>
      </c>
      <c r="B4874" s="8">
        <v>44652</v>
      </c>
      <c r="C4874">
        <v>2743890</v>
      </c>
      <c r="D4874">
        <v>2743890</v>
      </c>
      <c r="E4874">
        <v>0</v>
      </c>
      <c r="F4874" t="s">
        <v>182</v>
      </c>
      <c r="G4874" t="s">
        <v>213</v>
      </c>
      <c r="H4874" s="8">
        <v>43738</v>
      </c>
      <c r="I4874" s="8">
        <v>45564</v>
      </c>
      <c r="J4874" t="s">
        <v>156</v>
      </c>
    </row>
    <row r="4875" spans="1:10" x14ac:dyDescent="0.35">
      <c r="A4875" t="s">
        <v>40</v>
      </c>
      <c r="B4875" s="8">
        <v>44682</v>
      </c>
      <c r="C4875">
        <v>2743890</v>
      </c>
      <c r="D4875">
        <v>2743890</v>
      </c>
      <c r="E4875">
        <v>0</v>
      </c>
      <c r="F4875" t="s">
        <v>182</v>
      </c>
      <c r="G4875" t="s">
        <v>213</v>
      </c>
      <c r="H4875" s="8">
        <v>43738</v>
      </c>
      <c r="I4875" s="8">
        <v>45564</v>
      </c>
      <c r="J4875" t="s">
        <v>156</v>
      </c>
    </row>
    <row r="4876" spans="1:10" x14ac:dyDescent="0.35">
      <c r="A4876" t="s">
        <v>40</v>
      </c>
      <c r="B4876" s="8">
        <v>44713</v>
      </c>
      <c r="C4876">
        <v>2743890</v>
      </c>
      <c r="D4876">
        <v>2743890</v>
      </c>
      <c r="E4876">
        <v>0</v>
      </c>
      <c r="F4876" t="s">
        <v>182</v>
      </c>
      <c r="G4876" t="s">
        <v>213</v>
      </c>
      <c r="H4876" s="8">
        <v>43738</v>
      </c>
      <c r="I4876" s="8">
        <v>45564</v>
      </c>
      <c r="J4876" t="s">
        <v>156</v>
      </c>
    </row>
    <row r="4877" spans="1:10" x14ac:dyDescent="0.35">
      <c r="A4877" t="s">
        <v>40</v>
      </c>
      <c r="B4877" s="8">
        <v>44743</v>
      </c>
      <c r="C4877">
        <v>2743890</v>
      </c>
      <c r="D4877">
        <v>2743890</v>
      </c>
      <c r="E4877">
        <v>0</v>
      </c>
      <c r="F4877" t="s">
        <v>182</v>
      </c>
      <c r="G4877" t="s">
        <v>213</v>
      </c>
      <c r="H4877" s="8">
        <v>43738</v>
      </c>
      <c r="I4877" s="8">
        <v>45564</v>
      </c>
      <c r="J4877" t="s">
        <v>156</v>
      </c>
    </row>
    <row r="4878" spans="1:10" x14ac:dyDescent="0.35">
      <c r="A4878" t="s">
        <v>40</v>
      </c>
      <c r="B4878" s="8">
        <v>44774</v>
      </c>
      <c r="C4878">
        <v>2743890</v>
      </c>
      <c r="D4878">
        <v>2743890</v>
      </c>
      <c r="E4878">
        <v>0</v>
      </c>
      <c r="F4878" t="s">
        <v>182</v>
      </c>
      <c r="G4878" t="s">
        <v>213</v>
      </c>
      <c r="H4878" s="8">
        <v>43738</v>
      </c>
      <c r="I4878" s="8">
        <v>45564</v>
      </c>
      <c r="J4878" t="s">
        <v>156</v>
      </c>
    </row>
    <row r="4879" spans="1:10" x14ac:dyDescent="0.35">
      <c r="A4879" t="s">
        <v>40</v>
      </c>
      <c r="B4879" s="8">
        <v>44805</v>
      </c>
      <c r="C4879">
        <v>2743890</v>
      </c>
      <c r="D4879">
        <v>2743890</v>
      </c>
      <c r="E4879">
        <v>0</v>
      </c>
      <c r="F4879" t="s">
        <v>182</v>
      </c>
      <c r="G4879" t="s">
        <v>213</v>
      </c>
      <c r="H4879" s="8">
        <v>43738</v>
      </c>
      <c r="I4879" s="8">
        <v>45564</v>
      </c>
      <c r="J4879" t="s">
        <v>156</v>
      </c>
    </row>
    <row r="4880" spans="1:10" x14ac:dyDescent="0.35">
      <c r="A4880" t="s">
        <v>40</v>
      </c>
      <c r="B4880" s="8">
        <v>44835</v>
      </c>
      <c r="C4880">
        <v>2743890</v>
      </c>
      <c r="D4880">
        <v>2743890</v>
      </c>
      <c r="E4880">
        <v>0</v>
      </c>
      <c r="F4880" t="s">
        <v>182</v>
      </c>
      <c r="G4880" t="s">
        <v>213</v>
      </c>
      <c r="H4880" s="8">
        <v>43738</v>
      </c>
      <c r="I4880" s="8">
        <v>45564</v>
      </c>
      <c r="J4880" t="s">
        <v>156</v>
      </c>
    </row>
    <row r="4881" spans="1:10" x14ac:dyDescent="0.35">
      <c r="A4881" t="s">
        <v>40</v>
      </c>
      <c r="B4881" s="8">
        <v>44866</v>
      </c>
      <c r="C4881">
        <v>2743890</v>
      </c>
      <c r="D4881">
        <v>2743890</v>
      </c>
      <c r="E4881">
        <v>0</v>
      </c>
      <c r="F4881" t="s">
        <v>182</v>
      </c>
      <c r="G4881" t="s">
        <v>213</v>
      </c>
      <c r="H4881" s="8">
        <v>43738</v>
      </c>
      <c r="I4881" s="8">
        <v>45564</v>
      </c>
      <c r="J4881" t="s">
        <v>156</v>
      </c>
    </row>
    <row r="4882" spans="1:10" x14ac:dyDescent="0.35">
      <c r="A4882" t="s">
        <v>40</v>
      </c>
      <c r="B4882" s="8">
        <v>44896</v>
      </c>
      <c r="C4882">
        <v>2743890</v>
      </c>
      <c r="D4882">
        <v>2743890</v>
      </c>
      <c r="E4882">
        <v>0</v>
      </c>
      <c r="F4882" t="s">
        <v>182</v>
      </c>
      <c r="G4882" t="s">
        <v>213</v>
      </c>
      <c r="H4882" s="8">
        <v>43738</v>
      </c>
      <c r="I4882" s="8">
        <v>45564</v>
      </c>
      <c r="J4882" t="s">
        <v>156</v>
      </c>
    </row>
    <row r="4883" spans="1:10" x14ac:dyDescent="0.35">
      <c r="A4883" t="s">
        <v>40</v>
      </c>
      <c r="B4883" s="8">
        <v>44927</v>
      </c>
      <c r="C4883">
        <v>2743890</v>
      </c>
      <c r="D4883">
        <v>2743890</v>
      </c>
      <c r="E4883">
        <v>0</v>
      </c>
      <c r="F4883" t="s">
        <v>182</v>
      </c>
      <c r="G4883" t="s">
        <v>213</v>
      </c>
      <c r="H4883" s="8">
        <v>43738</v>
      </c>
      <c r="I4883" s="8">
        <v>45564</v>
      </c>
      <c r="J4883" t="s">
        <v>156</v>
      </c>
    </row>
    <row r="4884" spans="1:10" x14ac:dyDescent="0.35">
      <c r="A4884" t="s">
        <v>40</v>
      </c>
      <c r="B4884" s="8">
        <v>44958</v>
      </c>
      <c r="C4884">
        <v>2743890</v>
      </c>
      <c r="D4884">
        <v>2743890</v>
      </c>
      <c r="E4884">
        <v>0</v>
      </c>
      <c r="F4884" t="s">
        <v>182</v>
      </c>
      <c r="G4884" t="s">
        <v>213</v>
      </c>
      <c r="H4884" s="8">
        <v>43738</v>
      </c>
      <c r="I4884" s="8">
        <v>45564</v>
      </c>
      <c r="J4884" t="s">
        <v>156</v>
      </c>
    </row>
    <row r="4885" spans="1:10" x14ac:dyDescent="0.35">
      <c r="A4885" t="s">
        <v>40</v>
      </c>
      <c r="B4885" s="8">
        <v>44986</v>
      </c>
      <c r="C4885">
        <v>2743890</v>
      </c>
      <c r="D4885">
        <v>2743890</v>
      </c>
      <c r="E4885">
        <v>0</v>
      </c>
      <c r="F4885" t="s">
        <v>182</v>
      </c>
      <c r="G4885" t="s">
        <v>213</v>
      </c>
      <c r="H4885" s="8">
        <v>43738</v>
      </c>
      <c r="I4885" s="8">
        <v>45564</v>
      </c>
      <c r="J4885" t="s">
        <v>156</v>
      </c>
    </row>
    <row r="4886" spans="1:10" x14ac:dyDescent="0.35">
      <c r="A4886" t="s">
        <v>40</v>
      </c>
      <c r="B4886" s="8">
        <v>45017</v>
      </c>
      <c r="C4886">
        <v>2743890</v>
      </c>
      <c r="D4886">
        <v>2743890</v>
      </c>
      <c r="E4886">
        <v>0</v>
      </c>
      <c r="F4886" t="s">
        <v>182</v>
      </c>
      <c r="G4886" t="s">
        <v>213</v>
      </c>
      <c r="H4886" s="8">
        <v>43738</v>
      </c>
      <c r="I4886" s="8">
        <v>45564</v>
      </c>
      <c r="J4886" t="s">
        <v>156</v>
      </c>
    </row>
    <row r="4887" spans="1:10" x14ac:dyDescent="0.35">
      <c r="A4887" t="s">
        <v>40</v>
      </c>
      <c r="B4887" s="8">
        <v>45047</v>
      </c>
      <c r="C4887">
        <v>2743890</v>
      </c>
      <c r="D4887">
        <v>2743890</v>
      </c>
      <c r="E4887">
        <v>0</v>
      </c>
      <c r="F4887" t="s">
        <v>182</v>
      </c>
      <c r="G4887" t="s">
        <v>213</v>
      </c>
      <c r="H4887" s="8">
        <v>43738</v>
      </c>
      <c r="I4887" s="8">
        <v>45564</v>
      </c>
      <c r="J4887" t="s">
        <v>156</v>
      </c>
    </row>
    <row r="4888" spans="1:10" x14ac:dyDescent="0.35">
      <c r="A4888" t="s">
        <v>40</v>
      </c>
      <c r="B4888" s="8">
        <v>45078</v>
      </c>
      <c r="C4888">
        <v>2743890</v>
      </c>
      <c r="D4888">
        <v>2743890</v>
      </c>
      <c r="E4888">
        <v>0</v>
      </c>
      <c r="F4888" t="s">
        <v>182</v>
      </c>
      <c r="G4888" t="s">
        <v>213</v>
      </c>
      <c r="H4888" s="8">
        <v>43738</v>
      </c>
      <c r="I4888" s="8">
        <v>45564</v>
      </c>
      <c r="J4888" t="s">
        <v>156</v>
      </c>
    </row>
    <row r="4889" spans="1:10" x14ac:dyDescent="0.35">
      <c r="A4889" t="s">
        <v>40</v>
      </c>
      <c r="B4889" s="8">
        <v>45108</v>
      </c>
      <c r="C4889">
        <v>2743890</v>
      </c>
      <c r="D4889">
        <v>2743890</v>
      </c>
      <c r="E4889">
        <v>0</v>
      </c>
      <c r="F4889" t="s">
        <v>182</v>
      </c>
      <c r="G4889" t="s">
        <v>213</v>
      </c>
      <c r="H4889" s="8">
        <v>43738</v>
      </c>
      <c r="I4889" s="8">
        <v>45564</v>
      </c>
      <c r="J4889" t="s">
        <v>156</v>
      </c>
    </row>
    <row r="4890" spans="1:10" x14ac:dyDescent="0.35">
      <c r="A4890" t="s">
        <v>40</v>
      </c>
      <c r="B4890" s="8">
        <v>45139</v>
      </c>
      <c r="C4890">
        <v>2743890</v>
      </c>
      <c r="D4890">
        <v>2743890</v>
      </c>
      <c r="E4890">
        <v>0</v>
      </c>
      <c r="F4890" t="s">
        <v>182</v>
      </c>
      <c r="G4890" t="s">
        <v>213</v>
      </c>
      <c r="H4890" s="8">
        <v>43738</v>
      </c>
      <c r="I4890" s="8">
        <v>45564</v>
      </c>
      <c r="J4890" t="s">
        <v>156</v>
      </c>
    </row>
    <row r="4891" spans="1:10" x14ac:dyDescent="0.35">
      <c r="A4891" t="s">
        <v>40</v>
      </c>
      <c r="B4891" s="8">
        <v>45170</v>
      </c>
      <c r="C4891">
        <v>2743890</v>
      </c>
      <c r="D4891">
        <v>2743890</v>
      </c>
      <c r="E4891">
        <v>0</v>
      </c>
      <c r="F4891" t="s">
        <v>182</v>
      </c>
      <c r="G4891" t="s">
        <v>213</v>
      </c>
      <c r="H4891" s="8">
        <v>43738</v>
      </c>
      <c r="I4891" s="8">
        <v>45564</v>
      </c>
      <c r="J4891" t="s">
        <v>156</v>
      </c>
    </row>
    <row r="4892" spans="1:10" x14ac:dyDescent="0.35">
      <c r="A4892" t="s">
        <v>41</v>
      </c>
      <c r="B4892" s="8">
        <v>44105</v>
      </c>
      <c r="C4892">
        <v>2300000</v>
      </c>
      <c r="D4892">
        <v>413230.27</v>
      </c>
      <c r="E4892">
        <v>1886769.73</v>
      </c>
      <c r="F4892" t="s">
        <v>182</v>
      </c>
      <c r="G4892" t="s">
        <v>220</v>
      </c>
      <c r="H4892" s="8">
        <v>43738</v>
      </c>
      <c r="I4892" s="8">
        <v>45564</v>
      </c>
      <c r="J4892" t="s">
        <v>189</v>
      </c>
    </row>
    <row r="4893" spans="1:10" x14ac:dyDescent="0.35">
      <c r="A4893" t="s">
        <v>41</v>
      </c>
      <c r="B4893" s="8">
        <v>44136</v>
      </c>
      <c r="C4893">
        <v>2300000</v>
      </c>
      <c r="D4893">
        <v>413230.27</v>
      </c>
      <c r="E4893">
        <v>1886769.73</v>
      </c>
      <c r="F4893" t="s">
        <v>182</v>
      </c>
      <c r="G4893" t="s">
        <v>220</v>
      </c>
      <c r="H4893" s="8">
        <v>43738</v>
      </c>
      <c r="I4893" s="8">
        <v>45564</v>
      </c>
      <c r="J4893" t="s">
        <v>189</v>
      </c>
    </row>
    <row r="4894" spans="1:10" x14ac:dyDescent="0.35">
      <c r="A4894" t="s">
        <v>41</v>
      </c>
      <c r="B4894" s="8">
        <v>44166</v>
      </c>
      <c r="C4894">
        <v>2300000</v>
      </c>
      <c r="D4894">
        <v>413230.27</v>
      </c>
      <c r="E4894">
        <v>1886769.73</v>
      </c>
      <c r="F4894" t="s">
        <v>182</v>
      </c>
      <c r="G4894" t="s">
        <v>220</v>
      </c>
      <c r="H4894" s="8">
        <v>43738</v>
      </c>
      <c r="I4894" s="8">
        <v>45564</v>
      </c>
      <c r="J4894" t="s">
        <v>189</v>
      </c>
    </row>
    <row r="4895" spans="1:10" x14ac:dyDescent="0.35">
      <c r="A4895" t="s">
        <v>41</v>
      </c>
      <c r="B4895" s="8">
        <v>44197</v>
      </c>
      <c r="C4895">
        <v>2300000</v>
      </c>
      <c r="D4895" s="12" t="s">
        <v>221</v>
      </c>
      <c r="E4895" s="12" t="s">
        <v>222</v>
      </c>
      <c r="F4895" t="s">
        <v>182</v>
      </c>
      <c r="G4895" t="s">
        <v>220</v>
      </c>
      <c r="H4895" s="8">
        <v>43738</v>
      </c>
      <c r="I4895" s="8">
        <v>45564</v>
      </c>
      <c r="J4895" t="s">
        <v>189</v>
      </c>
    </row>
    <row r="4896" spans="1:10" x14ac:dyDescent="0.35">
      <c r="A4896" t="s">
        <v>41</v>
      </c>
      <c r="B4896" s="8">
        <v>44228</v>
      </c>
      <c r="C4896">
        <v>2300000</v>
      </c>
      <c r="D4896">
        <v>659142.81999999995</v>
      </c>
      <c r="E4896">
        <v>1640857.18</v>
      </c>
      <c r="F4896" t="s">
        <v>182</v>
      </c>
      <c r="G4896" t="s">
        <v>220</v>
      </c>
      <c r="H4896" s="8">
        <v>43738</v>
      </c>
      <c r="I4896" s="8">
        <v>45564</v>
      </c>
      <c r="J4896" t="s">
        <v>189</v>
      </c>
    </row>
    <row r="4897" spans="1:10" x14ac:dyDescent="0.35">
      <c r="A4897" t="s">
        <v>41</v>
      </c>
      <c r="B4897" s="8">
        <v>44256</v>
      </c>
      <c r="C4897">
        <v>2300000</v>
      </c>
      <c r="D4897">
        <v>721134.71</v>
      </c>
      <c r="E4897">
        <v>1578865.29</v>
      </c>
      <c r="F4897" t="s">
        <v>182</v>
      </c>
      <c r="G4897" t="s">
        <v>220</v>
      </c>
      <c r="H4897" s="8">
        <v>43738</v>
      </c>
      <c r="I4897" s="8">
        <v>45564</v>
      </c>
      <c r="J4897" t="s">
        <v>189</v>
      </c>
    </row>
    <row r="4898" spans="1:10" x14ac:dyDescent="0.35">
      <c r="A4898" t="s">
        <v>41</v>
      </c>
      <c r="B4898" s="8">
        <v>44317</v>
      </c>
      <c r="C4898">
        <v>2300000</v>
      </c>
      <c r="D4898" s="12" t="s">
        <v>223</v>
      </c>
      <c r="E4898">
        <v>1403874.9</v>
      </c>
      <c r="F4898" t="s">
        <v>182</v>
      </c>
      <c r="G4898" t="s">
        <v>220</v>
      </c>
      <c r="H4898" s="8">
        <v>43738</v>
      </c>
      <c r="I4898" s="8">
        <v>45564</v>
      </c>
      <c r="J4898" t="s">
        <v>189</v>
      </c>
    </row>
    <row r="4899" spans="1:10" x14ac:dyDescent="0.35">
      <c r="A4899" t="s">
        <v>41</v>
      </c>
      <c r="B4899" s="8">
        <v>44348</v>
      </c>
      <c r="C4899">
        <v>2300000</v>
      </c>
      <c r="D4899">
        <v>1053630.06</v>
      </c>
      <c r="E4899">
        <v>1246369.94</v>
      </c>
      <c r="F4899" t="s">
        <v>182</v>
      </c>
      <c r="G4899" t="s">
        <v>220</v>
      </c>
      <c r="H4899" s="8">
        <v>43738</v>
      </c>
      <c r="I4899" s="8">
        <v>45564</v>
      </c>
      <c r="J4899" t="s">
        <v>189</v>
      </c>
    </row>
    <row r="4900" spans="1:10" x14ac:dyDescent="0.35">
      <c r="A4900" t="s">
        <v>41</v>
      </c>
      <c r="B4900" s="8">
        <v>44378</v>
      </c>
      <c r="C4900">
        <v>2300000</v>
      </c>
      <c r="D4900" s="12" t="s">
        <v>224</v>
      </c>
      <c r="E4900" s="12" t="s">
        <v>225</v>
      </c>
      <c r="F4900" t="s">
        <v>182</v>
      </c>
      <c r="G4900" t="s">
        <v>220</v>
      </c>
      <c r="H4900" s="8">
        <v>43738</v>
      </c>
      <c r="I4900" s="8">
        <v>45564</v>
      </c>
      <c r="J4900" t="s">
        <v>189</v>
      </c>
    </row>
    <row r="4901" spans="1:10" x14ac:dyDescent="0.35">
      <c r="A4901" t="s">
        <v>41</v>
      </c>
      <c r="B4901" s="8">
        <v>44409</v>
      </c>
      <c r="C4901">
        <v>2300000</v>
      </c>
      <c r="D4901">
        <v>1284484.75</v>
      </c>
      <c r="E4901">
        <v>1015515.25</v>
      </c>
      <c r="F4901" t="s">
        <v>182</v>
      </c>
      <c r="G4901" t="s">
        <v>220</v>
      </c>
      <c r="H4901" s="8">
        <v>43738</v>
      </c>
      <c r="I4901" s="8">
        <v>45564</v>
      </c>
      <c r="J4901" t="s">
        <v>189</v>
      </c>
    </row>
    <row r="4902" spans="1:10" x14ac:dyDescent="0.35">
      <c r="A4902" t="s">
        <v>41</v>
      </c>
      <c r="B4902" s="8">
        <v>44440</v>
      </c>
      <c r="C4902">
        <v>2300000</v>
      </c>
      <c r="D4902">
        <v>1941715.28</v>
      </c>
      <c r="E4902">
        <v>358284.72</v>
      </c>
      <c r="F4902" t="s">
        <v>182</v>
      </c>
      <c r="G4902" t="s">
        <v>220</v>
      </c>
      <c r="H4902" s="8">
        <v>43738</v>
      </c>
      <c r="I4902" s="8">
        <v>45564</v>
      </c>
      <c r="J4902" t="s">
        <v>189</v>
      </c>
    </row>
    <row r="4903" spans="1:10" x14ac:dyDescent="0.35">
      <c r="A4903" t="s">
        <v>41</v>
      </c>
      <c r="B4903" s="8">
        <v>44470</v>
      </c>
      <c r="C4903">
        <v>2300000</v>
      </c>
      <c r="D4903">
        <v>1941715.28</v>
      </c>
      <c r="E4903">
        <v>358284.72</v>
      </c>
      <c r="F4903" t="s">
        <v>182</v>
      </c>
      <c r="G4903" t="s">
        <v>220</v>
      </c>
      <c r="H4903" s="8">
        <v>43738</v>
      </c>
      <c r="I4903" s="8">
        <v>45564</v>
      </c>
      <c r="J4903" t="s">
        <v>189</v>
      </c>
    </row>
    <row r="4904" spans="1:10" x14ac:dyDescent="0.35">
      <c r="A4904" t="s">
        <v>41</v>
      </c>
      <c r="B4904" s="8">
        <v>44501</v>
      </c>
      <c r="C4904">
        <v>2300000</v>
      </c>
      <c r="D4904">
        <v>1941715.28</v>
      </c>
      <c r="E4904">
        <v>358284.72</v>
      </c>
      <c r="F4904" t="s">
        <v>182</v>
      </c>
      <c r="G4904" t="s">
        <v>220</v>
      </c>
      <c r="H4904" s="8">
        <v>43738</v>
      </c>
      <c r="I4904" s="8">
        <v>45564</v>
      </c>
      <c r="J4904" t="s">
        <v>189</v>
      </c>
    </row>
    <row r="4905" spans="1:10" x14ac:dyDescent="0.35">
      <c r="A4905" t="s">
        <v>41</v>
      </c>
      <c r="B4905" s="8">
        <v>44531</v>
      </c>
      <c r="C4905">
        <v>2300000</v>
      </c>
      <c r="D4905">
        <v>1941715.28</v>
      </c>
      <c r="E4905">
        <v>358284.72</v>
      </c>
      <c r="F4905" t="s">
        <v>182</v>
      </c>
      <c r="G4905" t="s">
        <v>220</v>
      </c>
      <c r="H4905" s="8">
        <v>43738</v>
      </c>
      <c r="I4905" s="8">
        <v>45564</v>
      </c>
      <c r="J4905" t="s">
        <v>189</v>
      </c>
    </row>
    <row r="4906" spans="1:10" x14ac:dyDescent="0.35">
      <c r="A4906" t="s">
        <v>41</v>
      </c>
      <c r="B4906" s="8">
        <v>44562</v>
      </c>
      <c r="C4906">
        <v>2300000</v>
      </c>
      <c r="D4906">
        <v>1941715.28</v>
      </c>
      <c r="E4906">
        <v>358284.72</v>
      </c>
      <c r="F4906" t="s">
        <v>182</v>
      </c>
      <c r="G4906" t="s">
        <v>220</v>
      </c>
      <c r="H4906" s="8">
        <v>43738</v>
      </c>
      <c r="I4906" s="8">
        <v>45564</v>
      </c>
      <c r="J4906" t="s">
        <v>189</v>
      </c>
    </row>
    <row r="4907" spans="1:10" x14ac:dyDescent="0.35">
      <c r="A4907" t="s">
        <v>41</v>
      </c>
      <c r="B4907" s="8">
        <v>44593</v>
      </c>
      <c r="C4907">
        <v>2300000</v>
      </c>
      <c r="D4907">
        <v>1941715.28</v>
      </c>
      <c r="E4907">
        <v>358284.72</v>
      </c>
      <c r="F4907" t="s">
        <v>182</v>
      </c>
      <c r="G4907" t="s">
        <v>220</v>
      </c>
      <c r="H4907" s="8">
        <v>43738</v>
      </c>
      <c r="I4907" s="8">
        <v>45564</v>
      </c>
      <c r="J4907" t="s">
        <v>189</v>
      </c>
    </row>
    <row r="4908" spans="1:10" x14ac:dyDescent="0.35">
      <c r="A4908" t="s">
        <v>41</v>
      </c>
      <c r="B4908" s="8">
        <v>44621</v>
      </c>
      <c r="C4908">
        <v>2300000</v>
      </c>
      <c r="D4908">
        <v>2172775.56</v>
      </c>
      <c r="E4908">
        <v>127224.44</v>
      </c>
      <c r="F4908" t="s">
        <v>182</v>
      </c>
      <c r="G4908" t="s">
        <v>220</v>
      </c>
      <c r="H4908" s="8">
        <v>43738</v>
      </c>
      <c r="I4908" s="8">
        <v>45564</v>
      </c>
      <c r="J4908" t="s">
        <v>189</v>
      </c>
    </row>
    <row r="4909" spans="1:10" x14ac:dyDescent="0.35">
      <c r="A4909" t="s">
        <v>41</v>
      </c>
      <c r="B4909" s="8">
        <v>44652</v>
      </c>
      <c r="C4909">
        <v>2300000</v>
      </c>
      <c r="D4909">
        <v>2172775.56</v>
      </c>
      <c r="E4909">
        <v>127224.44</v>
      </c>
      <c r="F4909" t="s">
        <v>182</v>
      </c>
      <c r="G4909" t="s">
        <v>220</v>
      </c>
      <c r="H4909" s="8">
        <v>43738</v>
      </c>
      <c r="I4909" s="8">
        <v>45564</v>
      </c>
      <c r="J4909" t="s">
        <v>189</v>
      </c>
    </row>
    <row r="4910" spans="1:10" x14ac:dyDescent="0.35">
      <c r="A4910" t="s">
        <v>41</v>
      </c>
      <c r="B4910" s="8">
        <v>44682</v>
      </c>
      <c r="C4910">
        <v>2300000</v>
      </c>
      <c r="D4910">
        <v>2172775.56</v>
      </c>
      <c r="E4910">
        <v>127224.44</v>
      </c>
      <c r="F4910" t="s">
        <v>182</v>
      </c>
      <c r="G4910" t="s">
        <v>220</v>
      </c>
      <c r="H4910" s="8">
        <v>43738</v>
      </c>
      <c r="I4910" s="8">
        <v>45564</v>
      </c>
      <c r="J4910" t="s">
        <v>189</v>
      </c>
    </row>
    <row r="4911" spans="1:10" x14ac:dyDescent="0.35">
      <c r="A4911" t="s">
        <v>41</v>
      </c>
      <c r="B4911" s="8">
        <v>44713</v>
      </c>
      <c r="C4911">
        <v>2300000</v>
      </c>
      <c r="D4911">
        <v>2297826.5099999998</v>
      </c>
      <c r="E4911">
        <v>2173.4899999999998</v>
      </c>
      <c r="F4911" t="s">
        <v>182</v>
      </c>
      <c r="G4911" t="s">
        <v>220</v>
      </c>
      <c r="H4911" s="8">
        <v>43738</v>
      </c>
      <c r="I4911" s="8">
        <v>45564</v>
      </c>
      <c r="J4911" t="s">
        <v>189</v>
      </c>
    </row>
    <row r="4912" spans="1:10" x14ac:dyDescent="0.35">
      <c r="A4912" t="s">
        <v>41</v>
      </c>
      <c r="B4912" s="8">
        <v>44743</v>
      </c>
      <c r="C4912">
        <v>2300000</v>
      </c>
      <c r="D4912">
        <v>2300000</v>
      </c>
      <c r="E4912">
        <v>0</v>
      </c>
      <c r="F4912" t="s">
        <v>182</v>
      </c>
      <c r="G4912" t="s">
        <v>220</v>
      </c>
      <c r="H4912" s="8">
        <v>43738</v>
      </c>
      <c r="I4912" s="8">
        <v>45564</v>
      </c>
      <c r="J4912" t="s">
        <v>156</v>
      </c>
    </row>
    <row r="4913" spans="1:10" x14ac:dyDescent="0.35">
      <c r="A4913" t="s">
        <v>41</v>
      </c>
      <c r="B4913" s="8">
        <v>44774</v>
      </c>
      <c r="C4913">
        <v>2300000</v>
      </c>
      <c r="D4913">
        <v>2300000</v>
      </c>
      <c r="E4913">
        <v>0</v>
      </c>
      <c r="F4913" t="s">
        <v>182</v>
      </c>
      <c r="G4913" t="s">
        <v>220</v>
      </c>
      <c r="H4913" s="8">
        <v>43738</v>
      </c>
      <c r="I4913" s="8">
        <v>45564</v>
      </c>
      <c r="J4913" t="s">
        <v>156</v>
      </c>
    </row>
    <row r="4914" spans="1:10" x14ac:dyDescent="0.35">
      <c r="A4914" t="s">
        <v>41</v>
      </c>
      <c r="B4914" s="8">
        <v>44805</v>
      </c>
      <c r="C4914">
        <v>2300000</v>
      </c>
      <c r="D4914">
        <v>2300000</v>
      </c>
      <c r="E4914">
        <v>0</v>
      </c>
      <c r="F4914" t="s">
        <v>182</v>
      </c>
      <c r="G4914" t="s">
        <v>220</v>
      </c>
      <c r="H4914" s="8">
        <v>43738</v>
      </c>
      <c r="I4914" s="8">
        <v>45564</v>
      </c>
      <c r="J4914" t="s">
        <v>156</v>
      </c>
    </row>
    <row r="4915" spans="1:10" x14ac:dyDescent="0.35">
      <c r="A4915" t="s">
        <v>41</v>
      </c>
      <c r="B4915" s="8">
        <v>44835</v>
      </c>
      <c r="C4915">
        <v>2300000</v>
      </c>
      <c r="D4915">
        <v>2300000</v>
      </c>
      <c r="E4915">
        <v>0</v>
      </c>
      <c r="F4915" t="s">
        <v>182</v>
      </c>
      <c r="G4915" t="s">
        <v>220</v>
      </c>
      <c r="H4915" s="8">
        <v>43738</v>
      </c>
      <c r="I4915" s="8">
        <v>45564</v>
      </c>
      <c r="J4915" t="s">
        <v>156</v>
      </c>
    </row>
    <row r="4916" spans="1:10" x14ac:dyDescent="0.35">
      <c r="A4916" t="s">
        <v>41</v>
      </c>
      <c r="B4916" s="8">
        <v>44866</v>
      </c>
      <c r="C4916">
        <v>2300000</v>
      </c>
      <c r="D4916">
        <v>2300000</v>
      </c>
      <c r="E4916">
        <v>0</v>
      </c>
      <c r="F4916" t="s">
        <v>182</v>
      </c>
      <c r="G4916" t="s">
        <v>220</v>
      </c>
      <c r="H4916" s="8">
        <v>43738</v>
      </c>
      <c r="I4916" s="8">
        <v>45564</v>
      </c>
      <c r="J4916" t="s">
        <v>156</v>
      </c>
    </row>
    <row r="4917" spans="1:10" x14ac:dyDescent="0.35">
      <c r="A4917" t="s">
        <v>41</v>
      </c>
      <c r="B4917" s="8">
        <v>44896</v>
      </c>
      <c r="C4917">
        <v>2300000</v>
      </c>
      <c r="D4917">
        <v>2300000</v>
      </c>
      <c r="E4917">
        <v>0</v>
      </c>
      <c r="F4917" t="s">
        <v>182</v>
      </c>
      <c r="G4917" t="s">
        <v>220</v>
      </c>
      <c r="H4917" s="8">
        <v>43738</v>
      </c>
      <c r="I4917" s="8">
        <v>45564</v>
      </c>
      <c r="J4917" t="s">
        <v>156</v>
      </c>
    </row>
    <row r="4918" spans="1:10" x14ac:dyDescent="0.35">
      <c r="A4918" t="s">
        <v>41</v>
      </c>
      <c r="B4918" s="8">
        <v>44927</v>
      </c>
      <c r="C4918">
        <v>2300000</v>
      </c>
      <c r="D4918">
        <v>2300000</v>
      </c>
      <c r="E4918">
        <v>0</v>
      </c>
      <c r="F4918" t="s">
        <v>182</v>
      </c>
      <c r="G4918" t="s">
        <v>220</v>
      </c>
      <c r="H4918" s="8">
        <v>43738</v>
      </c>
      <c r="I4918" s="8">
        <v>45564</v>
      </c>
      <c r="J4918" t="s">
        <v>156</v>
      </c>
    </row>
    <row r="4919" spans="1:10" x14ac:dyDescent="0.35">
      <c r="A4919" t="s">
        <v>41</v>
      </c>
      <c r="B4919" s="8">
        <v>44958</v>
      </c>
      <c r="C4919">
        <v>2300000</v>
      </c>
      <c r="D4919">
        <v>2300000</v>
      </c>
      <c r="E4919">
        <v>0</v>
      </c>
      <c r="F4919" t="s">
        <v>182</v>
      </c>
      <c r="G4919" t="s">
        <v>220</v>
      </c>
      <c r="H4919" s="8">
        <v>43738</v>
      </c>
      <c r="I4919" s="8">
        <v>45564</v>
      </c>
      <c r="J4919" t="s">
        <v>156</v>
      </c>
    </row>
    <row r="4920" spans="1:10" x14ac:dyDescent="0.35">
      <c r="A4920" t="s">
        <v>41</v>
      </c>
      <c r="B4920" s="8">
        <v>44986</v>
      </c>
      <c r="C4920">
        <v>2300000</v>
      </c>
      <c r="D4920">
        <v>2300000</v>
      </c>
      <c r="E4920">
        <v>0</v>
      </c>
      <c r="F4920" t="s">
        <v>182</v>
      </c>
      <c r="G4920" t="s">
        <v>220</v>
      </c>
      <c r="H4920" s="8">
        <v>43738</v>
      </c>
      <c r="I4920" s="8">
        <v>45564</v>
      </c>
      <c r="J4920" t="s">
        <v>156</v>
      </c>
    </row>
    <row r="4921" spans="1:10" x14ac:dyDescent="0.35">
      <c r="A4921" t="s">
        <v>41</v>
      </c>
      <c r="B4921" s="8">
        <v>45017</v>
      </c>
      <c r="C4921">
        <v>2300000</v>
      </c>
      <c r="D4921">
        <v>2300000</v>
      </c>
      <c r="E4921">
        <v>0</v>
      </c>
      <c r="F4921" t="s">
        <v>182</v>
      </c>
      <c r="G4921" t="s">
        <v>220</v>
      </c>
      <c r="H4921" s="8">
        <v>43738</v>
      </c>
      <c r="I4921" s="8">
        <v>45564</v>
      </c>
      <c r="J4921" t="s">
        <v>156</v>
      </c>
    </row>
    <row r="4922" spans="1:10" x14ac:dyDescent="0.35">
      <c r="A4922" t="s">
        <v>41</v>
      </c>
      <c r="B4922" s="8">
        <v>45047</v>
      </c>
      <c r="C4922">
        <v>2300000</v>
      </c>
      <c r="D4922">
        <v>2300000</v>
      </c>
      <c r="E4922">
        <v>0</v>
      </c>
      <c r="F4922" t="s">
        <v>182</v>
      </c>
      <c r="G4922" t="s">
        <v>220</v>
      </c>
      <c r="H4922" s="8">
        <v>43738</v>
      </c>
      <c r="I4922" s="8">
        <v>45564</v>
      </c>
      <c r="J4922" t="s">
        <v>156</v>
      </c>
    </row>
    <row r="4923" spans="1:10" x14ac:dyDescent="0.35">
      <c r="A4923" t="s">
        <v>41</v>
      </c>
      <c r="B4923" s="8">
        <v>45078</v>
      </c>
      <c r="C4923">
        <v>2300000</v>
      </c>
      <c r="D4923">
        <v>2300000</v>
      </c>
      <c r="E4923">
        <v>0</v>
      </c>
      <c r="F4923" t="s">
        <v>182</v>
      </c>
      <c r="G4923" t="s">
        <v>220</v>
      </c>
      <c r="H4923" s="8">
        <v>43738</v>
      </c>
      <c r="I4923" s="8">
        <v>45564</v>
      </c>
      <c r="J4923" t="s">
        <v>156</v>
      </c>
    </row>
    <row r="4924" spans="1:10" x14ac:dyDescent="0.35">
      <c r="A4924" t="s">
        <v>41</v>
      </c>
      <c r="B4924" s="8">
        <v>45108</v>
      </c>
      <c r="C4924">
        <v>2300000</v>
      </c>
      <c r="D4924">
        <v>2300000</v>
      </c>
      <c r="E4924">
        <v>0</v>
      </c>
      <c r="F4924" t="s">
        <v>182</v>
      </c>
      <c r="G4924" t="s">
        <v>220</v>
      </c>
      <c r="H4924" s="8">
        <v>43738</v>
      </c>
      <c r="I4924" s="8">
        <v>45564</v>
      </c>
      <c r="J4924" t="s">
        <v>156</v>
      </c>
    </row>
    <row r="4925" spans="1:10" x14ac:dyDescent="0.35">
      <c r="A4925" t="s">
        <v>41</v>
      </c>
      <c r="B4925" s="8">
        <v>45139</v>
      </c>
      <c r="C4925">
        <v>2300000</v>
      </c>
      <c r="D4925">
        <v>2300000</v>
      </c>
      <c r="E4925">
        <v>0</v>
      </c>
      <c r="F4925" t="s">
        <v>182</v>
      </c>
      <c r="G4925" t="s">
        <v>220</v>
      </c>
      <c r="H4925" s="8">
        <v>43738</v>
      </c>
      <c r="I4925" s="8">
        <v>45564</v>
      </c>
      <c r="J4925" t="s">
        <v>156</v>
      </c>
    </row>
    <row r="4926" spans="1:10" x14ac:dyDescent="0.35">
      <c r="A4926" t="s">
        <v>41</v>
      </c>
      <c r="B4926" s="8">
        <v>45170</v>
      </c>
      <c r="C4926">
        <v>2300000</v>
      </c>
      <c r="D4926">
        <v>2300000</v>
      </c>
      <c r="E4926">
        <v>0</v>
      </c>
      <c r="F4926" t="s">
        <v>182</v>
      </c>
      <c r="G4926" t="s">
        <v>220</v>
      </c>
      <c r="H4926" s="8">
        <v>43738</v>
      </c>
      <c r="I4926" s="8">
        <v>45564</v>
      </c>
      <c r="J4926" t="s">
        <v>156</v>
      </c>
    </row>
    <row r="4927" spans="1:10" x14ac:dyDescent="0.35">
      <c r="A4927" t="s">
        <v>42</v>
      </c>
      <c r="B4927" s="8">
        <v>44105</v>
      </c>
      <c r="C4927">
        <v>3825000</v>
      </c>
      <c r="D4927">
        <v>605951.19999999995</v>
      </c>
      <c r="E4927">
        <v>3219048.8</v>
      </c>
      <c r="F4927" t="s">
        <v>182</v>
      </c>
      <c r="G4927" t="s">
        <v>226</v>
      </c>
      <c r="H4927" s="8">
        <v>43738</v>
      </c>
      <c r="I4927" s="8">
        <v>45564</v>
      </c>
      <c r="J4927" t="s">
        <v>189</v>
      </c>
    </row>
    <row r="4928" spans="1:10" x14ac:dyDescent="0.35">
      <c r="A4928" t="s">
        <v>42</v>
      </c>
      <c r="B4928" s="8">
        <v>44136</v>
      </c>
      <c r="C4928">
        <v>3825000</v>
      </c>
      <c r="D4928">
        <v>605951.19999999995</v>
      </c>
      <c r="E4928">
        <v>3219048.8</v>
      </c>
      <c r="F4928" t="s">
        <v>182</v>
      </c>
      <c r="G4928" t="s">
        <v>226</v>
      </c>
      <c r="H4928" s="8">
        <v>43738</v>
      </c>
      <c r="I4928" s="8">
        <v>45564</v>
      </c>
      <c r="J4928" t="s">
        <v>189</v>
      </c>
    </row>
    <row r="4929" spans="1:10" x14ac:dyDescent="0.35">
      <c r="A4929" t="s">
        <v>42</v>
      </c>
      <c r="B4929" s="8">
        <v>44166</v>
      </c>
      <c r="C4929">
        <v>3825000</v>
      </c>
      <c r="D4929">
        <v>605951.19999999995</v>
      </c>
      <c r="E4929">
        <v>3219048.8</v>
      </c>
      <c r="F4929" t="s">
        <v>182</v>
      </c>
      <c r="G4929" t="s">
        <v>226</v>
      </c>
      <c r="H4929" s="8">
        <v>43738</v>
      </c>
      <c r="I4929" s="8">
        <v>45564</v>
      </c>
      <c r="J4929" t="s">
        <v>189</v>
      </c>
    </row>
    <row r="4930" spans="1:10" x14ac:dyDescent="0.35">
      <c r="A4930" t="s">
        <v>42</v>
      </c>
      <c r="B4930" s="8">
        <v>44197</v>
      </c>
      <c r="C4930">
        <v>3825000</v>
      </c>
      <c r="D4930">
        <v>758819.44</v>
      </c>
      <c r="E4930">
        <v>3066180.56</v>
      </c>
      <c r="F4930" t="s">
        <v>182</v>
      </c>
      <c r="G4930" t="s">
        <v>226</v>
      </c>
      <c r="H4930" s="8">
        <v>43738</v>
      </c>
      <c r="I4930" s="8">
        <v>45564</v>
      </c>
      <c r="J4930" t="s">
        <v>189</v>
      </c>
    </row>
    <row r="4931" spans="1:10" x14ac:dyDescent="0.35">
      <c r="A4931" t="s">
        <v>42</v>
      </c>
      <c r="B4931" s="8">
        <v>44228</v>
      </c>
      <c r="C4931">
        <v>3825000</v>
      </c>
      <c r="D4931">
        <v>794187.57</v>
      </c>
      <c r="E4931">
        <v>3030812.43</v>
      </c>
      <c r="F4931" t="s">
        <v>182</v>
      </c>
      <c r="G4931" t="s">
        <v>226</v>
      </c>
      <c r="H4931" s="8">
        <v>43738</v>
      </c>
      <c r="I4931" s="8">
        <v>45564</v>
      </c>
      <c r="J4931" t="s">
        <v>189</v>
      </c>
    </row>
    <row r="4932" spans="1:10" x14ac:dyDescent="0.35">
      <c r="A4932" t="s">
        <v>42</v>
      </c>
      <c r="B4932" s="8">
        <v>44256</v>
      </c>
      <c r="C4932">
        <v>3825000</v>
      </c>
      <c r="D4932" s="12" t="s">
        <v>227</v>
      </c>
      <c r="E4932">
        <v>2981533.25</v>
      </c>
      <c r="F4932" t="s">
        <v>182</v>
      </c>
      <c r="G4932" t="s">
        <v>226</v>
      </c>
      <c r="H4932" s="8">
        <v>43738</v>
      </c>
      <c r="I4932" s="8">
        <v>45564</v>
      </c>
      <c r="J4932" t="s">
        <v>189</v>
      </c>
    </row>
    <row r="4933" spans="1:10" x14ac:dyDescent="0.35">
      <c r="A4933" t="s">
        <v>42</v>
      </c>
      <c r="B4933" s="8">
        <v>44317</v>
      </c>
      <c r="C4933">
        <v>3825000</v>
      </c>
      <c r="D4933">
        <v>976151.3</v>
      </c>
      <c r="E4933" s="12" t="s">
        <v>228</v>
      </c>
      <c r="F4933" t="s">
        <v>182</v>
      </c>
      <c r="G4933" t="s">
        <v>226</v>
      </c>
      <c r="H4933" s="8">
        <v>43738</v>
      </c>
      <c r="I4933" s="8">
        <v>45564</v>
      </c>
      <c r="J4933" t="s">
        <v>189</v>
      </c>
    </row>
    <row r="4934" spans="1:10" x14ac:dyDescent="0.35">
      <c r="A4934" t="s">
        <v>42</v>
      </c>
      <c r="B4934" s="8">
        <v>44348</v>
      </c>
      <c r="C4934">
        <v>3825000</v>
      </c>
      <c r="D4934" s="12" t="s">
        <v>229</v>
      </c>
      <c r="E4934">
        <v>2789160.87</v>
      </c>
      <c r="F4934" t="s">
        <v>182</v>
      </c>
      <c r="G4934" t="s">
        <v>226</v>
      </c>
      <c r="H4934" s="8">
        <v>43738</v>
      </c>
      <c r="I4934" s="8">
        <v>45564</v>
      </c>
      <c r="J4934" t="s">
        <v>189</v>
      </c>
    </row>
    <row r="4935" spans="1:10" x14ac:dyDescent="0.35">
      <c r="A4935" t="s">
        <v>42</v>
      </c>
      <c r="B4935" s="8">
        <v>44378</v>
      </c>
      <c r="C4935">
        <v>3825000</v>
      </c>
      <c r="D4935">
        <v>1167289.67</v>
      </c>
      <c r="E4935">
        <v>2657710.33</v>
      </c>
      <c r="F4935" t="s">
        <v>182</v>
      </c>
      <c r="G4935" t="s">
        <v>226</v>
      </c>
      <c r="H4935" s="8">
        <v>43738</v>
      </c>
      <c r="I4935" s="8">
        <v>45564</v>
      </c>
      <c r="J4935" t="s">
        <v>189</v>
      </c>
    </row>
    <row r="4936" spans="1:10" x14ac:dyDescent="0.35">
      <c r="A4936" t="s">
        <v>42</v>
      </c>
      <c r="B4936" s="8">
        <v>44409</v>
      </c>
      <c r="C4936">
        <v>3825000</v>
      </c>
      <c r="D4936">
        <v>1384989.24</v>
      </c>
      <c r="E4936">
        <v>2440010.7599999998</v>
      </c>
      <c r="F4936" t="s">
        <v>182</v>
      </c>
      <c r="G4936" t="s">
        <v>226</v>
      </c>
      <c r="H4936" s="8">
        <v>43738</v>
      </c>
      <c r="I4936" s="8">
        <v>45564</v>
      </c>
      <c r="J4936" t="s">
        <v>189</v>
      </c>
    </row>
    <row r="4937" spans="1:10" x14ac:dyDescent="0.35">
      <c r="A4937" t="s">
        <v>42</v>
      </c>
      <c r="B4937" s="8">
        <v>44440</v>
      </c>
      <c r="C4937">
        <v>3825000</v>
      </c>
      <c r="D4937">
        <v>1576741.79</v>
      </c>
      <c r="E4937">
        <v>2248258.21</v>
      </c>
      <c r="F4937" t="s">
        <v>182</v>
      </c>
      <c r="G4937" t="s">
        <v>226</v>
      </c>
      <c r="H4937" s="8">
        <v>43738</v>
      </c>
      <c r="I4937" s="8">
        <v>45564</v>
      </c>
      <c r="J4937" t="s">
        <v>189</v>
      </c>
    </row>
    <row r="4938" spans="1:10" x14ac:dyDescent="0.35">
      <c r="A4938" t="s">
        <v>42</v>
      </c>
      <c r="B4938" s="8">
        <v>44470</v>
      </c>
      <c r="C4938">
        <v>3825000</v>
      </c>
      <c r="D4938">
        <v>1576741.79</v>
      </c>
      <c r="E4938">
        <v>2248258.21</v>
      </c>
      <c r="F4938" t="s">
        <v>182</v>
      </c>
      <c r="G4938" t="s">
        <v>226</v>
      </c>
      <c r="H4938" s="8">
        <v>43738</v>
      </c>
      <c r="I4938" s="8">
        <v>45564</v>
      </c>
      <c r="J4938" t="s">
        <v>189</v>
      </c>
    </row>
    <row r="4939" spans="1:10" x14ac:dyDescent="0.35">
      <c r="A4939" t="s">
        <v>42</v>
      </c>
      <c r="B4939" s="8">
        <v>44501</v>
      </c>
      <c r="C4939">
        <v>3825000</v>
      </c>
      <c r="D4939" s="12" t="s">
        <v>230</v>
      </c>
      <c r="E4939">
        <v>2230617.29</v>
      </c>
      <c r="F4939" t="s">
        <v>182</v>
      </c>
      <c r="G4939" t="s">
        <v>226</v>
      </c>
      <c r="H4939" s="8">
        <v>43738</v>
      </c>
      <c r="I4939" s="8">
        <v>45564</v>
      </c>
      <c r="J4939" t="s">
        <v>189</v>
      </c>
    </row>
    <row r="4940" spans="1:10" x14ac:dyDescent="0.35">
      <c r="A4940" t="s">
        <v>42</v>
      </c>
      <c r="B4940" s="8">
        <v>44531</v>
      </c>
      <c r="C4940">
        <v>3825000</v>
      </c>
      <c r="D4940" s="12" t="s">
        <v>231</v>
      </c>
      <c r="E4940">
        <v>2209464.29</v>
      </c>
      <c r="F4940" t="s">
        <v>182</v>
      </c>
      <c r="G4940" t="s">
        <v>226</v>
      </c>
      <c r="H4940" s="8">
        <v>43738</v>
      </c>
      <c r="I4940" s="8">
        <v>45564</v>
      </c>
      <c r="J4940" t="s">
        <v>189</v>
      </c>
    </row>
    <row r="4941" spans="1:10" x14ac:dyDescent="0.35">
      <c r="A4941" t="s">
        <v>42</v>
      </c>
      <c r="B4941" s="8">
        <v>44562</v>
      </c>
      <c r="C4941">
        <v>3825000</v>
      </c>
      <c r="D4941" s="12" t="s">
        <v>232</v>
      </c>
      <c r="E4941">
        <v>2191088.29</v>
      </c>
      <c r="F4941" t="s">
        <v>182</v>
      </c>
      <c r="G4941" t="s">
        <v>226</v>
      </c>
      <c r="H4941" s="8">
        <v>43738</v>
      </c>
      <c r="I4941" s="8">
        <v>45564</v>
      </c>
      <c r="J4941" t="s">
        <v>189</v>
      </c>
    </row>
    <row r="4942" spans="1:10" x14ac:dyDescent="0.35">
      <c r="A4942" t="s">
        <v>42</v>
      </c>
      <c r="B4942" s="8">
        <v>44593</v>
      </c>
      <c r="C4942">
        <v>3825000</v>
      </c>
      <c r="D4942" s="12" t="s">
        <v>233</v>
      </c>
      <c r="E4942">
        <v>2164504.29</v>
      </c>
      <c r="F4942" t="s">
        <v>182</v>
      </c>
      <c r="G4942" t="s">
        <v>226</v>
      </c>
      <c r="H4942" s="8">
        <v>43738</v>
      </c>
      <c r="I4942" s="8">
        <v>45564</v>
      </c>
      <c r="J4942" t="s">
        <v>189</v>
      </c>
    </row>
    <row r="4943" spans="1:10" x14ac:dyDescent="0.35">
      <c r="A4943" t="s">
        <v>42</v>
      </c>
      <c r="B4943" s="8">
        <v>44621</v>
      </c>
      <c r="C4943">
        <v>3825000</v>
      </c>
      <c r="D4943">
        <v>1679248.59</v>
      </c>
      <c r="E4943" s="12" t="s">
        <v>234</v>
      </c>
      <c r="F4943" t="s">
        <v>182</v>
      </c>
      <c r="G4943" t="s">
        <v>226</v>
      </c>
      <c r="H4943" s="8">
        <v>43738</v>
      </c>
      <c r="I4943" s="8">
        <v>45564</v>
      </c>
      <c r="J4943" t="s">
        <v>189</v>
      </c>
    </row>
    <row r="4944" spans="1:10" x14ac:dyDescent="0.35">
      <c r="A4944" t="s">
        <v>42</v>
      </c>
      <c r="B4944" s="8">
        <v>44652</v>
      </c>
      <c r="C4944">
        <v>3825000</v>
      </c>
      <c r="D4944">
        <v>1746301.4</v>
      </c>
      <c r="E4944">
        <v>2078698.6</v>
      </c>
      <c r="F4944" t="s">
        <v>182</v>
      </c>
      <c r="G4944" t="s">
        <v>226</v>
      </c>
      <c r="H4944" s="8">
        <v>43738</v>
      </c>
      <c r="I4944" s="8">
        <v>45564</v>
      </c>
      <c r="J4944" t="s">
        <v>189</v>
      </c>
    </row>
    <row r="4945" spans="1:10" x14ac:dyDescent="0.35">
      <c r="A4945" t="s">
        <v>42</v>
      </c>
      <c r="B4945" s="8">
        <v>44682</v>
      </c>
      <c r="C4945">
        <v>3825000</v>
      </c>
      <c r="D4945" s="12" t="s">
        <v>235</v>
      </c>
      <c r="E4945" s="12" t="s">
        <v>236</v>
      </c>
      <c r="F4945" t="s">
        <v>182</v>
      </c>
      <c r="G4945" t="s">
        <v>226</v>
      </c>
      <c r="H4945" s="8">
        <v>43738</v>
      </c>
      <c r="I4945" s="8">
        <v>45564</v>
      </c>
      <c r="J4945" t="s">
        <v>189</v>
      </c>
    </row>
    <row r="4946" spans="1:10" x14ac:dyDescent="0.35">
      <c r="A4946" t="s">
        <v>42</v>
      </c>
      <c r="B4946" s="8">
        <v>44713</v>
      </c>
      <c r="C4946">
        <v>3825000</v>
      </c>
      <c r="D4946" s="12" t="s">
        <v>237</v>
      </c>
      <c r="E4946" s="12" t="s">
        <v>238</v>
      </c>
      <c r="F4946" t="s">
        <v>182</v>
      </c>
      <c r="G4946" t="s">
        <v>226</v>
      </c>
      <c r="H4946" s="8">
        <v>43738</v>
      </c>
      <c r="I4946" s="8">
        <v>45564</v>
      </c>
      <c r="J4946" t="s">
        <v>189</v>
      </c>
    </row>
    <row r="4947" spans="1:10" x14ac:dyDescent="0.35">
      <c r="A4947" t="s">
        <v>42</v>
      </c>
      <c r="B4947" s="8">
        <v>44743</v>
      </c>
      <c r="C4947">
        <v>3825000</v>
      </c>
      <c r="D4947" s="12" t="s">
        <v>239</v>
      </c>
      <c r="E4947" s="12" t="s">
        <v>240</v>
      </c>
      <c r="F4947" t="s">
        <v>182</v>
      </c>
      <c r="G4947" t="s">
        <v>226</v>
      </c>
      <c r="H4947" s="8">
        <v>43738</v>
      </c>
      <c r="I4947" s="8">
        <v>45564</v>
      </c>
      <c r="J4947" t="s">
        <v>189</v>
      </c>
    </row>
    <row r="4948" spans="1:10" x14ac:dyDescent="0.35">
      <c r="A4948" t="s">
        <v>42</v>
      </c>
      <c r="B4948" s="8">
        <v>44774</v>
      </c>
      <c r="C4948">
        <v>3825000</v>
      </c>
      <c r="D4948" s="12" t="s">
        <v>241</v>
      </c>
      <c r="E4948" s="12" t="s">
        <v>242</v>
      </c>
      <c r="F4948" t="s">
        <v>182</v>
      </c>
      <c r="G4948" t="s">
        <v>226</v>
      </c>
      <c r="H4948" s="8">
        <v>43738</v>
      </c>
      <c r="I4948" s="8">
        <v>45564</v>
      </c>
      <c r="J4948" t="s">
        <v>189</v>
      </c>
    </row>
    <row r="4949" spans="1:10" x14ac:dyDescent="0.35">
      <c r="A4949" t="s">
        <v>42</v>
      </c>
      <c r="B4949" s="8">
        <v>44805</v>
      </c>
      <c r="C4949">
        <v>3825000</v>
      </c>
      <c r="D4949">
        <v>2353372.4</v>
      </c>
      <c r="E4949">
        <v>1471627.6</v>
      </c>
      <c r="F4949" t="s">
        <v>182</v>
      </c>
      <c r="G4949" t="s">
        <v>226</v>
      </c>
      <c r="H4949" s="8">
        <v>43738</v>
      </c>
      <c r="I4949" s="8">
        <v>45564</v>
      </c>
      <c r="J4949" t="s">
        <v>189</v>
      </c>
    </row>
    <row r="4950" spans="1:10" x14ac:dyDescent="0.35">
      <c r="A4950" t="s">
        <v>42</v>
      </c>
      <c r="B4950" s="8">
        <v>44835</v>
      </c>
      <c r="C4950">
        <v>3825000</v>
      </c>
      <c r="D4950">
        <v>2353372.4</v>
      </c>
      <c r="E4950">
        <v>1471627.6</v>
      </c>
      <c r="F4950" t="s">
        <v>182</v>
      </c>
      <c r="G4950" t="s">
        <v>226</v>
      </c>
      <c r="H4950" s="8">
        <v>43738</v>
      </c>
      <c r="I4950" s="8">
        <v>45564</v>
      </c>
      <c r="J4950" t="s">
        <v>189</v>
      </c>
    </row>
    <row r="4951" spans="1:10" x14ac:dyDescent="0.35">
      <c r="A4951" t="s">
        <v>42</v>
      </c>
      <c r="B4951" s="8">
        <v>44866</v>
      </c>
      <c r="C4951">
        <v>3825000</v>
      </c>
      <c r="D4951">
        <v>2374161.4</v>
      </c>
      <c r="E4951">
        <v>1450838.6</v>
      </c>
      <c r="F4951" t="s">
        <v>182</v>
      </c>
      <c r="G4951" t="s">
        <v>226</v>
      </c>
      <c r="H4951" s="8">
        <v>43738</v>
      </c>
      <c r="I4951" s="8">
        <v>45564</v>
      </c>
      <c r="J4951" t="s">
        <v>189</v>
      </c>
    </row>
    <row r="4952" spans="1:10" x14ac:dyDescent="0.35">
      <c r="A4952" t="s">
        <v>42</v>
      </c>
      <c r="B4952" s="8">
        <v>44896</v>
      </c>
      <c r="C4952">
        <v>3825000</v>
      </c>
      <c r="D4952">
        <v>2406424.4</v>
      </c>
      <c r="E4952">
        <v>1418575.6</v>
      </c>
      <c r="F4952" t="s">
        <v>182</v>
      </c>
      <c r="G4952" t="s">
        <v>226</v>
      </c>
      <c r="H4952" s="8">
        <v>43738</v>
      </c>
      <c r="I4952" s="8">
        <v>45564</v>
      </c>
      <c r="J4952" t="s">
        <v>189</v>
      </c>
    </row>
    <row r="4953" spans="1:10" x14ac:dyDescent="0.35">
      <c r="A4953" t="s">
        <v>42</v>
      </c>
      <c r="B4953" s="8">
        <v>44927</v>
      </c>
      <c r="C4953">
        <v>3825000</v>
      </c>
      <c r="D4953" s="12" t="s">
        <v>243</v>
      </c>
      <c r="E4953">
        <v>1392882.6</v>
      </c>
      <c r="F4953" t="s">
        <v>182</v>
      </c>
      <c r="G4953" t="s">
        <v>226</v>
      </c>
      <c r="H4953" s="8">
        <v>43738</v>
      </c>
      <c r="I4953" s="8">
        <v>45564</v>
      </c>
      <c r="J4953" t="s">
        <v>189</v>
      </c>
    </row>
    <row r="4954" spans="1:10" x14ac:dyDescent="0.35">
      <c r="A4954" t="s">
        <v>42</v>
      </c>
      <c r="B4954" s="8">
        <v>44958</v>
      </c>
      <c r="C4954">
        <v>3825000</v>
      </c>
      <c r="D4954">
        <v>2501846.4</v>
      </c>
      <c r="E4954">
        <v>1323153.6000000001</v>
      </c>
      <c r="F4954" t="s">
        <v>182</v>
      </c>
      <c r="G4954" t="s">
        <v>226</v>
      </c>
      <c r="H4954" s="8">
        <v>43738</v>
      </c>
      <c r="I4954" s="8">
        <v>45564</v>
      </c>
      <c r="J4954" t="s">
        <v>189</v>
      </c>
    </row>
    <row r="4955" spans="1:10" x14ac:dyDescent="0.35">
      <c r="A4955" t="s">
        <v>42</v>
      </c>
      <c r="B4955" s="8">
        <v>44986</v>
      </c>
      <c r="C4955">
        <v>3825000</v>
      </c>
      <c r="D4955">
        <v>2532365.4</v>
      </c>
      <c r="E4955">
        <v>1292634.6000000001</v>
      </c>
      <c r="F4955" t="s">
        <v>182</v>
      </c>
      <c r="G4955" t="s">
        <v>226</v>
      </c>
      <c r="H4955" s="8">
        <v>43738</v>
      </c>
      <c r="I4955" s="8">
        <v>45564</v>
      </c>
      <c r="J4955" t="s">
        <v>189</v>
      </c>
    </row>
    <row r="4956" spans="1:10" x14ac:dyDescent="0.35">
      <c r="A4956" t="s">
        <v>42</v>
      </c>
      <c r="B4956" s="8">
        <v>45017</v>
      </c>
      <c r="C4956">
        <v>3825000</v>
      </c>
      <c r="D4956">
        <v>2602228.4</v>
      </c>
      <c r="E4956">
        <v>1222771.6000000001</v>
      </c>
      <c r="F4956" t="s">
        <v>182</v>
      </c>
      <c r="G4956" t="s">
        <v>226</v>
      </c>
      <c r="H4956" s="8">
        <v>43738</v>
      </c>
      <c r="I4956" s="8">
        <v>45564</v>
      </c>
      <c r="J4956" t="s">
        <v>189</v>
      </c>
    </row>
    <row r="4957" spans="1:10" x14ac:dyDescent="0.35">
      <c r="A4957" t="s">
        <v>42</v>
      </c>
      <c r="B4957" s="8">
        <v>45047</v>
      </c>
      <c r="C4957">
        <v>3825000</v>
      </c>
      <c r="D4957" s="12" t="s">
        <v>244</v>
      </c>
      <c r="E4957">
        <v>1152759.8</v>
      </c>
      <c r="F4957" t="s">
        <v>182</v>
      </c>
      <c r="G4957" t="s">
        <v>226</v>
      </c>
      <c r="H4957" s="8">
        <v>43738</v>
      </c>
      <c r="I4957" s="8">
        <v>45564</v>
      </c>
      <c r="J4957" t="s">
        <v>189</v>
      </c>
    </row>
    <row r="4958" spans="1:10" x14ac:dyDescent="0.35">
      <c r="A4958" t="s">
        <v>42</v>
      </c>
      <c r="B4958" s="8">
        <v>45078</v>
      </c>
      <c r="C4958">
        <v>3825000</v>
      </c>
      <c r="D4958">
        <v>2709525.2</v>
      </c>
      <c r="E4958">
        <v>1115474.8</v>
      </c>
      <c r="F4958" t="s">
        <v>182</v>
      </c>
      <c r="G4958" t="s">
        <v>226</v>
      </c>
      <c r="H4958" s="8">
        <v>43738</v>
      </c>
      <c r="I4958" s="8">
        <v>45564</v>
      </c>
      <c r="J4958" t="s">
        <v>189</v>
      </c>
    </row>
    <row r="4959" spans="1:10" x14ac:dyDescent="0.35">
      <c r="A4959" t="s">
        <v>42</v>
      </c>
      <c r="B4959" s="8">
        <v>45108</v>
      </c>
      <c r="C4959">
        <v>3825000</v>
      </c>
      <c r="D4959">
        <v>2782950.91</v>
      </c>
      <c r="E4959">
        <v>1042049.09</v>
      </c>
      <c r="F4959" t="s">
        <v>182</v>
      </c>
      <c r="G4959" t="s">
        <v>226</v>
      </c>
      <c r="H4959" s="8">
        <v>43738</v>
      </c>
      <c r="I4959" s="8">
        <v>45564</v>
      </c>
      <c r="J4959" t="s">
        <v>189</v>
      </c>
    </row>
    <row r="4960" spans="1:10" x14ac:dyDescent="0.35">
      <c r="A4960" t="s">
        <v>42</v>
      </c>
      <c r="B4960" s="8">
        <v>45139</v>
      </c>
      <c r="C4960">
        <v>3825000</v>
      </c>
      <c r="D4960" s="12" t="s">
        <v>245</v>
      </c>
      <c r="E4960" s="12" t="s">
        <v>246</v>
      </c>
      <c r="F4960" t="s">
        <v>182</v>
      </c>
      <c r="G4960" t="s">
        <v>226</v>
      </c>
      <c r="H4960" s="8">
        <v>43738</v>
      </c>
      <c r="I4960" s="8">
        <v>45564</v>
      </c>
      <c r="J4960" t="s">
        <v>189</v>
      </c>
    </row>
    <row r="4961" spans="1:10" x14ac:dyDescent="0.35">
      <c r="A4961" t="s">
        <v>42</v>
      </c>
      <c r="B4961" s="8">
        <v>45170</v>
      </c>
      <c r="C4961">
        <v>3825000</v>
      </c>
      <c r="D4961">
        <v>3349289.22</v>
      </c>
      <c r="E4961">
        <v>475710.78</v>
      </c>
      <c r="F4961" t="s">
        <v>182</v>
      </c>
      <c r="G4961" t="s">
        <v>226</v>
      </c>
      <c r="H4961" s="8">
        <v>43738</v>
      </c>
      <c r="I4961" s="8">
        <v>45564</v>
      </c>
      <c r="J4961" t="s">
        <v>189</v>
      </c>
    </row>
    <row r="4962" spans="1:10" x14ac:dyDescent="0.35">
      <c r="A4962" t="s">
        <v>43</v>
      </c>
      <c r="B4962" s="8">
        <v>44105</v>
      </c>
      <c r="C4962">
        <v>2083333</v>
      </c>
      <c r="D4962">
        <v>498333</v>
      </c>
      <c r="E4962">
        <v>1585000</v>
      </c>
      <c r="F4962" t="s">
        <v>182</v>
      </c>
      <c r="G4962" t="s">
        <v>247</v>
      </c>
      <c r="H4962" s="8">
        <v>43738</v>
      </c>
      <c r="I4962" s="8">
        <v>45564</v>
      </c>
      <c r="J4962" t="s">
        <v>189</v>
      </c>
    </row>
    <row r="4963" spans="1:10" x14ac:dyDescent="0.35">
      <c r="A4963" t="s">
        <v>43</v>
      </c>
      <c r="B4963" s="8">
        <v>44136</v>
      </c>
      <c r="C4963">
        <v>2083333</v>
      </c>
      <c r="D4963">
        <v>548333</v>
      </c>
      <c r="E4963">
        <v>1535000</v>
      </c>
      <c r="F4963" t="s">
        <v>182</v>
      </c>
      <c r="G4963" t="s">
        <v>247</v>
      </c>
      <c r="H4963" s="8">
        <v>43738</v>
      </c>
      <c r="I4963" s="8">
        <v>45564</v>
      </c>
      <c r="J4963" t="s">
        <v>189</v>
      </c>
    </row>
    <row r="4964" spans="1:10" x14ac:dyDescent="0.35">
      <c r="A4964" t="s">
        <v>43</v>
      </c>
      <c r="B4964" s="8">
        <v>44166</v>
      </c>
      <c r="C4964">
        <v>2083333</v>
      </c>
      <c r="D4964">
        <v>648333</v>
      </c>
      <c r="E4964">
        <v>1435000</v>
      </c>
      <c r="F4964" t="s">
        <v>182</v>
      </c>
      <c r="G4964" t="s">
        <v>247</v>
      </c>
      <c r="H4964" s="8">
        <v>43738</v>
      </c>
      <c r="I4964" s="8">
        <v>45564</v>
      </c>
      <c r="J4964" t="s">
        <v>189</v>
      </c>
    </row>
    <row r="4965" spans="1:10" x14ac:dyDescent="0.35">
      <c r="A4965" t="s">
        <v>43</v>
      </c>
      <c r="B4965" s="8">
        <v>44197</v>
      </c>
      <c r="C4965">
        <v>2083333</v>
      </c>
      <c r="D4965">
        <v>808333</v>
      </c>
      <c r="E4965">
        <v>1275000</v>
      </c>
      <c r="F4965" t="s">
        <v>182</v>
      </c>
      <c r="G4965" t="s">
        <v>247</v>
      </c>
      <c r="H4965" s="8">
        <v>43738</v>
      </c>
      <c r="I4965" s="8">
        <v>45564</v>
      </c>
      <c r="J4965" t="s">
        <v>189</v>
      </c>
    </row>
    <row r="4966" spans="1:10" x14ac:dyDescent="0.35">
      <c r="A4966" t="s">
        <v>43</v>
      </c>
      <c r="B4966" s="8">
        <v>44228</v>
      </c>
      <c r="C4966">
        <v>2083333</v>
      </c>
      <c r="D4966">
        <v>888333</v>
      </c>
      <c r="E4966">
        <v>1195000</v>
      </c>
      <c r="F4966" t="s">
        <v>182</v>
      </c>
      <c r="G4966" t="s">
        <v>247</v>
      </c>
      <c r="H4966" s="8">
        <v>43738</v>
      </c>
      <c r="I4966" s="8">
        <v>45564</v>
      </c>
      <c r="J4966" t="s">
        <v>189</v>
      </c>
    </row>
    <row r="4967" spans="1:10" x14ac:dyDescent="0.35">
      <c r="A4967" t="s">
        <v>43</v>
      </c>
      <c r="B4967" s="8">
        <v>44256</v>
      </c>
      <c r="C4967">
        <v>2083333</v>
      </c>
      <c r="D4967">
        <v>968333</v>
      </c>
      <c r="E4967">
        <v>1115000</v>
      </c>
      <c r="F4967" t="s">
        <v>182</v>
      </c>
      <c r="G4967" t="s">
        <v>247</v>
      </c>
      <c r="H4967" s="8">
        <v>43738</v>
      </c>
      <c r="I4967" s="8">
        <v>45564</v>
      </c>
      <c r="J4967" t="s">
        <v>189</v>
      </c>
    </row>
    <row r="4968" spans="1:10" x14ac:dyDescent="0.35">
      <c r="A4968" t="s">
        <v>43</v>
      </c>
      <c r="B4968" s="8">
        <v>44317</v>
      </c>
      <c r="C4968">
        <v>2083333</v>
      </c>
      <c r="D4968">
        <v>1198333</v>
      </c>
      <c r="E4968">
        <v>885000</v>
      </c>
      <c r="F4968" t="s">
        <v>182</v>
      </c>
      <c r="G4968" t="s">
        <v>247</v>
      </c>
      <c r="H4968" s="8">
        <v>43738</v>
      </c>
      <c r="I4968" s="8">
        <v>45564</v>
      </c>
      <c r="J4968" t="s">
        <v>189</v>
      </c>
    </row>
    <row r="4969" spans="1:10" x14ac:dyDescent="0.35">
      <c r="A4969" t="s">
        <v>43</v>
      </c>
      <c r="B4969" s="8">
        <v>44348</v>
      </c>
      <c r="C4969">
        <v>2083333</v>
      </c>
      <c r="D4969">
        <v>1278333</v>
      </c>
      <c r="E4969">
        <v>805000</v>
      </c>
      <c r="F4969" t="s">
        <v>182</v>
      </c>
      <c r="G4969" t="s">
        <v>247</v>
      </c>
      <c r="H4969" s="8">
        <v>43738</v>
      </c>
      <c r="I4969" s="8">
        <v>45564</v>
      </c>
      <c r="J4969" t="s">
        <v>189</v>
      </c>
    </row>
    <row r="4970" spans="1:10" x14ac:dyDescent="0.35">
      <c r="A4970" t="s">
        <v>43</v>
      </c>
      <c r="B4970" s="8">
        <v>44378</v>
      </c>
      <c r="C4970">
        <v>2083333</v>
      </c>
      <c r="D4970">
        <v>1358333</v>
      </c>
      <c r="E4970">
        <v>725000</v>
      </c>
      <c r="F4970" t="s">
        <v>182</v>
      </c>
      <c r="G4970" t="s">
        <v>247</v>
      </c>
      <c r="H4970" s="8">
        <v>43738</v>
      </c>
      <c r="I4970" s="8">
        <v>45564</v>
      </c>
      <c r="J4970" t="s">
        <v>189</v>
      </c>
    </row>
    <row r="4971" spans="1:10" x14ac:dyDescent="0.35">
      <c r="A4971" t="s">
        <v>43</v>
      </c>
      <c r="B4971" s="8">
        <v>44409</v>
      </c>
      <c r="C4971">
        <v>2083333</v>
      </c>
      <c r="D4971">
        <v>1418333</v>
      </c>
      <c r="E4971">
        <v>665000</v>
      </c>
      <c r="F4971" t="s">
        <v>182</v>
      </c>
      <c r="G4971" t="s">
        <v>247</v>
      </c>
      <c r="H4971" s="8">
        <v>43738</v>
      </c>
      <c r="I4971" s="8">
        <v>45564</v>
      </c>
      <c r="J4971" t="s">
        <v>189</v>
      </c>
    </row>
    <row r="4972" spans="1:10" x14ac:dyDescent="0.35">
      <c r="A4972" t="s">
        <v>43</v>
      </c>
      <c r="B4972" s="8">
        <v>44440</v>
      </c>
      <c r="C4972">
        <v>2083333</v>
      </c>
      <c r="D4972">
        <v>1457502.08</v>
      </c>
      <c r="E4972" s="12" t="s">
        <v>248</v>
      </c>
      <c r="F4972" t="s">
        <v>182</v>
      </c>
      <c r="G4972" t="s">
        <v>247</v>
      </c>
      <c r="H4972" s="8">
        <v>43738</v>
      </c>
      <c r="I4972" s="8">
        <v>45564</v>
      </c>
      <c r="J4972" t="s">
        <v>189</v>
      </c>
    </row>
    <row r="4973" spans="1:10" x14ac:dyDescent="0.35">
      <c r="A4973" t="s">
        <v>43</v>
      </c>
      <c r="B4973" s="8">
        <v>44470</v>
      </c>
      <c r="C4973">
        <v>2083333</v>
      </c>
      <c r="D4973">
        <v>1557502.08</v>
      </c>
      <c r="E4973" s="12" t="s">
        <v>249</v>
      </c>
      <c r="F4973" t="s">
        <v>182</v>
      </c>
      <c r="G4973" t="s">
        <v>247</v>
      </c>
      <c r="H4973" s="8">
        <v>43738</v>
      </c>
      <c r="I4973" s="8">
        <v>45564</v>
      </c>
      <c r="J4973" t="s">
        <v>189</v>
      </c>
    </row>
    <row r="4974" spans="1:10" x14ac:dyDescent="0.35">
      <c r="A4974" t="s">
        <v>43</v>
      </c>
      <c r="B4974" s="8">
        <v>44501</v>
      </c>
      <c r="C4974">
        <v>2083333</v>
      </c>
      <c r="D4974">
        <v>1557502.08</v>
      </c>
      <c r="E4974" s="12" t="s">
        <v>249</v>
      </c>
      <c r="F4974" t="s">
        <v>182</v>
      </c>
      <c r="G4974" t="s">
        <v>247</v>
      </c>
      <c r="H4974" s="8">
        <v>43738</v>
      </c>
      <c r="I4974" s="8">
        <v>45564</v>
      </c>
      <c r="J4974" t="s">
        <v>189</v>
      </c>
    </row>
    <row r="4975" spans="1:10" x14ac:dyDescent="0.35">
      <c r="A4975" t="s">
        <v>43</v>
      </c>
      <c r="B4975" s="8">
        <v>44531</v>
      </c>
      <c r="C4975">
        <v>2083333</v>
      </c>
      <c r="D4975">
        <v>1707502.08</v>
      </c>
      <c r="E4975">
        <v>375830.92</v>
      </c>
      <c r="F4975" t="s">
        <v>182</v>
      </c>
      <c r="G4975" t="s">
        <v>247</v>
      </c>
      <c r="H4975" s="8">
        <v>43738</v>
      </c>
      <c r="I4975" s="8">
        <v>45564</v>
      </c>
      <c r="J4975" t="s">
        <v>189</v>
      </c>
    </row>
    <row r="4976" spans="1:10" x14ac:dyDescent="0.35">
      <c r="A4976" t="s">
        <v>43</v>
      </c>
      <c r="B4976" s="8">
        <v>44562</v>
      </c>
      <c r="C4976">
        <v>2083333</v>
      </c>
      <c r="D4976">
        <v>1707502.08</v>
      </c>
      <c r="E4976">
        <v>375830.92</v>
      </c>
      <c r="F4976" t="s">
        <v>182</v>
      </c>
      <c r="G4976" t="s">
        <v>247</v>
      </c>
      <c r="H4976" s="8">
        <v>43738</v>
      </c>
      <c r="I4976" s="8">
        <v>45564</v>
      </c>
      <c r="J4976" t="s">
        <v>189</v>
      </c>
    </row>
    <row r="4977" spans="1:10" x14ac:dyDescent="0.35">
      <c r="A4977" t="s">
        <v>43</v>
      </c>
      <c r="B4977" s="8">
        <v>44593</v>
      </c>
      <c r="C4977">
        <v>2083333</v>
      </c>
      <c r="D4977">
        <v>1867502.08</v>
      </c>
      <c r="E4977" s="12" t="s">
        <v>250</v>
      </c>
      <c r="F4977" t="s">
        <v>182</v>
      </c>
      <c r="G4977" t="s">
        <v>247</v>
      </c>
      <c r="H4977" s="8">
        <v>43738</v>
      </c>
      <c r="I4977" s="8">
        <v>45564</v>
      </c>
      <c r="J4977" t="s">
        <v>189</v>
      </c>
    </row>
    <row r="4978" spans="1:10" x14ac:dyDescent="0.35">
      <c r="A4978" t="s">
        <v>43</v>
      </c>
      <c r="B4978" s="8">
        <v>44621</v>
      </c>
      <c r="C4978">
        <v>2083333</v>
      </c>
      <c r="D4978">
        <v>1867502.08</v>
      </c>
      <c r="E4978" s="12" t="s">
        <v>250</v>
      </c>
      <c r="F4978" t="s">
        <v>182</v>
      </c>
      <c r="G4978" t="s">
        <v>247</v>
      </c>
      <c r="H4978" s="8">
        <v>43738</v>
      </c>
      <c r="I4978" s="8">
        <v>45564</v>
      </c>
      <c r="J4978" t="s">
        <v>189</v>
      </c>
    </row>
    <row r="4979" spans="1:10" x14ac:dyDescent="0.35">
      <c r="A4979" t="s">
        <v>43</v>
      </c>
      <c r="B4979" s="8">
        <v>44652</v>
      </c>
      <c r="C4979">
        <v>2083333</v>
      </c>
      <c r="D4979">
        <v>1867502.08</v>
      </c>
      <c r="E4979" s="12" t="s">
        <v>250</v>
      </c>
      <c r="F4979" t="s">
        <v>182</v>
      </c>
      <c r="G4979" t="s">
        <v>247</v>
      </c>
      <c r="H4979" s="8">
        <v>43738</v>
      </c>
      <c r="I4979" s="8">
        <v>45564</v>
      </c>
      <c r="J4979" t="s">
        <v>189</v>
      </c>
    </row>
    <row r="4980" spans="1:10" x14ac:dyDescent="0.35">
      <c r="A4980" t="s">
        <v>43</v>
      </c>
      <c r="B4980" s="8">
        <v>44682</v>
      </c>
      <c r="C4980">
        <v>2083333</v>
      </c>
      <c r="D4980">
        <v>1977502.08</v>
      </c>
      <c r="E4980" s="12" t="s">
        <v>251</v>
      </c>
      <c r="F4980" t="s">
        <v>182</v>
      </c>
      <c r="G4980" t="s">
        <v>247</v>
      </c>
      <c r="H4980" s="8">
        <v>43738</v>
      </c>
      <c r="I4980" s="8">
        <v>45564</v>
      </c>
      <c r="J4980" t="s">
        <v>189</v>
      </c>
    </row>
    <row r="4981" spans="1:10" x14ac:dyDescent="0.35">
      <c r="A4981" t="s">
        <v>43</v>
      </c>
      <c r="B4981" s="8">
        <v>44713</v>
      </c>
      <c r="C4981">
        <v>2083333</v>
      </c>
      <c r="D4981">
        <v>2077502.08</v>
      </c>
      <c r="E4981">
        <v>5830.92</v>
      </c>
      <c r="F4981" t="s">
        <v>182</v>
      </c>
      <c r="G4981" t="s">
        <v>247</v>
      </c>
      <c r="H4981" s="8">
        <v>43738</v>
      </c>
      <c r="I4981" s="8">
        <v>45564</v>
      </c>
      <c r="J4981" t="s">
        <v>189</v>
      </c>
    </row>
    <row r="4982" spans="1:10" x14ac:dyDescent="0.35">
      <c r="A4982" t="s">
        <v>43</v>
      </c>
      <c r="B4982" s="8">
        <v>44743</v>
      </c>
      <c r="C4982">
        <v>2083333</v>
      </c>
      <c r="D4982">
        <v>2083333</v>
      </c>
      <c r="E4982">
        <v>0</v>
      </c>
      <c r="F4982" t="s">
        <v>182</v>
      </c>
      <c r="G4982" t="s">
        <v>247</v>
      </c>
      <c r="H4982" s="8">
        <v>43738</v>
      </c>
      <c r="I4982" s="8">
        <v>45564</v>
      </c>
      <c r="J4982" t="s">
        <v>156</v>
      </c>
    </row>
    <row r="4983" spans="1:10" x14ac:dyDescent="0.35">
      <c r="A4983" t="s">
        <v>43</v>
      </c>
      <c r="B4983" s="8">
        <v>44774</v>
      </c>
      <c r="C4983">
        <v>2083333</v>
      </c>
      <c r="D4983">
        <v>2083333</v>
      </c>
      <c r="E4983">
        <v>0</v>
      </c>
      <c r="F4983" t="s">
        <v>182</v>
      </c>
      <c r="G4983" t="s">
        <v>247</v>
      </c>
      <c r="H4983" s="8">
        <v>43738</v>
      </c>
      <c r="I4983" s="8">
        <v>45564</v>
      </c>
      <c r="J4983" t="s">
        <v>156</v>
      </c>
    </row>
    <row r="4984" spans="1:10" x14ac:dyDescent="0.35">
      <c r="A4984" t="s">
        <v>43</v>
      </c>
      <c r="B4984" s="8">
        <v>44805</v>
      </c>
      <c r="C4984">
        <v>2083333</v>
      </c>
      <c r="D4984">
        <v>2083333</v>
      </c>
      <c r="E4984">
        <v>0</v>
      </c>
      <c r="F4984" t="s">
        <v>182</v>
      </c>
      <c r="G4984" t="s">
        <v>247</v>
      </c>
      <c r="H4984" s="8">
        <v>43738</v>
      </c>
      <c r="I4984" s="8">
        <v>45564</v>
      </c>
      <c r="J4984" t="s">
        <v>156</v>
      </c>
    </row>
    <row r="4985" spans="1:10" x14ac:dyDescent="0.35">
      <c r="A4985" t="s">
        <v>43</v>
      </c>
      <c r="B4985" s="8">
        <v>44835</v>
      </c>
      <c r="C4985">
        <v>2083333</v>
      </c>
      <c r="D4985">
        <v>2083333</v>
      </c>
      <c r="E4985">
        <v>0</v>
      </c>
      <c r="F4985" t="s">
        <v>182</v>
      </c>
      <c r="G4985" t="s">
        <v>247</v>
      </c>
      <c r="H4985" s="8">
        <v>43738</v>
      </c>
      <c r="I4985" s="8">
        <v>45564</v>
      </c>
      <c r="J4985" t="s">
        <v>156</v>
      </c>
    </row>
    <row r="4986" spans="1:10" x14ac:dyDescent="0.35">
      <c r="A4986" t="s">
        <v>43</v>
      </c>
      <c r="B4986" s="8">
        <v>44866</v>
      </c>
      <c r="C4986">
        <v>2083333</v>
      </c>
      <c r="D4986">
        <v>2083333</v>
      </c>
      <c r="E4986">
        <v>0</v>
      </c>
      <c r="F4986" t="s">
        <v>182</v>
      </c>
      <c r="G4986" t="s">
        <v>247</v>
      </c>
      <c r="H4986" s="8">
        <v>43738</v>
      </c>
      <c r="I4986" s="8">
        <v>45564</v>
      </c>
      <c r="J4986" t="s">
        <v>156</v>
      </c>
    </row>
    <row r="4987" spans="1:10" x14ac:dyDescent="0.35">
      <c r="A4987" t="s">
        <v>43</v>
      </c>
      <c r="B4987" s="8">
        <v>44896</v>
      </c>
      <c r="C4987">
        <v>2083333</v>
      </c>
      <c r="D4987">
        <v>2083333</v>
      </c>
      <c r="E4987">
        <v>0</v>
      </c>
      <c r="F4987" t="s">
        <v>182</v>
      </c>
      <c r="G4987" t="s">
        <v>247</v>
      </c>
      <c r="H4987" s="8">
        <v>43738</v>
      </c>
      <c r="I4987" s="8">
        <v>45564</v>
      </c>
      <c r="J4987" t="s">
        <v>156</v>
      </c>
    </row>
    <row r="4988" spans="1:10" x14ac:dyDescent="0.35">
      <c r="A4988" t="s">
        <v>43</v>
      </c>
      <c r="B4988" s="8">
        <v>44927</v>
      </c>
      <c r="C4988">
        <v>2083333</v>
      </c>
      <c r="D4988">
        <v>2083333</v>
      </c>
      <c r="E4988">
        <v>0</v>
      </c>
      <c r="F4988" t="s">
        <v>182</v>
      </c>
      <c r="G4988" t="s">
        <v>247</v>
      </c>
      <c r="H4988" s="8">
        <v>43738</v>
      </c>
      <c r="I4988" s="8">
        <v>45564</v>
      </c>
      <c r="J4988" t="s">
        <v>156</v>
      </c>
    </row>
    <row r="4989" spans="1:10" x14ac:dyDescent="0.35">
      <c r="A4989" t="s">
        <v>43</v>
      </c>
      <c r="B4989" s="8">
        <v>44958</v>
      </c>
      <c r="C4989">
        <v>2083333</v>
      </c>
      <c r="D4989">
        <v>2083333</v>
      </c>
      <c r="E4989">
        <v>0</v>
      </c>
      <c r="F4989" t="s">
        <v>182</v>
      </c>
      <c r="G4989" t="s">
        <v>247</v>
      </c>
      <c r="H4989" s="8">
        <v>43738</v>
      </c>
      <c r="I4989" s="8">
        <v>45564</v>
      </c>
      <c r="J4989" t="s">
        <v>156</v>
      </c>
    </row>
    <row r="4990" spans="1:10" x14ac:dyDescent="0.35">
      <c r="A4990" t="s">
        <v>43</v>
      </c>
      <c r="B4990" s="8">
        <v>44986</v>
      </c>
      <c r="C4990">
        <v>2083333</v>
      </c>
      <c r="D4990">
        <v>2083333</v>
      </c>
      <c r="E4990">
        <v>0</v>
      </c>
      <c r="F4990" t="s">
        <v>182</v>
      </c>
      <c r="G4990" t="s">
        <v>247</v>
      </c>
      <c r="H4990" s="8">
        <v>43738</v>
      </c>
      <c r="I4990" s="8">
        <v>45564</v>
      </c>
      <c r="J4990" t="s">
        <v>156</v>
      </c>
    </row>
    <row r="4991" spans="1:10" x14ac:dyDescent="0.35">
      <c r="A4991" t="s">
        <v>43</v>
      </c>
      <c r="B4991" s="8">
        <v>45017</v>
      </c>
      <c r="C4991">
        <v>2083333</v>
      </c>
      <c r="D4991">
        <v>2083333</v>
      </c>
      <c r="E4991">
        <v>0</v>
      </c>
      <c r="F4991" t="s">
        <v>182</v>
      </c>
      <c r="G4991" t="s">
        <v>247</v>
      </c>
      <c r="H4991" s="8">
        <v>43738</v>
      </c>
      <c r="I4991" s="8">
        <v>45564</v>
      </c>
      <c r="J4991" t="s">
        <v>156</v>
      </c>
    </row>
    <row r="4992" spans="1:10" x14ac:dyDescent="0.35">
      <c r="A4992" t="s">
        <v>43</v>
      </c>
      <c r="B4992" s="8">
        <v>45047</v>
      </c>
      <c r="C4992">
        <v>2083333</v>
      </c>
      <c r="D4992">
        <v>2083333</v>
      </c>
      <c r="E4992">
        <v>0</v>
      </c>
      <c r="F4992" t="s">
        <v>182</v>
      </c>
      <c r="G4992" t="s">
        <v>247</v>
      </c>
      <c r="H4992" s="8">
        <v>43738</v>
      </c>
      <c r="I4992" s="8">
        <v>45564</v>
      </c>
      <c r="J4992" t="s">
        <v>156</v>
      </c>
    </row>
    <row r="4993" spans="1:10" x14ac:dyDescent="0.35">
      <c r="A4993" t="s">
        <v>43</v>
      </c>
      <c r="B4993" s="8">
        <v>45078</v>
      </c>
      <c r="C4993">
        <v>2083333</v>
      </c>
      <c r="D4993">
        <v>2083333</v>
      </c>
      <c r="E4993">
        <v>0</v>
      </c>
      <c r="F4993" t="s">
        <v>182</v>
      </c>
      <c r="G4993" t="s">
        <v>247</v>
      </c>
      <c r="H4993" s="8">
        <v>43738</v>
      </c>
      <c r="I4993" s="8">
        <v>45564</v>
      </c>
      <c r="J4993" t="s">
        <v>156</v>
      </c>
    </row>
    <row r="4994" spans="1:10" x14ac:dyDescent="0.35">
      <c r="A4994" t="s">
        <v>43</v>
      </c>
      <c r="B4994" s="8">
        <v>45108</v>
      </c>
      <c r="C4994">
        <v>2083333</v>
      </c>
      <c r="D4994">
        <v>2083333</v>
      </c>
      <c r="E4994">
        <v>0</v>
      </c>
      <c r="F4994" t="s">
        <v>182</v>
      </c>
      <c r="G4994" t="s">
        <v>247</v>
      </c>
      <c r="H4994" s="8">
        <v>43738</v>
      </c>
      <c r="I4994" s="8">
        <v>45564</v>
      </c>
      <c r="J4994" t="s">
        <v>156</v>
      </c>
    </row>
    <row r="4995" spans="1:10" x14ac:dyDescent="0.35">
      <c r="A4995" t="s">
        <v>43</v>
      </c>
      <c r="B4995" s="8">
        <v>45139</v>
      </c>
      <c r="C4995">
        <v>2083333</v>
      </c>
      <c r="D4995">
        <v>2083333</v>
      </c>
      <c r="E4995">
        <v>0</v>
      </c>
      <c r="F4995" t="s">
        <v>182</v>
      </c>
      <c r="G4995" t="s">
        <v>247</v>
      </c>
      <c r="H4995" s="8">
        <v>43738</v>
      </c>
      <c r="I4995" s="8">
        <v>45564</v>
      </c>
      <c r="J4995" t="s">
        <v>156</v>
      </c>
    </row>
    <row r="4996" spans="1:10" x14ac:dyDescent="0.35">
      <c r="A4996" t="s">
        <v>43</v>
      </c>
      <c r="B4996" s="8">
        <v>45170</v>
      </c>
      <c r="C4996">
        <v>2083333</v>
      </c>
      <c r="D4996">
        <v>2083333</v>
      </c>
      <c r="E4996">
        <v>0</v>
      </c>
      <c r="F4996" t="s">
        <v>182</v>
      </c>
      <c r="G4996" t="s">
        <v>247</v>
      </c>
      <c r="H4996" s="8">
        <v>43738</v>
      </c>
      <c r="I4996" s="8">
        <v>45564</v>
      </c>
      <c r="J4996" t="s">
        <v>156</v>
      </c>
    </row>
    <row r="4997" spans="1:10" x14ac:dyDescent="0.35">
      <c r="A4997" t="s">
        <v>181</v>
      </c>
      <c r="B4997" s="8">
        <v>45017</v>
      </c>
      <c r="C4997">
        <v>4118770</v>
      </c>
      <c r="D4997">
        <v>0</v>
      </c>
      <c r="E4997">
        <v>4118770</v>
      </c>
      <c r="F4997" t="s">
        <v>182</v>
      </c>
      <c r="G4997" t="s">
        <v>183</v>
      </c>
      <c r="H4997" s="8">
        <v>44469</v>
      </c>
      <c r="I4997" s="8">
        <v>46294</v>
      </c>
      <c r="J4997" t="s">
        <v>156</v>
      </c>
    </row>
    <row r="4998" spans="1:10" x14ac:dyDescent="0.35">
      <c r="A4998" t="s">
        <v>181</v>
      </c>
      <c r="B4998" s="8">
        <v>45047</v>
      </c>
      <c r="C4998">
        <v>4118770</v>
      </c>
      <c r="D4998">
        <v>0</v>
      </c>
      <c r="E4998">
        <v>4118770</v>
      </c>
      <c r="F4998" t="s">
        <v>182</v>
      </c>
      <c r="G4998" t="s">
        <v>183</v>
      </c>
      <c r="H4998" s="8">
        <v>44469</v>
      </c>
      <c r="I4998" s="8">
        <v>46294</v>
      </c>
      <c r="J4998" t="s">
        <v>156</v>
      </c>
    </row>
    <row r="4999" spans="1:10" x14ac:dyDescent="0.35">
      <c r="A4999" t="s">
        <v>181</v>
      </c>
      <c r="B4999" s="8">
        <v>45078</v>
      </c>
      <c r="C4999">
        <v>4118770</v>
      </c>
      <c r="D4999">
        <v>0</v>
      </c>
      <c r="E4999">
        <v>4118770</v>
      </c>
      <c r="F4999" t="s">
        <v>182</v>
      </c>
      <c r="G4999" t="s">
        <v>183</v>
      </c>
      <c r="H4999" s="8">
        <v>44469</v>
      </c>
      <c r="I4999" s="8">
        <v>46294</v>
      </c>
      <c r="J4999" t="s">
        <v>156</v>
      </c>
    </row>
    <row r="5000" spans="1:10" x14ac:dyDescent="0.35">
      <c r="A5000" t="s">
        <v>181</v>
      </c>
      <c r="B5000" s="8">
        <v>45108</v>
      </c>
      <c r="C5000">
        <v>4118770</v>
      </c>
      <c r="D5000">
        <v>0</v>
      </c>
      <c r="E5000">
        <v>4118770</v>
      </c>
      <c r="F5000" t="s">
        <v>182</v>
      </c>
      <c r="G5000" t="s">
        <v>183</v>
      </c>
      <c r="H5000" s="8">
        <v>44469</v>
      </c>
      <c r="I5000" s="8">
        <v>46294</v>
      </c>
      <c r="J5000" t="s">
        <v>156</v>
      </c>
    </row>
    <row r="5001" spans="1:10" x14ac:dyDescent="0.35">
      <c r="A5001" t="s">
        <v>181</v>
      </c>
      <c r="B5001" s="8">
        <v>45139</v>
      </c>
      <c r="C5001">
        <v>4118770</v>
      </c>
      <c r="D5001">
        <v>168921.89</v>
      </c>
      <c r="E5001">
        <v>3949848.11</v>
      </c>
      <c r="F5001" t="s">
        <v>182</v>
      </c>
      <c r="G5001" t="s">
        <v>183</v>
      </c>
      <c r="H5001" s="8">
        <v>44469</v>
      </c>
      <c r="I5001" s="8">
        <v>46294</v>
      </c>
      <c r="J5001" t="s">
        <v>156</v>
      </c>
    </row>
    <row r="5002" spans="1:10" x14ac:dyDescent="0.35">
      <c r="A5002" t="s">
        <v>181</v>
      </c>
      <c r="B5002" s="8">
        <v>45170</v>
      </c>
      <c r="C5002">
        <v>15573276</v>
      </c>
      <c r="D5002">
        <v>2811211.07</v>
      </c>
      <c r="E5002">
        <v>12762064.93</v>
      </c>
      <c r="F5002" t="s">
        <v>182</v>
      </c>
      <c r="G5002" t="s">
        <v>183</v>
      </c>
      <c r="H5002" s="8">
        <v>44469</v>
      </c>
      <c r="I5002" s="8">
        <v>46294</v>
      </c>
      <c r="J5002" t="s">
        <v>156</v>
      </c>
    </row>
    <row r="5003" spans="1:10" x14ac:dyDescent="0.35">
      <c r="A5003" t="s">
        <v>5</v>
      </c>
      <c r="B5003" s="8">
        <v>44105</v>
      </c>
      <c r="C5003">
        <v>1665771</v>
      </c>
      <c r="D5003">
        <v>663240</v>
      </c>
      <c r="E5003">
        <v>1002531</v>
      </c>
      <c r="F5003" t="s">
        <v>179</v>
      </c>
      <c r="G5003" t="s">
        <v>252</v>
      </c>
      <c r="H5003" s="8">
        <v>42461</v>
      </c>
      <c r="I5003" s="8">
        <v>44833</v>
      </c>
      <c r="J5003" t="s">
        <v>189</v>
      </c>
    </row>
    <row r="5004" spans="1:10" x14ac:dyDescent="0.35">
      <c r="A5004" t="s">
        <v>5</v>
      </c>
      <c r="B5004" s="8">
        <v>44136</v>
      </c>
      <c r="C5004">
        <v>1665771</v>
      </c>
      <c r="D5004">
        <v>753240</v>
      </c>
      <c r="E5004">
        <v>912531</v>
      </c>
      <c r="F5004" t="s">
        <v>179</v>
      </c>
      <c r="G5004" t="s">
        <v>252</v>
      </c>
      <c r="H5004" s="8">
        <v>42461</v>
      </c>
      <c r="I5004" s="8">
        <v>44833</v>
      </c>
      <c r="J5004" t="s">
        <v>189</v>
      </c>
    </row>
    <row r="5005" spans="1:10" x14ac:dyDescent="0.35">
      <c r="A5005" t="s">
        <v>5</v>
      </c>
      <c r="B5005" s="8">
        <v>44166</v>
      </c>
      <c r="C5005">
        <v>1665771</v>
      </c>
      <c r="D5005">
        <v>753240</v>
      </c>
      <c r="E5005">
        <v>912531</v>
      </c>
      <c r="F5005" t="s">
        <v>179</v>
      </c>
      <c r="G5005" t="s">
        <v>252</v>
      </c>
      <c r="H5005" s="8">
        <v>42461</v>
      </c>
      <c r="I5005" s="8">
        <v>44833</v>
      </c>
      <c r="J5005" t="s">
        <v>189</v>
      </c>
    </row>
    <row r="5006" spans="1:10" x14ac:dyDescent="0.35">
      <c r="A5006" t="s">
        <v>5</v>
      </c>
      <c r="B5006" s="8">
        <v>44197</v>
      </c>
      <c r="C5006">
        <v>1665771</v>
      </c>
      <c r="D5006">
        <v>923240</v>
      </c>
      <c r="E5006">
        <v>742531</v>
      </c>
      <c r="F5006" t="s">
        <v>179</v>
      </c>
      <c r="G5006" t="s">
        <v>252</v>
      </c>
      <c r="H5006" s="8">
        <v>42461</v>
      </c>
      <c r="I5006" s="8">
        <v>44833</v>
      </c>
      <c r="J5006" t="s">
        <v>189</v>
      </c>
    </row>
    <row r="5007" spans="1:10" x14ac:dyDescent="0.35">
      <c r="A5007" t="s">
        <v>5</v>
      </c>
      <c r="B5007" s="8">
        <v>44228</v>
      </c>
      <c r="C5007">
        <v>1665771</v>
      </c>
      <c r="D5007">
        <v>1023240</v>
      </c>
      <c r="E5007">
        <v>642531</v>
      </c>
      <c r="F5007" t="s">
        <v>179</v>
      </c>
      <c r="G5007" t="s">
        <v>252</v>
      </c>
      <c r="H5007" s="8">
        <v>42461</v>
      </c>
      <c r="I5007" s="8">
        <v>44833</v>
      </c>
      <c r="J5007" t="s">
        <v>189</v>
      </c>
    </row>
    <row r="5008" spans="1:10" x14ac:dyDescent="0.35">
      <c r="A5008" t="s">
        <v>5</v>
      </c>
      <c r="B5008" s="8">
        <v>44256</v>
      </c>
      <c r="C5008">
        <v>1665771</v>
      </c>
      <c r="D5008">
        <v>1163240</v>
      </c>
      <c r="E5008">
        <v>502531</v>
      </c>
      <c r="F5008" t="s">
        <v>179</v>
      </c>
      <c r="G5008" t="s">
        <v>252</v>
      </c>
      <c r="H5008" s="8">
        <v>42461</v>
      </c>
      <c r="I5008" s="8">
        <v>44833</v>
      </c>
      <c r="J5008" t="s">
        <v>189</v>
      </c>
    </row>
    <row r="5009" spans="1:10" x14ac:dyDescent="0.35">
      <c r="A5009" t="s">
        <v>5</v>
      </c>
      <c r="B5009" s="8">
        <v>44287</v>
      </c>
      <c r="C5009">
        <v>1665771</v>
      </c>
      <c r="D5009">
        <v>1163240</v>
      </c>
      <c r="E5009" s="12" t="s">
        <v>253</v>
      </c>
      <c r="F5009" t="s">
        <v>179</v>
      </c>
      <c r="G5009" t="s">
        <v>252</v>
      </c>
      <c r="H5009" s="8">
        <v>42461</v>
      </c>
      <c r="I5009" s="8">
        <v>44833</v>
      </c>
      <c r="J5009" t="s">
        <v>189</v>
      </c>
    </row>
    <row r="5010" spans="1:10" x14ac:dyDescent="0.35">
      <c r="A5010" t="s">
        <v>5</v>
      </c>
      <c r="B5010" s="8">
        <v>44317</v>
      </c>
      <c r="C5010">
        <v>1665771</v>
      </c>
      <c r="D5010">
        <v>1269771</v>
      </c>
      <c r="E5010">
        <v>396000</v>
      </c>
      <c r="F5010" t="s">
        <v>179</v>
      </c>
      <c r="G5010" t="s">
        <v>252</v>
      </c>
      <c r="H5010" s="8">
        <v>42461</v>
      </c>
      <c r="I5010" s="8">
        <v>44833</v>
      </c>
      <c r="J5010" t="s">
        <v>189</v>
      </c>
    </row>
    <row r="5011" spans="1:10" x14ac:dyDescent="0.35">
      <c r="A5011" t="s">
        <v>5</v>
      </c>
      <c r="B5011" s="8">
        <v>44348</v>
      </c>
      <c r="C5011">
        <v>1665771</v>
      </c>
      <c r="D5011">
        <v>1269771</v>
      </c>
      <c r="E5011">
        <v>396000</v>
      </c>
      <c r="F5011" t="s">
        <v>179</v>
      </c>
      <c r="G5011" t="s">
        <v>252</v>
      </c>
      <c r="H5011" s="8">
        <v>42461</v>
      </c>
      <c r="I5011" s="8">
        <v>44833</v>
      </c>
      <c r="J5011" t="s">
        <v>189</v>
      </c>
    </row>
    <row r="5012" spans="1:10" x14ac:dyDescent="0.35">
      <c r="A5012" t="s">
        <v>5</v>
      </c>
      <c r="B5012" s="8">
        <v>44378</v>
      </c>
      <c r="C5012">
        <v>1665771</v>
      </c>
      <c r="D5012">
        <v>1269771</v>
      </c>
      <c r="E5012">
        <v>396000</v>
      </c>
      <c r="F5012" t="s">
        <v>179</v>
      </c>
      <c r="G5012" t="s">
        <v>252</v>
      </c>
      <c r="H5012" s="8">
        <v>42461</v>
      </c>
      <c r="I5012" s="8">
        <v>44833</v>
      </c>
      <c r="J5012" t="s">
        <v>189</v>
      </c>
    </row>
    <row r="5013" spans="1:10" x14ac:dyDescent="0.35">
      <c r="A5013" t="s">
        <v>5</v>
      </c>
      <c r="B5013" s="8">
        <v>44409</v>
      </c>
      <c r="C5013">
        <v>1665771</v>
      </c>
      <c r="D5013">
        <v>1289771</v>
      </c>
      <c r="E5013">
        <v>376000</v>
      </c>
      <c r="F5013" t="s">
        <v>179</v>
      </c>
      <c r="G5013" t="s">
        <v>252</v>
      </c>
      <c r="H5013" s="8">
        <v>42461</v>
      </c>
      <c r="I5013" s="8">
        <v>44833</v>
      </c>
      <c r="J5013" t="s">
        <v>189</v>
      </c>
    </row>
    <row r="5014" spans="1:10" x14ac:dyDescent="0.35">
      <c r="A5014" t="s">
        <v>5</v>
      </c>
      <c r="B5014" s="8">
        <v>44440</v>
      </c>
      <c r="C5014">
        <v>1665771</v>
      </c>
      <c r="D5014">
        <v>1318271</v>
      </c>
      <c r="E5014">
        <v>347500</v>
      </c>
      <c r="F5014" t="s">
        <v>179</v>
      </c>
      <c r="G5014" t="s">
        <v>252</v>
      </c>
      <c r="H5014" s="8">
        <v>42461</v>
      </c>
      <c r="I5014" s="8">
        <v>44833</v>
      </c>
      <c r="J5014" t="s">
        <v>189</v>
      </c>
    </row>
    <row r="5015" spans="1:10" x14ac:dyDescent="0.35">
      <c r="A5015" t="s">
        <v>5</v>
      </c>
      <c r="B5015" s="8">
        <v>44470</v>
      </c>
      <c r="C5015">
        <v>1665771</v>
      </c>
      <c r="D5015">
        <v>1318271</v>
      </c>
      <c r="E5015">
        <v>347500</v>
      </c>
      <c r="F5015" t="s">
        <v>179</v>
      </c>
      <c r="G5015" t="s">
        <v>252</v>
      </c>
      <c r="H5015" s="8">
        <v>42461</v>
      </c>
      <c r="I5015" s="8">
        <v>44833</v>
      </c>
      <c r="J5015" t="s">
        <v>189</v>
      </c>
    </row>
    <row r="5016" spans="1:10" x14ac:dyDescent="0.35">
      <c r="A5016" t="s">
        <v>5</v>
      </c>
      <c r="B5016" s="8">
        <v>44501</v>
      </c>
      <c r="C5016">
        <v>1665771</v>
      </c>
      <c r="D5016">
        <v>1348271</v>
      </c>
      <c r="E5016">
        <v>317500</v>
      </c>
      <c r="F5016" t="s">
        <v>179</v>
      </c>
      <c r="G5016" t="s">
        <v>252</v>
      </c>
      <c r="H5016" s="8">
        <v>42461</v>
      </c>
      <c r="I5016" s="8">
        <v>44833</v>
      </c>
      <c r="J5016" t="s">
        <v>189</v>
      </c>
    </row>
    <row r="5017" spans="1:10" x14ac:dyDescent="0.35">
      <c r="A5017" t="s">
        <v>5</v>
      </c>
      <c r="B5017" s="8">
        <v>44531</v>
      </c>
      <c r="C5017">
        <v>1665771</v>
      </c>
      <c r="D5017">
        <v>1398271</v>
      </c>
      <c r="E5017">
        <v>267500</v>
      </c>
      <c r="F5017" t="s">
        <v>179</v>
      </c>
      <c r="G5017" t="s">
        <v>252</v>
      </c>
      <c r="H5017" s="8">
        <v>42461</v>
      </c>
      <c r="I5017" s="8">
        <v>44833</v>
      </c>
      <c r="J5017" t="s">
        <v>189</v>
      </c>
    </row>
    <row r="5018" spans="1:10" x14ac:dyDescent="0.35">
      <c r="A5018" t="s">
        <v>5</v>
      </c>
      <c r="B5018" s="8">
        <v>44562</v>
      </c>
      <c r="C5018">
        <v>1665771</v>
      </c>
      <c r="D5018">
        <v>1448271</v>
      </c>
      <c r="E5018">
        <v>217500</v>
      </c>
      <c r="F5018" t="s">
        <v>179</v>
      </c>
      <c r="G5018" t="s">
        <v>252</v>
      </c>
      <c r="H5018" s="8">
        <v>42461</v>
      </c>
      <c r="I5018" s="8">
        <v>44833</v>
      </c>
      <c r="J5018" t="s">
        <v>189</v>
      </c>
    </row>
    <row r="5019" spans="1:10" x14ac:dyDescent="0.35">
      <c r="A5019" t="s">
        <v>5</v>
      </c>
      <c r="B5019" s="8">
        <v>44593</v>
      </c>
      <c r="C5019">
        <v>1665771</v>
      </c>
      <c r="D5019">
        <v>1498271</v>
      </c>
      <c r="E5019">
        <v>167500</v>
      </c>
      <c r="F5019" t="s">
        <v>179</v>
      </c>
      <c r="G5019" t="s">
        <v>252</v>
      </c>
      <c r="H5019" s="8">
        <v>42461</v>
      </c>
      <c r="I5019" s="8">
        <v>44833</v>
      </c>
      <c r="J5019" t="s">
        <v>189</v>
      </c>
    </row>
    <row r="5020" spans="1:10" x14ac:dyDescent="0.35">
      <c r="A5020" t="s">
        <v>5</v>
      </c>
      <c r="B5020" s="8">
        <v>44621</v>
      </c>
      <c r="C5020">
        <v>1665771</v>
      </c>
      <c r="D5020">
        <v>1558271</v>
      </c>
      <c r="E5020">
        <v>107500</v>
      </c>
      <c r="F5020" t="s">
        <v>179</v>
      </c>
      <c r="G5020" t="s">
        <v>252</v>
      </c>
      <c r="H5020" s="8">
        <v>42461</v>
      </c>
      <c r="I5020" s="8">
        <v>44833</v>
      </c>
      <c r="J5020" t="s">
        <v>189</v>
      </c>
    </row>
    <row r="5021" spans="1:10" x14ac:dyDescent="0.35">
      <c r="A5021" t="s">
        <v>5</v>
      </c>
      <c r="B5021" s="8">
        <v>44652</v>
      </c>
      <c r="C5021">
        <v>1665771</v>
      </c>
      <c r="D5021">
        <v>1558271</v>
      </c>
      <c r="E5021">
        <v>107500</v>
      </c>
      <c r="F5021" t="s">
        <v>179</v>
      </c>
      <c r="G5021" t="s">
        <v>252</v>
      </c>
      <c r="H5021" s="8">
        <v>42461</v>
      </c>
      <c r="I5021" s="8">
        <v>44833</v>
      </c>
      <c r="J5021" t="s">
        <v>189</v>
      </c>
    </row>
    <row r="5022" spans="1:10" x14ac:dyDescent="0.35">
      <c r="A5022" t="s">
        <v>5</v>
      </c>
      <c r="B5022" s="8">
        <v>44682</v>
      </c>
      <c r="C5022">
        <v>1665771</v>
      </c>
      <c r="D5022">
        <v>1608271</v>
      </c>
      <c r="E5022">
        <v>57500</v>
      </c>
      <c r="F5022" t="s">
        <v>179</v>
      </c>
      <c r="G5022" t="s">
        <v>252</v>
      </c>
      <c r="H5022" s="8">
        <v>42461</v>
      </c>
      <c r="I5022" s="8">
        <v>44833</v>
      </c>
      <c r="J5022" t="s">
        <v>189</v>
      </c>
    </row>
    <row r="5023" spans="1:10" x14ac:dyDescent="0.35">
      <c r="A5023" t="s">
        <v>5</v>
      </c>
      <c r="B5023" s="8">
        <v>44713</v>
      </c>
      <c r="C5023">
        <v>1665771</v>
      </c>
      <c r="D5023">
        <v>1608271</v>
      </c>
      <c r="E5023">
        <v>57500</v>
      </c>
      <c r="F5023" t="s">
        <v>179</v>
      </c>
      <c r="G5023" t="s">
        <v>252</v>
      </c>
      <c r="H5023" s="8">
        <v>42461</v>
      </c>
      <c r="I5023" s="8">
        <v>44833</v>
      </c>
      <c r="J5023" t="s">
        <v>189</v>
      </c>
    </row>
    <row r="5024" spans="1:10" x14ac:dyDescent="0.35">
      <c r="A5024" t="s">
        <v>5</v>
      </c>
      <c r="B5024" s="8">
        <v>44743</v>
      </c>
      <c r="C5024">
        <v>1665771</v>
      </c>
      <c r="D5024">
        <v>1608271</v>
      </c>
      <c r="E5024">
        <v>57500</v>
      </c>
      <c r="F5024" t="s">
        <v>179</v>
      </c>
      <c r="G5024" t="s">
        <v>252</v>
      </c>
      <c r="H5024" s="8">
        <v>42461</v>
      </c>
      <c r="I5024" s="8">
        <v>44833</v>
      </c>
      <c r="J5024" t="s">
        <v>189</v>
      </c>
    </row>
    <row r="5025" spans="1:10" x14ac:dyDescent="0.35">
      <c r="A5025" t="s">
        <v>5</v>
      </c>
      <c r="B5025" s="8">
        <v>44774</v>
      </c>
      <c r="C5025">
        <v>1665771</v>
      </c>
      <c r="D5025">
        <v>1665771</v>
      </c>
      <c r="E5025">
        <v>0</v>
      </c>
      <c r="F5025" t="s">
        <v>179</v>
      </c>
      <c r="G5025" t="s">
        <v>252</v>
      </c>
      <c r="H5025" s="8">
        <v>42461</v>
      </c>
      <c r="I5025" s="8">
        <v>44833</v>
      </c>
      <c r="J5025" t="s">
        <v>156</v>
      </c>
    </row>
    <row r="5026" spans="1:10" x14ac:dyDescent="0.35">
      <c r="A5026" t="s">
        <v>5</v>
      </c>
      <c r="B5026" s="8">
        <v>44805</v>
      </c>
      <c r="C5026">
        <v>1665771</v>
      </c>
      <c r="D5026">
        <v>1665771</v>
      </c>
      <c r="E5026">
        <v>0</v>
      </c>
      <c r="F5026" t="s">
        <v>179</v>
      </c>
      <c r="G5026" t="s">
        <v>252</v>
      </c>
      <c r="H5026" s="8">
        <v>42461</v>
      </c>
      <c r="I5026" s="8">
        <v>44833</v>
      </c>
      <c r="J5026" t="s">
        <v>156</v>
      </c>
    </row>
    <row r="5027" spans="1:10" x14ac:dyDescent="0.35">
      <c r="A5027" t="s">
        <v>5</v>
      </c>
      <c r="B5027" s="8">
        <v>44835</v>
      </c>
      <c r="C5027">
        <v>1665771</v>
      </c>
      <c r="D5027">
        <v>1665771</v>
      </c>
      <c r="E5027">
        <v>0</v>
      </c>
      <c r="F5027" t="s">
        <v>179</v>
      </c>
      <c r="G5027" t="s">
        <v>252</v>
      </c>
      <c r="H5027" s="8">
        <v>42461</v>
      </c>
      <c r="I5027" s="8">
        <v>44833</v>
      </c>
      <c r="J5027" t="s">
        <v>156</v>
      </c>
    </row>
    <row r="5028" spans="1:10" x14ac:dyDescent="0.35">
      <c r="A5028" t="s">
        <v>5</v>
      </c>
      <c r="B5028" s="8">
        <v>44866</v>
      </c>
      <c r="C5028">
        <v>1665771</v>
      </c>
      <c r="D5028">
        <v>1665771</v>
      </c>
      <c r="E5028">
        <v>0</v>
      </c>
      <c r="F5028" t="s">
        <v>179</v>
      </c>
      <c r="G5028" t="s">
        <v>252</v>
      </c>
      <c r="H5028" s="8">
        <v>42461</v>
      </c>
      <c r="I5028" s="8">
        <v>44833</v>
      </c>
      <c r="J5028" t="s">
        <v>156</v>
      </c>
    </row>
    <row r="5029" spans="1:10" x14ac:dyDescent="0.35">
      <c r="A5029" t="s">
        <v>5</v>
      </c>
      <c r="B5029" s="8">
        <v>44896</v>
      </c>
      <c r="C5029">
        <v>1665771</v>
      </c>
      <c r="D5029">
        <v>1665771</v>
      </c>
      <c r="E5029">
        <v>0</v>
      </c>
      <c r="F5029" t="s">
        <v>179</v>
      </c>
      <c r="G5029" t="s">
        <v>252</v>
      </c>
      <c r="H5029" s="8">
        <v>42461</v>
      </c>
      <c r="I5029" s="8">
        <v>44833</v>
      </c>
      <c r="J5029" t="s">
        <v>156</v>
      </c>
    </row>
    <row r="5030" spans="1:10" x14ac:dyDescent="0.35">
      <c r="A5030" t="s">
        <v>5</v>
      </c>
      <c r="B5030" s="8">
        <v>44927</v>
      </c>
      <c r="C5030">
        <v>1665771</v>
      </c>
      <c r="D5030">
        <v>1665771</v>
      </c>
      <c r="E5030">
        <v>0</v>
      </c>
      <c r="F5030" t="s">
        <v>179</v>
      </c>
      <c r="G5030" t="s">
        <v>252</v>
      </c>
      <c r="H5030" s="8">
        <v>42461</v>
      </c>
      <c r="I5030" s="8">
        <v>44833</v>
      </c>
      <c r="J5030" t="s">
        <v>156</v>
      </c>
    </row>
    <row r="5031" spans="1:10" x14ac:dyDescent="0.35">
      <c r="A5031" t="s">
        <v>5</v>
      </c>
      <c r="B5031" s="8">
        <v>44958</v>
      </c>
      <c r="C5031">
        <v>1665771</v>
      </c>
      <c r="D5031">
        <v>1665771</v>
      </c>
      <c r="E5031">
        <v>0</v>
      </c>
      <c r="F5031" t="s">
        <v>179</v>
      </c>
      <c r="G5031" t="s">
        <v>252</v>
      </c>
      <c r="H5031" s="8">
        <v>42461</v>
      </c>
      <c r="I5031" s="8">
        <v>44833</v>
      </c>
      <c r="J5031" t="s">
        <v>156</v>
      </c>
    </row>
    <row r="5032" spans="1:10" x14ac:dyDescent="0.35">
      <c r="A5032" t="s">
        <v>5</v>
      </c>
      <c r="B5032" s="8">
        <v>44986</v>
      </c>
      <c r="C5032">
        <v>1665771</v>
      </c>
      <c r="D5032">
        <v>1665771</v>
      </c>
      <c r="E5032">
        <v>0</v>
      </c>
      <c r="F5032" t="s">
        <v>179</v>
      </c>
      <c r="G5032" t="s">
        <v>252</v>
      </c>
      <c r="H5032" s="8">
        <v>42461</v>
      </c>
      <c r="I5032" s="8">
        <v>44833</v>
      </c>
      <c r="J5032" t="s">
        <v>156</v>
      </c>
    </row>
    <row r="5033" spans="1:10" x14ac:dyDescent="0.35">
      <c r="A5033" t="s">
        <v>5</v>
      </c>
      <c r="B5033" s="8">
        <v>45017</v>
      </c>
      <c r="C5033">
        <v>1665771</v>
      </c>
      <c r="D5033">
        <v>1665771</v>
      </c>
      <c r="E5033">
        <v>0</v>
      </c>
      <c r="F5033" t="s">
        <v>179</v>
      </c>
      <c r="G5033" t="s">
        <v>252</v>
      </c>
      <c r="H5033" s="8">
        <v>42461</v>
      </c>
      <c r="I5033" s="8">
        <v>44833</v>
      </c>
      <c r="J5033" t="s">
        <v>156</v>
      </c>
    </row>
    <row r="5034" spans="1:10" x14ac:dyDescent="0.35">
      <c r="A5034" t="s">
        <v>5</v>
      </c>
      <c r="B5034" s="8">
        <v>45047</v>
      </c>
      <c r="C5034">
        <v>1665771</v>
      </c>
      <c r="D5034">
        <v>1665771</v>
      </c>
      <c r="E5034">
        <v>0</v>
      </c>
      <c r="F5034" t="s">
        <v>179</v>
      </c>
      <c r="G5034" t="s">
        <v>252</v>
      </c>
      <c r="H5034" s="8">
        <v>42461</v>
      </c>
      <c r="I5034" s="8">
        <v>44833</v>
      </c>
      <c r="J5034" t="s">
        <v>156</v>
      </c>
    </row>
    <row r="5035" spans="1:10" x14ac:dyDescent="0.35">
      <c r="A5035" t="s">
        <v>5</v>
      </c>
      <c r="B5035" s="8">
        <v>45078</v>
      </c>
      <c r="C5035">
        <v>1665771</v>
      </c>
      <c r="D5035">
        <v>1665771</v>
      </c>
      <c r="E5035">
        <v>0</v>
      </c>
      <c r="F5035" t="s">
        <v>179</v>
      </c>
      <c r="G5035" t="s">
        <v>252</v>
      </c>
      <c r="H5035" s="8">
        <v>42461</v>
      </c>
      <c r="I5035" s="8">
        <v>44833</v>
      </c>
      <c r="J5035" t="s">
        <v>156</v>
      </c>
    </row>
    <row r="5036" spans="1:10" x14ac:dyDescent="0.35">
      <c r="A5036" t="s">
        <v>5</v>
      </c>
      <c r="B5036" s="8">
        <v>45108</v>
      </c>
      <c r="C5036">
        <v>1665771</v>
      </c>
      <c r="D5036">
        <v>1665771</v>
      </c>
      <c r="E5036">
        <v>0</v>
      </c>
      <c r="F5036" t="s">
        <v>179</v>
      </c>
      <c r="G5036" t="s">
        <v>252</v>
      </c>
      <c r="H5036" s="8">
        <v>42461</v>
      </c>
      <c r="I5036" s="8">
        <v>44833</v>
      </c>
      <c r="J5036" t="s">
        <v>156</v>
      </c>
    </row>
    <row r="5037" spans="1:10" x14ac:dyDescent="0.35">
      <c r="A5037" t="s">
        <v>5</v>
      </c>
      <c r="B5037" s="8">
        <v>45139</v>
      </c>
      <c r="C5037">
        <v>1665771</v>
      </c>
      <c r="D5037">
        <v>1665771</v>
      </c>
      <c r="E5037">
        <v>0</v>
      </c>
      <c r="F5037" t="s">
        <v>179</v>
      </c>
      <c r="G5037" t="s">
        <v>252</v>
      </c>
      <c r="H5037" s="8">
        <v>42461</v>
      </c>
      <c r="I5037" s="8">
        <v>44833</v>
      </c>
      <c r="J5037" t="s">
        <v>156</v>
      </c>
    </row>
    <row r="5038" spans="1:10" x14ac:dyDescent="0.35">
      <c r="A5038" t="s">
        <v>5</v>
      </c>
      <c r="B5038" s="8">
        <v>45170</v>
      </c>
      <c r="C5038">
        <v>1665771</v>
      </c>
      <c r="D5038">
        <v>1665771</v>
      </c>
      <c r="E5038">
        <v>0</v>
      </c>
      <c r="F5038" t="s">
        <v>179</v>
      </c>
      <c r="G5038" t="s">
        <v>252</v>
      </c>
      <c r="H5038" s="8">
        <v>42461</v>
      </c>
      <c r="I5038" s="8">
        <v>44833</v>
      </c>
      <c r="J5038" t="s">
        <v>156</v>
      </c>
    </row>
    <row r="5039" spans="1:10" x14ac:dyDescent="0.35">
      <c r="A5039" t="s">
        <v>15</v>
      </c>
      <c r="B5039" s="8">
        <v>44531</v>
      </c>
      <c r="C5039">
        <v>7992997</v>
      </c>
      <c r="D5039">
        <v>0</v>
      </c>
      <c r="E5039">
        <v>7992997</v>
      </c>
      <c r="F5039" t="s">
        <v>179</v>
      </c>
      <c r="G5039" t="s">
        <v>254</v>
      </c>
      <c r="H5039" s="8">
        <v>42826</v>
      </c>
      <c r="I5039" s="8">
        <v>45198</v>
      </c>
      <c r="J5039" t="s">
        <v>189</v>
      </c>
    </row>
    <row r="5040" spans="1:10" x14ac:dyDescent="0.35">
      <c r="A5040" t="s">
        <v>15</v>
      </c>
      <c r="B5040" s="8">
        <v>44562</v>
      </c>
      <c r="C5040">
        <v>7992997</v>
      </c>
      <c r="D5040">
        <v>0</v>
      </c>
      <c r="E5040">
        <v>7992997</v>
      </c>
      <c r="F5040" t="s">
        <v>179</v>
      </c>
      <c r="G5040" t="s">
        <v>254</v>
      </c>
      <c r="H5040" s="8">
        <v>42826</v>
      </c>
      <c r="I5040" s="8">
        <v>45198</v>
      </c>
      <c r="J5040" t="s">
        <v>189</v>
      </c>
    </row>
    <row r="5041" spans="1:10" x14ac:dyDescent="0.35">
      <c r="A5041" t="s">
        <v>15</v>
      </c>
      <c r="B5041" s="8">
        <v>44593</v>
      </c>
      <c r="C5041">
        <v>7992997</v>
      </c>
      <c r="D5041">
        <v>378853</v>
      </c>
      <c r="E5041">
        <v>7614144</v>
      </c>
      <c r="F5041" t="s">
        <v>179</v>
      </c>
      <c r="G5041" t="s">
        <v>254</v>
      </c>
      <c r="H5041" s="8">
        <v>42826</v>
      </c>
      <c r="I5041" s="8">
        <v>45198</v>
      </c>
      <c r="J5041" t="s">
        <v>189</v>
      </c>
    </row>
    <row r="5042" spans="1:10" x14ac:dyDescent="0.35">
      <c r="A5042" t="s">
        <v>15</v>
      </c>
      <c r="B5042" s="8">
        <v>44621</v>
      </c>
      <c r="C5042">
        <v>7992997</v>
      </c>
      <c r="D5042">
        <v>502588</v>
      </c>
      <c r="E5042">
        <v>7490409</v>
      </c>
      <c r="F5042" t="s">
        <v>179</v>
      </c>
      <c r="G5042" t="s">
        <v>254</v>
      </c>
      <c r="H5042" s="8">
        <v>42826</v>
      </c>
      <c r="I5042" s="8">
        <v>45198</v>
      </c>
      <c r="J5042" t="s">
        <v>189</v>
      </c>
    </row>
    <row r="5043" spans="1:10" x14ac:dyDescent="0.35">
      <c r="A5043" t="s">
        <v>15</v>
      </c>
      <c r="B5043" s="8">
        <v>44652</v>
      </c>
      <c r="C5043">
        <v>7992997</v>
      </c>
      <c r="D5043">
        <v>575388</v>
      </c>
      <c r="E5043">
        <v>7417609</v>
      </c>
      <c r="F5043" t="s">
        <v>179</v>
      </c>
      <c r="G5043" t="s">
        <v>254</v>
      </c>
      <c r="H5043" s="8">
        <v>42826</v>
      </c>
      <c r="I5043" s="8">
        <v>45198</v>
      </c>
      <c r="J5043" t="s">
        <v>189</v>
      </c>
    </row>
    <row r="5044" spans="1:10" x14ac:dyDescent="0.35">
      <c r="A5044" t="s">
        <v>15</v>
      </c>
      <c r="B5044" s="8">
        <v>44682</v>
      </c>
      <c r="C5044">
        <v>7992997</v>
      </c>
      <c r="D5044">
        <v>575388</v>
      </c>
      <c r="E5044">
        <v>7417609</v>
      </c>
      <c r="F5044" t="s">
        <v>179</v>
      </c>
      <c r="G5044" t="s">
        <v>254</v>
      </c>
      <c r="H5044" s="8">
        <v>42826</v>
      </c>
      <c r="I5044" s="8">
        <v>45198</v>
      </c>
      <c r="J5044" t="s">
        <v>189</v>
      </c>
    </row>
    <row r="5045" spans="1:10" x14ac:dyDescent="0.35">
      <c r="A5045" t="s">
        <v>15</v>
      </c>
      <c r="B5045" s="8">
        <v>44713</v>
      </c>
      <c r="C5045">
        <v>7992997</v>
      </c>
      <c r="D5045">
        <v>745732</v>
      </c>
      <c r="E5045">
        <v>7247265</v>
      </c>
      <c r="F5045" t="s">
        <v>179</v>
      </c>
      <c r="G5045" t="s">
        <v>254</v>
      </c>
      <c r="H5045" s="8">
        <v>42826</v>
      </c>
      <c r="I5045" s="8">
        <v>45198</v>
      </c>
      <c r="J5045" t="s">
        <v>189</v>
      </c>
    </row>
    <row r="5046" spans="1:10" x14ac:dyDescent="0.35">
      <c r="A5046" t="s">
        <v>15</v>
      </c>
      <c r="B5046" s="8">
        <v>44743</v>
      </c>
      <c r="C5046">
        <v>7992997</v>
      </c>
      <c r="D5046">
        <v>1554217</v>
      </c>
      <c r="E5046">
        <v>6438780</v>
      </c>
      <c r="F5046" t="s">
        <v>179</v>
      </c>
      <c r="G5046" t="s">
        <v>254</v>
      </c>
      <c r="H5046" s="8">
        <v>42826</v>
      </c>
      <c r="I5046" s="8">
        <v>45198</v>
      </c>
      <c r="J5046" t="s">
        <v>189</v>
      </c>
    </row>
    <row r="5047" spans="1:10" x14ac:dyDescent="0.35">
      <c r="A5047" t="s">
        <v>15</v>
      </c>
      <c r="B5047" s="8">
        <v>44774</v>
      </c>
      <c r="C5047">
        <v>7992997</v>
      </c>
      <c r="D5047">
        <v>1611510</v>
      </c>
      <c r="E5047">
        <v>6381487</v>
      </c>
      <c r="F5047" t="s">
        <v>179</v>
      </c>
      <c r="G5047" t="s">
        <v>254</v>
      </c>
      <c r="H5047" s="8">
        <v>42826</v>
      </c>
      <c r="I5047" s="8">
        <v>45198</v>
      </c>
      <c r="J5047" t="s">
        <v>189</v>
      </c>
    </row>
    <row r="5048" spans="1:10" x14ac:dyDescent="0.35">
      <c r="A5048" t="s">
        <v>15</v>
      </c>
      <c r="B5048" s="8">
        <v>44805</v>
      </c>
      <c r="C5048">
        <v>7992997</v>
      </c>
      <c r="D5048">
        <v>5693566</v>
      </c>
      <c r="E5048">
        <v>2299431</v>
      </c>
      <c r="F5048" t="s">
        <v>179</v>
      </c>
      <c r="G5048" t="s">
        <v>254</v>
      </c>
      <c r="H5048" s="8">
        <v>42826</v>
      </c>
      <c r="I5048" s="8">
        <v>45198</v>
      </c>
      <c r="J5048" t="s">
        <v>189</v>
      </c>
    </row>
    <row r="5049" spans="1:10" x14ac:dyDescent="0.35">
      <c r="A5049" t="s">
        <v>15</v>
      </c>
      <c r="B5049" s="8">
        <v>44835</v>
      </c>
      <c r="C5049">
        <v>7992997</v>
      </c>
      <c r="D5049">
        <v>5693566</v>
      </c>
      <c r="E5049">
        <v>2299431</v>
      </c>
      <c r="F5049" t="s">
        <v>179</v>
      </c>
      <c r="G5049" t="s">
        <v>254</v>
      </c>
      <c r="H5049" s="8">
        <v>42826</v>
      </c>
      <c r="I5049" s="8">
        <v>45198</v>
      </c>
      <c r="J5049" t="s">
        <v>189</v>
      </c>
    </row>
    <row r="5050" spans="1:10" x14ac:dyDescent="0.35">
      <c r="A5050" t="s">
        <v>15</v>
      </c>
      <c r="B5050" s="8">
        <v>44866</v>
      </c>
      <c r="C5050">
        <v>7992997</v>
      </c>
      <c r="D5050">
        <v>5699929</v>
      </c>
      <c r="E5050">
        <v>2293068</v>
      </c>
      <c r="F5050" t="s">
        <v>179</v>
      </c>
      <c r="G5050" t="s">
        <v>254</v>
      </c>
      <c r="H5050" s="8">
        <v>42826</v>
      </c>
      <c r="I5050" s="8">
        <v>45198</v>
      </c>
      <c r="J5050" t="s">
        <v>189</v>
      </c>
    </row>
    <row r="5051" spans="1:10" x14ac:dyDescent="0.35">
      <c r="A5051" t="s">
        <v>15</v>
      </c>
      <c r="B5051" s="8">
        <v>44896</v>
      </c>
      <c r="C5051">
        <v>7992997</v>
      </c>
      <c r="D5051">
        <v>5716927</v>
      </c>
      <c r="E5051">
        <v>2276070</v>
      </c>
      <c r="F5051" t="s">
        <v>179</v>
      </c>
      <c r="G5051" t="s">
        <v>254</v>
      </c>
      <c r="H5051" s="8">
        <v>42826</v>
      </c>
      <c r="I5051" s="8">
        <v>45198</v>
      </c>
      <c r="J5051" t="s">
        <v>189</v>
      </c>
    </row>
    <row r="5052" spans="1:10" x14ac:dyDescent="0.35">
      <c r="A5052" t="s">
        <v>15</v>
      </c>
      <c r="B5052" s="8">
        <v>44927</v>
      </c>
      <c r="C5052">
        <v>7992997</v>
      </c>
      <c r="D5052">
        <v>5716927</v>
      </c>
      <c r="E5052">
        <v>2276070</v>
      </c>
      <c r="F5052" t="s">
        <v>179</v>
      </c>
      <c r="G5052" t="s">
        <v>254</v>
      </c>
      <c r="H5052" s="8">
        <v>42826</v>
      </c>
      <c r="I5052" s="8">
        <v>45198</v>
      </c>
      <c r="J5052" t="s">
        <v>189</v>
      </c>
    </row>
    <row r="5053" spans="1:10" x14ac:dyDescent="0.35">
      <c r="A5053" t="s">
        <v>15</v>
      </c>
      <c r="B5053" s="8">
        <v>44958</v>
      </c>
      <c r="C5053">
        <v>7992997</v>
      </c>
      <c r="D5053">
        <v>5820972</v>
      </c>
      <c r="E5053">
        <v>2172025</v>
      </c>
      <c r="F5053" t="s">
        <v>179</v>
      </c>
      <c r="G5053" t="s">
        <v>254</v>
      </c>
      <c r="H5053" s="8">
        <v>42826</v>
      </c>
      <c r="I5053" s="8">
        <v>45198</v>
      </c>
      <c r="J5053" t="s">
        <v>189</v>
      </c>
    </row>
    <row r="5054" spans="1:10" x14ac:dyDescent="0.35">
      <c r="A5054" t="s">
        <v>15</v>
      </c>
      <c r="B5054" s="8">
        <v>44986</v>
      </c>
      <c r="C5054">
        <v>7992997</v>
      </c>
      <c r="D5054">
        <v>5827553</v>
      </c>
      <c r="E5054">
        <v>2165444</v>
      </c>
      <c r="F5054" t="s">
        <v>179</v>
      </c>
      <c r="G5054" t="s">
        <v>254</v>
      </c>
      <c r="H5054" s="8">
        <v>42826</v>
      </c>
      <c r="I5054" s="8">
        <v>45198</v>
      </c>
      <c r="J5054" t="s">
        <v>189</v>
      </c>
    </row>
    <row r="5055" spans="1:10" x14ac:dyDescent="0.35">
      <c r="A5055" t="s">
        <v>15</v>
      </c>
      <c r="B5055" s="8">
        <v>45017</v>
      </c>
      <c r="C5055">
        <v>7992997</v>
      </c>
      <c r="D5055">
        <v>5864683</v>
      </c>
      <c r="E5055">
        <v>2128314</v>
      </c>
      <c r="F5055" t="s">
        <v>179</v>
      </c>
      <c r="G5055" t="s">
        <v>254</v>
      </c>
      <c r="H5055" s="8">
        <v>42826</v>
      </c>
      <c r="I5055" s="8">
        <v>45198</v>
      </c>
      <c r="J5055" t="s">
        <v>189</v>
      </c>
    </row>
    <row r="5056" spans="1:10" x14ac:dyDescent="0.35">
      <c r="A5056" t="s">
        <v>15</v>
      </c>
      <c r="B5056" s="8">
        <v>45047</v>
      </c>
      <c r="C5056">
        <v>7992997</v>
      </c>
      <c r="D5056">
        <v>5871149</v>
      </c>
      <c r="E5056">
        <v>2121848</v>
      </c>
      <c r="F5056" t="s">
        <v>179</v>
      </c>
      <c r="G5056" t="s">
        <v>254</v>
      </c>
      <c r="H5056" s="8">
        <v>42826</v>
      </c>
      <c r="I5056" s="8">
        <v>45198</v>
      </c>
      <c r="J5056" t="s">
        <v>189</v>
      </c>
    </row>
    <row r="5057" spans="1:10" x14ac:dyDescent="0.35">
      <c r="A5057" t="s">
        <v>15</v>
      </c>
      <c r="B5057" s="8">
        <v>45078</v>
      </c>
      <c r="C5057">
        <v>7992997</v>
      </c>
      <c r="D5057">
        <v>6023283.1100000003</v>
      </c>
      <c r="E5057">
        <v>1969713.89</v>
      </c>
      <c r="F5057" t="s">
        <v>179</v>
      </c>
      <c r="G5057" t="s">
        <v>254</v>
      </c>
      <c r="H5057" s="8">
        <v>42826</v>
      </c>
      <c r="I5057" s="8">
        <v>45198</v>
      </c>
      <c r="J5057" t="s">
        <v>189</v>
      </c>
    </row>
    <row r="5058" spans="1:10" x14ac:dyDescent="0.35">
      <c r="A5058" t="s">
        <v>15</v>
      </c>
      <c r="B5058" s="8">
        <v>45108</v>
      </c>
      <c r="C5058">
        <v>7992997</v>
      </c>
      <c r="D5058">
        <v>6042765.1100000003</v>
      </c>
      <c r="E5058">
        <v>1950231.89</v>
      </c>
      <c r="F5058" t="s">
        <v>179</v>
      </c>
      <c r="G5058" t="s">
        <v>254</v>
      </c>
      <c r="H5058" s="8">
        <v>42826</v>
      </c>
      <c r="I5058" s="8">
        <v>45198</v>
      </c>
      <c r="J5058" t="s">
        <v>189</v>
      </c>
    </row>
    <row r="5059" spans="1:10" x14ac:dyDescent="0.35">
      <c r="A5059" t="s">
        <v>15</v>
      </c>
      <c r="B5059" s="8">
        <v>45139</v>
      </c>
      <c r="C5059">
        <v>7992997</v>
      </c>
      <c r="D5059">
        <v>6243333.7000000002</v>
      </c>
      <c r="E5059">
        <v>1749663.3</v>
      </c>
      <c r="F5059" t="s">
        <v>179</v>
      </c>
      <c r="G5059" t="s">
        <v>254</v>
      </c>
      <c r="H5059" s="8">
        <v>42826</v>
      </c>
      <c r="I5059" s="8">
        <v>45198</v>
      </c>
      <c r="J5059" t="s">
        <v>189</v>
      </c>
    </row>
    <row r="5060" spans="1:10" x14ac:dyDescent="0.35">
      <c r="A5060" t="s">
        <v>15</v>
      </c>
      <c r="B5060" s="8">
        <v>45170</v>
      </c>
      <c r="C5060">
        <v>7992997</v>
      </c>
      <c r="D5060">
        <v>6618098</v>
      </c>
      <c r="E5060">
        <v>1374899</v>
      </c>
      <c r="F5060" t="s">
        <v>179</v>
      </c>
      <c r="G5060" t="s">
        <v>254</v>
      </c>
      <c r="H5060" s="8">
        <v>42826</v>
      </c>
      <c r="I5060" s="8">
        <v>45198</v>
      </c>
      <c r="J5060" t="s">
        <v>189</v>
      </c>
    </row>
    <row r="5061" spans="1:10" x14ac:dyDescent="0.35">
      <c r="A5061" t="s">
        <v>19</v>
      </c>
      <c r="B5061" s="8">
        <v>44105</v>
      </c>
      <c r="C5061">
        <v>24201411</v>
      </c>
      <c r="D5061">
        <v>8698050.7300000004</v>
      </c>
      <c r="E5061">
        <v>15503360.27</v>
      </c>
      <c r="F5061" t="s">
        <v>179</v>
      </c>
      <c r="G5061" t="s">
        <v>255</v>
      </c>
      <c r="H5061" s="8">
        <v>42826</v>
      </c>
      <c r="I5061" s="8">
        <v>44833</v>
      </c>
      <c r="J5061" t="s">
        <v>189</v>
      </c>
    </row>
    <row r="5062" spans="1:10" x14ac:dyDescent="0.35">
      <c r="A5062" t="s">
        <v>19</v>
      </c>
      <c r="B5062" s="8">
        <v>44136</v>
      </c>
      <c r="C5062">
        <v>24201411</v>
      </c>
      <c r="D5062">
        <v>12604659.73</v>
      </c>
      <c r="E5062">
        <v>11596751.27</v>
      </c>
      <c r="F5062" t="s">
        <v>179</v>
      </c>
      <c r="G5062" t="s">
        <v>255</v>
      </c>
      <c r="H5062" s="8">
        <v>42826</v>
      </c>
      <c r="I5062" s="8">
        <v>44833</v>
      </c>
      <c r="J5062" t="s">
        <v>189</v>
      </c>
    </row>
    <row r="5063" spans="1:10" x14ac:dyDescent="0.35">
      <c r="A5063" t="s">
        <v>19</v>
      </c>
      <c r="B5063" s="8">
        <v>44166</v>
      </c>
      <c r="C5063">
        <v>24201411</v>
      </c>
      <c r="D5063" s="12" t="s">
        <v>256</v>
      </c>
      <c r="E5063">
        <v>10395559.73</v>
      </c>
      <c r="F5063" t="s">
        <v>179</v>
      </c>
      <c r="G5063" t="s">
        <v>255</v>
      </c>
      <c r="H5063" s="8">
        <v>42826</v>
      </c>
      <c r="I5063" s="8">
        <v>44833</v>
      </c>
      <c r="J5063" t="s">
        <v>189</v>
      </c>
    </row>
    <row r="5064" spans="1:10" x14ac:dyDescent="0.35">
      <c r="A5064" t="s">
        <v>19</v>
      </c>
      <c r="B5064" s="8">
        <v>44197</v>
      </c>
      <c r="C5064">
        <v>24201411</v>
      </c>
      <c r="D5064">
        <v>15937766.84</v>
      </c>
      <c r="E5064">
        <v>8263644.1600000001</v>
      </c>
      <c r="F5064" t="s">
        <v>179</v>
      </c>
      <c r="G5064" t="s">
        <v>255</v>
      </c>
      <c r="H5064" s="8">
        <v>42826</v>
      </c>
      <c r="I5064" s="8">
        <v>44833</v>
      </c>
      <c r="J5064" t="s">
        <v>189</v>
      </c>
    </row>
    <row r="5065" spans="1:10" x14ac:dyDescent="0.35">
      <c r="A5065" t="s">
        <v>19</v>
      </c>
      <c r="B5065" s="8">
        <v>44228</v>
      </c>
      <c r="C5065">
        <v>24201411</v>
      </c>
      <c r="D5065">
        <v>18986982.699999999</v>
      </c>
      <c r="E5065">
        <v>5214428.3</v>
      </c>
      <c r="F5065" t="s">
        <v>179</v>
      </c>
      <c r="G5065" t="s">
        <v>255</v>
      </c>
      <c r="H5065" s="8">
        <v>42826</v>
      </c>
      <c r="I5065" s="8">
        <v>44833</v>
      </c>
      <c r="J5065" t="s">
        <v>189</v>
      </c>
    </row>
    <row r="5066" spans="1:10" x14ac:dyDescent="0.35">
      <c r="A5066" t="s">
        <v>19</v>
      </c>
      <c r="B5066" s="8">
        <v>44256</v>
      </c>
      <c r="C5066">
        <v>24201411</v>
      </c>
      <c r="D5066">
        <v>21326923.289999999</v>
      </c>
      <c r="E5066">
        <v>2874487.71</v>
      </c>
      <c r="F5066" t="s">
        <v>179</v>
      </c>
      <c r="G5066" t="s">
        <v>255</v>
      </c>
      <c r="H5066" s="8">
        <v>42826</v>
      </c>
      <c r="I5066" s="8">
        <v>44833</v>
      </c>
      <c r="J5066" t="s">
        <v>189</v>
      </c>
    </row>
    <row r="5067" spans="1:10" x14ac:dyDescent="0.35">
      <c r="A5067" t="s">
        <v>19</v>
      </c>
      <c r="B5067" s="8">
        <v>44287</v>
      </c>
      <c r="C5067">
        <v>275000</v>
      </c>
      <c r="D5067">
        <v>926.83</v>
      </c>
      <c r="E5067">
        <v>274073.17</v>
      </c>
      <c r="F5067" t="s">
        <v>179</v>
      </c>
      <c r="G5067" t="s">
        <v>255</v>
      </c>
      <c r="H5067" s="8">
        <v>42826</v>
      </c>
      <c r="I5067" s="8">
        <v>44833</v>
      </c>
      <c r="J5067" t="s">
        <v>189</v>
      </c>
    </row>
    <row r="5068" spans="1:10" x14ac:dyDescent="0.35">
      <c r="A5068" t="s">
        <v>19</v>
      </c>
      <c r="B5068" s="8">
        <v>44317</v>
      </c>
      <c r="C5068">
        <v>24201411</v>
      </c>
      <c r="D5068">
        <v>23946009.100000001</v>
      </c>
      <c r="E5068">
        <v>255401.9</v>
      </c>
      <c r="F5068" t="s">
        <v>179</v>
      </c>
      <c r="G5068" t="s">
        <v>255</v>
      </c>
      <c r="H5068" s="8">
        <v>42826</v>
      </c>
      <c r="I5068" s="8">
        <v>44833</v>
      </c>
      <c r="J5068" t="s">
        <v>189</v>
      </c>
    </row>
    <row r="5069" spans="1:10" x14ac:dyDescent="0.35">
      <c r="A5069" t="s">
        <v>19</v>
      </c>
      <c r="B5069" s="8">
        <v>44348</v>
      </c>
      <c r="C5069">
        <v>24201411</v>
      </c>
      <c r="D5069">
        <v>24044741.050000001</v>
      </c>
      <c r="E5069">
        <v>156669.95000000001</v>
      </c>
      <c r="F5069" t="s">
        <v>179</v>
      </c>
      <c r="G5069" t="s">
        <v>255</v>
      </c>
      <c r="H5069" s="8">
        <v>42826</v>
      </c>
      <c r="I5069" s="8">
        <v>44833</v>
      </c>
      <c r="J5069" t="s">
        <v>189</v>
      </c>
    </row>
    <row r="5070" spans="1:10" x14ac:dyDescent="0.35">
      <c r="A5070" t="s">
        <v>19</v>
      </c>
      <c r="B5070" s="8">
        <v>44378</v>
      </c>
      <c r="C5070">
        <v>24201411</v>
      </c>
      <c r="D5070">
        <v>24044741.050000001</v>
      </c>
      <c r="E5070">
        <v>156669.95000000001</v>
      </c>
      <c r="F5070" t="s">
        <v>179</v>
      </c>
      <c r="G5070" t="s">
        <v>255</v>
      </c>
      <c r="H5070" s="8">
        <v>42826</v>
      </c>
      <c r="I5070" s="8">
        <v>44833</v>
      </c>
      <c r="J5070" t="s">
        <v>189</v>
      </c>
    </row>
    <row r="5071" spans="1:10" x14ac:dyDescent="0.35">
      <c r="A5071" t="s">
        <v>19</v>
      </c>
      <c r="B5071" s="8">
        <v>44409</v>
      </c>
      <c r="C5071">
        <v>24201411</v>
      </c>
      <c r="D5071">
        <v>24044741.050000001</v>
      </c>
      <c r="E5071">
        <v>156669.95000000001</v>
      </c>
      <c r="F5071" t="s">
        <v>179</v>
      </c>
      <c r="G5071" t="s">
        <v>255</v>
      </c>
      <c r="H5071" s="8">
        <v>42826</v>
      </c>
      <c r="I5071" s="8">
        <v>44833</v>
      </c>
      <c r="J5071" t="s">
        <v>189</v>
      </c>
    </row>
    <row r="5072" spans="1:10" x14ac:dyDescent="0.35">
      <c r="A5072" t="s">
        <v>19</v>
      </c>
      <c r="B5072" s="8">
        <v>44440</v>
      </c>
      <c r="C5072">
        <v>24201411</v>
      </c>
      <c r="D5072">
        <v>24123529.050000001</v>
      </c>
      <c r="E5072">
        <v>77881.95</v>
      </c>
      <c r="F5072" t="s">
        <v>179</v>
      </c>
      <c r="G5072" t="s">
        <v>255</v>
      </c>
      <c r="H5072" s="8">
        <v>42826</v>
      </c>
      <c r="I5072" s="8">
        <v>44833</v>
      </c>
      <c r="J5072" t="s">
        <v>189</v>
      </c>
    </row>
    <row r="5073" spans="1:10" x14ac:dyDescent="0.35">
      <c r="A5073" t="s">
        <v>19</v>
      </c>
      <c r="B5073" s="8">
        <v>44470</v>
      </c>
      <c r="C5073">
        <v>24201411</v>
      </c>
      <c r="D5073">
        <v>24123529.050000001</v>
      </c>
      <c r="E5073">
        <v>77881.95</v>
      </c>
      <c r="F5073" t="s">
        <v>179</v>
      </c>
      <c r="G5073" t="s">
        <v>255</v>
      </c>
      <c r="H5073" s="8">
        <v>42826</v>
      </c>
      <c r="I5073" s="8">
        <v>44833</v>
      </c>
      <c r="J5073" t="s">
        <v>189</v>
      </c>
    </row>
    <row r="5074" spans="1:10" x14ac:dyDescent="0.35">
      <c r="A5074" t="s">
        <v>19</v>
      </c>
      <c r="B5074" s="8">
        <v>44501</v>
      </c>
      <c r="C5074">
        <v>24201411</v>
      </c>
      <c r="D5074">
        <v>24130106.859999999</v>
      </c>
      <c r="E5074">
        <v>71304.14</v>
      </c>
      <c r="F5074" t="s">
        <v>179</v>
      </c>
      <c r="G5074" t="s">
        <v>255</v>
      </c>
      <c r="H5074" s="8">
        <v>42826</v>
      </c>
      <c r="I5074" s="8">
        <v>44833</v>
      </c>
      <c r="J5074" t="s">
        <v>189</v>
      </c>
    </row>
    <row r="5075" spans="1:10" x14ac:dyDescent="0.35">
      <c r="A5075" t="s">
        <v>19</v>
      </c>
      <c r="B5075" s="8">
        <v>44531</v>
      </c>
      <c r="C5075">
        <v>24201411</v>
      </c>
      <c r="D5075">
        <v>24139918.23</v>
      </c>
      <c r="E5075">
        <v>61492.77</v>
      </c>
      <c r="F5075" t="s">
        <v>179</v>
      </c>
      <c r="G5075" t="s">
        <v>255</v>
      </c>
      <c r="H5075" s="8">
        <v>42826</v>
      </c>
      <c r="I5075" s="8">
        <v>44833</v>
      </c>
      <c r="J5075" t="s">
        <v>189</v>
      </c>
    </row>
    <row r="5076" spans="1:10" x14ac:dyDescent="0.35">
      <c r="A5076" t="s">
        <v>19</v>
      </c>
      <c r="B5076" s="8">
        <v>44562</v>
      </c>
      <c r="C5076">
        <v>24201411</v>
      </c>
      <c r="D5076">
        <v>24147025.050000001</v>
      </c>
      <c r="E5076">
        <v>54385.95</v>
      </c>
      <c r="F5076" t="s">
        <v>179</v>
      </c>
      <c r="G5076" t="s">
        <v>255</v>
      </c>
      <c r="H5076" s="8">
        <v>42826</v>
      </c>
      <c r="I5076" s="8">
        <v>44833</v>
      </c>
      <c r="J5076" t="s">
        <v>189</v>
      </c>
    </row>
    <row r="5077" spans="1:10" x14ac:dyDescent="0.35">
      <c r="A5077" t="s">
        <v>19</v>
      </c>
      <c r="B5077" s="8">
        <v>44593</v>
      </c>
      <c r="C5077">
        <v>24201411</v>
      </c>
      <c r="D5077">
        <v>24147025.050000001</v>
      </c>
      <c r="E5077">
        <v>54385.95</v>
      </c>
      <c r="F5077" t="s">
        <v>179</v>
      </c>
      <c r="G5077" t="s">
        <v>255</v>
      </c>
      <c r="H5077" s="8">
        <v>42826</v>
      </c>
      <c r="I5077" s="8">
        <v>44833</v>
      </c>
      <c r="J5077" t="s">
        <v>189</v>
      </c>
    </row>
    <row r="5078" spans="1:10" x14ac:dyDescent="0.35">
      <c r="A5078" t="s">
        <v>19</v>
      </c>
      <c r="B5078" s="8">
        <v>44621</v>
      </c>
      <c r="C5078">
        <v>24201411</v>
      </c>
      <c r="D5078">
        <v>24183428.829999998</v>
      </c>
      <c r="E5078">
        <v>17982.169999999998</v>
      </c>
      <c r="F5078" t="s">
        <v>179</v>
      </c>
      <c r="G5078" t="s">
        <v>255</v>
      </c>
      <c r="H5078" s="8">
        <v>42826</v>
      </c>
      <c r="I5078" s="8">
        <v>44833</v>
      </c>
      <c r="J5078" t="s">
        <v>189</v>
      </c>
    </row>
    <row r="5079" spans="1:10" x14ac:dyDescent="0.35">
      <c r="A5079" t="s">
        <v>19</v>
      </c>
      <c r="B5079" s="8">
        <v>44652</v>
      </c>
      <c r="C5079">
        <v>24201411</v>
      </c>
      <c r="D5079">
        <v>24190959.940000001</v>
      </c>
      <c r="E5079">
        <v>10451.06</v>
      </c>
      <c r="F5079" t="s">
        <v>179</v>
      </c>
      <c r="G5079" t="s">
        <v>255</v>
      </c>
      <c r="H5079" s="8">
        <v>42826</v>
      </c>
      <c r="I5079" s="8">
        <v>44833</v>
      </c>
      <c r="J5079" t="s">
        <v>189</v>
      </c>
    </row>
    <row r="5080" spans="1:10" x14ac:dyDescent="0.35">
      <c r="A5080" t="s">
        <v>19</v>
      </c>
      <c r="B5080" s="8">
        <v>44682</v>
      </c>
      <c r="C5080">
        <v>24201411</v>
      </c>
      <c r="D5080">
        <v>24198488.68</v>
      </c>
      <c r="E5080">
        <v>2922.32</v>
      </c>
      <c r="F5080" t="s">
        <v>179</v>
      </c>
      <c r="G5080" t="s">
        <v>255</v>
      </c>
      <c r="H5080" s="8">
        <v>42826</v>
      </c>
      <c r="I5080" s="8">
        <v>44833</v>
      </c>
      <c r="J5080" t="s">
        <v>189</v>
      </c>
    </row>
    <row r="5081" spans="1:10" x14ac:dyDescent="0.35">
      <c r="A5081" t="s">
        <v>19</v>
      </c>
      <c r="B5081" s="8">
        <v>44713</v>
      </c>
      <c r="C5081">
        <v>24201411</v>
      </c>
      <c r="D5081">
        <v>24198488.68</v>
      </c>
      <c r="E5081">
        <v>2922.32</v>
      </c>
      <c r="F5081" t="s">
        <v>179</v>
      </c>
      <c r="G5081" t="s">
        <v>255</v>
      </c>
      <c r="H5081" s="8">
        <v>42826</v>
      </c>
      <c r="I5081" s="8">
        <v>44833</v>
      </c>
      <c r="J5081" t="s">
        <v>189</v>
      </c>
    </row>
    <row r="5082" spans="1:10" x14ac:dyDescent="0.35">
      <c r="A5082" t="s">
        <v>19</v>
      </c>
      <c r="B5082" s="8">
        <v>44743</v>
      </c>
      <c r="C5082">
        <v>24201411</v>
      </c>
      <c r="D5082">
        <v>24198488.68</v>
      </c>
      <c r="E5082">
        <v>2922.32</v>
      </c>
      <c r="F5082" t="s">
        <v>179</v>
      </c>
      <c r="G5082" t="s">
        <v>255</v>
      </c>
      <c r="H5082" s="8">
        <v>42826</v>
      </c>
      <c r="I5082" s="8">
        <v>44833</v>
      </c>
      <c r="J5082" t="s">
        <v>189</v>
      </c>
    </row>
    <row r="5083" spans="1:10" x14ac:dyDescent="0.35">
      <c r="A5083" t="s">
        <v>19</v>
      </c>
      <c r="B5083" s="8">
        <v>44774</v>
      </c>
      <c r="C5083">
        <v>24201411</v>
      </c>
      <c r="D5083">
        <v>24198488.68</v>
      </c>
      <c r="E5083">
        <v>2922.32</v>
      </c>
      <c r="F5083" t="s">
        <v>179</v>
      </c>
      <c r="G5083" t="s">
        <v>255</v>
      </c>
      <c r="H5083" s="8">
        <v>42826</v>
      </c>
      <c r="I5083" s="8">
        <v>44833</v>
      </c>
      <c r="J5083" t="s">
        <v>189</v>
      </c>
    </row>
    <row r="5084" spans="1:10" x14ac:dyDescent="0.35">
      <c r="A5084" t="s">
        <v>19</v>
      </c>
      <c r="B5084" s="8">
        <v>44805</v>
      </c>
      <c r="C5084">
        <v>24201411</v>
      </c>
      <c r="D5084">
        <v>24201411</v>
      </c>
      <c r="E5084">
        <v>0</v>
      </c>
      <c r="F5084" t="s">
        <v>179</v>
      </c>
      <c r="G5084" t="s">
        <v>255</v>
      </c>
      <c r="H5084" s="8">
        <v>42826</v>
      </c>
      <c r="I5084" s="8">
        <v>44833</v>
      </c>
      <c r="J5084" t="s">
        <v>156</v>
      </c>
    </row>
    <row r="5085" spans="1:10" x14ac:dyDescent="0.35">
      <c r="A5085" t="s">
        <v>19</v>
      </c>
      <c r="B5085" s="8">
        <v>44835</v>
      </c>
      <c r="C5085">
        <v>24201411</v>
      </c>
      <c r="D5085">
        <v>24201411</v>
      </c>
      <c r="E5085">
        <v>0</v>
      </c>
      <c r="F5085" t="s">
        <v>179</v>
      </c>
      <c r="G5085" t="s">
        <v>255</v>
      </c>
      <c r="H5085" s="8">
        <v>42826</v>
      </c>
      <c r="I5085" s="8">
        <v>44833</v>
      </c>
      <c r="J5085" t="s">
        <v>156</v>
      </c>
    </row>
    <row r="5086" spans="1:10" x14ac:dyDescent="0.35">
      <c r="A5086" t="s">
        <v>19</v>
      </c>
      <c r="B5086" s="8">
        <v>44866</v>
      </c>
      <c r="C5086">
        <v>24201411</v>
      </c>
      <c r="D5086">
        <v>24201411</v>
      </c>
      <c r="E5086">
        <v>0</v>
      </c>
      <c r="F5086" t="s">
        <v>179</v>
      </c>
      <c r="G5086" t="s">
        <v>255</v>
      </c>
      <c r="H5086" s="8">
        <v>42826</v>
      </c>
      <c r="I5086" s="8">
        <v>44833</v>
      </c>
      <c r="J5086" t="s">
        <v>156</v>
      </c>
    </row>
    <row r="5087" spans="1:10" x14ac:dyDescent="0.35">
      <c r="A5087" t="s">
        <v>19</v>
      </c>
      <c r="B5087" s="8">
        <v>44896</v>
      </c>
      <c r="C5087">
        <v>24201411</v>
      </c>
      <c r="D5087">
        <v>24201411</v>
      </c>
      <c r="E5087">
        <v>0</v>
      </c>
      <c r="F5087" t="s">
        <v>179</v>
      </c>
      <c r="G5087" t="s">
        <v>255</v>
      </c>
      <c r="H5087" s="8">
        <v>42826</v>
      </c>
      <c r="I5087" s="8">
        <v>44833</v>
      </c>
      <c r="J5087" t="s">
        <v>156</v>
      </c>
    </row>
    <row r="5088" spans="1:10" x14ac:dyDescent="0.35">
      <c r="A5088" t="s">
        <v>19</v>
      </c>
      <c r="B5088" s="8">
        <v>44927</v>
      </c>
      <c r="C5088">
        <v>24201411</v>
      </c>
      <c r="D5088">
        <v>24201411</v>
      </c>
      <c r="E5088">
        <v>0</v>
      </c>
      <c r="F5088" t="s">
        <v>179</v>
      </c>
      <c r="G5088" t="s">
        <v>255</v>
      </c>
      <c r="H5088" s="8">
        <v>42826</v>
      </c>
      <c r="I5088" s="8">
        <v>44833</v>
      </c>
      <c r="J5088" t="s">
        <v>156</v>
      </c>
    </row>
    <row r="5089" spans="1:10" x14ac:dyDescent="0.35">
      <c r="A5089" t="s">
        <v>19</v>
      </c>
      <c r="B5089" s="8">
        <v>44958</v>
      </c>
      <c r="C5089">
        <v>24201411</v>
      </c>
      <c r="D5089">
        <v>24201411</v>
      </c>
      <c r="E5089">
        <v>0</v>
      </c>
      <c r="F5089" t="s">
        <v>179</v>
      </c>
      <c r="G5089" t="s">
        <v>255</v>
      </c>
      <c r="H5089" s="8">
        <v>42826</v>
      </c>
      <c r="I5089" s="8">
        <v>44833</v>
      </c>
      <c r="J5089" t="s">
        <v>156</v>
      </c>
    </row>
    <row r="5090" spans="1:10" x14ac:dyDescent="0.35">
      <c r="A5090" t="s">
        <v>19</v>
      </c>
      <c r="B5090" s="8">
        <v>44986</v>
      </c>
      <c r="C5090">
        <v>24201411</v>
      </c>
      <c r="D5090">
        <v>24201411</v>
      </c>
      <c r="E5090">
        <v>0</v>
      </c>
      <c r="F5090" t="s">
        <v>179</v>
      </c>
      <c r="G5090" t="s">
        <v>255</v>
      </c>
      <c r="H5090" s="8">
        <v>42826</v>
      </c>
      <c r="I5090" s="8">
        <v>44833</v>
      </c>
      <c r="J5090" t="s">
        <v>156</v>
      </c>
    </row>
    <row r="5091" spans="1:10" x14ac:dyDescent="0.35">
      <c r="A5091" t="s">
        <v>19</v>
      </c>
      <c r="B5091" s="8">
        <v>45017</v>
      </c>
      <c r="C5091">
        <v>24201411</v>
      </c>
      <c r="D5091">
        <v>24201411</v>
      </c>
      <c r="E5091">
        <v>0</v>
      </c>
      <c r="F5091" t="s">
        <v>179</v>
      </c>
      <c r="G5091" t="s">
        <v>255</v>
      </c>
      <c r="H5091" s="8">
        <v>42826</v>
      </c>
      <c r="I5091" s="8">
        <v>44833</v>
      </c>
      <c r="J5091" t="s">
        <v>156</v>
      </c>
    </row>
    <row r="5092" spans="1:10" x14ac:dyDescent="0.35">
      <c r="A5092" t="s">
        <v>19</v>
      </c>
      <c r="B5092" s="8">
        <v>45047</v>
      </c>
      <c r="C5092">
        <v>24201411</v>
      </c>
      <c r="D5092">
        <v>24201411</v>
      </c>
      <c r="E5092">
        <v>0</v>
      </c>
      <c r="F5092" t="s">
        <v>179</v>
      </c>
      <c r="G5092" t="s">
        <v>255</v>
      </c>
      <c r="H5092" s="8">
        <v>42826</v>
      </c>
      <c r="I5092" s="8">
        <v>44833</v>
      </c>
      <c r="J5092" t="s">
        <v>156</v>
      </c>
    </row>
    <row r="5093" spans="1:10" x14ac:dyDescent="0.35">
      <c r="A5093" t="s">
        <v>19</v>
      </c>
      <c r="B5093" s="8">
        <v>45078</v>
      </c>
      <c r="C5093">
        <v>24201411</v>
      </c>
      <c r="D5093">
        <v>24201411</v>
      </c>
      <c r="E5093">
        <v>0</v>
      </c>
      <c r="F5093" t="s">
        <v>179</v>
      </c>
      <c r="G5093" t="s">
        <v>255</v>
      </c>
      <c r="H5093" s="8">
        <v>42826</v>
      </c>
      <c r="I5093" s="8">
        <v>44833</v>
      </c>
      <c r="J5093" t="s">
        <v>156</v>
      </c>
    </row>
    <row r="5094" spans="1:10" x14ac:dyDescent="0.35">
      <c r="A5094" t="s">
        <v>19</v>
      </c>
      <c r="B5094" s="8">
        <v>45108</v>
      </c>
      <c r="C5094">
        <v>24201411</v>
      </c>
      <c r="D5094">
        <v>24201411</v>
      </c>
      <c r="E5094">
        <v>0</v>
      </c>
      <c r="F5094" t="s">
        <v>179</v>
      </c>
      <c r="G5094" t="s">
        <v>255</v>
      </c>
      <c r="H5094" s="8">
        <v>42826</v>
      </c>
      <c r="I5094" s="8">
        <v>44833</v>
      </c>
      <c r="J5094" t="s">
        <v>156</v>
      </c>
    </row>
    <row r="5095" spans="1:10" x14ac:dyDescent="0.35">
      <c r="A5095" t="s">
        <v>19</v>
      </c>
      <c r="B5095" s="8">
        <v>45139</v>
      </c>
      <c r="C5095">
        <v>24201411</v>
      </c>
      <c r="D5095">
        <v>24201411</v>
      </c>
      <c r="E5095">
        <v>0</v>
      </c>
      <c r="F5095" t="s">
        <v>179</v>
      </c>
      <c r="G5095" t="s">
        <v>255</v>
      </c>
      <c r="H5095" s="8">
        <v>42826</v>
      </c>
      <c r="I5095" s="8">
        <v>44833</v>
      </c>
      <c r="J5095" t="s">
        <v>156</v>
      </c>
    </row>
    <row r="5096" spans="1:10" x14ac:dyDescent="0.35">
      <c r="A5096" t="s">
        <v>19</v>
      </c>
      <c r="B5096" s="8">
        <v>45170</v>
      </c>
      <c r="C5096">
        <v>24201411</v>
      </c>
      <c r="D5096">
        <v>24201411</v>
      </c>
      <c r="E5096">
        <v>0</v>
      </c>
      <c r="F5096" t="s">
        <v>179</v>
      </c>
      <c r="G5096" t="s">
        <v>255</v>
      </c>
      <c r="H5096" s="8">
        <v>42826</v>
      </c>
      <c r="I5096" s="8">
        <v>44833</v>
      </c>
      <c r="J5096" t="s">
        <v>156</v>
      </c>
    </row>
    <row r="5097" spans="1:10" x14ac:dyDescent="0.35">
      <c r="A5097" t="s">
        <v>21</v>
      </c>
      <c r="B5097" s="8">
        <v>44105</v>
      </c>
      <c r="C5097">
        <v>13329330</v>
      </c>
      <c r="D5097">
        <v>6109286.6200000001</v>
      </c>
      <c r="E5097">
        <v>7220043.3799999999</v>
      </c>
      <c r="F5097" t="s">
        <v>179</v>
      </c>
      <c r="G5097" t="s">
        <v>257</v>
      </c>
      <c r="H5097" s="8">
        <v>42826</v>
      </c>
      <c r="I5097" s="8">
        <v>44833</v>
      </c>
      <c r="J5097" t="s">
        <v>189</v>
      </c>
    </row>
    <row r="5098" spans="1:10" x14ac:dyDescent="0.35">
      <c r="A5098" t="s">
        <v>21</v>
      </c>
      <c r="B5098" s="8">
        <v>44136</v>
      </c>
      <c r="C5098">
        <v>13329330</v>
      </c>
      <c r="D5098">
        <v>6409286.6200000001</v>
      </c>
      <c r="E5098">
        <v>6920043.3799999999</v>
      </c>
      <c r="F5098" t="s">
        <v>179</v>
      </c>
      <c r="G5098" t="s">
        <v>257</v>
      </c>
      <c r="H5098" s="8">
        <v>42826</v>
      </c>
      <c r="I5098" s="8">
        <v>44833</v>
      </c>
      <c r="J5098" t="s">
        <v>189</v>
      </c>
    </row>
    <row r="5099" spans="1:10" x14ac:dyDescent="0.35">
      <c r="A5099" t="s">
        <v>21</v>
      </c>
      <c r="B5099" s="8">
        <v>44166</v>
      </c>
      <c r="C5099">
        <v>13329330</v>
      </c>
      <c r="D5099" s="12" t="s">
        <v>258</v>
      </c>
      <c r="E5099">
        <v>5774043.3799999999</v>
      </c>
      <c r="F5099" t="s">
        <v>179</v>
      </c>
      <c r="G5099" t="s">
        <v>257</v>
      </c>
      <c r="H5099" s="8">
        <v>42826</v>
      </c>
      <c r="I5099" s="8">
        <v>44833</v>
      </c>
      <c r="J5099" t="s">
        <v>189</v>
      </c>
    </row>
    <row r="5100" spans="1:10" x14ac:dyDescent="0.35">
      <c r="A5100" t="s">
        <v>21</v>
      </c>
      <c r="B5100" s="8">
        <v>44197</v>
      </c>
      <c r="C5100">
        <v>13329330</v>
      </c>
      <c r="D5100" s="12" t="s">
        <v>259</v>
      </c>
      <c r="E5100">
        <v>3779843.38</v>
      </c>
      <c r="F5100" t="s">
        <v>179</v>
      </c>
      <c r="G5100" t="s">
        <v>257</v>
      </c>
      <c r="H5100" s="8">
        <v>42826</v>
      </c>
      <c r="I5100" s="8">
        <v>44833</v>
      </c>
      <c r="J5100" t="s">
        <v>189</v>
      </c>
    </row>
    <row r="5101" spans="1:10" x14ac:dyDescent="0.35">
      <c r="A5101" t="s">
        <v>21</v>
      </c>
      <c r="B5101" s="8">
        <v>44228</v>
      </c>
      <c r="C5101">
        <v>13329330</v>
      </c>
      <c r="D5101" s="12" t="s">
        <v>260</v>
      </c>
      <c r="E5101">
        <v>3010843.38</v>
      </c>
      <c r="F5101" t="s">
        <v>179</v>
      </c>
      <c r="G5101" t="s">
        <v>257</v>
      </c>
      <c r="H5101" s="8">
        <v>42826</v>
      </c>
      <c r="I5101" s="8">
        <v>44833</v>
      </c>
      <c r="J5101" t="s">
        <v>189</v>
      </c>
    </row>
    <row r="5102" spans="1:10" x14ac:dyDescent="0.35">
      <c r="A5102" t="s">
        <v>21</v>
      </c>
      <c r="B5102" s="8">
        <v>44256</v>
      </c>
      <c r="C5102">
        <v>13329330</v>
      </c>
      <c r="D5102" s="12" t="s">
        <v>261</v>
      </c>
      <c r="E5102">
        <v>1951443.38</v>
      </c>
      <c r="F5102" t="s">
        <v>179</v>
      </c>
      <c r="G5102" t="s">
        <v>257</v>
      </c>
      <c r="H5102" s="8">
        <v>42826</v>
      </c>
      <c r="I5102" s="8">
        <v>44833</v>
      </c>
      <c r="J5102" t="s">
        <v>189</v>
      </c>
    </row>
    <row r="5103" spans="1:10" x14ac:dyDescent="0.35">
      <c r="A5103" t="s">
        <v>21</v>
      </c>
      <c r="B5103" s="8">
        <v>44287</v>
      </c>
      <c r="C5103">
        <v>13329330</v>
      </c>
      <c r="D5103" s="12" t="s">
        <v>262</v>
      </c>
      <c r="E5103">
        <v>1938443.38</v>
      </c>
      <c r="F5103" t="s">
        <v>179</v>
      </c>
      <c r="G5103" t="s">
        <v>257</v>
      </c>
      <c r="H5103" s="8">
        <v>42826</v>
      </c>
      <c r="I5103" s="8">
        <v>44833</v>
      </c>
      <c r="J5103" t="s">
        <v>189</v>
      </c>
    </row>
    <row r="5104" spans="1:10" x14ac:dyDescent="0.35">
      <c r="A5104" t="s">
        <v>21</v>
      </c>
      <c r="B5104" s="8">
        <v>44317</v>
      </c>
      <c r="C5104">
        <v>13329330</v>
      </c>
      <c r="D5104">
        <v>13127330</v>
      </c>
      <c r="E5104">
        <v>202000</v>
      </c>
      <c r="F5104" t="s">
        <v>179</v>
      </c>
      <c r="G5104" t="s">
        <v>257</v>
      </c>
      <c r="H5104" s="8">
        <v>42826</v>
      </c>
      <c r="I5104" s="8">
        <v>44833</v>
      </c>
      <c r="J5104" t="s">
        <v>189</v>
      </c>
    </row>
    <row r="5105" spans="1:10" x14ac:dyDescent="0.35">
      <c r="A5105" t="s">
        <v>21</v>
      </c>
      <c r="B5105" s="8">
        <v>44348</v>
      </c>
      <c r="C5105">
        <v>13329330</v>
      </c>
      <c r="D5105">
        <v>13127330</v>
      </c>
      <c r="E5105">
        <v>202000</v>
      </c>
      <c r="F5105" t="s">
        <v>179</v>
      </c>
      <c r="G5105" t="s">
        <v>257</v>
      </c>
      <c r="H5105" s="8">
        <v>42826</v>
      </c>
      <c r="I5105" s="8">
        <v>44833</v>
      </c>
      <c r="J5105" t="s">
        <v>189</v>
      </c>
    </row>
    <row r="5106" spans="1:10" x14ac:dyDescent="0.35">
      <c r="A5106" t="s">
        <v>21</v>
      </c>
      <c r="B5106" s="8">
        <v>44378</v>
      </c>
      <c r="C5106">
        <v>13329330</v>
      </c>
      <c r="D5106">
        <v>13127330</v>
      </c>
      <c r="E5106">
        <v>202000</v>
      </c>
      <c r="F5106" t="s">
        <v>179</v>
      </c>
      <c r="G5106" t="s">
        <v>257</v>
      </c>
      <c r="H5106" s="8">
        <v>42826</v>
      </c>
      <c r="I5106" s="8">
        <v>44833</v>
      </c>
      <c r="J5106" t="s">
        <v>189</v>
      </c>
    </row>
    <row r="5107" spans="1:10" x14ac:dyDescent="0.35">
      <c r="A5107" t="s">
        <v>21</v>
      </c>
      <c r="B5107" s="8">
        <v>44409</v>
      </c>
      <c r="C5107">
        <v>13329330</v>
      </c>
      <c r="D5107">
        <v>13200330</v>
      </c>
      <c r="E5107">
        <v>129000</v>
      </c>
      <c r="F5107" t="s">
        <v>179</v>
      </c>
      <c r="G5107" t="s">
        <v>257</v>
      </c>
      <c r="H5107" s="8">
        <v>42826</v>
      </c>
      <c r="I5107" s="8">
        <v>44833</v>
      </c>
      <c r="J5107" t="s">
        <v>189</v>
      </c>
    </row>
    <row r="5108" spans="1:10" x14ac:dyDescent="0.35">
      <c r="A5108" t="s">
        <v>21</v>
      </c>
      <c r="B5108" s="8">
        <v>44440</v>
      </c>
      <c r="C5108">
        <v>13329330</v>
      </c>
      <c r="D5108">
        <v>13200330</v>
      </c>
      <c r="E5108">
        <v>129000</v>
      </c>
      <c r="F5108" t="s">
        <v>179</v>
      </c>
      <c r="G5108" t="s">
        <v>257</v>
      </c>
      <c r="H5108" s="8">
        <v>42826</v>
      </c>
      <c r="I5108" s="8">
        <v>44833</v>
      </c>
      <c r="J5108" t="s">
        <v>189</v>
      </c>
    </row>
    <row r="5109" spans="1:10" x14ac:dyDescent="0.35">
      <c r="A5109" t="s">
        <v>21</v>
      </c>
      <c r="B5109" s="8">
        <v>44470</v>
      </c>
      <c r="C5109">
        <v>13329330</v>
      </c>
      <c r="D5109">
        <v>13200330</v>
      </c>
      <c r="E5109">
        <v>129000</v>
      </c>
      <c r="F5109" t="s">
        <v>179</v>
      </c>
      <c r="G5109" t="s">
        <v>257</v>
      </c>
      <c r="H5109" s="8">
        <v>42826</v>
      </c>
      <c r="I5109" s="8">
        <v>44833</v>
      </c>
      <c r="J5109" t="s">
        <v>189</v>
      </c>
    </row>
    <row r="5110" spans="1:10" x14ac:dyDescent="0.35">
      <c r="A5110" t="s">
        <v>21</v>
      </c>
      <c r="B5110" s="8">
        <v>44501</v>
      </c>
      <c r="C5110">
        <v>13329330</v>
      </c>
      <c r="D5110">
        <v>13200330</v>
      </c>
      <c r="E5110">
        <v>129000</v>
      </c>
      <c r="F5110" t="s">
        <v>179</v>
      </c>
      <c r="G5110" t="s">
        <v>257</v>
      </c>
      <c r="H5110" s="8">
        <v>42826</v>
      </c>
      <c r="I5110" s="8">
        <v>44833</v>
      </c>
      <c r="J5110" t="s">
        <v>189</v>
      </c>
    </row>
    <row r="5111" spans="1:10" x14ac:dyDescent="0.35">
      <c r="A5111" t="s">
        <v>21</v>
      </c>
      <c r="B5111" s="8">
        <v>44531</v>
      </c>
      <c r="C5111">
        <v>13329330</v>
      </c>
      <c r="D5111">
        <v>13200330</v>
      </c>
      <c r="E5111">
        <v>129000</v>
      </c>
      <c r="F5111" t="s">
        <v>179</v>
      </c>
      <c r="G5111" t="s">
        <v>257</v>
      </c>
      <c r="H5111" s="8">
        <v>42826</v>
      </c>
      <c r="I5111" s="8">
        <v>44833</v>
      </c>
      <c r="J5111" t="s">
        <v>189</v>
      </c>
    </row>
    <row r="5112" spans="1:10" x14ac:dyDescent="0.35">
      <c r="A5112" t="s">
        <v>21</v>
      </c>
      <c r="B5112" s="8">
        <v>44562</v>
      </c>
      <c r="C5112">
        <v>13329330</v>
      </c>
      <c r="D5112">
        <v>13200330</v>
      </c>
      <c r="E5112">
        <v>129000</v>
      </c>
      <c r="F5112" t="s">
        <v>179</v>
      </c>
      <c r="G5112" t="s">
        <v>257</v>
      </c>
      <c r="H5112" s="8">
        <v>42826</v>
      </c>
      <c r="I5112" s="8">
        <v>44833</v>
      </c>
      <c r="J5112" t="s">
        <v>189</v>
      </c>
    </row>
    <row r="5113" spans="1:10" x14ac:dyDescent="0.35">
      <c r="A5113" t="s">
        <v>21</v>
      </c>
      <c r="B5113" s="8">
        <v>44593</v>
      </c>
      <c r="C5113">
        <v>13329330</v>
      </c>
      <c r="D5113">
        <v>13226030</v>
      </c>
      <c r="E5113">
        <v>103300</v>
      </c>
      <c r="F5113" t="s">
        <v>179</v>
      </c>
      <c r="G5113" t="s">
        <v>257</v>
      </c>
      <c r="H5113" s="8">
        <v>42826</v>
      </c>
      <c r="I5113" s="8">
        <v>44833</v>
      </c>
      <c r="J5113" t="s">
        <v>189</v>
      </c>
    </row>
    <row r="5114" spans="1:10" x14ac:dyDescent="0.35">
      <c r="A5114" t="s">
        <v>21</v>
      </c>
      <c r="B5114" s="8">
        <v>44621</v>
      </c>
      <c r="C5114">
        <v>13329330</v>
      </c>
      <c r="D5114">
        <v>13226030</v>
      </c>
      <c r="E5114">
        <v>103300</v>
      </c>
      <c r="F5114" t="s">
        <v>179</v>
      </c>
      <c r="G5114" t="s">
        <v>257</v>
      </c>
      <c r="H5114" s="8">
        <v>42826</v>
      </c>
      <c r="I5114" s="8">
        <v>44833</v>
      </c>
      <c r="J5114" t="s">
        <v>189</v>
      </c>
    </row>
    <row r="5115" spans="1:10" x14ac:dyDescent="0.35">
      <c r="A5115" t="s">
        <v>21</v>
      </c>
      <c r="B5115" s="8">
        <v>44652</v>
      </c>
      <c r="C5115">
        <v>13329330</v>
      </c>
      <c r="D5115">
        <v>13252130</v>
      </c>
      <c r="E5115">
        <v>77200</v>
      </c>
      <c r="F5115" t="s">
        <v>179</v>
      </c>
      <c r="G5115" t="s">
        <v>257</v>
      </c>
      <c r="H5115" s="8">
        <v>42826</v>
      </c>
      <c r="I5115" s="8">
        <v>44833</v>
      </c>
      <c r="J5115" t="s">
        <v>189</v>
      </c>
    </row>
    <row r="5116" spans="1:10" x14ac:dyDescent="0.35">
      <c r="A5116" t="s">
        <v>21</v>
      </c>
      <c r="B5116" s="8">
        <v>44682</v>
      </c>
      <c r="C5116">
        <v>13329330</v>
      </c>
      <c r="D5116">
        <v>13252130</v>
      </c>
      <c r="E5116">
        <v>77200</v>
      </c>
      <c r="F5116" t="s">
        <v>179</v>
      </c>
      <c r="G5116" t="s">
        <v>257</v>
      </c>
      <c r="H5116" s="8">
        <v>42826</v>
      </c>
      <c r="I5116" s="8">
        <v>44833</v>
      </c>
      <c r="J5116" t="s">
        <v>189</v>
      </c>
    </row>
    <row r="5117" spans="1:10" x14ac:dyDescent="0.35">
      <c r="A5117" t="s">
        <v>21</v>
      </c>
      <c r="B5117" s="8">
        <v>44713</v>
      </c>
      <c r="C5117">
        <v>13329330</v>
      </c>
      <c r="D5117">
        <v>13252130</v>
      </c>
      <c r="E5117">
        <v>77200</v>
      </c>
      <c r="F5117" t="s">
        <v>179</v>
      </c>
      <c r="G5117" t="s">
        <v>257</v>
      </c>
      <c r="H5117" s="8">
        <v>42826</v>
      </c>
      <c r="I5117" s="8">
        <v>44833</v>
      </c>
      <c r="J5117" t="s">
        <v>189</v>
      </c>
    </row>
    <row r="5118" spans="1:10" x14ac:dyDescent="0.35">
      <c r="A5118" t="s">
        <v>21</v>
      </c>
      <c r="B5118" s="8">
        <v>44743</v>
      </c>
      <c r="C5118">
        <v>13329330</v>
      </c>
      <c r="D5118">
        <v>13252130</v>
      </c>
      <c r="E5118">
        <v>77200</v>
      </c>
      <c r="F5118" t="s">
        <v>179</v>
      </c>
      <c r="G5118" t="s">
        <v>257</v>
      </c>
      <c r="H5118" s="8">
        <v>42826</v>
      </c>
      <c r="I5118" s="8">
        <v>44833</v>
      </c>
      <c r="J5118" t="s">
        <v>189</v>
      </c>
    </row>
    <row r="5119" spans="1:10" x14ac:dyDescent="0.35">
      <c r="A5119" t="s">
        <v>21</v>
      </c>
      <c r="B5119" s="8">
        <v>44774</v>
      </c>
      <c r="C5119">
        <v>13329330</v>
      </c>
      <c r="D5119">
        <v>13252130</v>
      </c>
      <c r="E5119">
        <v>77200</v>
      </c>
      <c r="F5119" t="s">
        <v>179</v>
      </c>
      <c r="G5119" t="s">
        <v>257</v>
      </c>
      <c r="H5119" s="8">
        <v>42826</v>
      </c>
      <c r="I5119" s="8">
        <v>44833</v>
      </c>
      <c r="J5119" t="s">
        <v>189</v>
      </c>
    </row>
    <row r="5120" spans="1:10" x14ac:dyDescent="0.35">
      <c r="A5120" t="s">
        <v>21</v>
      </c>
      <c r="B5120" s="8">
        <v>44805</v>
      </c>
      <c r="C5120">
        <v>13329330</v>
      </c>
      <c r="D5120">
        <v>13329330</v>
      </c>
      <c r="E5120">
        <v>0</v>
      </c>
      <c r="F5120" t="s">
        <v>179</v>
      </c>
      <c r="G5120" t="s">
        <v>257</v>
      </c>
      <c r="H5120" s="8">
        <v>42826</v>
      </c>
      <c r="I5120" s="8">
        <v>44833</v>
      </c>
      <c r="J5120" t="s">
        <v>156</v>
      </c>
    </row>
    <row r="5121" spans="1:10" x14ac:dyDescent="0.35">
      <c r="A5121" t="s">
        <v>21</v>
      </c>
      <c r="B5121" s="8">
        <v>44835</v>
      </c>
      <c r="C5121">
        <v>13329330</v>
      </c>
      <c r="D5121">
        <v>13329330</v>
      </c>
      <c r="E5121">
        <v>0</v>
      </c>
      <c r="F5121" t="s">
        <v>179</v>
      </c>
      <c r="G5121" t="s">
        <v>257</v>
      </c>
      <c r="H5121" s="8">
        <v>42826</v>
      </c>
      <c r="I5121" s="8">
        <v>44833</v>
      </c>
      <c r="J5121" t="s">
        <v>156</v>
      </c>
    </row>
    <row r="5122" spans="1:10" x14ac:dyDescent="0.35">
      <c r="A5122" t="s">
        <v>21</v>
      </c>
      <c r="B5122" s="8">
        <v>44866</v>
      </c>
      <c r="C5122">
        <v>13329330</v>
      </c>
      <c r="D5122">
        <v>13329330</v>
      </c>
      <c r="E5122">
        <v>0</v>
      </c>
      <c r="F5122" t="s">
        <v>179</v>
      </c>
      <c r="G5122" t="s">
        <v>257</v>
      </c>
      <c r="H5122" s="8">
        <v>42826</v>
      </c>
      <c r="I5122" s="8">
        <v>44833</v>
      </c>
      <c r="J5122" t="s">
        <v>156</v>
      </c>
    </row>
    <row r="5123" spans="1:10" x14ac:dyDescent="0.35">
      <c r="A5123" t="s">
        <v>21</v>
      </c>
      <c r="B5123" s="8">
        <v>44896</v>
      </c>
      <c r="C5123">
        <v>13329330</v>
      </c>
      <c r="D5123">
        <v>13329330</v>
      </c>
      <c r="E5123">
        <v>0</v>
      </c>
      <c r="F5123" t="s">
        <v>179</v>
      </c>
      <c r="G5123" t="s">
        <v>257</v>
      </c>
      <c r="H5123" s="8">
        <v>42826</v>
      </c>
      <c r="I5123" s="8">
        <v>44833</v>
      </c>
      <c r="J5123" t="s">
        <v>156</v>
      </c>
    </row>
    <row r="5124" spans="1:10" x14ac:dyDescent="0.35">
      <c r="A5124" t="s">
        <v>21</v>
      </c>
      <c r="B5124" s="8">
        <v>44927</v>
      </c>
      <c r="C5124">
        <v>13329330</v>
      </c>
      <c r="D5124">
        <v>13329330</v>
      </c>
      <c r="E5124">
        <v>0</v>
      </c>
      <c r="F5124" t="s">
        <v>179</v>
      </c>
      <c r="G5124" t="s">
        <v>257</v>
      </c>
      <c r="H5124" s="8">
        <v>42826</v>
      </c>
      <c r="I5124" s="8">
        <v>44833</v>
      </c>
      <c r="J5124" t="s">
        <v>156</v>
      </c>
    </row>
    <row r="5125" spans="1:10" x14ac:dyDescent="0.35">
      <c r="A5125" t="s">
        <v>21</v>
      </c>
      <c r="B5125" s="8">
        <v>44958</v>
      </c>
      <c r="C5125">
        <v>13329330</v>
      </c>
      <c r="D5125">
        <v>13329330</v>
      </c>
      <c r="E5125">
        <v>0</v>
      </c>
      <c r="F5125" t="s">
        <v>179</v>
      </c>
      <c r="G5125" t="s">
        <v>257</v>
      </c>
      <c r="H5125" s="8">
        <v>42826</v>
      </c>
      <c r="I5125" s="8">
        <v>44833</v>
      </c>
      <c r="J5125" t="s">
        <v>156</v>
      </c>
    </row>
    <row r="5126" spans="1:10" x14ac:dyDescent="0.35">
      <c r="A5126" t="s">
        <v>21</v>
      </c>
      <c r="B5126" s="8">
        <v>44986</v>
      </c>
      <c r="C5126">
        <v>13329330</v>
      </c>
      <c r="D5126">
        <v>13329330</v>
      </c>
      <c r="E5126">
        <v>0</v>
      </c>
      <c r="F5126" t="s">
        <v>179</v>
      </c>
      <c r="G5126" t="s">
        <v>257</v>
      </c>
      <c r="H5126" s="8">
        <v>42826</v>
      </c>
      <c r="I5126" s="8">
        <v>44833</v>
      </c>
      <c r="J5126" t="s">
        <v>156</v>
      </c>
    </row>
    <row r="5127" spans="1:10" x14ac:dyDescent="0.35">
      <c r="A5127" t="s">
        <v>21</v>
      </c>
      <c r="B5127" s="8">
        <v>45017</v>
      </c>
      <c r="C5127">
        <v>13329330</v>
      </c>
      <c r="D5127">
        <v>13329330</v>
      </c>
      <c r="E5127">
        <v>0</v>
      </c>
      <c r="F5127" t="s">
        <v>179</v>
      </c>
      <c r="G5127" t="s">
        <v>257</v>
      </c>
      <c r="H5127" s="8">
        <v>42826</v>
      </c>
      <c r="I5127" s="8">
        <v>44833</v>
      </c>
      <c r="J5127" t="s">
        <v>156</v>
      </c>
    </row>
    <row r="5128" spans="1:10" x14ac:dyDescent="0.35">
      <c r="A5128" t="s">
        <v>21</v>
      </c>
      <c r="B5128" s="8">
        <v>45047</v>
      </c>
      <c r="C5128">
        <v>13329330</v>
      </c>
      <c r="D5128">
        <v>13329330</v>
      </c>
      <c r="E5128">
        <v>0</v>
      </c>
      <c r="F5128" t="s">
        <v>179</v>
      </c>
      <c r="G5128" t="s">
        <v>257</v>
      </c>
      <c r="H5128" s="8">
        <v>42826</v>
      </c>
      <c r="I5128" s="8">
        <v>44833</v>
      </c>
      <c r="J5128" t="s">
        <v>156</v>
      </c>
    </row>
    <row r="5129" spans="1:10" x14ac:dyDescent="0.35">
      <c r="A5129" t="s">
        <v>21</v>
      </c>
      <c r="B5129" s="8">
        <v>45078</v>
      </c>
      <c r="C5129">
        <v>13329330</v>
      </c>
      <c r="D5129">
        <v>13329330</v>
      </c>
      <c r="E5129">
        <v>0</v>
      </c>
      <c r="F5129" t="s">
        <v>179</v>
      </c>
      <c r="G5129" t="s">
        <v>257</v>
      </c>
      <c r="H5129" s="8">
        <v>42826</v>
      </c>
      <c r="I5129" s="8">
        <v>44833</v>
      </c>
      <c r="J5129" t="s">
        <v>156</v>
      </c>
    </row>
    <row r="5130" spans="1:10" x14ac:dyDescent="0.35">
      <c r="A5130" t="s">
        <v>21</v>
      </c>
      <c r="B5130" s="8">
        <v>45108</v>
      </c>
      <c r="C5130">
        <v>13329330</v>
      </c>
      <c r="D5130">
        <v>13329330</v>
      </c>
      <c r="E5130">
        <v>0</v>
      </c>
      <c r="F5130" t="s">
        <v>179</v>
      </c>
      <c r="G5130" t="s">
        <v>257</v>
      </c>
      <c r="H5130" s="8">
        <v>42826</v>
      </c>
      <c r="I5130" s="8">
        <v>44833</v>
      </c>
      <c r="J5130" t="s">
        <v>156</v>
      </c>
    </row>
    <row r="5131" spans="1:10" x14ac:dyDescent="0.35">
      <c r="A5131" t="s">
        <v>21</v>
      </c>
      <c r="B5131" s="8">
        <v>45139</v>
      </c>
      <c r="C5131">
        <v>13329330</v>
      </c>
      <c r="D5131">
        <v>13329330</v>
      </c>
      <c r="E5131">
        <v>0</v>
      </c>
      <c r="F5131" t="s">
        <v>179</v>
      </c>
      <c r="G5131" t="s">
        <v>257</v>
      </c>
      <c r="H5131" s="8">
        <v>42826</v>
      </c>
      <c r="I5131" s="8">
        <v>44833</v>
      </c>
      <c r="J5131" t="s">
        <v>156</v>
      </c>
    </row>
    <row r="5132" spans="1:10" x14ac:dyDescent="0.35">
      <c r="A5132" t="s">
        <v>21</v>
      </c>
      <c r="B5132" s="8">
        <v>45170</v>
      </c>
      <c r="C5132">
        <v>13329330</v>
      </c>
      <c r="D5132">
        <v>13329330</v>
      </c>
      <c r="E5132">
        <v>0</v>
      </c>
      <c r="F5132" t="s">
        <v>179</v>
      </c>
      <c r="G5132" t="s">
        <v>257</v>
      </c>
      <c r="H5132" s="8">
        <v>42826</v>
      </c>
      <c r="I5132" s="8">
        <v>44833</v>
      </c>
      <c r="J5132" t="s">
        <v>156</v>
      </c>
    </row>
    <row r="5133" spans="1:10" x14ac:dyDescent="0.35">
      <c r="A5133" t="s">
        <v>29</v>
      </c>
      <c r="B5133" s="8">
        <v>44105</v>
      </c>
      <c r="C5133">
        <v>8107658</v>
      </c>
      <c r="D5133" s="12" t="s">
        <v>263</v>
      </c>
      <c r="E5133">
        <v>6541184.7800000003</v>
      </c>
      <c r="F5133" t="s">
        <v>179</v>
      </c>
      <c r="G5133" t="s">
        <v>264</v>
      </c>
      <c r="H5133" s="8">
        <v>43191</v>
      </c>
      <c r="I5133" s="8">
        <v>45198</v>
      </c>
      <c r="J5133" t="s">
        <v>189</v>
      </c>
    </row>
    <row r="5134" spans="1:10" x14ac:dyDescent="0.35">
      <c r="A5134" t="s">
        <v>29</v>
      </c>
      <c r="B5134" s="8">
        <v>44136</v>
      </c>
      <c r="C5134">
        <v>8107658</v>
      </c>
      <c r="D5134" s="12" t="s">
        <v>265</v>
      </c>
      <c r="E5134">
        <v>6541184.7800000003</v>
      </c>
      <c r="F5134" t="s">
        <v>179</v>
      </c>
      <c r="G5134" t="s">
        <v>264</v>
      </c>
      <c r="H5134" s="8">
        <v>43191</v>
      </c>
      <c r="I5134" s="8">
        <v>45198</v>
      </c>
      <c r="J5134" t="s">
        <v>189</v>
      </c>
    </row>
    <row r="5135" spans="1:10" x14ac:dyDescent="0.35">
      <c r="A5135" t="s">
        <v>29</v>
      </c>
      <c r="B5135" s="8">
        <v>44166</v>
      </c>
      <c r="C5135">
        <v>8107658</v>
      </c>
      <c r="D5135" s="12" t="s">
        <v>265</v>
      </c>
      <c r="E5135">
        <v>6541184.7800000003</v>
      </c>
      <c r="F5135" t="s">
        <v>179</v>
      </c>
      <c r="G5135" t="s">
        <v>264</v>
      </c>
      <c r="H5135" s="8">
        <v>43191</v>
      </c>
      <c r="I5135" s="8">
        <v>45198</v>
      </c>
      <c r="J5135" t="s">
        <v>189</v>
      </c>
    </row>
    <row r="5136" spans="1:10" x14ac:dyDescent="0.35">
      <c r="A5136" t="s">
        <v>29</v>
      </c>
      <c r="B5136" s="8">
        <v>44197</v>
      </c>
      <c r="C5136">
        <v>8107658</v>
      </c>
      <c r="D5136" s="12" t="s">
        <v>266</v>
      </c>
      <c r="E5136">
        <v>4651184.78</v>
      </c>
      <c r="F5136" t="s">
        <v>179</v>
      </c>
      <c r="G5136" t="s">
        <v>264</v>
      </c>
      <c r="H5136" s="8">
        <v>43191</v>
      </c>
      <c r="I5136" s="8">
        <v>45198</v>
      </c>
      <c r="J5136" t="s">
        <v>189</v>
      </c>
    </row>
    <row r="5137" spans="1:10" x14ac:dyDescent="0.35">
      <c r="A5137" t="s">
        <v>29</v>
      </c>
      <c r="B5137" s="8">
        <v>44228</v>
      </c>
      <c r="C5137">
        <v>8107658</v>
      </c>
      <c r="D5137" s="12" t="s">
        <v>266</v>
      </c>
      <c r="E5137">
        <v>4651184.78</v>
      </c>
      <c r="F5137" t="s">
        <v>179</v>
      </c>
      <c r="G5137" t="s">
        <v>264</v>
      </c>
      <c r="H5137" s="8">
        <v>43191</v>
      </c>
      <c r="I5137" s="8">
        <v>45198</v>
      </c>
      <c r="J5137" t="s">
        <v>189</v>
      </c>
    </row>
    <row r="5138" spans="1:10" x14ac:dyDescent="0.35">
      <c r="A5138" t="s">
        <v>29</v>
      </c>
      <c r="B5138" s="8">
        <v>44256</v>
      </c>
      <c r="C5138">
        <v>8107658</v>
      </c>
      <c r="D5138" s="12" t="s">
        <v>267</v>
      </c>
      <c r="E5138">
        <v>4621184.78</v>
      </c>
      <c r="F5138" t="s">
        <v>179</v>
      </c>
      <c r="G5138" t="s">
        <v>264</v>
      </c>
      <c r="H5138" s="8">
        <v>43191</v>
      </c>
      <c r="I5138" s="8">
        <v>45198</v>
      </c>
      <c r="J5138" t="s">
        <v>189</v>
      </c>
    </row>
    <row r="5139" spans="1:10" x14ac:dyDescent="0.35">
      <c r="A5139" t="s">
        <v>29</v>
      </c>
      <c r="B5139" s="8">
        <v>44287</v>
      </c>
      <c r="C5139">
        <v>8107658</v>
      </c>
      <c r="D5139" s="12" t="s">
        <v>267</v>
      </c>
      <c r="E5139" s="12" t="s">
        <v>268</v>
      </c>
      <c r="F5139" t="s">
        <v>179</v>
      </c>
      <c r="G5139" t="s">
        <v>264</v>
      </c>
      <c r="H5139" s="8">
        <v>43191</v>
      </c>
      <c r="I5139" s="8">
        <v>45198</v>
      </c>
      <c r="J5139" t="s">
        <v>189</v>
      </c>
    </row>
    <row r="5140" spans="1:10" x14ac:dyDescent="0.35">
      <c r="A5140" t="s">
        <v>29</v>
      </c>
      <c r="B5140" s="8">
        <v>44317</v>
      </c>
      <c r="C5140">
        <v>8107658</v>
      </c>
      <c r="D5140" s="12" t="s">
        <v>269</v>
      </c>
      <c r="E5140">
        <v>4491184.78</v>
      </c>
      <c r="F5140" t="s">
        <v>179</v>
      </c>
      <c r="G5140" t="s">
        <v>264</v>
      </c>
      <c r="H5140" s="8">
        <v>43191</v>
      </c>
      <c r="I5140" s="8">
        <v>45198</v>
      </c>
      <c r="J5140" t="s">
        <v>189</v>
      </c>
    </row>
    <row r="5141" spans="1:10" x14ac:dyDescent="0.35">
      <c r="A5141" t="s">
        <v>29</v>
      </c>
      <c r="B5141" s="8">
        <v>44348</v>
      </c>
      <c r="C5141">
        <v>8107658</v>
      </c>
      <c r="D5141" s="12" t="s">
        <v>270</v>
      </c>
      <c r="E5141">
        <v>3954374.92</v>
      </c>
      <c r="F5141" t="s">
        <v>179</v>
      </c>
      <c r="G5141" t="s">
        <v>264</v>
      </c>
      <c r="H5141" s="8">
        <v>43191</v>
      </c>
      <c r="I5141" s="8">
        <v>45198</v>
      </c>
      <c r="J5141" t="s">
        <v>189</v>
      </c>
    </row>
    <row r="5142" spans="1:10" x14ac:dyDescent="0.35">
      <c r="A5142" t="s">
        <v>29</v>
      </c>
      <c r="B5142" s="8">
        <v>44378</v>
      </c>
      <c r="C5142">
        <v>8107658</v>
      </c>
      <c r="D5142" s="12" t="s">
        <v>270</v>
      </c>
      <c r="E5142">
        <v>3954374.92</v>
      </c>
      <c r="F5142" t="s">
        <v>179</v>
      </c>
      <c r="G5142" t="s">
        <v>264</v>
      </c>
      <c r="H5142" s="8">
        <v>43191</v>
      </c>
      <c r="I5142" s="8">
        <v>45198</v>
      </c>
      <c r="J5142" t="s">
        <v>189</v>
      </c>
    </row>
    <row r="5143" spans="1:10" x14ac:dyDescent="0.35">
      <c r="A5143" t="s">
        <v>29</v>
      </c>
      <c r="B5143" s="8">
        <v>44409</v>
      </c>
      <c r="C5143">
        <v>8107658</v>
      </c>
      <c r="D5143">
        <v>4558447.26</v>
      </c>
      <c r="E5143">
        <v>3549210.74</v>
      </c>
      <c r="F5143" t="s">
        <v>179</v>
      </c>
      <c r="G5143" t="s">
        <v>264</v>
      </c>
      <c r="H5143" s="8">
        <v>43191</v>
      </c>
      <c r="I5143" s="8">
        <v>45198</v>
      </c>
      <c r="J5143" t="s">
        <v>189</v>
      </c>
    </row>
    <row r="5144" spans="1:10" x14ac:dyDescent="0.35">
      <c r="A5144" t="s">
        <v>29</v>
      </c>
      <c r="B5144" s="8">
        <v>44440</v>
      </c>
      <c r="C5144">
        <v>8107658</v>
      </c>
      <c r="D5144" s="12" t="s">
        <v>271</v>
      </c>
      <c r="E5144" s="12" t="s">
        <v>272</v>
      </c>
      <c r="F5144" t="s">
        <v>179</v>
      </c>
      <c r="G5144" t="s">
        <v>264</v>
      </c>
      <c r="H5144" s="8">
        <v>43191</v>
      </c>
      <c r="I5144" s="8">
        <v>45198</v>
      </c>
      <c r="J5144" t="s">
        <v>189</v>
      </c>
    </row>
    <row r="5145" spans="1:10" x14ac:dyDescent="0.35">
      <c r="A5145" t="s">
        <v>29</v>
      </c>
      <c r="B5145" s="8">
        <v>44470</v>
      </c>
      <c r="C5145">
        <v>8107658</v>
      </c>
      <c r="D5145" s="12" t="s">
        <v>271</v>
      </c>
      <c r="E5145" s="12" t="s">
        <v>272</v>
      </c>
      <c r="F5145" t="s">
        <v>179</v>
      </c>
      <c r="G5145" t="s">
        <v>264</v>
      </c>
      <c r="H5145" s="8">
        <v>43191</v>
      </c>
      <c r="I5145" s="8">
        <v>45198</v>
      </c>
      <c r="J5145" t="s">
        <v>189</v>
      </c>
    </row>
    <row r="5146" spans="1:10" x14ac:dyDescent="0.35">
      <c r="A5146" t="s">
        <v>29</v>
      </c>
      <c r="B5146" s="8">
        <v>44501</v>
      </c>
      <c r="C5146">
        <v>8107658</v>
      </c>
      <c r="D5146" s="12" t="s">
        <v>271</v>
      </c>
      <c r="E5146" s="12" t="s">
        <v>272</v>
      </c>
      <c r="F5146" t="s">
        <v>179</v>
      </c>
      <c r="G5146" t="s">
        <v>264</v>
      </c>
      <c r="H5146" s="8">
        <v>43191</v>
      </c>
      <c r="I5146" s="8">
        <v>45198</v>
      </c>
      <c r="J5146" t="s">
        <v>189</v>
      </c>
    </row>
    <row r="5147" spans="1:10" x14ac:dyDescent="0.35">
      <c r="A5147" t="s">
        <v>29</v>
      </c>
      <c r="B5147" s="8">
        <v>44531</v>
      </c>
      <c r="C5147">
        <v>8107658</v>
      </c>
      <c r="D5147" s="12" t="s">
        <v>273</v>
      </c>
      <c r="E5147" s="12" t="s">
        <v>274</v>
      </c>
      <c r="F5147" t="s">
        <v>179</v>
      </c>
      <c r="G5147" t="s">
        <v>264</v>
      </c>
      <c r="H5147" s="8">
        <v>43191</v>
      </c>
      <c r="I5147" s="8">
        <v>45198</v>
      </c>
      <c r="J5147" t="s">
        <v>189</v>
      </c>
    </row>
    <row r="5148" spans="1:10" x14ac:dyDescent="0.35">
      <c r="A5148" t="s">
        <v>29</v>
      </c>
      <c r="B5148" s="8">
        <v>44562</v>
      </c>
      <c r="C5148">
        <v>8107658</v>
      </c>
      <c r="D5148" s="12" t="s">
        <v>273</v>
      </c>
      <c r="E5148" s="12" t="s">
        <v>274</v>
      </c>
      <c r="F5148" t="s">
        <v>179</v>
      </c>
      <c r="G5148" t="s">
        <v>264</v>
      </c>
      <c r="H5148" s="8">
        <v>43191</v>
      </c>
      <c r="I5148" s="8">
        <v>45198</v>
      </c>
      <c r="J5148" t="s">
        <v>189</v>
      </c>
    </row>
    <row r="5149" spans="1:10" x14ac:dyDescent="0.35">
      <c r="A5149" t="s">
        <v>29</v>
      </c>
      <c r="B5149" s="8">
        <v>44593</v>
      </c>
      <c r="C5149">
        <v>8107658</v>
      </c>
      <c r="D5149" s="12" t="s">
        <v>275</v>
      </c>
      <c r="E5149" s="12" t="s">
        <v>276</v>
      </c>
      <c r="F5149" t="s">
        <v>179</v>
      </c>
      <c r="G5149" t="s">
        <v>264</v>
      </c>
      <c r="H5149" s="8">
        <v>43191</v>
      </c>
      <c r="I5149" s="8">
        <v>45198</v>
      </c>
      <c r="J5149" t="s">
        <v>189</v>
      </c>
    </row>
    <row r="5150" spans="1:10" x14ac:dyDescent="0.35">
      <c r="A5150" t="s">
        <v>29</v>
      </c>
      <c r="B5150" s="8">
        <v>44621</v>
      </c>
      <c r="C5150">
        <v>8107658</v>
      </c>
      <c r="D5150" s="12" t="s">
        <v>277</v>
      </c>
      <c r="E5150">
        <v>1618336.55</v>
      </c>
      <c r="F5150" t="s">
        <v>179</v>
      </c>
      <c r="G5150" t="s">
        <v>264</v>
      </c>
      <c r="H5150" s="8">
        <v>43191</v>
      </c>
      <c r="I5150" s="8">
        <v>45198</v>
      </c>
      <c r="J5150" t="s">
        <v>189</v>
      </c>
    </row>
    <row r="5151" spans="1:10" x14ac:dyDescent="0.35">
      <c r="A5151" t="s">
        <v>29</v>
      </c>
      <c r="B5151" s="8">
        <v>44652</v>
      </c>
      <c r="C5151">
        <v>8107658</v>
      </c>
      <c r="D5151" s="12" t="s">
        <v>277</v>
      </c>
      <c r="E5151">
        <v>1618336.55</v>
      </c>
      <c r="F5151" t="s">
        <v>179</v>
      </c>
      <c r="G5151" t="s">
        <v>264</v>
      </c>
      <c r="H5151" s="8">
        <v>43191</v>
      </c>
      <c r="I5151" s="8">
        <v>45198</v>
      </c>
      <c r="J5151" t="s">
        <v>189</v>
      </c>
    </row>
    <row r="5152" spans="1:10" x14ac:dyDescent="0.35">
      <c r="A5152" t="s">
        <v>29</v>
      </c>
      <c r="B5152" s="8">
        <v>44682</v>
      </c>
      <c r="C5152">
        <v>8107658</v>
      </c>
      <c r="D5152" s="12" t="s">
        <v>277</v>
      </c>
      <c r="E5152">
        <v>1618336.55</v>
      </c>
      <c r="F5152" t="s">
        <v>179</v>
      </c>
      <c r="G5152" t="s">
        <v>264</v>
      </c>
      <c r="H5152" s="8">
        <v>43191</v>
      </c>
      <c r="I5152" s="8">
        <v>45198</v>
      </c>
      <c r="J5152" t="s">
        <v>189</v>
      </c>
    </row>
    <row r="5153" spans="1:10" x14ac:dyDescent="0.35">
      <c r="A5153" t="s">
        <v>29</v>
      </c>
      <c r="B5153" s="8">
        <v>44713</v>
      </c>
      <c r="C5153">
        <v>8107658</v>
      </c>
      <c r="D5153">
        <v>7165447.2599999998</v>
      </c>
      <c r="E5153">
        <v>942210.74</v>
      </c>
      <c r="F5153" t="s">
        <v>179</v>
      </c>
      <c r="G5153" t="s">
        <v>264</v>
      </c>
      <c r="H5153" s="8">
        <v>43191</v>
      </c>
      <c r="I5153" s="8">
        <v>45198</v>
      </c>
      <c r="J5153" t="s">
        <v>189</v>
      </c>
    </row>
    <row r="5154" spans="1:10" x14ac:dyDescent="0.35">
      <c r="A5154" t="s">
        <v>29</v>
      </c>
      <c r="B5154" s="8">
        <v>44743</v>
      </c>
      <c r="C5154">
        <v>8107658</v>
      </c>
      <c r="D5154">
        <v>7605447.2599999998</v>
      </c>
      <c r="E5154">
        <v>502210.74</v>
      </c>
      <c r="F5154" t="s">
        <v>179</v>
      </c>
      <c r="G5154" t="s">
        <v>264</v>
      </c>
      <c r="H5154" s="8">
        <v>43191</v>
      </c>
      <c r="I5154" s="8">
        <v>45198</v>
      </c>
      <c r="J5154" t="s">
        <v>189</v>
      </c>
    </row>
    <row r="5155" spans="1:10" x14ac:dyDescent="0.35">
      <c r="A5155" t="s">
        <v>29</v>
      </c>
      <c r="B5155" s="8">
        <v>44774</v>
      </c>
      <c r="C5155">
        <v>8107658</v>
      </c>
      <c r="D5155">
        <v>7605447.2599999998</v>
      </c>
      <c r="E5155">
        <v>502210.74</v>
      </c>
      <c r="F5155" t="s">
        <v>179</v>
      </c>
      <c r="G5155" t="s">
        <v>264</v>
      </c>
      <c r="H5155" s="8">
        <v>43191</v>
      </c>
      <c r="I5155" s="8">
        <v>45198</v>
      </c>
      <c r="J5155" t="s">
        <v>189</v>
      </c>
    </row>
    <row r="5156" spans="1:10" x14ac:dyDescent="0.35">
      <c r="A5156" t="s">
        <v>29</v>
      </c>
      <c r="B5156" s="8">
        <v>44805</v>
      </c>
      <c r="C5156">
        <v>8107658</v>
      </c>
      <c r="D5156">
        <v>8025947.2599999998</v>
      </c>
      <c r="E5156">
        <v>81710.740000000005</v>
      </c>
      <c r="F5156" t="s">
        <v>179</v>
      </c>
      <c r="G5156" t="s">
        <v>264</v>
      </c>
      <c r="H5156" s="8">
        <v>43191</v>
      </c>
      <c r="I5156" s="8">
        <v>45198</v>
      </c>
      <c r="J5156" t="s">
        <v>189</v>
      </c>
    </row>
    <row r="5157" spans="1:10" x14ac:dyDescent="0.35">
      <c r="A5157" t="s">
        <v>29</v>
      </c>
      <c r="B5157" s="8">
        <v>44835</v>
      </c>
      <c r="C5157">
        <v>8107658</v>
      </c>
      <c r="D5157">
        <v>8025947.2599999998</v>
      </c>
      <c r="E5157">
        <v>81710.740000000005</v>
      </c>
      <c r="F5157" t="s">
        <v>179</v>
      </c>
      <c r="G5157" t="s">
        <v>264</v>
      </c>
      <c r="H5157" s="8">
        <v>43191</v>
      </c>
      <c r="I5157" s="8">
        <v>45198</v>
      </c>
      <c r="J5157" t="s">
        <v>189</v>
      </c>
    </row>
    <row r="5158" spans="1:10" x14ac:dyDescent="0.35">
      <c r="A5158" t="s">
        <v>29</v>
      </c>
      <c r="B5158" s="8">
        <v>44866</v>
      </c>
      <c r="C5158">
        <v>8107658</v>
      </c>
      <c r="D5158">
        <v>8083581.3799999999</v>
      </c>
      <c r="E5158">
        <v>24076.62</v>
      </c>
      <c r="F5158" t="s">
        <v>179</v>
      </c>
      <c r="G5158" t="s">
        <v>264</v>
      </c>
      <c r="H5158" s="8">
        <v>43191</v>
      </c>
      <c r="I5158" s="8">
        <v>45198</v>
      </c>
      <c r="J5158" t="s">
        <v>189</v>
      </c>
    </row>
    <row r="5159" spans="1:10" x14ac:dyDescent="0.35">
      <c r="A5159" t="s">
        <v>29</v>
      </c>
      <c r="B5159" s="8">
        <v>44896</v>
      </c>
      <c r="C5159">
        <v>8107658</v>
      </c>
      <c r="D5159">
        <v>8083581.3799999999</v>
      </c>
      <c r="E5159">
        <v>24076.62</v>
      </c>
      <c r="F5159" t="s">
        <v>179</v>
      </c>
      <c r="G5159" t="s">
        <v>264</v>
      </c>
      <c r="H5159" s="8">
        <v>43191</v>
      </c>
      <c r="I5159" s="8">
        <v>45198</v>
      </c>
      <c r="J5159" t="s">
        <v>189</v>
      </c>
    </row>
    <row r="5160" spans="1:10" x14ac:dyDescent="0.35">
      <c r="A5160" t="s">
        <v>29</v>
      </c>
      <c r="B5160" s="8">
        <v>44927</v>
      </c>
      <c r="C5160">
        <v>8107658</v>
      </c>
      <c r="D5160">
        <v>8083581.3799999999</v>
      </c>
      <c r="E5160">
        <v>24076.62</v>
      </c>
      <c r="F5160" t="s">
        <v>179</v>
      </c>
      <c r="G5160" t="s">
        <v>264</v>
      </c>
      <c r="H5160" s="8">
        <v>43191</v>
      </c>
      <c r="I5160" s="8">
        <v>45198</v>
      </c>
      <c r="J5160" t="s">
        <v>189</v>
      </c>
    </row>
    <row r="5161" spans="1:10" x14ac:dyDescent="0.35">
      <c r="A5161" t="s">
        <v>29</v>
      </c>
      <c r="B5161" s="8">
        <v>44958</v>
      </c>
      <c r="C5161">
        <v>8107658</v>
      </c>
      <c r="D5161">
        <v>8083581.3799999999</v>
      </c>
      <c r="E5161">
        <v>24076.62</v>
      </c>
      <c r="F5161" t="s">
        <v>179</v>
      </c>
      <c r="G5161" t="s">
        <v>264</v>
      </c>
      <c r="H5161" s="8">
        <v>43191</v>
      </c>
      <c r="I5161" s="8">
        <v>45198</v>
      </c>
      <c r="J5161" t="s">
        <v>189</v>
      </c>
    </row>
    <row r="5162" spans="1:10" x14ac:dyDescent="0.35">
      <c r="A5162" t="s">
        <v>29</v>
      </c>
      <c r="B5162" s="8">
        <v>44986</v>
      </c>
      <c r="C5162">
        <v>8107658</v>
      </c>
      <c r="D5162">
        <v>8083581.3799999999</v>
      </c>
      <c r="E5162">
        <v>24076.62</v>
      </c>
      <c r="F5162" t="s">
        <v>179</v>
      </c>
      <c r="G5162" t="s">
        <v>264</v>
      </c>
      <c r="H5162" s="8">
        <v>43191</v>
      </c>
      <c r="I5162" s="8">
        <v>45198</v>
      </c>
      <c r="J5162" t="s">
        <v>189</v>
      </c>
    </row>
    <row r="5163" spans="1:10" x14ac:dyDescent="0.35">
      <c r="A5163" t="s">
        <v>29</v>
      </c>
      <c r="B5163" s="8">
        <v>45017</v>
      </c>
      <c r="C5163">
        <v>8107658</v>
      </c>
      <c r="D5163">
        <v>8083581.3799999999</v>
      </c>
      <c r="E5163">
        <v>24076.62</v>
      </c>
      <c r="F5163" t="s">
        <v>179</v>
      </c>
      <c r="G5163" t="s">
        <v>264</v>
      </c>
      <c r="H5163" s="8">
        <v>43191</v>
      </c>
      <c r="I5163" s="8">
        <v>45198</v>
      </c>
      <c r="J5163" t="s">
        <v>189</v>
      </c>
    </row>
    <row r="5164" spans="1:10" x14ac:dyDescent="0.35">
      <c r="A5164" t="s">
        <v>29</v>
      </c>
      <c r="B5164" s="8">
        <v>45047</v>
      </c>
      <c r="C5164">
        <v>8107658</v>
      </c>
      <c r="D5164">
        <v>8083581.3799999999</v>
      </c>
      <c r="E5164">
        <v>24076.62</v>
      </c>
      <c r="F5164" t="s">
        <v>179</v>
      </c>
      <c r="G5164" t="s">
        <v>264</v>
      </c>
      <c r="H5164" s="8">
        <v>43191</v>
      </c>
      <c r="I5164" s="8">
        <v>45198</v>
      </c>
      <c r="J5164" t="s">
        <v>189</v>
      </c>
    </row>
    <row r="5165" spans="1:10" x14ac:dyDescent="0.35">
      <c r="A5165" t="s">
        <v>29</v>
      </c>
      <c r="B5165" s="8">
        <v>45078</v>
      </c>
      <c r="C5165">
        <v>8107658</v>
      </c>
      <c r="D5165">
        <v>8083581.3799999999</v>
      </c>
      <c r="E5165">
        <v>24076.62</v>
      </c>
      <c r="F5165" t="s">
        <v>179</v>
      </c>
      <c r="G5165" t="s">
        <v>264</v>
      </c>
      <c r="H5165" s="8">
        <v>43191</v>
      </c>
      <c r="I5165" s="8">
        <v>45198</v>
      </c>
      <c r="J5165" t="s">
        <v>189</v>
      </c>
    </row>
    <row r="5166" spans="1:10" x14ac:dyDescent="0.35">
      <c r="A5166" t="s">
        <v>29</v>
      </c>
      <c r="B5166" s="8">
        <v>45108</v>
      </c>
      <c r="C5166">
        <v>8107658</v>
      </c>
      <c r="D5166">
        <v>8083581.3799999999</v>
      </c>
      <c r="E5166">
        <v>24076.62</v>
      </c>
      <c r="F5166" t="s">
        <v>179</v>
      </c>
      <c r="G5166" t="s">
        <v>264</v>
      </c>
      <c r="H5166" s="8">
        <v>43191</v>
      </c>
      <c r="I5166" s="8">
        <v>45198</v>
      </c>
      <c r="J5166" t="s">
        <v>189</v>
      </c>
    </row>
    <row r="5167" spans="1:10" x14ac:dyDescent="0.35">
      <c r="A5167" t="s">
        <v>29</v>
      </c>
      <c r="B5167" s="8">
        <v>45139</v>
      </c>
      <c r="C5167">
        <v>8107658</v>
      </c>
      <c r="D5167">
        <v>8083581.3799999999</v>
      </c>
      <c r="E5167">
        <v>24076.62</v>
      </c>
      <c r="F5167" t="s">
        <v>179</v>
      </c>
      <c r="G5167" t="s">
        <v>264</v>
      </c>
      <c r="H5167" s="8">
        <v>43191</v>
      </c>
      <c r="I5167" s="8">
        <v>45198</v>
      </c>
      <c r="J5167" t="s">
        <v>189</v>
      </c>
    </row>
    <row r="5168" spans="1:10" x14ac:dyDescent="0.35">
      <c r="A5168" t="s">
        <v>29</v>
      </c>
      <c r="B5168" s="8">
        <v>45170</v>
      </c>
      <c r="C5168">
        <v>8107658</v>
      </c>
      <c r="D5168">
        <v>8083581.3799999999</v>
      </c>
      <c r="E5168">
        <v>24076.62</v>
      </c>
      <c r="F5168" t="s">
        <v>179</v>
      </c>
      <c r="G5168" t="s">
        <v>264</v>
      </c>
      <c r="H5168" s="8">
        <v>43191</v>
      </c>
      <c r="I5168" s="8">
        <v>45198</v>
      </c>
      <c r="J5168" t="s">
        <v>189</v>
      </c>
    </row>
    <row r="5169" spans="1:10" x14ac:dyDescent="0.35">
      <c r="A5169" t="s">
        <v>56</v>
      </c>
      <c r="B5169" s="8">
        <v>44105</v>
      </c>
      <c r="C5169">
        <v>6918519</v>
      </c>
      <c r="D5169">
        <v>0</v>
      </c>
      <c r="E5169">
        <v>6918519</v>
      </c>
      <c r="F5169" t="s">
        <v>179</v>
      </c>
      <c r="G5169" t="s">
        <v>255</v>
      </c>
      <c r="H5169" s="8">
        <v>44104</v>
      </c>
      <c r="I5169" s="8">
        <v>45929</v>
      </c>
      <c r="J5169" t="s">
        <v>156</v>
      </c>
    </row>
    <row r="5170" spans="1:10" x14ac:dyDescent="0.35">
      <c r="A5170" t="s">
        <v>56</v>
      </c>
      <c r="B5170" s="8">
        <v>44136</v>
      </c>
      <c r="C5170">
        <v>6918519</v>
      </c>
      <c r="D5170" s="12" t="s">
        <v>278</v>
      </c>
      <c r="E5170">
        <v>6823515.79</v>
      </c>
      <c r="F5170" t="s">
        <v>179</v>
      </c>
      <c r="G5170" t="s">
        <v>255</v>
      </c>
      <c r="H5170" s="8">
        <v>44104</v>
      </c>
      <c r="I5170" s="8">
        <v>45929</v>
      </c>
      <c r="J5170" t="s">
        <v>156</v>
      </c>
    </row>
    <row r="5171" spans="1:10" x14ac:dyDescent="0.35">
      <c r="A5171" t="s">
        <v>56</v>
      </c>
      <c r="B5171" s="8">
        <v>44166</v>
      </c>
      <c r="C5171">
        <v>6918519</v>
      </c>
      <c r="D5171" s="12" t="s">
        <v>279</v>
      </c>
      <c r="E5171">
        <v>6512660.6600000001</v>
      </c>
      <c r="F5171" t="s">
        <v>179</v>
      </c>
      <c r="G5171" t="s">
        <v>255</v>
      </c>
      <c r="H5171" s="8">
        <v>44104</v>
      </c>
      <c r="I5171" s="8">
        <v>45929</v>
      </c>
      <c r="J5171" t="s">
        <v>156</v>
      </c>
    </row>
    <row r="5172" spans="1:10" x14ac:dyDescent="0.35">
      <c r="A5172" t="s">
        <v>56</v>
      </c>
      <c r="B5172" s="8">
        <v>44197</v>
      </c>
      <c r="C5172">
        <v>6918519</v>
      </c>
      <c r="D5172">
        <v>1365910.48</v>
      </c>
      <c r="E5172" s="12" t="s">
        <v>280</v>
      </c>
      <c r="F5172" t="s">
        <v>179</v>
      </c>
      <c r="G5172" t="s">
        <v>255</v>
      </c>
      <c r="H5172" s="8">
        <v>44104</v>
      </c>
      <c r="I5172" s="8">
        <v>45929</v>
      </c>
      <c r="J5172" t="s">
        <v>156</v>
      </c>
    </row>
    <row r="5173" spans="1:10" x14ac:dyDescent="0.35">
      <c r="A5173" t="s">
        <v>56</v>
      </c>
      <c r="B5173" s="8">
        <v>44228</v>
      </c>
      <c r="C5173">
        <v>6918519</v>
      </c>
      <c r="D5173">
        <v>2351885.88</v>
      </c>
      <c r="E5173" s="12" t="s">
        <v>281</v>
      </c>
      <c r="F5173" t="s">
        <v>179</v>
      </c>
      <c r="G5173" t="s">
        <v>255</v>
      </c>
      <c r="H5173" s="8">
        <v>44104</v>
      </c>
      <c r="I5173" s="8">
        <v>45929</v>
      </c>
      <c r="J5173" t="s">
        <v>156</v>
      </c>
    </row>
    <row r="5174" spans="1:10" x14ac:dyDescent="0.35">
      <c r="A5174" t="s">
        <v>56</v>
      </c>
      <c r="B5174" s="8">
        <v>44256</v>
      </c>
      <c r="C5174">
        <v>6918519</v>
      </c>
      <c r="D5174">
        <v>3023126.2</v>
      </c>
      <c r="E5174">
        <v>3895392.8</v>
      </c>
      <c r="F5174" t="s">
        <v>179</v>
      </c>
      <c r="G5174" t="s">
        <v>255</v>
      </c>
      <c r="H5174" s="8">
        <v>44104</v>
      </c>
      <c r="I5174" s="8">
        <v>45929</v>
      </c>
      <c r="J5174" t="s">
        <v>156</v>
      </c>
    </row>
    <row r="5175" spans="1:10" x14ac:dyDescent="0.35">
      <c r="A5175" t="s">
        <v>56</v>
      </c>
      <c r="B5175" s="8">
        <v>44287</v>
      </c>
      <c r="C5175">
        <v>837500</v>
      </c>
      <c r="D5175">
        <v>141107.17000000001</v>
      </c>
      <c r="E5175">
        <v>696392.83</v>
      </c>
      <c r="F5175" t="s">
        <v>179</v>
      </c>
      <c r="G5175" t="s">
        <v>255</v>
      </c>
      <c r="H5175" s="8">
        <v>44104</v>
      </c>
      <c r="I5175" s="8">
        <v>45929</v>
      </c>
      <c r="J5175" t="s">
        <v>156</v>
      </c>
    </row>
    <row r="5176" spans="1:10" x14ac:dyDescent="0.35">
      <c r="A5176" t="s">
        <v>56</v>
      </c>
      <c r="B5176" s="8">
        <v>44317</v>
      </c>
      <c r="C5176">
        <v>6918519</v>
      </c>
      <c r="D5176">
        <v>4263362.32</v>
      </c>
      <c r="E5176">
        <v>2655156.6800000002</v>
      </c>
      <c r="F5176" t="s">
        <v>179</v>
      </c>
      <c r="G5176" t="s">
        <v>255</v>
      </c>
      <c r="H5176" s="8">
        <v>44104</v>
      </c>
      <c r="I5176" s="8">
        <v>45929</v>
      </c>
      <c r="J5176" t="s">
        <v>156</v>
      </c>
    </row>
    <row r="5177" spans="1:10" x14ac:dyDescent="0.35">
      <c r="A5177" t="s">
        <v>56</v>
      </c>
      <c r="B5177" s="8">
        <v>44348</v>
      </c>
      <c r="C5177">
        <v>6918519</v>
      </c>
      <c r="D5177">
        <v>5574785.8499999996</v>
      </c>
      <c r="E5177">
        <v>1343733.15</v>
      </c>
      <c r="F5177" t="s">
        <v>179</v>
      </c>
      <c r="G5177" t="s">
        <v>255</v>
      </c>
      <c r="H5177" s="8">
        <v>44104</v>
      </c>
      <c r="I5177" s="8">
        <v>45929</v>
      </c>
      <c r="J5177" t="s">
        <v>156</v>
      </c>
    </row>
    <row r="5178" spans="1:10" x14ac:dyDescent="0.35">
      <c r="A5178" t="s">
        <v>56</v>
      </c>
      <c r="B5178" s="8">
        <v>44378</v>
      </c>
      <c r="C5178">
        <v>6918519</v>
      </c>
      <c r="D5178">
        <v>6067812.8099999996</v>
      </c>
      <c r="E5178" s="12" t="s">
        <v>282</v>
      </c>
      <c r="F5178" t="s">
        <v>179</v>
      </c>
      <c r="G5178" t="s">
        <v>255</v>
      </c>
      <c r="H5178" s="8">
        <v>44104</v>
      </c>
      <c r="I5178" s="8">
        <v>45929</v>
      </c>
      <c r="J5178" t="s">
        <v>156</v>
      </c>
    </row>
    <row r="5179" spans="1:10" x14ac:dyDescent="0.35">
      <c r="A5179" t="s">
        <v>56</v>
      </c>
      <c r="B5179" s="8">
        <v>44409</v>
      </c>
      <c r="C5179">
        <v>6918519</v>
      </c>
      <c r="D5179" s="12" t="s">
        <v>283</v>
      </c>
      <c r="E5179">
        <v>784399.43</v>
      </c>
      <c r="F5179" t="s">
        <v>179</v>
      </c>
      <c r="G5179" t="s">
        <v>255</v>
      </c>
      <c r="H5179" s="8">
        <v>44104</v>
      </c>
      <c r="I5179" s="8">
        <v>45929</v>
      </c>
      <c r="J5179" t="s">
        <v>156</v>
      </c>
    </row>
    <row r="5180" spans="1:10" x14ac:dyDescent="0.35">
      <c r="A5180" t="s">
        <v>56</v>
      </c>
      <c r="B5180" s="8">
        <v>44440</v>
      </c>
      <c r="C5180">
        <v>6918519</v>
      </c>
      <c r="D5180">
        <v>6749971.2599999998</v>
      </c>
      <c r="E5180">
        <v>168547.74</v>
      </c>
      <c r="F5180" t="s">
        <v>179</v>
      </c>
      <c r="G5180" t="s">
        <v>255</v>
      </c>
      <c r="H5180" s="8">
        <v>44104</v>
      </c>
      <c r="I5180" s="8">
        <v>45929</v>
      </c>
      <c r="J5180" t="s">
        <v>156</v>
      </c>
    </row>
    <row r="5181" spans="1:10" x14ac:dyDescent="0.35">
      <c r="A5181" t="s">
        <v>56</v>
      </c>
      <c r="B5181" s="8">
        <v>44470</v>
      </c>
      <c r="C5181">
        <v>6918519</v>
      </c>
      <c r="D5181">
        <v>6749971.3399999999</v>
      </c>
      <c r="E5181">
        <v>168547.66</v>
      </c>
      <c r="F5181" t="s">
        <v>179</v>
      </c>
      <c r="G5181" t="s">
        <v>255</v>
      </c>
      <c r="H5181" s="8">
        <v>44104</v>
      </c>
      <c r="I5181" s="8">
        <v>45929</v>
      </c>
      <c r="J5181" t="s">
        <v>156</v>
      </c>
    </row>
    <row r="5182" spans="1:10" x14ac:dyDescent="0.35">
      <c r="A5182" t="s">
        <v>56</v>
      </c>
      <c r="B5182" s="8">
        <v>44501</v>
      </c>
      <c r="C5182">
        <v>6918519</v>
      </c>
      <c r="D5182">
        <v>6873539.54</v>
      </c>
      <c r="E5182">
        <v>44979.46</v>
      </c>
      <c r="F5182" t="s">
        <v>179</v>
      </c>
      <c r="G5182" t="s">
        <v>255</v>
      </c>
      <c r="H5182" s="8">
        <v>44104</v>
      </c>
      <c r="I5182" s="8">
        <v>45929</v>
      </c>
      <c r="J5182" t="s">
        <v>156</v>
      </c>
    </row>
    <row r="5183" spans="1:10" x14ac:dyDescent="0.35">
      <c r="A5183" t="s">
        <v>56</v>
      </c>
      <c r="B5183" s="8">
        <v>44531</v>
      </c>
      <c r="C5183">
        <v>6918519</v>
      </c>
      <c r="D5183">
        <v>6892120.46</v>
      </c>
      <c r="E5183">
        <v>26398.54</v>
      </c>
      <c r="F5183" t="s">
        <v>179</v>
      </c>
      <c r="G5183" t="s">
        <v>255</v>
      </c>
      <c r="H5183" s="8">
        <v>44104</v>
      </c>
      <c r="I5183" s="8">
        <v>45929</v>
      </c>
      <c r="J5183" t="s">
        <v>156</v>
      </c>
    </row>
    <row r="5184" spans="1:10" x14ac:dyDescent="0.35">
      <c r="A5184" t="s">
        <v>56</v>
      </c>
      <c r="B5184" s="8">
        <v>44562</v>
      </c>
      <c r="C5184">
        <v>6918519</v>
      </c>
      <c r="D5184">
        <v>6909740.4000000004</v>
      </c>
      <c r="E5184">
        <v>8778.6</v>
      </c>
      <c r="F5184" t="s">
        <v>179</v>
      </c>
      <c r="G5184" t="s">
        <v>255</v>
      </c>
      <c r="H5184" s="8">
        <v>44104</v>
      </c>
      <c r="I5184" s="8">
        <v>45929</v>
      </c>
      <c r="J5184" t="s">
        <v>156</v>
      </c>
    </row>
    <row r="5185" spans="1:10" x14ac:dyDescent="0.35">
      <c r="A5185" t="s">
        <v>56</v>
      </c>
      <c r="B5185" s="8">
        <v>44593</v>
      </c>
      <c r="C5185">
        <v>6918519</v>
      </c>
      <c r="D5185">
        <v>6909740.4000000004</v>
      </c>
      <c r="E5185">
        <v>8778.6</v>
      </c>
      <c r="F5185" t="s">
        <v>179</v>
      </c>
      <c r="G5185" t="s">
        <v>255</v>
      </c>
      <c r="H5185" s="8">
        <v>44104</v>
      </c>
      <c r="I5185" s="8">
        <v>45929</v>
      </c>
      <c r="J5185" t="s">
        <v>156</v>
      </c>
    </row>
    <row r="5186" spans="1:10" x14ac:dyDescent="0.35">
      <c r="A5186" t="s">
        <v>56</v>
      </c>
      <c r="B5186" s="8">
        <v>44621</v>
      </c>
      <c r="C5186">
        <v>6918519</v>
      </c>
      <c r="D5186">
        <v>6909740.4000000004</v>
      </c>
      <c r="E5186">
        <v>8778.6</v>
      </c>
      <c r="F5186" t="s">
        <v>179</v>
      </c>
      <c r="G5186" t="s">
        <v>255</v>
      </c>
      <c r="H5186" s="8">
        <v>44104</v>
      </c>
      <c r="I5186" s="8">
        <v>45929</v>
      </c>
      <c r="J5186" t="s">
        <v>156</v>
      </c>
    </row>
    <row r="5187" spans="1:10" x14ac:dyDescent="0.35">
      <c r="A5187" t="s">
        <v>56</v>
      </c>
      <c r="B5187" s="8">
        <v>44652</v>
      </c>
      <c r="C5187">
        <v>6918519</v>
      </c>
      <c r="D5187">
        <v>6913240.4000000004</v>
      </c>
      <c r="E5187">
        <v>5278.6</v>
      </c>
      <c r="F5187" t="s">
        <v>179</v>
      </c>
      <c r="G5187" t="s">
        <v>255</v>
      </c>
      <c r="H5187" s="8">
        <v>44104</v>
      </c>
      <c r="I5187" s="8">
        <v>45929</v>
      </c>
      <c r="J5187" t="s">
        <v>156</v>
      </c>
    </row>
    <row r="5188" spans="1:10" x14ac:dyDescent="0.35">
      <c r="A5188" t="s">
        <v>56</v>
      </c>
      <c r="B5188" s="8">
        <v>44682</v>
      </c>
      <c r="C5188">
        <v>6918519</v>
      </c>
      <c r="D5188">
        <v>6913240.4000000004</v>
      </c>
      <c r="E5188">
        <v>5278.6</v>
      </c>
      <c r="F5188" t="s">
        <v>179</v>
      </c>
      <c r="G5188" t="s">
        <v>255</v>
      </c>
      <c r="H5188" s="8">
        <v>44104</v>
      </c>
      <c r="I5188" s="8">
        <v>45929</v>
      </c>
      <c r="J5188" t="s">
        <v>156</v>
      </c>
    </row>
    <row r="5189" spans="1:10" x14ac:dyDescent="0.35">
      <c r="A5189" t="s">
        <v>56</v>
      </c>
      <c r="B5189" s="8">
        <v>44713</v>
      </c>
      <c r="C5189">
        <v>6918519</v>
      </c>
      <c r="D5189">
        <v>6918518.9800000004</v>
      </c>
      <c r="E5189">
        <v>0.02</v>
      </c>
      <c r="F5189" t="s">
        <v>179</v>
      </c>
      <c r="G5189" t="s">
        <v>255</v>
      </c>
      <c r="H5189" s="8">
        <v>44104</v>
      </c>
      <c r="I5189" s="8">
        <v>45929</v>
      </c>
      <c r="J5189" t="s">
        <v>156</v>
      </c>
    </row>
    <row r="5190" spans="1:10" x14ac:dyDescent="0.35">
      <c r="A5190" t="s">
        <v>56</v>
      </c>
      <c r="B5190" s="8">
        <v>44743</v>
      </c>
      <c r="C5190">
        <v>6918519</v>
      </c>
      <c r="D5190">
        <v>6918518.9800000004</v>
      </c>
      <c r="E5190">
        <v>0.02</v>
      </c>
      <c r="F5190" t="s">
        <v>179</v>
      </c>
      <c r="G5190" t="s">
        <v>255</v>
      </c>
      <c r="H5190" s="8">
        <v>44104</v>
      </c>
      <c r="I5190" s="8">
        <v>45929</v>
      </c>
      <c r="J5190" t="s">
        <v>156</v>
      </c>
    </row>
    <row r="5191" spans="1:10" x14ac:dyDescent="0.35">
      <c r="A5191" t="s">
        <v>56</v>
      </c>
      <c r="B5191" s="8">
        <v>44774</v>
      </c>
      <c r="C5191">
        <v>6918519</v>
      </c>
      <c r="D5191">
        <v>6918518.9800000004</v>
      </c>
      <c r="E5191">
        <v>0.02</v>
      </c>
      <c r="F5191" t="s">
        <v>179</v>
      </c>
      <c r="G5191" t="s">
        <v>255</v>
      </c>
      <c r="H5191" s="8">
        <v>44104</v>
      </c>
      <c r="I5191" s="8">
        <v>45929</v>
      </c>
      <c r="J5191" t="s">
        <v>156</v>
      </c>
    </row>
    <row r="5192" spans="1:10" x14ac:dyDescent="0.35">
      <c r="A5192" t="s">
        <v>56</v>
      </c>
      <c r="B5192" s="8">
        <v>44805</v>
      </c>
      <c r="C5192">
        <v>6918519</v>
      </c>
      <c r="D5192">
        <v>6918518.9800000004</v>
      </c>
      <c r="E5192">
        <v>0.02</v>
      </c>
      <c r="F5192" t="s">
        <v>179</v>
      </c>
      <c r="G5192" t="s">
        <v>255</v>
      </c>
      <c r="H5192" s="8">
        <v>44104</v>
      </c>
      <c r="I5192" s="8">
        <v>45929</v>
      </c>
      <c r="J5192" t="s">
        <v>156</v>
      </c>
    </row>
    <row r="5193" spans="1:10" x14ac:dyDescent="0.35">
      <c r="A5193" t="s">
        <v>56</v>
      </c>
      <c r="B5193" s="8">
        <v>44835</v>
      </c>
      <c r="C5193">
        <v>6918519</v>
      </c>
      <c r="D5193">
        <v>6918518.9800000004</v>
      </c>
      <c r="E5193">
        <v>0.02</v>
      </c>
      <c r="F5193" t="s">
        <v>179</v>
      </c>
      <c r="G5193" t="s">
        <v>255</v>
      </c>
      <c r="H5193" s="8">
        <v>44104</v>
      </c>
      <c r="I5193" s="8">
        <v>45929</v>
      </c>
      <c r="J5193" t="s">
        <v>156</v>
      </c>
    </row>
    <row r="5194" spans="1:10" x14ac:dyDescent="0.35">
      <c r="A5194" t="s">
        <v>56</v>
      </c>
      <c r="B5194" s="8">
        <v>44866</v>
      </c>
      <c r="C5194">
        <v>6918519</v>
      </c>
      <c r="D5194">
        <v>6918518.9800000004</v>
      </c>
      <c r="E5194">
        <v>0.02</v>
      </c>
      <c r="F5194" t="s">
        <v>179</v>
      </c>
      <c r="G5194" t="s">
        <v>255</v>
      </c>
      <c r="H5194" s="8">
        <v>44104</v>
      </c>
      <c r="I5194" s="8">
        <v>45929</v>
      </c>
      <c r="J5194" t="s">
        <v>156</v>
      </c>
    </row>
    <row r="5195" spans="1:10" x14ac:dyDescent="0.35">
      <c r="A5195" t="s">
        <v>56</v>
      </c>
      <c r="B5195" s="8">
        <v>44896</v>
      </c>
      <c r="C5195">
        <v>6918519</v>
      </c>
      <c r="D5195">
        <v>6918518.9800000004</v>
      </c>
      <c r="E5195">
        <v>0.02</v>
      </c>
      <c r="F5195" t="s">
        <v>179</v>
      </c>
      <c r="G5195" t="s">
        <v>255</v>
      </c>
      <c r="H5195" s="8">
        <v>44104</v>
      </c>
      <c r="I5195" s="8">
        <v>45929</v>
      </c>
      <c r="J5195" t="s">
        <v>156</v>
      </c>
    </row>
    <row r="5196" spans="1:10" x14ac:dyDescent="0.35">
      <c r="A5196" t="s">
        <v>56</v>
      </c>
      <c r="B5196" s="8">
        <v>44927</v>
      </c>
      <c r="C5196">
        <v>6918519</v>
      </c>
      <c r="D5196">
        <v>6918518.9800000004</v>
      </c>
      <c r="E5196">
        <v>0.02</v>
      </c>
      <c r="F5196" t="s">
        <v>179</v>
      </c>
      <c r="G5196" t="s">
        <v>255</v>
      </c>
      <c r="H5196" s="8">
        <v>44104</v>
      </c>
      <c r="I5196" s="8">
        <v>45929</v>
      </c>
      <c r="J5196" t="s">
        <v>156</v>
      </c>
    </row>
    <row r="5197" spans="1:10" x14ac:dyDescent="0.35">
      <c r="A5197" t="s">
        <v>56</v>
      </c>
      <c r="B5197" s="8">
        <v>44958</v>
      </c>
      <c r="C5197">
        <v>6918519</v>
      </c>
      <c r="D5197">
        <v>6918518.9800000004</v>
      </c>
      <c r="E5197">
        <v>0.02</v>
      </c>
      <c r="F5197" t="s">
        <v>179</v>
      </c>
      <c r="G5197" t="s">
        <v>255</v>
      </c>
      <c r="H5197" s="8">
        <v>44104</v>
      </c>
      <c r="I5197" s="8">
        <v>45929</v>
      </c>
      <c r="J5197" t="s">
        <v>156</v>
      </c>
    </row>
    <row r="5198" spans="1:10" x14ac:dyDescent="0.35">
      <c r="A5198" t="s">
        <v>56</v>
      </c>
      <c r="B5198" s="8">
        <v>44986</v>
      </c>
      <c r="C5198">
        <v>6918519</v>
      </c>
      <c r="D5198">
        <v>6918518.9800000004</v>
      </c>
      <c r="E5198">
        <v>0.02</v>
      </c>
      <c r="F5198" t="s">
        <v>179</v>
      </c>
      <c r="G5198" t="s">
        <v>255</v>
      </c>
      <c r="H5198" s="8">
        <v>44104</v>
      </c>
      <c r="I5198" s="8">
        <v>45929</v>
      </c>
      <c r="J5198" t="s">
        <v>156</v>
      </c>
    </row>
    <row r="5199" spans="1:10" x14ac:dyDescent="0.35">
      <c r="A5199" t="s">
        <v>56</v>
      </c>
      <c r="B5199" s="8">
        <v>45017</v>
      </c>
      <c r="C5199">
        <v>6918519</v>
      </c>
      <c r="D5199">
        <v>6918518.9800000004</v>
      </c>
      <c r="E5199">
        <v>0.02</v>
      </c>
      <c r="F5199" t="s">
        <v>179</v>
      </c>
      <c r="G5199" t="s">
        <v>255</v>
      </c>
      <c r="H5199" s="8">
        <v>44104</v>
      </c>
      <c r="I5199" s="8">
        <v>45929</v>
      </c>
      <c r="J5199" t="s">
        <v>156</v>
      </c>
    </row>
    <row r="5200" spans="1:10" x14ac:dyDescent="0.35">
      <c r="A5200" t="s">
        <v>56</v>
      </c>
      <c r="B5200" s="8">
        <v>45047</v>
      </c>
      <c r="C5200">
        <v>6918519</v>
      </c>
      <c r="D5200">
        <v>6918518.9800000004</v>
      </c>
      <c r="E5200">
        <v>0.02</v>
      </c>
      <c r="F5200" t="s">
        <v>179</v>
      </c>
      <c r="G5200" t="s">
        <v>255</v>
      </c>
      <c r="H5200" s="8">
        <v>44104</v>
      </c>
      <c r="I5200" s="8">
        <v>45929</v>
      </c>
      <c r="J5200" t="s">
        <v>156</v>
      </c>
    </row>
    <row r="5201" spans="1:10" x14ac:dyDescent="0.35">
      <c r="A5201" t="s">
        <v>56</v>
      </c>
      <c r="B5201" s="8">
        <v>45078</v>
      </c>
      <c r="C5201">
        <v>6918519</v>
      </c>
      <c r="D5201">
        <v>6918518.9800000004</v>
      </c>
      <c r="E5201">
        <v>0.02</v>
      </c>
      <c r="F5201" t="s">
        <v>179</v>
      </c>
      <c r="G5201" t="s">
        <v>255</v>
      </c>
      <c r="H5201" s="8">
        <v>44104</v>
      </c>
      <c r="I5201" s="8">
        <v>45929</v>
      </c>
      <c r="J5201" t="s">
        <v>156</v>
      </c>
    </row>
    <row r="5202" spans="1:10" x14ac:dyDescent="0.35">
      <c r="A5202" t="s">
        <v>56</v>
      </c>
      <c r="B5202" s="8">
        <v>45108</v>
      </c>
      <c r="C5202">
        <v>6918519</v>
      </c>
      <c r="D5202">
        <v>6918518.9800000004</v>
      </c>
      <c r="E5202">
        <v>0.02</v>
      </c>
      <c r="F5202" t="s">
        <v>179</v>
      </c>
      <c r="G5202" t="s">
        <v>255</v>
      </c>
      <c r="H5202" s="8">
        <v>44104</v>
      </c>
      <c r="I5202" s="8">
        <v>45929</v>
      </c>
      <c r="J5202" t="s">
        <v>156</v>
      </c>
    </row>
    <row r="5203" spans="1:10" x14ac:dyDescent="0.35">
      <c r="A5203" t="s">
        <v>56</v>
      </c>
      <c r="B5203" s="8">
        <v>45139</v>
      </c>
      <c r="C5203">
        <v>6918519</v>
      </c>
      <c r="D5203">
        <v>6918518.9800000004</v>
      </c>
      <c r="E5203">
        <v>0.02</v>
      </c>
      <c r="F5203" t="s">
        <v>179</v>
      </c>
      <c r="G5203" t="s">
        <v>255</v>
      </c>
      <c r="H5203" s="8">
        <v>44104</v>
      </c>
      <c r="I5203" s="8">
        <v>45929</v>
      </c>
      <c r="J5203" t="s">
        <v>156</v>
      </c>
    </row>
    <row r="5204" spans="1:10" x14ac:dyDescent="0.35">
      <c r="A5204" t="s">
        <v>56</v>
      </c>
      <c r="B5204" s="8">
        <v>45170</v>
      </c>
      <c r="C5204">
        <v>6918519</v>
      </c>
      <c r="D5204">
        <v>6918518.9800000004</v>
      </c>
      <c r="E5204">
        <v>0.02</v>
      </c>
      <c r="F5204" t="s">
        <v>179</v>
      </c>
      <c r="G5204" t="s">
        <v>255</v>
      </c>
      <c r="H5204" s="8">
        <v>44104</v>
      </c>
      <c r="I5204" s="8">
        <v>45929</v>
      </c>
      <c r="J5204" t="s">
        <v>156</v>
      </c>
    </row>
    <row r="5205" spans="1:10" x14ac:dyDescent="0.35">
      <c r="A5205" t="s">
        <v>64</v>
      </c>
      <c r="B5205" s="8">
        <v>44440</v>
      </c>
      <c r="C5205">
        <v>1903050</v>
      </c>
      <c r="D5205">
        <v>0</v>
      </c>
      <c r="E5205">
        <v>1903050</v>
      </c>
      <c r="F5205" t="s">
        <v>179</v>
      </c>
      <c r="G5205" t="s">
        <v>252</v>
      </c>
      <c r="H5205" s="8">
        <v>44469</v>
      </c>
      <c r="I5205" s="8">
        <v>46294</v>
      </c>
      <c r="J5205" t="s">
        <v>156</v>
      </c>
    </row>
    <row r="5206" spans="1:10" x14ac:dyDescent="0.35">
      <c r="A5206" t="s">
        <v>64</v>
      </c>
      <c r="B5206" s="8">
        <v>44470</v>
      </c>
      <c r="C5206">
        <v>1903050</v>
      </c>
      <c r="D5206">
        <v>120000</v>
      </c>
      <c r="E5206">
        <v>1783050</v>
      </c>
      <c r="F5206" t="s">
        <v>179</v>
      </c>
      <c r="G5206" t="s">
        <v>252</v>
      </c>
      <c r="H5206" s="8">
        <v>44469</v>
      </c>
      <c r="I5206" s="8">
        <v>46294</v>
      </c>
      <c r="J5206" t="s">
        <v>156</v>
      </c>
    </row>
    <row r="5207" spans="1:10" x14ac:dyDescent="0.35">
      <c r="A5207" t="s">
        <v>64</v>
      </c>
      <c r="B5207" s="8">
        <v>44501</v>
      </c>
      <c r="C5207">
        <v>1903050</v>
      </c>
      <c r="D5207">
        <v>250000</v>
      </c>
      <c r="E5207">
        <v>1653050</v>
      </c>
      <c r="F5207" t="s">
        <v>179</v>
      </c>
      <c r="G5207" t="s">
        <v>252</v>
      </c>
      <c r="H5207" s="8">
        <v>44469</v>
      </c>
      <c r="I5207" s="8">
        <v>46294</v>
      </c>
      <c r="J5207" t="s">
        <v>156</v>
      </c>
    </row>
    <row r="5208" spans="1:10" x14ac:dyDescent="0.35">
      <c r="A5208" t="s">
        <v>64</v>
      </c>
      <c r="B5208" s="8">
        <v>44531</v>
      </c>
      <c r="C5208">
        <v>1903050</v>
      </c>
      <c r="D5208">
        <v>393763</v>
      </c>
      <c r="E5208">
        <v>1509287</v>
      </c>
      <c r="F5208" t="s">
        <v>179</v>
      </c>
      <c r="G5208" t="s">
        <v>252</v>
      </c>
      <c r="H5208" s="8">
        <v>44469</v>
      </c>
      <c r="I5208" s="8">
        <v>46294</v>
      </c>
      <c r="J5208" t="s">
        <v>156</v>
      </c>
    </row>
    <row r="5209" spans="1:10" x14ac:dyDescent="0.35">
      <c r="A5209" t="s">
        <v>64</v>
      </c>
      <c r="B5209" s="8">
        <v>44562</v>
      </c>
      <c r="C5209">
        <v>1903050</v>
      </c>
      <c r="D5209">
        <v>443763</v>
      </c>
      <c r="E5209">
        <v>1459287</v>
      </c>
      <c r="F5209" t="s">
        <v>179</v>
      </c>
      <c r="G5209" t="s">
        <v>252</v>
      </c>
      <c r="H5209" s="8">
        <v>44469</v>
      </c>
      <c r="I5209" s="8">
        <v>46294</v>
      </c>
      <c r="J5209" t="s">
        <v>156</v>
      </c>
    </row>
    <row r="5210" spans="1:10" x14ac:dyDescent="0.35">
      <c r="A5210" t="s">
        <v>64</v>
      </c>
      <c r="B5210" s="8">
        <v>44593</v>
      </c>
      <c r="C5210">
        <v>1903050</v>
      </c>
      <c r="D5210">
        <v>583763</v>
      </c>
      <c r="E5210">
        <v>1319287</v>
      </c>
      <c r="F5210" t="s">
        <v>179</v>
      </c>
      <c r="G5210" t="s">
        <v>252</v>
      </c>
      <c r="H5210" s="8">
        <v>44469</v>
      </c>
      <c r="I5210" s="8">
        <v>46294</v>
      </c>
      <c r="J5210" t="s">
        <v>156</v>
      </c>
    </row>
    <row r="5211" spans="1:10" x14ac:dyDescent="0.35">
      <c r="A5211" t="s">
        <v>64</v>
      </c>
      <c r="B5211" s="8">
        <v>44621</v>
      </c>
      <c r="C5211">
        <v>1903050</v>
      </c>
      <c r="D5211">
        <v>848763</v>
      </c>
      <c r="E5211">
        <v>1054287</v>
      </c>
      <c r="F5211" t="s">
        <v>179</v>
      </c>
      <c r="G5211" t="s">
        <v>252</v>
      </c>
      <c r="H5211" s="8">
        <v>44469</v>
      </c>
      <c r="I5211" s="8">
        <v>46294</v>
      </c>
      <c r="J5211" t="s">
        <v>156</v>
      </c>
    </row>
    <row r="5212" spans="1:10" x14ac:dyDescent="0.35">
      <c r="A5212" t="s">
        <v>64</v>
      </c>
      <c r="B5212" s="8">
        <v>44652</v>
      </c>
      <c r="C5212">
        <v>1903050</v>
      </c>
      <c r="D5212">
        <v>848763</v>
      </c>
      <c r="E5212">
        <v>1054287</v>
      </c>
      <c r="F5212" t="s">
        <v>179</v>
      </c>
      <c r="G5212" t="s">
        <v>252</v>
      </c>
      <c r="H5212" s="8">
        <v>44469</v>
      </c>
      <c r="I5212" s="8">
        <v>46294</v>
      </c>
      <c r="J5212" t="s">
        <v>156</v>
      </c>
    </row>
    <row r="5213" spans="1:10" x14ac:dyDescent="0.35">
      <c r="A5213" t="s">
        <v>64</v>
      </c>
      <c r="B5213" s="8">
        <v>44682</v>
      </c>
      <c r="C5213">
        <v>1903050</v>
      </c>
      <c r="D5213">
        <v>1048763</v>
      </c>
      <c r="E5213">
        <v>854287</v>
      </c>
      <c r="F5213" t="s">
        <v>179</v>
      </c>
      <c r="G5213" t="s">
        <v>252</v>
      </c>
      <c r="H5213" s="8">
        <v>44469</v>
      </c>
      <c r="I5213" s="8">
        <v>46294</v>
      </c>
      <c r="J5213" t="s">
        <v>156</v>
      </c>
    </row>
    <row r="5214" spans="1:10" x14ac:dyDescent="0.35">
      <c r="A5214" t="s">
        <v>64</v>
      </c>
      <c r="B5214" s="8">
        <v>44713</v>
      </c>
      <c r="C5214">
        <v>1903050</v>
      </c>
      <c r="D5214">
        <v>1048763</v>
      </c>
      <c r="E5214">
        <v>854287</v>
      </c>
      <c r="F5214" t="s">
        <v>179</v>
      </c>
      <c r="G5214" t="s">
        <v>252</v>
      </c>
      <c r="H5214" s="8">
        <v>44469</v>
      </c>
      <c r="I5214" s="8">
        <v>46294</v>
      </c>
      <c r="J5214" t="s">
        <v>156</v>
      </c>
    </row>
    <row r="5215" spans="1:10" x14ac:dyDescent="0.35">
      <c r="A5215" t="s">
        <v>64</v>
      </c>
      <c r="B5215" s="8">
        <v>44743</v>
      </c>
      <c r="C5215">
        <v>1903050</v>
      </c>
      <c r="D5215">
        <v>1255013</v>
      </c>
      <c r="E5215">
        <v>648037</v>
      </c>
      <c r="F5215" t="s">
        <v>179</v>
      </c>
      <c r="G5215" t="s">
        <v>252</v>
      </c>
      <c r="H5215" s="8">
        <v>44469</v>
      </c>
      <c r="I5215" s="8">
        <v>46294</v>
      </c>
      <c r="J5215" t="s">
        <v>156</v>
      </c>
    </row>
    <row r="5216" spans="1:10" x14ac:dyDescent="0.35">
      <c r="A5216" t="s">
        <v>64</v>
      </c>
      <c r="B5216" s="8">
        <v>44774</v>
      </c>
      <c r="C5216">
        <v>1903050</v>
      </c>
      <c r="D5216">
        <v>1255013</v>
      </c>
      <c r="E5216">
        <v>648037</v>
      </c>
      <c r="F5216" t="s">
        <v>179</v>
      </c>
      <c r="G5216" t="s">
        <v>252</v>
      </c>
      <c r="H5216" s="8">
        <v>44469</v>
      </c>
      <c r="I5216" s="8">
        <v>46294</v>
      </c>
      <c r="J5216" t="s">
        <v>156</v>
      </c>
    </row>
    <row r="5217" spans="1:10" x14ac:dyDescent="0.35">
      <c r="A5217" t="s">
        <v>64</v>
      </c>
      <c r="B5217" s="8">
        <v>44805</v>
      </c>
      <c r="C5217">
        <v>1903050</v>
      </c>
      <c r="D5217">
        <v>1498050</v>
      </c>
      <c r="E5217">
        <v>405000</v>
      </c>
      <c r="F5217" t="s">
        <v>179</v>
      </c>
      <c r="G5217" t="s">
        <v>252</v>
      </c>
      <c r="H5217" s="8">
        <v>44469</v>
      </c>
      <c r="I5217" s="8">
        <v>46294</v>
      </c>
      <c r="J5217" t="s">
        <v>156</v>
      </c>
    </row>
    <row r="5218" spans="1:10" x14ac:dyDescent="0.35">
      <c r="A5218" t="s">
        <v>64</v>
      </c>
      <c r="B5218" s="8">
        <v>44835</v>
      </c>
      <c r="C5218">
        <v>1903050</v>
      </c>
      <c r="D5218">
        <v>1498050</v>
      </c>
      <c r="E5218">
        <v>405000</v>
      </c>
      <c r="F5218" t="s">
        <v>179</v>
      </c>
      <c r="G5218" t="s">
        <v>252</v>
      </c>
      <c r="H5218" s="8">
        <v>44469</v>
      </c>
      <c r="I5218" s="8">
        <v>46294</v>
      </c>
      <c r="J5218" t="s">
        <v>156</v>
      </c>
    </row>
    <row r="5219" spans="1:10" x14ac:dyDescent="0.35">
      <c r="A5219" t="s">
        <v>64</v>
      </c>
      <c r="B5219" s="8">
        <v>44866</v>
      </c>
      <c r="C5219">
        <v>1903050</v>
      </c>
      <c r="D5219">
        <v>1503050</v>
      </c>
      <c r="E5219">
        <v>400000</v>
      </c>
      <c r="F5219" t="s">
        <v>179</v>
      </c>
      <c r="G5219" t="s">
        <v>252</v>
      </c>
      <c r="H5219" s="8">
        <v>44469</v>
      </c>
      <c r="I5219" s="8">
        <v>46294</v>
      </c>
      <c r="J5219" t="s">
        <v>156</v>
      </c>
    </row>
    <row r="5220" spans="1:10" x14ac:dyDescent="0.35">
      <c r="A5220" t="s">
        <v>64</v>
      </c>
      <c r="B5220" s="8">
        <v>44896</v>
      </c>
      <c r="C5220">
        <v>1903050</v>
      </c>
      <c r="D5220">
        <v>1518050</v>
      </c>
      <c r="E5220">
        <v>385000</v>
      </c>
      <c r="F5220" t="s">
        <v>179</v>
      </c>
      <c r="G5220" t="s">
        <v>252</v>
      </c>
      <c r="H5220" s="8">
        <v>44469</v>
      </c>
      <c r="I5220" s="8">
        <v>46294</v>
      </c>
      <c r="J5220" t="s">
        <v>156</v>
      </c>
    </row>
    <row r="5221" spans="1:10" x14ac:dyDescent="0.35">
      <c r="A5221" t="s">
        <v>64</v>
      </c>
      <c r="B5221" s="8">
        <v>44927</v>
      </c>
      <c r="C5221">
        <v>1903050</v>
      </c>
      <c r="D5221">
        <v>1538050</v>
      </c>
      <c r="E5221">
        <v>365000</v>
      </c>
      <c r="F5221" t="s">
        <v>179</v>
      </c>
      <c r="G5221" t="s">
        <v>252</v>
      </c>
      <c r="H5221" s="8">
        <v>44469</v>
      </c>
      <c r="I5221" s="8">
        <v>46294</v>
      </c>
      <c r="J5221" t="s">
        <v>156</v>
      </c>
    </row>
    <row r="5222" spans="1:10" x14ac:dyDescent="0.35">
      <c r="A5222" t="s">
        <v>64</v>
      </c>
      <c r="B5222" s="8">
        <v>44958</v>
      </c>
      <c r="C5222">
        <v>1903050</v>
      </c>
      <c r="D5222">
        <v>1643050</v>
      </c>
      <c r="E5222">
        <v>260000</v>
      </c>
      <c r="F5222" t="s">
        <v>179</v>
      </c>
      <c r="G5222" t="s">
        <v>252</v>
      </c>
      <c r="H5222" s="8">
        <v>44469</v>
      </c>
      <c r="I5222" s="8">
        <v>46294</v>
      </c>
      <c r="J5222" t="s">
        <v>156</v>
      </c>
    </row>
    <row r="5223" spans="1:10" x14ac:dyDescent="0.35">
      <c r="A5223" t="s">
        <v>64</v>
      </c>
      <c r="B5223" s="8">
        <v>44986</v>
      </c>
      <c r="C5223">
        <v>1903050</v>
      </c>
      <c r="D5223">
        <v>1793050</v>
      </c>
      <c r="E5223">
        <v>110000</v>
      </c>
      <c r="F5223" t="s">
        <v>179</v>
      </c>
      <c r="G5223" t="s">
        <v>252</v>
      </c>
      <c r="H5223" s="8">
        <v>44469</v>
      </c>
      <c r="I5223" s="8">
        <v>46294</v>
      </c>
      <c r="J5223" t="s">
        <v>156</v>
      </c>
    </row>
    <row r="5224" spans="1:10" x14ac:dyDescent="0.35">
      <c r="A5224" t="s">
        <v>64</v>
      </c>
      <c r="B5224" s="8">
        <v>45017</v>
      </c>
      <c r="C5224">
        <v>1903050</v>
      </c>
      <c r="D5224">
        <v>1893050</v>
      </c>
      <c r="E5224">
        <v>10000</v>
      </c>
      <c r="F5224" t="s">
        <v>179</v>
      </c>
      <c r="G5224" t="s">
        <v>252</v>
      </c>
      <c r="H5224" s="8">
        <v>44469</v>
      </c>
      <c r="I5224" s="8">
        <v>46294</v>
      </c>
      <c r="J5224" t="s">
        <v>156</v>
      </c>
    </row>
    <row r="5225" spans="1:10" x14ac:dyDescent="0.35">
      <c r="A5225" t="s">
        <v>64</v>
      </c>
      <c r="B5225" s="8">
        <v>45047</v>
      </c>
      <c r="C5225">
        <v>1903050</v>
      </c>
      <c r="D5225">
        <v>1893050</v>
      </c>
      <c r="E5225">
        <v>10000</v>
      </c>
      <c r="F5225" t="s">
        <v>179</v>
      </c>
      <c r="G5225" t="s">
        <v>252</v>
      </c>
      <c r="H5225" s="8">
        <v>44469</v>
      </c>
      <c r="I5225" s="8">
        <v>46294</v>
      </c>
      <c r="J5225" t="s">
        <v>156</v>
      </c>
    </row>
    <row r="5226" spans="1:10" x14ac:dyDescent="0.35">
      <c r="A5226" t="s">
        <v>64</v>
      </c>
      <c r="B5226" s="8">
        <v>45078</v>
      </c>
      <c r="C5226">
        <v>1903050</v>
      </c>
      <c r="D5226">
        <v>1903050</v>
      </c>
      <c r="E5226">
        <v>0</v>
      </c>
      <c r="F5226" t="s">
        <v>179</v>
      </c>
      <c r="G5226" t="s">
        <v>252</v>
      </c>
      <c r="H5226" s="8">
        <v>44469</v>
      </c>
      <c r="I5226" s="8">
        <v>46294</v>
      </c>
      <c r="J5226" t="s">
        <v>156</v>
      </c>
    </row>
    <row r="5227" spans="1:10" x14ac:dyDescent="0.35">
      <c r="A5227" t="s">
        <v>64</v>
      </c>
      <c r="B5227" s="8">
        <v>45108</v>
      </c>
      <c r="C5227">
        <v>1903050</v>
      </c>
      <c r="D5227">
        <v>1903050</v>
      </c>
      <c r="E5227">
        <v>0</v>
      </c>
      <c r="F5227" t="s">
        <v>179</v>
      </c>
      <c r="G5227" t="s">
        <v>252</v>
      </c>
      <c r="H5227" s="8">
        <v>44469</v>
      </c>
      <c r="I5227" s="8">
        <v>46294</v>
      </c>
      <c r="J5227" t="s">
        <v>156</v>
      </c>
    </row>
    <row r="5228" spans="1:10" x14ac:dyDescent="0.35">
      <c r="A5228" t="s">
        <v>64</v>
      </c>
      <c r="B5228" s="8">
        <v>45139</v>
      </c>
      <c r="C5228">
        <v>1903050</v>
      </c>
      <c r="D5228">
        <v>1903050</v>
      </c>
      <c r="E5228">
        <v>0</v>
      </c>
      <c r="F5228" t="s">
        <v>179</v>
      </c>
      <c r="G5228" t="s">
        <v>252</v>
      </c>
      <c r="H5228" s="8">
        <v>44469</v>
      </c>
      <c r="I5228" s="8">
        <v>46294</v>
      </c>
      <c r="J5228" t="s">
        <v>156</v>
      </c>
    </row>
    <row r="5229" spans="1:10" x14ac:dyDescent="0.35">
      <c r="A5229" t="s">
        <v>64</v>
      </c>
      <c r="B5229" s="8">
        <v>45170</v>
      </c>
      <c r="C5229">
        <v>1903050</v>
      </c>
      <c r="D5229">
        <v>1903050</v>
      </c>
      <c r="E5229">
        <v>0</v>
      </c>
      <c r="F5229" t="s">
        <v>179</v>
      </c>
      <c r="G5229" t="s">
        <v>252</v>
      </c>
      <c r="H5229" s="8">
        <v>44469</v>
      </c>
      <c r="I5229" s="8">
        <v>46294</v>
      </c>
      <c r="J5229" t="s">
        <v>156</v>
      </c>
    </row>
    <row r="5230" spans="1:10" x14ac:dyDescent="0.35">
      <c r="A5230" t="s">
        <v>178</v>
      </c>
      <c r="B5230" s="8">
        <v>44986</v>
      </c>
      <c r="C5230">
        <v>384584</v>
      </c>
      <c r="D5230">
        <v>0</v>
      </c>
      <c r="E5230">
        <v>384584</v>
      </c>
      <c r="F5230" t="s">
        <v>179</v>
      </c>
      <c r="G5230" t="s">
        <v>180</v>
      </c>
      <c r="H5230" s="8">
        <v>44469</v>
      </c>
      <c r="I5230" s="8">
        <v>46294</v>
      </c>
      <c r="J5230" t="s">
        <v>156</v>
      </c>
    </row>
    <row r="5231" spans="1:10" x14ac:dyDescent="0.35">
      <c r="A5231" t="s">
        <v>178</v>
      </c>
      <c r="B5231" s="8">
        <v>45017</v>
      </c>
      <c r="C5231">
        <v>384584</v>
      </c>
      <c r="D5231">
        <v>0</v>
      </c>
      <c r="E5231">
        <v>384584</v>
      </c>
      <c r="F5231" t="s">
        <v>179</v>
      </c>
      <c r="G5231" t="s">
        <v>180</v>
      </c>
      <c r="H5231" s="8">
        <v>44469</v>
      </c>
      <c r="I5231" s="8">
        <v>46294</v>
      </c>
      <c r="J5231" t="s">
        <v>156</v>
      </c>
    </row>
    <row r="5232" spans="1:10" x14ac:dyDescent="0.35">
      <c r="A5232" t="s">
        <v>178</v>
      </c>
      <c r="B5232" s="8">
        <v>45047</v>
      </c>
      <c r="C5232">
        <v>384584</v>
      </c>
      <c r="D5232">
        <v>0</v>
      </c>
      <c r="E5232">
        <v>384584</v>
      </c>
      <c r="F5232" t="s">
        <v>179</v>
      </c>
      <c r="G5232" t="s">
        <v>180</v>
      </c>
      <c r="H5232" s="8">
        <v>44469</v>
      </c>
      <c r="I5232" s="8">
        <v>46294</v>
      </c>
      <c r="J5232" t="s">
        <v>156</v>
      </c>
    </row>
    <row r="5233" spans="1:10" x14ac:dyDescent="0.35">
      <c r="A5233" t="s">
        <v>178</v>
      </c>
      <c r="B5233" s="8">
        <v>45078</v>
      </c>
      <c r="C5233">
        <v>384584</v>
      </c>
      <c r="D5233">
        <v>0</v>
      </c>
      <c r="E5233">
        <v>384584</v>
      </c>
      <c r="F5233" t="s">
        <v>179</v>
      </c>
      <c r="G5233" t="s">
        <v>180</v>
      </c>
      <c r="H5233" s="8">
        <v>44469</v>
      </c>
      <c r="I5233" s="8">
        <v>46294</v>
      </c>
      <c r="J5233" t="s">
        <v>156</v>
      </c>
    </row>
    <row r="5234" spans="1:10" x14ac:dyDescent="0.35">
      <c r="A5234" t="s">
        <v>178</v>
      </c>
      <c r="B5234" s="8">
        <v>45108</v>
      </c>
      <c r="C5234">
        <v>384584</v>
      </c>
      <c r="D5234">
        <v>0</v>
      </c>
      <c r="E5234">
        <v>384584</v>
      </c>
      <c r="F5234" t="s">
        <v>179</v>
      </c>
      <c r="G5234" t="s">
        <v>180</v>
      </c>
      <c r="H5234" s="8">
        <v>44469</v>
      </c>
      <c r="I5234" s="8">
        <v>46294</v>
      </c>
      <c r="J5234" t="s">
        <v>156</v>
      </c>
    </row>
    <row r="5235" spans="1:10" x14ac:dyDescent="0.35">
      <c r="A5235" t="s">
        <v>178</v>
      </c>
      <c r="B5235" s="8">
        <v>45139</v>
      </c>
      <c r="C5235">
        <v>384584</v>
      </c>
      <c r="D5235">
        <v>0</v>
      </c>
      <c r="E5235">
        <v>384584</v>
      </c>
      <c r="F5235" t="s">
        <v>179</v>
      </c>
      <c r="G5235" t="s">
        <v>180</v>
      </c>
      <c r="H5235" s="8">
        <v>44469</v>
      </c>
      <c r="I5235" s="8">
        <v>46294</v>
      </c>
      <c r="J5235" t="s">
        <v>156</v>
      </c>
    </row>
    <row r="5236" spans="1:10" x14ac:dyDescent="0.35">
      <c r="A5236" t="s">
        <v>178</v>
      </c>
      <c r="B5236" s="8">
        <v>45170</v>
      </c>
      <c r="C5236">
        <v>961922</v>
      </c>
      <c r="D5236">
        <v>124745</v>
      </c>
      <c r="E5236">
        <v>837177</v>
      </c>
      <c r="F5236" t="s">
        <v>179</v>
      </c>
      <c r="G5236" t="s">
        <v>180</v>
      </c>
      <c r="H5236" s="8">
        <v>44469</v>
      </c>
      <c r="I5236" s="8">
        <v>46294</v>
      </c>
      <c r="J5236" t="s">
        <v>156</v>
      </c>
    </row>
    <row r="5237" spans="1:10" x14ac:dyDescent="0.35">
      <c r="A5237" t="s">
        <v>80</v>
      </c>
      <c r="B5237" s="8">
        <v>44105</v>
      </c>
      <c r="C5237">
        <v>2976906</v>
      </c>
      <c r="D5237">
        <v>0</v>
      </c>
      <c r="E5237">
        <v>2976906</v>
      </c>
      <c r="F5237" t="s">
        <v>179</v>
      </c>
      <c r="G5237" t="s">
        <v>284</v>
      </c>
      <c r="H5237" s="8">
        <v>44104</v>
      </c>
      <c r="I5237" s="8">
        <v>45929</v>
      </c>
      <c r="J5237" t="s">
        <v>156</v>
      </c>
    </row>
    <row r="5238" spans="1:10" x14ac:dyDescent="0.35">
      <c r="A5238" t="s">
        <v>80</v>
      </c>
      <c r="B5238" s="8">
        <v>44136</v>
      </c>
      <c r="C5238">
        <v>2976906</v>
      </c>
      <c r="D5238">
        <v>0</v>
      </c>
      <c r="E5238">
        <v>2976906</v>
      </c>
      <c r="F5238" t="s">
        <v>179</v>
      </c>
      <c r="G5238" t="s">
        <v>284</v>
      </c>
      <c r="H5238" s="8">
        <v>44104</v>
      </c>
      <c r="I5238" s="8">
        <v>45929</v>
      </c>
      <c r="J5238" t="s">
        <v>156</v>
      </c>
    </row>
    <row r="5239" spans="1:10" x14ac:dyDescent="0.35">
      <c r="A5239" t="s">
        <v>80</v>
      </c>
      <c r="B5239" s="8">
        <v>44166</v>
      </c>
      <c r="C5239">
        <v>2976906</v>
      </c>
      <c r="D5239">
        <v>0</v>
      </c>
      <c r="E5239">
        <v>2976906</v>
      </c>
      <c r="F5239" t="s">
        <v>179</v>
      </c>
      <c r="G5239" t="s">
        <v>284</v>
      </c>
      <c r="H5239" s="8">
        <v>44104</v>
      </c>
      <c r="I5239" s="8">
        <v>45929</v>
      </c>
      <c r="J5239" t="s">
        <v>156</v>
      </c>
    </row>
    <row r="5240" spans="1:10" x14ac:dyDescent="0.35">
      <c r="A5240" t="s">
        <v>80</v>
      </c>
      <c r="B5240" s="8">
        <v>44197</v>
      </c>
      <c r="C5240">
        <v>2976906</v>
      </c>
      <c r="D5240">
        <v>1068752.31</v>
      </c>
      <c r="E5240">
        <v>1908153.69</v>
      </c>
      <c r="F5240" t="s">
        <v>179</v>
      </c>
      <c r="G5240" t="s">
        <v>284</v>
      </c>
      <c r="H5240" s="8">
        <v>44104</v>
      </c>
      <c r="I5240" s="8">
        <v>45929</v>
      </c>
      <c r="J5240" t="s">
        <v>156</v>
      </c>
    </row>
    <row r="5241" spans="1:10" x14ac:dyDescent="0.35">
      <c r="A5241" t="s">
        <v>80</v>
      </c>
      <c r="B5241" s="8">
        <v>44228</v>
      </c>
      <c r="C5241">
        <v>2976906</v>
      </c>
      <c r="D5241">
        <v>1260025.31</v>
      </c>
      <c r="E5241">
        <v>1716880.69</v>
      </c>
      <c r="F5241" t="s">
        <v>179</v>
      </c>
      <c r="G5241" t="s">
        <v>284</v>
      </c>
      <c r="H5241" s="8">
        <v>44104</v>
      </c>
      <c r="I5241" s="8">
        <v>45929</v>
      </c>
      <c r="J5241" t="s">
        <v>156</v>
      </c>
    </row>
    <row r="5242" spans="1:10" x14ac:dyDescent="0.35">
      <c r="A5242" t="s">
        <v>80</v>
      </c>
      <c r="B5242" s="8">
        <v>44256</v>
      </c>
      <c r="C5242">
        <v>2976906</v>
      </c>
      <c r="D5242">
        <v>1349209.31</v>
      </c>
      <c r="E5242">
        <v>1627696.69</v>
      </c>
      <c r="F5242" t="s">
        <v>179</v>
      </c>
      <c r="G5242" t="s">
        <v>284</v>
      </c>
      <c r="H5242" s="8">
        <v>44104</v>
      </c>
      <c r="I5242" s="8">
        <v>45929</v>
      </c>
      <c r="J5242" t="s">
        <v>156</v>
      </c>
    </row>
    <row r="5243" spans="1:10" x14ac:dyDescent="0.35">
      <c r="A5243" t="s">
        <v>80</v>
      </c>
      <c r="B5243" s="8">
        <v>44287</v>
      </c>
      <c r="C5243">
        <v>2976906</v>
      </c>
      <c r="D5243">
        <v>1349209.31</v>
      </c>
      <c r="E5243">
        <v>1627696.69</v>
      </c>
      <c r="F5243" t="s">
        <v>179</v>
      </c>
      <c r="G5243" t="s">
        <v>284</v>
      </c>
      <c r="H5243" s="8">
        <v>44104</v>
      </c>
      <c r="I5243" s="8">
        <v>45929</v>
      </c>
      <c r="J5243" t="s">
        <v>156</v>
      </c>
    </row>
    <row r="5244" spans="1:10" x14ac:dyDescent="0.35">
      <c r="A5244" t="s">
        <v>80</v>
      </c>
      <c r="B5244" s="8">
        <v>44317</v>
      </c>
      <c r="C5244">
        <v>2976906</v>
      </c>
      <c r="D5244">
        <v>1464275.31</v>
      </c>
      <c r="E5244">
        <v>1512630.69</v>
      </c>
      <c r="F5244" t="s">
        <v>179</v>
      </c>
      <c r="G5244" t="s">
        <v>284</v>
      </c>
      <c r="H5244" s="8">
        <v>44104</v>
      </c>
      <c r="I5244" s="8">
        <v>45929</v>
      </c>
      <c r="J5244" t="s">
        <v>156</v>
      </c>
    </row>
    <row r="5245" spans="1:10" x14ac:dyDescent="0.35">
      <c r="A5245" t="s">
        <v>80</v>
      </c>
      <c r="B5245" s="8">
        <v>44348</v>
      </c>
      <c r="C5245">
        <v>2976906</v>
      </c>
      <c r="D5245">
        <v>1464275.31</v>
      </c>
      <c r="E5245">
        <v>1512630.69</v>
      </c>
      <c r="F5245" t="s">
        <v>179</v>
      </c>
      <c r="G5245" t="s">
        <v>284</v>
      </c>
      <c r="H5245" s="8">
        <v>44104</v>
      </c>
      <c r="I5245" s="8">
        <v>45929</v>
      </c>
      <c r="J5245" t="s">
        <v>156</v>
      </c>
    </row>
    <row r="5246" spans="1:10" x14ac:dyDescent="0.35">
      <c r="A5246" t="s">
        <v>80</v>
      </c>
      <c r="B5246" s="8">
        <v>44378</v>
      </c>
      <c r="C5246">
        <v>2976906</v>
      </c>
      <c r="D5246">
        <v>1464275.31</v>
      </c>
      <c r="E5246">
        <v>1512630.69</v>
      </c>
      <c r="F5246" t="s">
        <v>179</v>
      </c>
      <c r="G5246" t="s">
        <v>284</v>
      </c>
      <c r="H5246" s="8">
        <v>44104</v>
      </c>
      <c r="I5246" s="8">
        <v>45929</v>
      </c>
      <c r="J5246" t="s">
        <v>156</v>
      </c>
    </row>
    <row r="5247" spans="1:10" x14ac:dyDescent="0.35">
      <c r="A5247" t="s">
        <v>80</v>
      </c>
      <c r="B5247" s="8">
        <v>44409</v>
      </c>
      <c r="C5247">
        <v>2976906</v>
      </c>
      <c r="D5247">
        <v>1579341.31</v>
      </c>
      <c r="E5247">
        <v>1397564.69</v>
      </c>
      <c r="F5247" t="s">
        <v>179</v>
      </c>
      <c r="G5247" t="s">
        <v>284</v>
      </c>
      <c r="H5247" s="8">
        <v>44104</v>
      </c>
      <c r="I5247" s="8">
        <v>45929</v>
      </c>
      <c r="J5247" t="s">
        <v>156</v>
      </c>
    </row>
    <row r="5248" spans="1:10" x14ac:dyDescent="0.35">
      <c r="A5248" t="s">
        <v>80</v>
      </c>
      <c r="B5248" s="8">
        <v>44440</v>
      </c>
      <c r="C5248">
        <v>2976906</v>
      </c>
      <c r="D5248" s="12" t="s">
        <v>285</v>
      </c>
      <c r="E5248">
        <v>931430.97</v>
      </c>
      <c r="F5248" t="s">
        <v>179</v>
      </c>
      <c r="G5248" t="s">
        <v>284</v>
      </c>
      <c r="H5248" s="8">
        <v>44104</v>
      </c>
      <c r="I5248" s="8">
        <v>45929</v>
      </c>
      <c r="J5248" t="s">
        <v>156</v>
      </c>
    </row>
    <row r="5249" spans="1:10" x14ac:dyDescent="0.35">
      <c r="A5249" t="s">
        <v>80</v>
      </c>
      <c r="B5249" s="8">
        <v>44470</v>
      </c>
      <c r="C5249">
        <v>2976906</v>
      </c>
      <c r="D5249" s="12" t="s">
        <v>285</v>
      </c>
      <c r="E5249">
        <v>931430.97</v>
      </c>
      <c r="F5249" t="s">
        <v>179</v>
      </c>
      <c r="G5249" t="s">
        <v>284</v>
      </c>
      <c r="H5249" s="8">
        <v>44104</v>
      </c>
      <c r="I5249" s="8">
        <v>45929</v>
      </c>
      <c r="J5249" t="s">
        <v>156</v>
      </c>
    </row>
    <row r="5250" spans="1:10" x14ac:dyDescent="0.35">
      <c r="A5250" t="s">
        <v>80</v>
      </c>
      <c r="B5250" s="8">
        <v>44501</v>
      </c>
      <c r="C5250">
        <v>2976906</v>
      </c>
      <c r="D5250" s="12" t="s">
        <v>285</v>
      </c>
      <c r="E5250">
        <v>931430.97</v>
      </c>
      <c r="F5250" t="s">
        <v>179</v>
      </c>
      <c r="G5250" t="s">
        <v>284</v>
      </c>
      <c r="H5250" s="8">
        <v>44104</v>
      </c>
      <c r="I5250" s="8">
        <v>45929</v>
      </c>
      <c r="J5250" t="s">
        <v>156</v>
      </c>
    </row>
    <row r="5251" spans="1:10" x14ac:dyDescent="0.35">
      <c r="A5251" t="s">
        <v>80</v>
      </c>
      <c r="B5251" s="8">
        <v>44531</v>
      </c>
      <c r="C5251">
        <v>2976906</v>
      </c>
      <c r="D5251">
        <v>2329077.0299999998</v>
      </c>
      <c r="E5251">
        <v>647828.97</v>
      </c>
      <c r="F5251" t="s">
        <v>179</v>
      </c>
      <c r="G5251" t="s">
        <v>284</v>
      </c>
      <c r="H5251" s="8">
        <v>44104</v>
      </c>
      <c r="I5251" s="8">
        <v>45929</v>
      </c>
      <c r="J5251" t="s">
        <v>156</v>
      </c>
    </row>
    <row r="5252" spans="1:10" x14ac:dyDescent="0.35">
      <c r="A5252" t="s">
        <v>80</v>
      </c>
      <c r="B5252" s="8">
        <v>44562</v>
      </c>
      <c r="C5252">
        <v>2976906</v>
      </c>
      <c r="D5252">
        <v>2329077.0299999998</v>
      </c>
      <c r="E5252">
        <v>647828.97</v>
      </c>
      <c r="F5252" t="s">
        <v>179</v>
      </c>
      <c r="G5252" t="s">
        <v>284</v>
      </c>
      <c r="H5252" s="8">
        <v>44104</v>
      </c>
      <c r="I5252" s="8">
        <v>45929</v>
      </c>
      <c r="J5252" t="s">
        <v>156</v>
      </c>
    </row>
    <row r="5253" spans="1:10" x14ac:dyDescent="0.35">
      <c r="A5253" t="s">
        <v>80</v>
      </c>
      <c r="B5253" s="8">
        <v>44593</v>
      </c>
      <c r="C5253">
        <v>2976906</v>
      </c>
      <c r="D5253">
        <v>2529077.0299999998</v>
      </c>
      <c r="E5253">
        <v>447828.97</v>
      </c>
      <c r="F5253" t="s">
        <v>179</v>
      </c>
      <c r="G5253" t="s">
        <v>284</v>
      </c>
      <c r="H5253" s="8">
        <v>44104</v>
      </c>
      <c r="I5253" s="8">
        <v>45929</v>
      </c>
      <c r="J5253" t="s">
        <v>156</v>
      </c>
    </row>
    <row r="5254" spans="1:10" x14ac:dyDescent="0.35">
      <c r="A5254" t="s">
        <v>80</v>
      </c>
      <c r="B5254" s="8">
        <v>44621</v>
      </c>
      <c r="C5254">
        <v>2976906</v>
      </c>
      <c r="D5254">
        <v>2529077.0299999998</v>
      </c>
      <c r="E5254">
        <v>447828.97</v>
      </c>
      <c r="F5254" t="s">
        <v>179</v>
      </c>
      <c r="G5254" t="s">
        <v>284</v>
      </c>
      <c r="H5254" s="8">
        <v>44104</v>
      </c>
      <c r="I5254" s="8">
        <v>45929</v>
      </c>
      <c r="J5254" t="s">
        <v>156</v>
      </c>
    </row>
    <row r="5255" spans="1:10" x14ac:dyDescent="0.35">
      <c r="A5255" t="s">
        <v>80</v>
      </c>
      <c r="B5255" s="8">
        <v>44652</v>
      </c>
      <c r="C5255">
        <v>2976906</v>
      </c>
      <c r="D5255">
        <v>2529077.0299999998</v>
      </c>
      <c r="E5255">
        <v>447828.97</v>
      </c>
      <c r="F5255" t="s">
        <v>179</v>
      </c>
      <c r="G5255" t="s">
        <v>284</v>
      </c>
      <c r="H5255" s="8">
        <v>44104</v>
      </c>
      <c r="I5255" s="8">
        <v>45929</v>
      </c>
      <c r="J5255" t="s">
        <v>156</v>
      </c>
    </row>
    <row r="5256" spans="1:10" x14ac:dyDescent="0.35">
      <c r="A5256" t="s">
        <v>80</v>
      </c>
      <c r="B5256" s="8">
        <v>44682</v>
      </c>
      <c r="C5256">
        <v>2976906</v>
      </c>
      <c r="D5256">
        <v>2529077.0299999998</v>
      </c>
      <c r="E5256">
        <v>447828.97</v>
      </c>
      <c r="F5256" t="s">
        <v>179</v>
      </c>
      <c r="G5256" t="s">
        <v>284</v>
      </c>
      <c r="H5256" s="8">
        <v>44104</v>
      </c>
      <c r="I5256" s="8">
        <v>45929</v>
      </c>
      <c r="J5256" t="s">
        <v>156</v>
      </c>
    </row>
    <row r="5257" spans="1:10" x14ac:dyDescent="0.35">
      <c r="A5257" t="s">
        <v>80</v>
      </c>
      <c r="B5257" s="8">
        <v>44713</v>
      </c>
      <c r="C5257">
        <v>2976906</v>
      </c>
      <c r="D5257">
        <v>2829021.88</v>
      </c>
      <c r="E5257">
        <v>147884.12</v>
      </c>
      <c r="F5257" t="s">
        <v>179</v>
      </c>
      <c r="G5257" t="s">
        <v>284</v>
      </c>
      <c r="H5257" s="8">
        <v>44104</v>
      </c>
      <c r="I5257" s="8">
        <v>45929</v>
      </c>
      <c r="J5257" t="s">
        <v>156</v>
      </c>
    </row>
    <row r="5258" spans="1:10" x14ac:dyDescent="0.35">
      <c r="A5258" t="s">
        <v>80</v>
      </c>
      <c r="B5258" s="8">
        <v>44743</v>
      </c>
      <c r="C5258">
        <v>2976906</v>
      </c>
      <c r="D5258">
        <v>2929021.88</v>
      </c>
      <c r="E5258">
        <v>47884.12</v>
      </c>
      <c r="F5258" t="s">
        <v>179</v>
      </c>
      <c r="G5258" t="s">
        <v>284</v>
      </c>
      <c r="H5258" s="8">
        <v>44104</v>
      </c>
      <c r="I5258" s="8">
        <v>45929</v>
      </c>
      <c r="J5258" t="s">
        <v>156</v>
      </c>
    </row>
    <row r="5259" spans="1:10" x14ac:dyDescent="0.35">
      <c r="A5259" t="s">
        <v>80</v>
      </c>
      <c r="B5259" s="8">
        <v>44774</v>
      </c>
      <c r="C5259">
        <v>2976906</v>
      </c>
      <c r="D5259">
        <v>2929021.88</v>
      </c>
      <c r="E5259">
        <v>47884.12</v>
      </c>
      <c r="F5259" t="s">
        <v>179</v>
      </c>
      <c r="G5259" t="s">
        <v>284</v>
      </c>
      <c r="H5259" s="8">
        <v>44104</v>
      </c>
      <c r="I5259" s="8">
        <v>45929</v>
      </c>
      <c r="J5259" t="s">
        <v>156</v>
      </c>
    </row>
    <row r="5260" spans="1:10" x14ac:dyDescent="0.35">
      <c r="A5260" t="s">
        <v>80</v>
      </c>
      <c r="B5260" s="8">
        <v>44805</v>
      </c>
      <c r="C5260">
        <v>2976906</v>
      </c>
      <c r="D5260">
        <v>2976906</v>
      </c>
      <c r="E5260">
        <v>0</v>
      </c>
      <c r="F5260" t="s">
        <v>179</v>
      </c>
      <c r="G5260" t="s">
        <v>284</v>
      </c>
      <c r="H5260" s="8">
        <v>44104</v>
      </c>
      <c r="I5260" s="8">
        <v>45929</v>
      </c>
      <c r="J5260" t="s">
        <v>156</v>
      </c>
    </row>
    <row r="5261" spans="1:10" x14ac:dyDescent="0.35">
      <c r="A5261" t="s">
        <v>80</v>
      </c>
      <c r="B5261" s="8">
        <v>44835</v>
      </c>
      <c r="C5261">
        <v>2976906</v>
      </c>
      <c r="D5261">
        <v>2976906</v>
      </c>
      <c r="E5261">
        <v>0</v>
      </c>
      <c r="F5261" t="s">
        <v>179</v>
      </c>
      <c r="G5261" t="s">
        <v>284</v>
      </c>
      <c r="H5261" s="8">
        <v>44104</v>
      </c>
      <c r="I5261" s="8">
        <v>45929</v>
      </c>
      <c r="J5261" t="s">
        <v>156</v>
      </c>
    </row>
    <row r="5262" spans="1:10" x14ac:dyDescent="0.35">
      <c r="A5262" t="s">
        <v>80</v>
      </c>
      <c r="B5262" s="8">
        <v>44866</v>
      </c>
      <c r="C5262">
        <v>2976906</v>
      </c>
      <c r="D5262">
        <v>2976906</v>
      </c>
      <c r="E5262">
        <v>0</v>
      </c>
      <c r="F5262" t="s">
        <v>179</v>
      </c>
      <c r="G5262" t="s">
        <v>284</v>
      </c>
      <c r="H5262" s="8">
        <v>44104</v>
      </c>
      <c r="I5262" s="8">
        <v>45929</v>
      </c>
      <c r="J5262" t="s">
        <v>156</v>
      </c>
    </row>
    <row r="5263" spans="1:10" x14ac:dyDescent="0.35">
      <c r="A5263" t="s">
        <v>80</v>
      </c>
      <c r="B5263" s="8">
        <v>44896</v>
      </c>
      <c r="C5263">
        <v>2976906</v>
      </c>
      <c r="D5263">
        <v>2976906</v>
      </c>
      <c r="E5263">
        <v>0</v>
      </c>
      <c r="F5263" t="s">
        <v>179</v>
      </c>
      <c r="G5263" t="s">
        <v>284</v>
      </c>
      <c r="H5263" s="8">
        <v>44104</v>
      </c>
      <c r="I5263" s="8">
        <v>45929</v>
      </c>
      <c r="J5263" t="s">
        <v>156</v>
      </c>
    </row>
    <row r="5264" spans="1:10" x14ac:dyDescent="0.35">
      <c r="A5264" t="s">
        <v>80</v>
      </c>
      <c r="B5264" s="8">
        <v>44927</v>
      </c>
      <c r="C5264">
        <v>2976906</v>
      </c>
      <c r="D5264">
        <v>2976906</v>
      </c>
      <c r="E5264">
        <v>0</v>
      </c>
      <c r="F5264" t="s">
        <v>179</v>
      </c>
      <c r="G5264" t="s">
        <v>284</v>
      </c>
      <c r="H5264" s="8">
        <v>44104</v>
      </c>
      <c r="I5264" s="8">
        <v>45929</v>
      </c>
      <c r="J5264" t="s">
        <v>156</v>
      </c>
    </row>
    <row r="5265" spans="1:10" x14ac:dyDescent="0.35">
      <c r="A5265" t="s">
        <v>80</v>
      </c>
      <c r="B5265" s="8">
        <v>44958</v>
      </c>
      <c r="C5265">
        <v>2976906</v>
      </c>
      <c r="D5265">
        <v>2976906</v>
      </c>
      <c r="E5265">
        <v>0</v>
      </c>
      <c r="F5265" t="s">
        <v>179</v>
      </c>
      <c r="G5265" t="s">
        <v>284</v>
      </c>
      <c r="H5265" s="8">
        <v>44104</v>
      </c>
      <c r="I5265" s="8">
        <v>45929</v>
      </c>
      <c r="J5265" t="s">
        <v>156</v>
      </c>
    </row>
    <row r="5266" spans="1:10" x14ac:dyDescent="0.35">
      <c r="A5266" t="s">
        <v>80</v>
      </c>
      <c r="B5266" s="8">
        <v>44986</v>
      </c>
      <c r="C5266">
        <v>2976906</v>
      </c>
      <c r="D5266">
        <v>2976906</v>
      </c>
      <c r="E5266">
        <v>0</v>
      </c>
      <c r="F5266" t="s">
        <v>179</v>
      </c>
      <c r="G5266" t="s">
        <v>284</v>
      </c>
      <c r="H5266" s="8">
        <v>44104</v>
      </c>
      <c r="I5266" s="8">
        <v>45929</v>
      </c>
      <c r="J5266" t="s">
        <v>156</v>
      </c>
    </row>
    <row r="5267" spans="1:10" x14ac:dyDescent="0.35">
      <c r="A5267" t="s">
        <v>80</v>
      </c>
      <c r="B5267" s="8">
        <v>45017</v>
      </c>
      <c r="C5267">
        <v>2976906</v>
      </c>
      <c r="D5267">
        <v>2976906</v>
      </c>
      <c r="E5267">
        <v>0</v>
      </c>
      <c r="F5267" t="s">
        <v>179</v>
      </c>
      <c r="G5267" t="s">
        <v>284</v>
      </c>
      <c r="H5267" s="8">
        <v>44104</v>
      </c>
      <c r="I5267" s="8">
        <v>45929</v>
      </c>
      <c r="J5267" t="s">
        <v>156</v>
      </c>
    </row>
    <row r="5268" spans="1:10" x14ac:dyDescent="0.35">
      <c r="A5268" t="s">
        <v>80</v>
      </c>
      <c r="B5268" s="8">
        <v>45047</v>
      </c>
      <c r="C5268">
        <v>2976906</v>
      </c>
      <c r="D5268">
        <v>2976906</v>
      </c>
      <c r="E5268">
        <v>0</v>
      </c>
      <c r="F5268" t="s">
        <v>179</v>
      </c>
      <c r="G5268" t="s">
        <v>284</v>
      </c>
      <c r="H5268" s="8">
        <v>44104</v>
      </c>
      <c r="I5268" s="8">
        <v>45929</v>
      </c>
      <c r="J5268" t="s">
        <v>156</v>
      </c>
    </row>
    <row r="5269" spans="1:10" x14ac:dyDescent="0.35">
      <c r="A5269" t="s">
        <v>80</v>
      </c>
      <c r="B5269" s="8">
        <v>45078</v>
      </c>
      <c r="C5269">
        <v>2976906</v>
      </c>
      <c r="D5269">
        <v>2976906</v>
      </c>
      <c r="E5269">
        <v>0</v>
      </c>
      <c r="F5269" t="s">
        <v>179</v>
      </c>
      <c r="G5269" t="s">
        <v>284</v>
      </c>
      <c r="H5269" s="8">
        <v>44104</v>
      </c>
      <c r="I5269" s="8">
        <v>45929</v>
      </c>
      <c r="J5269" t="s">
        <v>156</v>
      </c>
    </row>
    <row r="5270" spans="1:10" x14ac:dyDescent="0.35">
      <c r="A5270" t="s">
        <v>80</v>
      </c>
      <c r="B5270" s="8">
        <v>45108</v>
      </c>
      <c r="C5270">
        <v>2976906</v>
      </c>
      <c r="D5270">
        <v>2976906</v>
      </c>
      <c r="E5270">
        <v>0</v>
      </c>
      <c r="F5270" t="s">
        <v>179</v>
      </c>
      <c r="G5270" t="s">
        <v>284</v>
      </c>
      <c r="H5270" s="8">
        <v>44104</v>
      </c>
      <c r="I5270" s="8">
        <v>45929</v>
      </c>
      <c r="J5270" t="s">
        <v>156</v>
      </c>
    </row>
    <row r="5271" spans="1:10" x14ac:dyDescent="0.35">
      <c r="A5271" t="s">
        <v>80</v>
      </c>
      <c r="B5271" s="8">
        <v>45139</v>
      </c>
      <c r="C5271">
        <v>2976906</v>
      </c>
      <c r="D5271">
        <v>2976906</v>
      </c>
      <c r="E5271">
        <v>0</v>
      </c>
      <c r="F5271" t="s">
        <v>179</v>
      </c>
      <c r="G5271" t="s">
        <v>284</v>
      </c>
      <c r="H5271" s="8">
        <v>44104</v>
      </c>
      <c r="I5271" s="8">
        <v>45929</v>
      </c>
      <c r="J5271" t="s">
        <v>156</v>
      </c>
    </row>
    <row r="5272" spans="1:10" x14ac:dyDescent="0.35">
      <c r="A5272" t="s">
        <v>80</v>
      </c>
      <c r="B5272" s="8">
        <v>45170</v>
      </c>
      <c r="C5272">
        <v>2976906</v>
      </c>
      <c r="D5272">
        <v>2976906</v>
      </c>
      <c r="E5272">
        <v>0</v>
      </c>
      <c r="F5272" t="s">
        <v>179</v>
      </c>
      <c r="G5272" t="s">
        <v>284</v>
      </c>
      <c r="H5272" s="8">
        <v>44104</v>
      </c>
      <c r="I5272" s="8">
        <v>45929</v>
      </c>
      <c r="J5272" t="s">
        <v>156</v>
      </c>
    </row>
    <row r="5273" spans="1:10" x14ac:dyDescent="0.35">
      <c r="A5273" t="s">
        <v>84</v>
      </c>
      <c r="B5273" s="8">
        <v>44105</v>
      </c>
      <c r="C5273">
        <v>2480000</v>
      </c>
      <c r="D5273">
        <v>0</v>
      </c>
      <c r="E5273">
        <f t="shared" ref="E5273:E5307" si="76">C5273-D5273</f>
        <v>2480000</v>
      </c>
      <c r="F5273" t="s">
        <v>179</v>
      </c>
      <c r="G5273" t="s">
        <v>255</v>
      </c>
      <c r="H5273" s="8">
        <v>44104</v>
      </c>
      <c r="I5273" s="8">
        <v>45929</v>
      </c>
      <c r="J5273" t="s">
        <v>156</v>
      </c>
    </row>
    <row r="5274" spans="1:10" x14ac:dyDescent="0.35">
      <c r="A5274" t="s">
        <v>84</v>
      </c>
      <c r="B5274" s="8">
        <v>44136</v>
      </c>
      <c r="C5274">
        <v>2480000</v>
      </c>
      <c r="D5274">
        <v>0</v>
      </c>
      <c r="E5274">
        <f t="shared" si="76"/>
        <v>2480000</v>
      </c>
      <c r="F5274" t="s">
        <v>179</v>
      </c>
      <c r="G5274" t="s">
        <v>255</v>
      </c>
      <c r="H5274" s="8">
        <v>44104</v>
      </c>
      <c r="I5274" s="8">
        <v>45929</v>
      </c>
      <c r="J5274" t="s">
        <v>156</v>
      </c>
    </row>
    <row r="5275" spans="1:10" x14ac:dyDescent="0.35">
      <c r="A5275" t="s">
        <v>84</v>
      </c>
      <c r="B5275" s="8">
        <v>44166</v>
      </c>
      <c r="C5275">
        <v>2480000</v>
      </c>
      <c r="D5275">
        <v>0</v>
      </c>
      <c r="E5275">
        <f t="shared" si="76"/>
        <v>2480000</v>
      </c>
      <c r="F5275" t="s">
        <v>179</v>
      </c>
      <c r="G5275" t="s">
        <v>255</v>
      </c>
      <c r="H5275" s="8">
        <v>44104</v>
      </c>
      <c r="I5275" s="8">
        <v>45929</v>
      </c>
      <c r="J5275" t="s">
        <v>156</v>
      </c>
    </row>
    <row r="5276" spans="1:10" x14ac:dyDescent="0.35">
      <c r="A5276" t="s">
        <v>84</v>
      </c>
      <c r="B5276" s="8">
        <v>44197</v>
      </c>
      <c r="C5276">
        <v>2480000</v>
      </c>
      <c r="D5276">
        <v>0</v>
      </c>
      <c r="E5276">
        <f t="shared" si="76"/>
        <v>2480000</v>
      </c>
      <c r="F5276" t="s">
        <v>179</v>
      </c>
      <c r="G5276" t="s">
        <v>255</v>
      </c>
      <c r="H5276" s="8">
        <v>44104</v>
      </c>
      <c r="I5276" s="8">
        <v>45929</v>
      </c>
      <c r="J5276" t="s">
        <v>156</v>
      </c>
    </row>
    <row r="5277" spans="1:10" x14ac:dyDescent="0.35">
      <c r="A5277" t="s">
        <v>84</v>
      </c>
      <c r="B5277" s="8">
        <v>44228</v>
      </c>
      <c r="C5277">
        <v>2480000</v>
      </c>
      <c r="D5277">
        <v>0</v>
      </c>
      <c r="E5277">
        <f t="shared" si="76"/>
        <v>2480000</v>
      </c>
      <c r="F5277" t="s">
        <v>179</v>
      </c>
      <c r="G5277" t="s">
        <v>255</v>
      </c>
      <c r="H5277" s="8">
        <v>44104</v>
      </c>
      <c r="I5277" s="8">
        <v>45929</v>
      </c>
      <c r="J5277" t="s">
        <v>156</v>
      </c>
    </row>
    <row r="5278" spans="1:10" x14ac:dyDescent="0.35">
      <c r="A5278" t="s">
        <v>84</v>
      </c>
      <c r="B5278" s="8">
        <v>44256</v>
      </c>
      <c r="C5278">
        <v>2480000</v>
      </c>
      <c r="D5278">
        <v>0</v>
      </c>
      <c r="E5278">
        <f t="shared" si="76"/>
        <v>2480000</v>
      </c>
      <c r="F5278" t="s">
        <v>179</v>
      </c>
      <c r="G5278" t="s">
        <v>255</v>
      </c>
      <c r="H5278" s="8">
        <v>44104</v>
      </c>
      <c r="I5278" s="8">
        <v>45929</v>
      </c>
      <c r="J5278" t="s">
        <v>156</v>
      </c>
    </row>
    <row r="5279" spans="1:10" x14ac:dyDescent="0.35">
      <c r="A5279" t="s">
        <v>84</v>
      </c>
      <c r="B5279" s="8">
        <v>44287</v>
      </c>
      <c r="C5279">
        <v>2480000</v>
      </c>
      <c r="D5279">
        <v>0</v>
      </c>
      <c r="E5279">
        <f t="shared" si="76"/>
        <v>2480000</v>
      </c>
      <c r="F5279" t="s">
        <v>179</v>
      </c>
      <c r="G5279" t="s">
        <v>255</v>
      </c>
      <c r="H5279" s="8">
        <v>44104</v>
      </c>
      <c r="I5279" s="8">
        <v>45929</v>
      </c>
      <c r="J5279" t="s">
        <v>156</v>
      </c>
    </row>
    <row r="5280" spans="1:10" x14ac:dyDescent="0.35">
      <c r="A5280" t="s">
        <v>84</v>
      </c>
      <c r="B5280" s="8">
        <v>44317</v>
      </c>
      <c r="C5280">
        <v>2480000</v>
      </c>
      <c r="D5280">
        <v>0</v>
      </c>
      <c r="E5280">
        <f t="shared" si="76"/>
        <v>2480000</v>
      </c>
      <c r="F5280" t="s">
        <v>179</v>
      </c>
      <c r="G5280" t="s">
        <v>255</v>
      </c>
      <c r="H5280" s="8">
        <v>44104</v>
      </c>
      <c r="I5280" s="8">
        <v>45929</v>
      </c>
      <c r="J5280" t="s">
        <v>156</v>
      </c>
    </row>
    <row r="5281" spans="1:10" x14ac:dyDescent="0.35">
      <c r="A5281" t="s">
        <v>84</v>
      </c>
      <c r="B5281" s="8">
        <v>44348</v>
      </c>
      <c r="C5281">
        <v>2480000</v>
      </c>
      <c r="D5281">
        <v>0</v>
      </c>
      <c r="E5281">
        <f t="shared" si="76"/>
        <v>2480000</v>
      </c>
      <c r="F5281" t="s">
        <v>179</v>
      </c>
      <c r="G5281" t="s">
        <v>255</v>
      </c>
      <c r="H5281" s="8">
        <v>44104</v>
      </c>
      <c r="I5281" s="8">
        <v>45929</v>
      </c>
      <c r="J5281" t="s">
        <v>156</v>
      </c>
    </row>
    <row r="5282" spans="1:10" x14ac:dyDescent="0.35">
      <c r="A5282" t="s">
        <v>84</v>
      </c>
      <c r="B5282" s="8">
        <v>44378</v>
      </c>
      <c r="C5282">
        <v>2480000</v>
      </c>
      <c r="D5282">
        <v>0</v>
      </c>
      <c r="E5282">
        <f t="shared" si="76"/>
        <v>2480000</v>
      </c>
      <c r="F5282" t="s">
        <v>179</v>
      </c>
      <c r="G5282" t="s">
        <v>255</v>
      </c>
      <c r="H5282" s="8">
        <v>44104</v>
      </c>
      <c r="I5282" s="8">
        <v>45929</v>
      </c>
      <c r="J5282" t="s">
        <v>156</v>
      </c>
    </row>
    <row r="5283" spans="1:10" x14ac:dyDescent="0.35">
      <c r="A5283" t="s">
        <v>84</v>
      </c>
      <c r="B5283" s="8">
        <v>44409</v>
      </c>
      <c r="C5283">
        <v>2480000</v>
      </c>
      <c r="D5283">
        <v>0</v>
      </c>
      <c r="E5283">
        <f t="shared" si="76"/>
        <v>2480000</v>
      </c>
      <c r="F5283" t="s">
        <v>179</v>
      </c>
      <c r="G5283" t="s">
        <v>255</v>
      </c>
      <c r="H5283" s="8">
        <v>44104</v>
      </c>
      <c r="I5283" s="8">
        <v>45929</v>
      </c>
      <c r="J5283" t="s">
        <v>156</v>
      </c>
    </row>
    <row r="5284" spans="1:10" x14ac:dyDescent="0.35">
      <c r="A5284" t="s">
        <v>84</v>
      </c>
      <c r="B5284" s="8">
        <v>44440</v>
      </c>
      <c r="C5284">
        <v>2480000</v>
      </c>
      <c r="D5284">
        <v>0</v>
      </c>
      <c r="E5284">
        <f t="shared" si="76"/>
        <v>2480000</v>
      </c>
      <c r="F5284" t="s">
        <v>179</v>
      </c>
      <c r="G5284" t="s">
        <v>255</v>
      </c>
      <c r="H5284" s="8">
        <v>44104</v>
      </c>
      <c r="I5284" s="8">
        <v>45929</v>
      </c>
      <c r="J5284" t="s">
        <v>156</v>
      </c>
    </row>
    <row r="5285" spans="1:10" x14ac:dyDescent="0.35">
      <c r="A5285" t="s">
        <v>84</v>
      </c>
      <c r="B5285" s="8">
        <v>44470</v>
      </c>
      <c r="C5285">
        <v>2480000</v>
      </c>
      <c r="D5285">
        <v>0</v>
      </c>
      <c r="E5285">
        <f t="shared" si="76"/>
        <v>2480000</v>
      </c>
      <c r="F5285" t="s">
        <v>179</v>
      </c>
      <c r="G5285" t="s">
        <v>255</v>
      </c>
      <c r="H5285" s="8">
        <v>44104</v>
      </c>
      <c r="I5285" s="8">
        <v>45929</v>
      </c>
      <c r="J5285" t="s">
        <v>156</v>
      </c>
    </row>
    <row r="5286" spans="1:10" x14ac:dyDescent="0.35">
      <c r="A5286" t="s">
        <v>84</v>
      </c>
      <c r="B5286" s="8">
        <v>44501</v>
      </c>
      <c r="C5286">
        <v>2480000</v>
      </c>
      <c r="D5286">
        <v>0</v>
      </c>
      <c r="E5286">
        <f t="shared" si="76"/>
        <v>2480000</v>
      </c>
      <c r="F5286" t="s">
        <v>179</v>
      </c>
      <c r="G5286" t="s">
        <v>255</v>
      </c>
      <c r="H5286" s="8">
        <v>44104</v>
      </c>
      <c r="I5286" s="8">
        <v>45929</v>
      </c>
      <c r="J5286" t="s">
        <v>156</v>
      </c>
    </row>
    <row r="5287" spans="1:10" x14ac:dyDescent="0.35">
      <c r="A5287" t="s">
        <v>84</v>
      </c>
      <c r="B5287" s="8">
        <v>44531</v>
      </c>
      <c r="C5287">
        <v>2480000</v>
      </c>
      <c r="D5287">
        <v>0</v>
      </c>
      <c r="E5287">
        <f t="shared" si="76"/>
        <v>2480000</v>
      </c>
      <c r="F5287" t="s">
        <v>179</v>
      </c>
      <c r="G5287" t="s">
        <v>255</v>
      </c>
      <c r="H5287" s="8">
        <v>44104</v>
      </c>
      <c r="I5287" s="8">
        <v>45929</v>
      </c>
      <c r="J5287" t="s">
        <v>156</v>
      </c>
    </row>
    <row r="5288" spans="1:10" x14ac:dyDescent="0.35">
      <c r="A5288" t="s">
        <v>84</v>
      </c>
      <c r="B5288" s="8">
        <v>44562</v>
      </c>
      <c r="C5288">
        <v>2480000</v>
      </c>
      <c r="D5288">
        <v>0</v>
      </c>
      <c r="E5288">
        <f t="shared" si="76"/>
        <v>2480000</v>
      </c>
      <c r="F5288" t="s">
        <v>179</v>
      </c>
      <c r="G5288" t="s">
        <v>255</v>
      </c>
      <c r="H5288" s="8">
        <v>44104</v>
      </c>
      <c r="I5288" s="8">
        <v>45929</v>
      </c>
      <c r="J5288" t="s">
        <v>156</v>
      </c>
    </row>
    <row r="5289" spans="1:10" x14ac:dyDescent="0.35">
      <c r="A5289" t="s">
        <v>84</v>
      </c>
      <c r="B5289" s="8">
        <v>44593</v>
      </c>
      <c r="C5289">
        <v>2480000</v>
      </c>
      <c r="D5289">
        <v>0</v>
      </c>
      <c r="E5289">
        <f t="shared" si="76"/>
        <v>2480000</v>
      </c>
      <c r="F5289" t="s">
        <v>179</v>
      </c>
      <c r="G5289" t="s">
        <v>255</v>
      </c>
      <c r="H5289" s="8">
        <v>44104</v>
      </c>
      <c r="I5289" s="8">
        <v>45929</v>
      </c>
      <c r="J5289" t="s">
        <v>156</v>
      </c>
    </row>
    <row r="5290" spans="1:10" x14ac:dyDescent="0.35">
      <c r="A5290" t="s">
        <v>84</v>
      </c>
      <c r="B5290" s="8">
        <v>44621</v>
      </c>
      <c r="C5290">
        <v>2480000</v>
      </c>
      <c r="D5290">
        <v>0</v>
      </c>
      <c r="E5290">
        <f t="shared" si="76"/>
        <v>2480000</v>
      </c>
      <c r="F5290" t="s">
        <v>179</v>
      </c>
      <c r="G5290" t="s">
        <v>255</v>
      </c>
      <c r="H5290" s="8">
        <v>44104</v>
      </c>
      <c r="I5290" s="8">
        <v>45929</v>
      </c>
      <c r="J5290" t="s">
        <v>156</v>
      </c>
    </row>
    <row r="5291" spans="1:10" x14ac:dyDescent="0.35">
      <c r="A5291" t="s">
        <v>84</v>
      </c>
      <c r="B5291" s="8">
        <v>44652</v>
      </c>
      <c r="C5291">
        <v>2480000</v>
      </c>
      <c r="D5291">
        <v>0</v>
      </c>
      <c r="E5291">
        <f t="shared" si="76"/>
        <v>2480000</v>
      </c>
      <c r="F5291" t="s">
        <v>179</v>
      </c>
      <c r="G5291" t="s">
        <v>255</v>
      </c>
      <c r="H5291" s="8">
        <v>44104</v>
      </c>
      <c r="I5291" s="8">
        <v>45929</v>
      </c>
      <c r="J5291" t="s">
        <v>156</v>
      </c>
    </row>
    <row r="5292" spans="1:10" x14ac:dyDescent="0.35">
      <c r="A5292" t="s">
        <v>84</v>
      </c>
      <c r="B5292" s="8">
        <v>44682</v>
      </c>
      <c r="C5292">
        <v>2480000</v>
      </c>
      <c r="D5292">
        <v>0</v>
      </c>
      <c r="E5292">
        <f t="shared" si="76"/>
        <v>2480000</v>
      </c>
      <c r="F5292" t="s">
        <v>179</v>
      </c>
      <c r="G5292" t="s">
        <v>255</v>
      </c>
      <c r="H5292" s="8">
        <v>44104</v>
      </c>
      <c r="I5292" s="8">
        <v>45929</v>
      </c>
      <c r="J5292" t="s">
        <v>156</v>
      </c>
    </row>
    <row r="5293" spans="1:10" x14ac:dyDescent="0.35">
      <c r="A5293" t="s">
        <v>84</v>
      </c>
      <c r="B5293" s="8">
        <v>44713</v>
      </c>
      <c r="C5293">
        <v>2480000</v>
      </c>
      <c r="D5293">
        <v>0</v>
      </c>
      <c r="E5293">
        <f t="shared" si="76"/>
        <v>2480000</v>
      </c>
      <c r="F5293" t="s">
        <v>179</v>
      </c>
      <c r="G5293" t="s">
        <v>255</v>
      </c>
      <c r="H5293" s="8">
        <v>44104</v>
      </c>
      <c r="I5293" s="8">
        <v>45929</v>
      </c>
      <c r="J5293" t="s">
        <v>156</v>
      </c>
    </row>
    <row r="5294" spans="1:10" x14ac:dyDescent="0.35">
      <c r="A5294" t="s">
        <v>84</v>
      </c>
      <c r="B5294" s="8">
        <v>44743</v>
      </c>
      <c r="C5294">
        <v>2480000</v>
      </c>
      <c r="D5294">
        <v>0</v>
      </c>
      <c r="E5294">
        <f t="shared" si="76"/>
        <v>2480000</v>
      </c>
      <c r="F5294" t="s">
        <v>179</v>
      </c>
      <c r="G5294" t="s">
        <v>255</v>
      </c>
      <c r="H5294" s="8">
        <v>44104</v>
      </c>
      <c r="I5294" s="8">
        <v>45929</v>
      </c>
      <c r="J5294" t="s">
        <v>156</v>
      </c>
    </row>
    <row r="5295" spans="1:10" x14ac:dyDescent="0.35">
      <c r="A5295" t="s">
        <v>84</v>
      </c>
      <c r="B5295" s="8">
        <v>44774</v>
      </c>
      <c r="C5295">
        <v>2480000</v>
      </c>
      <c r="D5295">
        <v>0</v>
      </c>
      <c r="E5295">
        <f t="shared" si="76"/>
        <v>2480000</v>
      </c>
      <c r="F5295" t="s">
        <v>179</v>
      </c>
      <c r="G5295" t="s">
        <v>255</v>
      </c>
      <c r="H5295" s="8">
        <v>44104</v>
      </c>
      <c r="I5295" s="8">
        <v>45929</v>
      </c>
      <c r="J5295" t="s">
        <v>156</v>
      </c>
    </row>
    <row r="5296" spans="1:10" x14ac:dyDescent="0.35">
      <c r="A5296" t="s">
        <v>84</v>
      </c>
      <c r="B5296" s="8">
        <v>44805</v>
      </c>
      <c r="C5296">
        <v>2480000</v>
      </c>
      <c r="D5296">
        <v>0</v>
      </c>
      <c r="E5296">
        <f t="shared" si="76"/>
        <v>2480000</v>
      </c>
      <c r="F5296" t="s">
        <v>179</v>
      </c>
      <c r="G5296" t="s">
        <v>255</v>
      </c>
      <c r="H5296" s="8">
        <v>44104</v>
      </c>
      <c r="I5296" s="8">
        <v>45929</v>
      </c>
      <c r="J5296" t="s">
        <v>156</v>
      </c>
    </row>
    <row r="5297" spans="1:10" x14ac:dyDescent="0.35">
      <c r="A5297" t="s">
        <v>84</v>
      </c>
      <c r="B5297" s="8">
        <v>44835</v>
      </c>
      <c r="C5297">
        <v>2480000</v>
      </c>
      <c r="D5297">
        <v>0</v>
      </c>
      <c r="E5297">
        <f t="shared" si="76"/>
        <v>2480000</v>
      </c>
      <c r="F5297" t="s">
        <v>179</v>
      </c>
      <c r="G5297" t="s">
        <v>255</v>
      </c>
      <c r="H5297" s="8">
        <v>44104</v>
      </c>
      <c r="I5297" s="8">
        <v>45929</v>
      </c>
      <c r="J5297" t="s">
        <v>156</v>
      </c>
    </row>
    <row r="5298" spans="1:10" x14ac:dyDescent="0.35">
      <c r="A5298" t="s">
        <v>84</v>
      </c>
      <c r="B5298" s="8">
        <v>44866</v>
      </c>
      <c r="C5298">
        <v>2480000</v>
      </c>
      <c r="D5298">
        <v>0</v>
      </c>
      <c r="E5298">
        <f t="shared" si="76"/>
        <v>2480000</v>
      </c>
      <c r="F5298" t="s">
        <v>179</v>
      </c>
      <c r="G5298" t="s">
        <v>255</v>
      </c>
      <c r="H5298" s="8">
        <v>44104</v>
      </c>
      <c r="I5298" s="8">
        <v>45929</v>
      </c>
      <c r="J5298" t="s">
        <v>156</v>
      </c>
    </row>
    <row r="5299" spans="1:10" x14ac:dyDescent="0.35">
      <c r="A5299" t="s">
        <v>84</v>
      </c>
      <c r="B5299" s="8">
        <v>44896</v>
      </c>
      <c r="C5299">
        <v>2480000</v>
      </c>
      <c r="D5299">
        <v>0</v>
      </c>
      <c r="E5299">
        <f t="shared" si="76"/>
        <v>2480000</v>
      </c>
      <c r="F5299" t="s">
        <v>179</v>
      </c>
      <c r="G5299" t="s">
        <v>255</v>
      </c>
      <c r="H5299" s="8">
        <v>44104</v>
      </c>
      <c r="I5299" s="8">
        <v>45929</v>
      </c>
      <c r="J5299" t="s">
        <v>156</v>
      </c>
    </row>
    <row r="5300" spans="1:10" x14ac:dyDescent="0.35">
      <c r="A5300" t="s">
        <v>84</v>
      </c>
      <c r="B5300" s="8">
        <v>44927</v>
      </c>
      <c r="C5300">
        <v>2480000</v>
      </c>
      <c r="D5300">
        <v>0</v>
      </c>
      <c r="E5300">
        <f t="shared" si="76"/>
        <v>2480000</v>
      </c>
      <c r="F5300" t="s">
        <v>179</v>
      </c>
      <c r="G5300" t="s">
        <v>255</v>
      </c>
      <c r="H5300" s="8">
        <v>44104</v>
      </c>
      <c r="I5300" s="8">
        <v>45929</v>
      </c>
      <c r="J5300" t="s">
        <v>156</v>
      </c>
    </row>
    <row r="5301" spans="1:10" x14ac:dyDescent="0.35">
      <c r="A5301" t="s">
        <v>84</v>
      </c>
      <c r="B5301" s="8">
        <v>44958</v>
      </c>
      <c r="C5301">
        <v>2480000</v>
      </c>
      <c r="D5301">
        <v>0</v>
      </c>
      <c r="E5301">
        <f t="shared" si="76"/>
        <v>2480000</v>
      </c>
      <c r="F5301" t="s">
        <v>179</v>
      </c>
      <c r="G5301" t="s">
        <v>255</v>
      </c>
      <c r="H5301" s="8">
        <v>44104</v>
      </c>
      <c r="I5301" s="8">
        <v>45929</v>
      </c>
      <c r="J5301" t="s">
        <v>156</v>
      </c>
    </row>
    <row r="5302" spans="1:10" x14ac:dyDescent="0.35">
      <c r="A5302" t="s">
        <v>84</v>
      </c>
      <c r="B5302" s="8">
        <v>44986</v>
      </c>
      <c r="C5302">
        <v>2480000</v>
      </c>
      <c r="D5302">
        <v>0</v>
      </c>
      <c r="E5302">
        <f t="shared" si="76"/>
        <v>2480000</v>
      </c>
      <c r="F5302" t="s">
        <v>179</v>
      </c>
      <c r="G5302" t="s">
        <v>255</v>
      </c>
      <c r="H5302" s="8">
        <v>44104</v>
      </c>
      <c r="I5302" s="8">
        <v>45929</v>
      </c>
      <c r="J5302" t="s">
        <v>156</v>
      </c>
    </row>
    <row r="5303" spans="1:10" x14ac:dyDescent="0.35">
      <c r="A5303" t="s">
        <v>84</v>
      </c>
      <c r="B5303" s="8">
        <v>45017</v>
      </c>
      <c r="C5303">
        <v>2480000</v>
      </c>
      <c r="D5303">
        <v>0</v>
      </c>
      <c r="E5303">
        <f t="shared" si="76"/>
        <v>2480000</v>
      </c>
      <c r="F5303" t="s">
        <v>179</v>
      </c>
      <c r="G5303" t="s">
        <v>255</v>
      </c>
      <c r="H5303" s="8">
        <v>44104</v>
      </c>
      <c r="I5303" s="8">
        <v>45929</v>
      </c>
      <c r="J5303" t="s">
        <v>156</v>
      </c>
    </row>
    <row r="5304" spans="1:10" x14ac:dyDescent="0.35">
      <c r="A5304" t="s">
        <v>84</v>
      </c>
      <c r="B5304" s="8">
        <v>45047</v>
      </c>
      <c r="C5304">
        <v>2480000</v>
      </c>
      <c r="D5304">
        <v>0</v>
      </c>
      <c r="E5304">
        <f t="shared" si="76"/>
        <v>2480000</v>
      </c>
      <c r="F5304" t="s">
        <v>179</v>
      </c>
      <c r="G5304" t="s">
        <v>255</v>
      </c>
      <c r="H5304" s="8">
        <v>44104</v>
      </c>
      <c r="I5304" s="8">
        <v>45929</v>
      </c>
      <c r="J5304" t="s">
        <v>156</v>
      </c>
    </row>
    <row r="5305" spans="1:10" x14ac:dyDescent="0.35">
      <c r="A5305" t="s">
        <v>84</v>
      </c>
      <c r="B5305" s="8">
        <v>45078</v>
      </c>
      <c r="C5305">
        <v>2480000</v>
      </c>
      <c r="D5305">
        <v>0</v>
      </c>
      <c r="E5305">
        <f t="shared" si="76"/>
        <v>2480000</v>
      </c>
      <c r="F5305" t="s">
        <v>179</v>
      </c>
      <c r="G5305" t="s">
        <v>255</v>
      </c>
      <c r="H5305" s="8">
        <v>44104</v>
      </c>
      <c r="I5305" s="8">
        <v>45929</v>
      </c>
      <c r="J5305" t="s">
        <v>156</v>
      </c>
    </row>
    <row r="5306" spans="1:10" x14ac:dyDescent="0.35">
      <c r="A5306" t="s">
        <v>84</v>
      </c>
      <c r="B5306" s="8">
        <v>45108</v>
      </c>
      <c r="C5306">
        <v>2480000</v>
      </c>
      <c r="D5306">
        <v>0</v>
      </c>
      <c r="E5306">
        <f t="shared" si="76"/>
        <v>2480000</v>
      </c>
      <c r="F5306" t="s">
        <v>179</v>
      </c>
      <c r="G5306" t="s">
        <v>255</v>
      </c>
      <c r="H5306" s="8">
        <v>44104</v>
      </c>
      <c r="I5306" s="8">
        <v>45929</v>
      </c>
      <c r="J5306" t="s">
        <v>156</v>
      </c>
    </row>
    <row r="5307" spans="1:10" x14ac:dyDescent="0.35">
      <c r="A5307" t="s">
        <v>84</v>
      </c>
      <c r="B5307" s="8">
        <v>45139</v>
      </c>
      <c r="C5307">
        <v>2480000</v>
      </c>
      <c r="D5307">
        <v>0</v>
      </c>
      <c r="E5307">
        <f t="shared" si="76"/>
        <v>2480000</v>
      </c>
      <c r="F5307" t="s">
        <v>179</v>
      </c>
      <c r="G5307" t="s">
        <v>255</v>
      </c>
      <c r="H5307" s="8">
        <v>44104</v>
      </c>
      <c r="I5307" s="8">
        <v>45929</v>
      </c>
      <c r="J5307" t="s">
        <v>156</v>
      </c>
    </row>
    <row r="5308" spans="1:10" x14ac:dyDescent="0.35">
      <c r="A5308" t="s">
        <v>84</v>
      </c>
      <c r="B5308" s="8">
        <v>45170</v>
      </c>
      <c r="C5308">
        <v>2480000</v>
      </c>
      <c r="D5308">
        <f>C5308*0.65</f>
        <v>1612000</v>
      </c>
      <c r="E5308">
        <f>C5308-D5308</f>
        <v>868000</v>
      </c>
      <c r="F5308" t="s">
        <v>179</v>
      </c>
      <c r="G5308" t="s">
        <v>255</v>
      </c>
      <c r="H5308" s="8">
        <v>44104</v>
      </c>
      <c r="I5308" s="8">
        <v>45929</v>
      </c>
      <c r="J5308" t="s">
        <v>156</v>
      </c>
    </row>
    <row r="5309" spans="1:10" x14ac:dyDescent="0.35">
      <c r="A5309" t="s">
        <v>85</v>
      </c>
      <c r="B5309" s="8">
        <v>44105</v>
      </c>
      <c r="C5309">
        <v>1420000</v>
      </c>
      <c r="D5309">
        <v>0</v>
      </c>
      <c r="E5309">
        <v>1420000</v>
      </c>
      <c r="F5309" t="s">
        <v>179</v>
      </c>
      <c r="G5309" t="s">
        <v>286</v>
      </c>
      <c r="H5309" s="8">
        <v>44104</v>
      </c>
      <c r="I5309" s="8">
        <v>45929</v>
      </c>
      <c r="J5309" t="s">
        <v>156</v>
      </c>
    </row>
    <row r="5310" spans="1:10" x14ac:dyDescent="0.35">
      <c r="A5310" t="s">
        <v>85</v>
      </c>
      <c r="B5310" s="8">
        <v>44136</v>
      </c>
      <c r="C5310">
        <v>1420000</v>
      </c>
      <c r="D5310">
        <v>20000</v>
      </c>
      <c r="E5310">
        <v>1400000</v>
      </c>
      <c r="F5310" t="s">
        <v>179</v>
      </c>
      <c r="G5310" t="s">
        <v>286</v>
      </c>
      <c r="H5310" s="8">
        <v>44104</v>
      </c>
      <c r="I5310" s="8">
        <v>45929</v>
      </c>
      <c r="J5310" t="s">
        <v>156</v>
      </c>
    </row>
    <row r="5311" spans="1:10" x14ac:dyDescent="0.35">
      <c r="A5311" t="s">
        <v>85</v>
      </c>
      <c r="B5311" s="8">
        <v>44166</v>
      </c>
      <c r="C5311">
        <v>1420000</v>
      </c>
      <c r="D5311">
        <v>20000</v>
      </c>
      <c r="E5311">
        <v>1400000</v>
      </c>
      <c r="F5311" t="s">
        <v>179</v>
      </c>
      <c r="G5311" t="s">
        <v>286</v>
      </c>
      <c r="H5311" s="8">
        <v>44104</v>
      </c>
      <c r="I5311" s="8">
        <v>45929</v>
      </c>
      <c r="J5311" t="s">
        <v>156</v>
      </c>
    </row>
    <row r="5312" spans="1:10" x14ac:dyDescent="0.35">
      <c r="A5312" t="s">
        <v>85</v>
      </c>
      <c r="B5312" s="8">
        <v>44197</v>
      </c>
      <c r="C5312">
        <v>1420000</v>
      </c>
      <c r="D5312">
        <v>143799</v>
      </c>
      <c r="E5312">
        <v>1276201</v>
      </c>
      <c r="F5312" t="s">
        <v>179</v>
      </c>
      <c r="G5312" t="s">
        <v>286</v>
      </c>
      <c r="H5312" s="8">
        <v>44104</v>
      </c>
      <c r="I5312" s="8">
        <v>45929</v>
      </c>
      <c r="J5312" t="s">
        <v>156</v>
      </c>
    </row>
    <row r="5313" spans="1:10" x14ac:dyDescent="0.35">
      <c r="A5313" t="s">
        <v>85</v>
      </c>
      <c r="B5313" s="8">
        <v>44228</v>
      </c>
      <c r="C5313">
        <v>1420000</v>
      </c>
      <c r="D5313">
        <v>226419</v>
      </c>
      <c r="E5313">
        <v>1193581</v>
      </c>
      <c r="F5313" t="s">
        <v>179</v>
      </c>
      <c r="G5313" t="s">
        <v>286</v>
      </c>
      <c r="H5313" s="8">
        <v>44104</v>
      </c>
      <c r="I5313" s="8">
        <v>45929</v>
      </c>
      <c r="J5313" t="s">
        <v>156</v>
      </c>
    </row>
    <row r="5314" spans="1:10" x14ac:dyDescent="0.35">
      <c r="A5314" t="s">
        <v>85</v>
      </c>
      <c r="B5314" s="8">
        <v>44256</v>
      </c>
      <c r="C5314">
        <v>1420000</v>
      </c>
      <c r="D5314">
        <v>395570</v>
      </c>
      <c r="E5314">
        <v>1024430</v>
      </c>
      <c r="F5314" t="s">
        <v>179</v>
      </c>
      <c r="G5314" t="s">
        <v>286</v>
      </c>
      <c r="H5314" s="8">
        <v>44104</v>
      </c>
      <c r="I5314" s="8">
        <v>45929</v>
      </c>
      <c r="J5314" t="s">
        <v>156</v>
      </c>
    </row>
    <row r="5315" spans="1:10" x14ac:dyDescent="0.35">
      <c r="A5315" t="s">
        <v>85</v>
      </c>
      <c r="B5315" s="8">
        <v>44287</v>
      </c>
      <c r="C5315">
        <v>1420000</v>
      </c>
      <c r="D5315">
        <v>420570</v>
      </c>
      <c r="E5315">
        <v>999430</v>
      </c>
      <c r="F5315" t="s">
        <v>179</v>
      </c>
      <c r="G5315" t="s">
        <v>286</v>
      </c>
      <c r="H5315" s="8">
        <v>44104</v>
      </c>
      <c r="I5315" s="8">
        <v>45929</v>
      </c>
      <c r="J5315" t="s">
        <v>156</v>
      </c>
    </row>
    <row r="5316" spans="1:10" x14ac:dyDescent="0.35">
      <c r="A5316" t="s">
        <v>85</v>
      </c>
      <c r="B5316" s="8">
        <v>44317</v>
      </c>
      <c r="C5316">
        <v>1420000</v>
      </c>
      <c r="D5316">
        <v>568445</v>
      </c>
      <c r="E5316">
        <v>851555</v>
      </c>
      <c r="F5316" t="s">
        <v>179</v>
      </c>
      <c r="G5316" t="s">
        <v>286</v>
      </c>
      <c r="H5316" s="8">
        <v>44104</v>
      </c>
      <c r="I5316" s="8">
        <v>45929</v>
      </c>
      <c r="J5316" t="s">
        <v>156</v>
      </c>
    </row>
    <row r="5317" spans="1:10" x14ac:dyDescent="0.35">
      <c r="A5317" t="s">
        <v>85</v>
      </c>
      <c r="B5317" s="8">
        <v>44348</v>
      </c>
      <c r="C5317">
        <v>1420000</v>
      </c>
      <c r="D5317">
        <v>645011</v>
      </c>
      <c r="E5317">
        <v>774989</v>
      </c>
      <c r="F5317" t="s">
        <v>179</v>
      </c>
      <c r="G5317" t="s">
        <v>286</v>
      </c>
      <c r="H5317" s="8">
        <v>44104</v>
      </c>
      <c r="I5317" s="8">
        <v>45929</v>
      </c>
      <c r="J5317" t="s">
        <v>156</v>
      </c>
    </row>
    <row r="5318" spans="1:10" x14ac:dyDescent="0.35">
      <c r="A5318" t="s">
        <v>85</v>
      </c>
      <c r="B5318" s="8">
        <v>44378</v>
      </c>
      <c r="C5318">
        <v>1420000</v>
      </c>
      <c r="D5318">
        <v>774224</v>
      </c>
      <c r="E5318">
        <v>645776</v>
      </c>
      <c r="F5318" t="s">
        <v>179</v>
      </c>
      <c r="G5318" t="s">
        <v>286</v>
      </c>
      <c r="H5318" s="8">
        <v>44104</v>
      </c>
      <c r="I5318" s="8">
        <v>45929</v>
      </c>
      <c r="J5318" t="s">
        <v>156</v>
      </c>
    </row>
    <row r="5319" spans="1:10" x14ac:dyDescent="0.35">
      <c r="A5319" t="s">
        <v>85</v>
      </c>
      <c r="B5319" s="8">
        <v>44409</v>
      </c>
      <c r="C5319">
        <v>1420000</v>
      </c>
      <c r="D5319">
        <v>1196389</v>
      </c>
      <c r="E5319">
        <v>223611</v>
      </c>
      <c r="F5319" t="s">
        <v>179</v>
      </c>
      <c r="G5319" t="s">
        <v>286</v>
      </c>
      <c r="H5319" s="8">
        <v>44104</v>
      </c>
      <c r="I5319" s="8">
        <v>45929</v>
      </c>
      <c r="J5319" t="s">
        <v>156</v>
      </c>
    </row>
    <row r="5320" spans="1:10" x14ac:dyDescent="0.35">
      <c r="A5320" t="s">
        <v>85</v>
      </c>
      <c r="B5320" s="8">
        <v>44440</v>
      </c>
      <c r="C5320">
        <v>1420000</v>
      </c>
      <c r="D5320">
        <v>1326794</v>
      </c>
      <c r="E5320">
        <v>93206</v>
      </c>
      <c r="F5320" t="s">
        <v>179</v>
      </c>
      <c r="G5320" t="s">
        <v>286</v>
      </c>
      <c r="H5320" s="8">
        <v>44104</v>
      </c>
      <c r="I5320" s="8">
        <v>45929</v>
      </c>
      <c r="J5320" t="s">
        <v>156</v>
      </c>
    </row>
    <row r="5321" spans="1:10" x14ac:dyDescent="0.35">
      <c r="A5321" t="s">
        <v>85</v>
      </c>
      <c r="B5321" s="8">
        <v>44470</v>
      </c>
      <c r="C5321">
        <v>1420000</v>
      </c>
      <c r="D5321">
        <v>1390890</v>
      </c>
      <c r="E5321">
        <v>29110</v>
      </c>
      <c r="F5321" t="s">
        <v>179</v>
      </c>
      <c r="G5321" t="s">
        <v>286</v>
      </c>
      <c r="H5321" s="8">
        <v>44104</v>
      </c>
      <c r="I5321" s="8">
        <v>45929</v>
      </c>
      <c r="J5321" t="s">
        <v>156</v>
      </c>
    </row>
    <row r="5322" spans="1:10" x14ac:dyDescent="0.35">
      <c r="A5322" t="s">
        <v>85</v>
      </c>
      <c r="B5322" s="8">
        <v>44501</v>
      </c>
      <c r="C5322">
        <v>1420000</v>
      </c>
      <c r="D5322">
        <v>1390890</v>
      </c>
      <c r="E5322">
        <v>29110</v>
      </c>
      <c r="F5322" t="s">
        <v>179</v>
      </c>
      <c r="G5322" t="s">
        <v>286</v>
      </c>
      <c r="H5322" s="8">
        <v>44104</v>
      </c>
      <c r="I5322" s="8">
        <v>45929</v>
      </c>
      <c r="J5322" t="s">
        <v>156</v>
      </c>
    </row>
    <row r="5323" spans="1:10" x14ac:dyDescent="0.35">
      <c r="A5323" t="s">
        <v>85</v>
      </c>
      <c r="B5323" s="8">
        <v>44531</v>
      </c>
      <c r="C5323">
        <v>1420000</v>
      </c>
      <c r="D5323">
        <v>1390890</v>
      </c>
      <c r="E5323">
        <v>29110</v>
      </c>
      <c r="F5323" t="s">
        <v>179</v>
      </c>
      <c r="G5323" t="s">
        <v>286</v>
      </c>
      <c r="H5323" s="8">
        <v>44104</v>
      </c>
      <c r="I5323" s="8">
        <v>45929</v>
      </c>
      <c r="J5323" t="s">
        <v>156</v>
      </c>
    </row>
    <row r="5324" spans="1:10" x14ac:dyDescent="0.35">
      <c r="A5324" t="s">
        <v>85</v>
      </c>
      <c r="B5324" s="8">
        <v>44562</v>
      </c>
      <c r="C5324">
        <v>1420000</v>
      </c>
      <c r="D5324">
        <v>1390890</v>
      </c>
      <c r="E5324">
        <v>29110</v>
      </c>
      <c r="F5324" t="s">
        <v>179</v>
      </c>
      <c r="G5324" t="s">
        <v>286</v>
      </c>
      <c r="H5324" s="8">
        <v>44104</v>
      </c>
      <c r="I5324" s="8">
        <v>45929</v>
      </c>
      <c r="J5324" t="s">
        <v>156</v>
      </c>
    </row>
    <row r="5325" spans="1:10" x14ac:dyDescent="0.35">
      <c r="A5325" t="s">
        <v>85</v>
      </c>
      <c r="B5325" s="8">
        <v>44593</v>
      </c>
      <c r="C5325">
        <v>1420000</v>
      </c>
      <c r="D5325">
        <v>1390890</v>
      </c>
      <c r="E5325">
        <v>29110</v>
      </c>
      <c r="F5325" t="s">
        <v>179</v>
      </c>
      <c r="G5325" t="s">
        <v>286</v>
      </c>
      <c r="H5325" s="8">
        <v>44104</v>
      </c>
      <c r="I5325" s="8">
        <v>45929</v>
      </c>
      <c r="J5325" t="s">
        <v>156</v>
      </c>
    </row>
    <row r="5326" spans="1:10" x14ac:dyDescent="0.35">
      <c r="A5326" t="s">
        <v>85</v>
      </c>
      <c r="B5326" s="8">
        <v>44621</v>
      </c>
      <c r="C5326">
        <v>1420000</v>
      </c>
      <c r="D5326">
        <v>1390890</v>
      </c>
      <c r="E5326">
        <v>29110</v>
      </c>
      <c r="F5326" t="s">
        <v>179</v>
      </c>
      <c r="G5326" t="s">
        <v>286</v>
      </c>
      <c r="H5326" s="8">
        <v>44104</v>
      </c>
      <c r="I5326" s="8">
        <v>45929</v>
      </c>
      <c r="J5326" t="s">
        <v>156</v>
      </c>
    </row>
    <row r="5327" spans="1:10" x14ac:dyDescent="0.35">
      <c r="A5327" t="s">
        <v>85</v>
      </c>
      <c r="B5327" s="8">
        <v>44652</v>
      </c>
      <c r="C5327">
        <v>1420000</v>
      </c>
      <c r="D5327">
        <v>1390890</v>
      </c>
      <c r="E5327">
        <v>29110</v>
      </c>
      <c r="F5327" t="s">
        <v>179</v>
      </c>
      <c r="G5327" t="s">
        <v>286</v>
      </c>
      <c r="H5327" s="8">
        <v>44104</v>
      </c>
      <c r="I5327" s="8">
        <v>45929</v>
      </c>
      <c r="J5327" t="s">
        <v>156</v>
      </c>
    </row>
    <row r="5328" spans="1:10" x14ac:dyDescent="0.35">
      <c r="A5328" t="s">
        <v>85</v>
      </c>
      <c r="B5328" s="8">
        <v>44682</v>
      </c>
      <c r="C5328">
        <v>1420000</v>
      </c>
      <c r="D5328">
        <v>1390890</v>
      </c>
      <c r="E5328">
        <v>29110</v>
      </c>
      <c r="F5328" t="s">
        <v>179</v>
      </c>
      <c r="G5328" t="s">
        <v>286</v>
      </c>
      <c r="H5328" s="8">
        <v>44104</v>
      </c>
      <c r="I5328" s="8">
        <v>45929</v>
      </c>
      <c r="J5328" t="s">
        <v>156</v>
      </c>
    </row>
    <row r="5329" spans="1:10" x14ac:dyDescent="0.35">
      <c r="A5329" t="s">
        <v>85</v>
      </c>
      <c r="B5329" s="8">
        <v>44713</v>
      </c>
      <c r="C5329">
        <v>1420000</v>
      </c>
      <c r="D5329">
        <v>1390890</v>
      </c>
      <c r="E5329">
        <v>29110</v>
      </c>
      <c r="F5329" t="s">
        <v>179</v>
      </c>
      <c r="G5329" t="s">
        <v>286</v>
      </c>
      <c r="H5329" s="8">
        <v>44104</v>
      </c>
      <c r="I5329" s="8">
        <v>45929</v>
      </c>
      <c r="J5329" t="s">
        <v>156</v>
      </c>
    </row>
    <row r="5330" spans="1:10" x14ac:dyDescent="0.35">
      <c r="A5330" t="s">
        <v>85</v>
      </c>
      <c r="B5330" s="8">
        <v>44743</v>
      </c>
      <c r="C5330">
        <v>1420000</v>
      </c>
      <c r="D5330">
        <v>1390890</v>
      </c>
      <c r="E5330">
        <v>29110</v>
      </c>
      <c r="F5330" t="s">
        <v>179</v>
      </c>
      <c r="G5330" t="s">
        <v>286</v>
      </c>
      <c r="H5330" s="8">
        <v>44104</v>
      </c>
      <c r="I5330" s="8">
        <v>45929</v>
      </c>
      <c r="J5330" t="s">
        <v>156</v>
      </c>
    </row>
    <row r="5331" spans="1:10" x14ac:dyDescent="0.35">
      <c r="A5331" t="s">
        <v>85</v>
      </c>
      <c r="B5331" s="8">
        <v>44774</v>
      </c>
      <c r="C5331">
        <v>1420000</v>
      </c>
      <c r="D5331">
        <v>1390890</v>
      </c>
      <c r="E5331">
        <v>29110</v>
      </c>
      <c r="F5331" t="s">
        <v>179</v>
      </c>
      <c r="G5331" t="s">
        <v>286</v>
      </c>
      <c r="H5331" s="8">
        <v>44104</v>
      </c>
      <c r="I5331" s="8">
        <v>45929</v>
      </c>
      <c r="J5331" t="s">
        <v>156</v>
      </c>
    </row>
    <row r="5332" spans="1:10" x14ac:dyDescent="0.35">
      <c r="A5332" t="s">
        <v>85</v>
      </c>
      <c r="B5332" s="8">
        <v>44805</v>
      </c>
      <c r="C5332">
        <v>1420000</v>
      </c>
      <c r="D5332">
        <v>1420000</v>
      </c>
      <c r="E5332">
        <v>0</v>
      </c>
      <c r="F5332" t="s">
        <v>179</v>
      </c>
      <c r="G5332" t="s">
        <v>286</v>
      </c>
      <c r="H5332" s="8">
        <v>44104</v>
      </c>
      <c r="I5332" s="8">
        <v>45929</v>
      </c>
      <c r="J5332" t="s">
        <v>156</v>
      </c>
    </row>
    <row r="5333" spans="1:10" x14ac:dyDescent="0.35">
      <c r="A5333" t="s">
        <v>85</v>
      </c>
      <c r="B5333" s="8">
        <v>44835</v>
      </c>
      <c r="C5333">
        <v>1420000</v>
      </c>
      <c r="D5333">
        <v>1420000</v>
      </c>
      <c r="E5333">
        <v>0</v>
      </c>
      <c r="F5333" t="s">
        <v>179</v>
      </c>
      <c r="G5333" t="s">
        <v>286</v>
      </c>
      <c r="H5333" s="8">
        <v>44104</v>
      </c>
      <c r="I5333" s="8">
        <v>45929</v>
      </c>
      <c r="J5333" t="s">
        <v>156</v>
      </c>
    </row>
    <row r="5334" spans="1:10" x14ac:dyDescent="0.35">
      <c r="A5334" t="s">
        <v>85</v>
      </c>
      <c r="B5334" s="8">
        <v>44866</v>
      </c>
      <c r="C5334">
        <v>1420000</v>
      </c>
      <c r="D5334">
        <v>1420000</v>
      </c>
      <c r="E5334">
        <v>0</v>
      </c>
      <c r="F5334" t="s">
        <v>179</v>
      </c>
      <c r="G5334" t="s">
        <v>286</v>
      </c>
      <c r="H5334" s="8">
        <v>44104</v>
      </c>
      <c r="I5334" s="8">
        <v>45929</v>
      </c>
      <c r="J5334" t="s">
        <v>156</v>
      </c>
    </row>
    <row r="5335" spans="1:10" x14ac:dyDescent="0.35">
      <c r="A5335" t="s">
        <v>85</v>
      </c>
      <c r="B5335" s="8">
        <v>44896</v>
      </c>
      <c r="C5335">
        <v>1420000</v>
      </c>
      <c r="D5335">
        <v>1420000</v>
      </c>
      <c r="E5335">
        <v>0</v>
      </c>
      <c r="F5335" t="s">
        <v>179</v>
      </c>
      <c r="G5335" t="s">
        <v>286</v>
      </c>
      <c r="H5335" s="8">
        <v>44104</v>
      </c>
      <c r="I5335" s="8">
        <v>45929</v>
      </c>
      <c r="J5335" t="s">
        <v>156</v>
      </c>
    </row>
    <row r="5336" spans="1:10" x14ac:dyDescent="0.35">
      <c r="A5336" t="s">
        <v>85</v>
      </c>
      <c r="B5336" s="8">
        <v>44927</v>
      </c>
      <c r="C5336">
        <v>1420000</v>
      </c>
      <c r="D5336">
        <v>1420000</v>
      </c>
      <c r="E5336">
        <v>0</v>
      </c>
      <c r="F5336" t="s">
        <v>179</v>
      </c>
      <c r="G5336" t="s">
        <v>286</v>
      </c>
      <c r="H5336" s="8">
        <v>44104</v>
      </c>
      <c r="I5336" s="8">
        <v>45929</v>
      </c>
      <c r="J5336" t="s">
        <v>156</v>
      </c>
    </row>
    <row r="5337" spans="1:10" x14ac:dyDescent="0.35">
      <c r="A5337" t="s">
        <v>85</v>
      </c>
      <c r="B5337" s="8">
        <v>44958</v>
      </c>
      <c r="C5337">
        <v>1420000</v>
      </c>
      <c r="D5337">
        <v>1420000</v>
      </c>
      <c r="E5337">
        <v>0</v>
      </c>
      <c r="F5337" t="s">
        <v>179</v>
      </c>
      <c r="G5337" t="s">
        <v>286</v>
      </c>
      <c r="H5337" s="8">
        <v>44104</v>
      </c>
      <c r="I5337" s="8">
        <v>45929</v>
      </c>
      <c r="J5337" t="s">
        <v>156</v>
      </c>
    </row>
    <row r="5338" spans="1:10" x14ac:dyDescent="0.35">
      <c r="A5338" t="s">
        <v>85</v>
      </c>
      <c r="B5338" s="8">
        <v>44986</v>
      </c>
      <c r="C5338">
        <v>1420000</v>
      </c>
      <c r="D5338">
        <v>1420000</v>
      </c>
      <c r="E5338">
        <v>0</v>
      </c>
      <c r="F5338" t="s">
        <v>179</v>
      </c>
      <c r="G5338" t="s">
        <v>286</v>
      </c>
      <c r="H5338" s="8">
        <v>44104</v>
      </c>
      <c r="I5338" s="8">
        <v>45929</v>
      </c>
      <c r="J5338" t="s">
        <v>156</v>
      </c>
    </row>
    <row r="5339" spans="1:10" x14ac:dyDescent="0.35">
      <c r="A5339" t="s">
        <v>85</v>
      </c>
      <c r="B5339" s="8">
        <v>45017</v>
      </c>
      <c r="C5339">
        <v>1420000</v>
      </c>
      <c r="D5339">
        <v>1420000</v>
      </c>
      <c r="E5339">
        <v>0</v>
      </c>
      <c r="F5339" t="s">
        <v>179</v>
      </c>
      <c r="G5339" t="s">
        <v>286</v>
      </c>
      <c r="H5339" s="8">
        <v>44104</v>
      </c>
      <c r="I5339" s="8">
        <v>45929</v>
      </c>
      <c r="J5339" t="s">
        <v>156</v>
      </c>
    </row>
    <row r="5340" spans="1:10" x14ac:dyDescent="0.35">
      <c r="A5340" t="s">
        <v>85</v>
      </c>
      <c r="B5340" s="8">
        <v>45047</v>
      </c>
      <c r="C5340">
        <v>1420000</v>
      </c>
      <c r="D5340">
        <v>1420000</v>
      </c>
      <c r="E5340">
        <v>0</v>
      </c>
      <c r="F5340" t="s">
        <v>179</v>
      </c>
      <c r="G5340" t="s">
        <v>286</v>
      </c>
      <c r="H5340" s="8">
        <v>44104</v>
      </c>
      <c r="I5340" s="8">
        <v>45929</v>
      </c>
      <c r="J5340" t="s">
        <v>156</v>
      </c>
    </row>
    <row r="5341" spans="1:10" x14ac:dyDescent="0.35">
      <c r="A5341" t="s">
        <v>85</v>
      </c>
      <c r="B5341" s="8">
        <v>45078</v>
      </c>
      <c r="C5341">
        <v>1420000</v>
      </c>
      <c r="D5341">
        <v>1420000</v>
      </c>
      <c r="E5341">
        <v>0</v>
      </c>
      <c r="F5341" t="s">
        <v>179</v>
      </c>
      <c r="G5341" t="s">
        <v>286</v>
      </c>
      <c r="H5341" s="8">
        <v>44104</v>
      </c>
      <c r="I5341" s="8">
        <v>45929</v>
      </c>
      <c r="J5341" t="s">
        <v>156</v>
      </c>
    </row>
    <row r="5342" spans="1:10" x14ac:dyDescent="0.35">
      <c r="A5342" t="s">
        <v>85</v>
      </c>
      <c r="B5342" s="8">
        <v>45108</v>
      </c>
      <c r="C5342">
        <v>1420000</v>
      </c>
      <c r="D5342">
        <v>1420000</v>
      </c>
      <c r="E5342">
        <v>0</v>
      </c>
      <c r="F5342" t="s">
        <v>179</v>
      </c>
      <c r="G5342" t="s">
        <v>286</v>
      </c>
      <c r="H5342" s="8">
        <v>44104</v>
      </c>
      <c r="I5342" s="8">
        <v>45929</v>
      </c>
      <c r="J5342" t="s">
        <v>156</v>
      </c>
    </row>
    <row r="5343" spans="1:10" x14ac:dyDescent="0.35">
      <c r="A5343" t="s">
        <v>85</v>
      </c>
      <c r="B5343" s="8">
        <v>45139</v>
      </c>
      <c r="C5343">
        <v>1420000</v>
      </c>
      <c r="D5343">
        <v>1420000</v>
      </c>
      <c r="E5343">
        <v>0</v>
      </c>
      <c r="F5343" t="s">
        <v>179</v>
      </c>
      <c r="G5343" t="s">
        <v>286</v>
      </c>
      <c r="H5343" s="8">
        <v>44104</v>
      </c>
      <c r="I5343" s="8">
        <v>45929</v>
      </c>
      <c r="J5343" t="s">
        <v>156</v>
      </c>
    </row>
    <row r="5344" spans="1:10" x14ac:dyDescent="0.35">
      <c r="A5344" t="s">
        <v>85</v>
      </c>
      <c r="B5344" s="8">
        <v>45170</v>
      </c>
      <c r="C5344">
        <v>1420000</v>
      </c>
      <c r="D5344">
        <v>1420000</v>
      </c>
      <c r="E5344">
        <v>0</v>
      </c>
      <c r="F5344" t="s">
        <v>179</v>
      </c>
      <c r="G5344" t="s">
        <v>286</v>
      </c>
      <c r="H5344" s="8">
        <v>44104</v>
      </c>
      <c r="I5344" s="8">
        <v>45929</v>
      </c>
      <c r="J5344" t="s">
        <v>156</v>
      </c>
    </row>
    <row r="5345" spans="1:10" x14ac:dyDescent="0.35">
      <c r="A5345" t="s">
        <v>136</v>
      </c>
      <c r="B5345" s="8">
        <v>44105</v>
      </c>
      <c r="C5345">
        <v>21171312</v>
      </c>
      <c r="D5345">
        <v>4842085</v>
      </c>
      <c r="E5345" s="12" t="s">
        <v>287</v>
      </c>
      <c r="F5345" t="s">
        <v>179</v>
      </c>
      <c r="G5345" t="s">
        <v>264</v>
      </c>
      <c r="H5345" s="8">
        <v>43952</v>
      </c>
      <c r="I5345" s="8">
        <v>45777</v>
      </c>
      <c r="J5345" t="s">
        <v>156</v>
      </c>
    </row>
    <row r="5346" spans="1:10" x14ac:dyDescent="0.35">
      <c r="A5346" t="s">
        <v>136</v>
      </c>
      <c r="B5346" s="8">
        <v>44136</v>
      </c>
      <c r="C5346">
        <v>21171312</v>
      </c>
      <c r="D5346">
        <v>5847378</v>
      </c>
      <c r="E5346" s="12" t="s">
        <v>288</v>
      </c>
      <c r="F5346" t="s">
        <v>179</v>
      </c>
      <c r="G5346" t="s">
        <v>264</v>
      </c>
      <c r="H5346" s="8">
        <v>43952</v>
      </c>
      <c r="I5346" s="8">
        <v>45777</v>
      </c>
      <c r="J5346" t="s">
        <v>156</v>
      </c>
    </row>
    <row r="5347" spans="1:10" x14ac:dyDescent="0.35">
      <c r="A5347" t="s">
        <v>136</v>
      </c>
      <c r="B5347" s="8">
        <v>44166</v>
      </c>
      <c r="C5347">
        <v>21171312</v>
      </c>
      <c r="D5347" s="12" t="s">
        <v>289</v>
      </c>
      <c r="E5347" s="12" t="s">
        <v>290</v>
      </c>
      <c r="F5347" t="s">
        <v>179</v>
      </c>
      <c r="G5347" t="s">
        <v>264</v>
      </c>
      <c r="H5347" s="8">
        <v>43952</v>
      </c>
      <c r="I5347" s="8">
        <v>45777</v>
      </c>
      <c r="J5347" t="s">
        <v>156</v>
      </c>
    </row>
    <row r="5348" spans="1:10" x14ac:dyDescent="0.35">
      <c r="A5348" t="s">
        <v>136</v>
      </c>
      <c r="B5348" s="8">
        <v>44197</v>
      </c>
      <c r="C5348">
        <v>21171312</v>
      </c>
      <c r="D5348" s="12" t="s">
        <v>291</v>
      </c>
      <c r="E5348" s="12" t="s">
        <v>292</v>
      </c>
      <c r="F5348" t="s">
        <v>179</v>
      </c>
      <c r="G5348" t="s">
        <v>264</v>
      </c>
      <c r="H5348" s="8">
        <v>43952</v>
      </c>
      <c r="I5348" s="8">
        <v>45777</v>
      </c>
      <c r="J5348" t="s">
        <v>156</v>
      </c>
    </row>
    <row r="5349" spans="1:10" x14ac:dyDescent="0.35">
      <c r="A5349" t="s">
        <v>136</v>
      </c>
      <c r="B5349" s="8">
        <v>44228</v>
      </c>
      <c r="C5349">
        <v>21171312</v>
      </c>
      <c r="D5349" s="12" t="s">
        <v>291</v>
      </c>
      <c r="E5349" s="12" t="s">
        <v>292</v>
      </c>
      <c r="F5349" t="s">
        <v>179</v>
      </c>
      <c r="G5349" t="s">
        <v>264</v>
      </c>
      <c r="H5349" s="8">
        <v>43952</v>
      </c>
      <c r="I5349" s="8">
        <v>45777</v>
      </c>
      <c r="J5349" t="s">
        <v>156</v>
      </c>
    </row>
    <row r="5350" spans="1:10" x14ac:dyDescent="0.35">
      <c r="A5350" t="s">
        <v>136</v>
      </c>
      <c r="B5350" s="8">
        <v>44256</v>
      </c>
      <c r="C5350">
        <v>21171312</v>
      </c>
      <c r="D5350">
        <v>12181087</v>
      </c>
      <c r="E5350">
        <v>8990225</v>
      </c>
      <c r="F5350" t="s">
        <v>179</v>
      </c>
      <c r="G5350" t="s">
        <v>264</v>
      </c>
      <c r="H5350" s="8">
        <v>43952</v>
      </c>
      <c r="I5350" s="8">
        <v>45777</v>
      </c>
      <c r="J5350" t="s">
        <v>156</v>
      </c>
    </row>
    <row r="5351" spans="1:10" x14ac:dyDescent="0.35">
      <c r="A5351" t="s">
        <v>136</v>
      </c>
      <c r="B5351" s="8">
        <v>44287</v>
      </c>
      <c r="C5351">
        <v>1900000</v>
      </c>
      <c r="D5351">
        <v>1150385</v>
      </c>
      <c r="E5351">
        <v>749615</v>
      </c>
      <c r="F5351" t="s">
        <v>179</v>
      </c>
      <c r="G5351" t="s">
        <v>264</v>
      </c>
      <c r="H5351" s="8">
        <v>43952</v>
      </c>
      <c r="I5351" s="8">
        <v>45777</v>
      </c>
      <c r="J5351" t="s">
        <v>156</v>
      </c>
    </row>
    <row r="5352" spans="1:10" x14ac:dyDescent="0.35">
      <c r="A5352" t="s">
        <v>136</v>
      </c>
      <c r="B5352" s="8">
        <v>44317</v>
      </c>
      <c r="C5352">
        <v>21171312</v>
      </c>
      <c r="D5352" s="12" t="s">
        <v>293</v>
      </c>
      <c r="E5352">
        <v>5403674</v>
      </c>
      <c r="F5352" t="s">
        <v>179</v>
      </c>
      <c r="G5352" t="s">
        <v>264</v>
      </c>
      <c r="H5352" s="8">
        <v>43952</v>
      </c>
      <c r="I5352" s="8">
        <v>45777</v>
      </c>
      <c r="J5352" t="s">
        <v>156</v>
      </c>
    </row>
    <row r="5353" spans="1:10" x14ac:dyDescent="0.35">
      <c r="A5353" t="s">
        <v>136</v>
      </c>
      <c r="B5353" s="8">
        <v>44348</v>
      </c>
      <c r="C5353">
        <v>21171312</v>
      </c>
      <c r="D5353" s="12" t="s">
        <v>294</v>
      </c>
      <c r="E5353">
        <v>4630755.9800000004</v>
      </c>
      <c r="F5353" t="s">
        <v>179</v>
      </c>
      <c r="G5353" t="s">
        <v>264</v>
      </c>
      <c r="H5353" s="8">
        <v>43952</v>
      </c>
      <c r="I5353" s="8">
        <v>45777</v>
      </c>
      <c r="J5353" t="s">
        <v>156</v>
      </c>
    </row>
    <row r="5354" spans="1:10" x14ac:dyDescent="0.35">
      <c r="A5354" t="s">
        <v>136</v>
      </c>
      <c r="B5354" s="8">
        <v>44378</v>
      </c>
      <c r="C5354">
        <v>21171312</v>
      </c>
      <c r="D5354" s="12" t="s">
        <v>294</v>
      </c>
      <c r="E5354">
        <v>4630755.9800000004</v>
      </c>
      <c r="F5354" t="s">
        <v>179</v>
      </c>
      <c r="G5354" t="s">
        <v>264</v>
      </c>
      <c r="H5354" s="8">
        <v>43952</v>
      </c>
      <c r="I5354" s="8">
        <v>45777</v>
      </c>
      <c r="J5354" t="s">
        <v>156</v>
      </c>
    </row>
    <row r="5355" spans="1:10" x14ac:dyDescent="0.35">
      <c r="A5355" t="s">
        <v>136</v>
      </c>
      <c r="B5355" s="8">
        <v>44409</v>
      </c>
      <c r="C5355">
        <v>21171312</v>
      </c>
      <c r="D5355">
        <v>17480164</v>
      </c>
      <c r="E5355" s="12" t="s">
        <v>295</v>
      </c>
      <c r="F5355" t="s">
        <v>179</v>
      </c>
      <c r="G5355" t="s">
        <v>264</v>
      </c>
      <c r="H5355" s="8">
        <v>43952</v>
      </c>
      <c r="I5355" s="8">
        <v>45777</v>
      </c>
      <c r="J5355" t="s">
        <v>156</v>
      </c>
    </row>
    <row r="5356" spans="1:10" x14ac:dyDescent="0.35">
      <c r="A5356" t="s">
        <v>136</v>
      </c>
      <c r="B5356" s="8">
        <v>44440</v>
      </c>
      <c r="C5356">
        <v>21171312</v>
      </c>
      <c r="D5356">
        <v>18327457.02</v>
      </c>
      <c r="E5356">
        <v>2843854.98</v>
      </c>
      <c r="F5356" t="s">
        <v>179</v>
      </c>
      <c r="G5356" t="s">
        <v>264</v>
      </c>
      <c r="H5356" s="8">
        <v>43952</v>
      </c>
      <c r="I5356" s="8">
        <v>45777</v>
      </c>
      <c r="J5356" t="s">
        <v>156</v>
      </c>
    </row>
    <row r="5357" spans="1:10" x14ac:dyDescent="0.35">
      <c r="A5357" t="s">
        <v>136</v>
      </c>
      <c r="B5357" s="8">
        <v>44470</v>
      </c>
      <c r="C5357">
        <v>21171312</v>
      </c>
      <c r="D5357" s="12" t="s">
        <v>296</v>
      </c>
      <c r="E5357">
        <v>1090381</v>
      </c>
      <c r="F5357" t="s">
        <v>179</v>
      </c>
      <c r="G5357" t="s">
        <v>264</v>
      </c>
      <c r="H5357" s="8">
        <v>43952</v>
      </c>
      <c r="I5357" s="8">
        <v>45777</v>
      </c>
      <c r="J5357" t="s">
        <v>156</v>
      </c>
    </row>
    <row r="5358" spans="1:10" x14ac:dyDescent="0.35">
      <c r="A5358" t="s">
        <v>136</v>
      </c>
      <c r="B5358" s="8">
        <v>44501</v>
      </c>
      <c r="C5358">
        <v>21171312</v>
      </c>
      <c r="D5358" s="12" t="s">
        <v>296</v>
      </c>
      <c r="E5358">
        <v>1090381</v>
      </c>
      <c r="F5358" t="s">
        <v>179</v>
      </c>
      <c r="G5358" t="s">
        <v>264</v>
      </c>
      <c r="H5358" s="8">
        <v>43952</v>
      </c>
      <c r="I5358" s="8">
        <v>45777</v>
      </c>
      <c r="J5358" t="s">
        <v>156</v>
      </c>
    </row>
    <row r="5359" spans="1:10" x14ac:dyDescent="0.35">
      <c r="A5359" t="s">
        <v>136</v>
      </c>
      <c r="B5359" s="8">
        <v>44531</v>
      </c>
      <c r="C5359">
        <v>21171312</v>
      </c>
      <c r="D5359">
        <v>20522926</v>
      </c>
      <c r="E5359">
        <v>648386</v>
      </c>
      <c r="F5359" t="s">
        <v>179</v>
      </c>
      <c r="G5359" t="s">
        <v>264</v>
      </c>
      <c r="H5359" s="8">
        <v>43952</v>
      </c>
      <c r="I5359" s="8">
        <v>45777</v>
      </c>
      <c r="J5359" t="s">
        <v>156</v>
      </c>
    </row>
    <row r="5360" spans="1:10" x14ac:dyDescent="0.35">
      <c r="A5360" t="s">
        <v>136</v>
      </c>
      <c r="B5360" s="8">
        <v>44562</v>
      </c>
      <c r="C5360">
        <v>21171312</v>
      </c>
      <c r="D5360">
        <v>20527651</v>
      </c>
      <c r="E5360">
        <v>643661</v>
      </c>
      <c r="F5360" t="s">
        <v>179</v>
      </c>
      <c r="G5360" t="s">
        <v>264</v>
      </c>
      <c r="H5360" s="8">
        <v>43952</v>
      </c>
      <c r="I5360" s="8">
        <v>45777</v>
      </c>
      <c r="J5360" t="s">
        <v>156</v>
      </c>
    </row>
    <row r="5361" spans="1:10" x14ac:dyDescent="0.35">
      <c r="A5361" t="s">
        <v>136</v>
      </c>
      <c r="B5361" s="8">
        <v>44593</v>
      </c>
      <c r="C5361">
        <v>21171312</v>
      </c>
      <c r="D5361">
        <v>20527651</v>
      </c>
      <c r="E5361">
        <v>643661</v>
      </c>
      <c r="F5361" t="s">
        <v>179</v>
      </c>
      <c r="G5361" t="s">
        <v>264</v>
      </c>
      <c r="H5361" s="8">
        <v>43952</v>
      </c>
      <c r="I5361" s="8">
        <v>45777</v>
      </c>
      <c r="J5361" t="s">
        <v>156</v>
      </c>
    </row>
    <row r="5362" spans="1:10" x14ac:dyDescent="0.35">
      <c r="A5362" t="s">
        <v>136</v>
      </c>
      <c r="B5362" s="8">
        <v>44621</v>
      </c>
      <c r="C5362">
        <v>21171312</v>
      </c>
      <c r="D5362">
        <v>20583506</v>
      </c>
      <c r="E5362">
        <v>587806</v>
      </c>
      <c r="F5362" t="s">
        <v>179</v>
      </c>
      <c r="G5362" t="s">
        <v>264</v>
      </c>
      <c r="H5362" s="8">
        <v>43952</v>
      </c>
      <c r="I5362" s="8">
        <v>45777</v>
      </c>
      <c r="J5362" t="s">
        <v>156</v>
      </c>
    </row>
    <row r="5363" spans="1:10" x14ac:dyDescent="0.35">
      <c r="A5363" t="s">
        <v>136</v>
      </c>
      <c r="B5363" s="8">
        <v>44652</v>
      </c>
      <c r="C5363">
        <v>21171312</v>
      </c>
      <c r="D5363">
        <v>20583506</v>
      </c>
      <c r="E5363">
        <v>587806</v>
      </c>
      <c r="F5363" t="s">
        <v>179</v>
      </c>
      <c r="G5363" t="s">
        <v>264</v>
      </c>
      <c r="H5363" s="8">
        <v>43952</v>
      </c>
      <c r="I5363" s="8">
        <v>45777</v>
      </c>
      <c r="J5363" t="s">
        <v>156</v>
      </c>
    </row>
    <row r="5364" spans="1:10" x14ac:dyDescent="0.35">
      <c r="A5364" t="s">
        <v>136</v>
      </c>
      <c r="B5364" s="8">
        <v>44682</v>
      </c>
      <c r="C5364">
        <v>21171312</v>
      </c>
      <c r="D5364">
        <v>20643853</v>
      </c>
      <c r="E5364">
        <v>527459</v>
      </c>
      <c r="F5364" t="s">
        <v>179</v>
      </c>
      <c r="G5364" t="s">
        <v>264</v>
      </c>
      <c r="H5364" s="8">
        <v>43952</v>
      </c>
      <c r="I5364" s="8">
        <v>45777</v>
      </c>
      <c r="J5364" t="s">
        <v>156</v>
      </c>
    </row>
    <row r="5365" spans="1:10" x14ac:dyDescent="0.35">
      <c r="A5365" t="s">
        <v>136</v>
      </c>
      <c r="B5365" s="8">
        <v>44713</v>
      </c>
      <c r="C5365">
        <v>21171312</v>
      </c>
      <c r="D5365">
        <v>20674903</v>
      </c>
      <c r="E5365">
        <v>496409</v>
      </c>
      <c r="F5365" t="s">
        <v>179</v>
      </c>
      <c r="G5365" t="s">
        <v>264</v>
      </c>
      <c r="H5365" s="8">
        <v>43952</v>
      </c>
      <c r="I5365" s="8">
        <v>45777</v>
      </c>
      <c r="J5365" t="s">
        <v>156</v>
      </c>
    </row>
    <row r="5366" spans="1:10" x14ac:dyDescent="0.35">
      <c r="A5366" t="s">
        <v>136</v>
      </c>
      <c r="B5366" s="8">
        <v>44743</v>
      </c>
      <c r="C5366">
        <v>21171312</v>
      </c>
      <c r="D5366">
        <v>20690428</v>
      </c>
      <c r="E5366">
        <v>480884</v>
      </c>
      <c r="F5366" t="s">
        <v>179</v>
      </c>
      <c r="G5366" t="s">
        <v>264</v>
      </c>
      <c r="H5366" s="8">
        <v>43952</v>
      </c>
      <c r="I5366" s="8">
        <v>45777</v>
      </c>
      <c r="J5366" t="s">
        <v>156</v>
      </c>
    </row>
    <row r="5367" spans="1:10" x14ac:dyDescent="0.35">
      <c r="A5367" t="s">
        <v>136</v>
      </c>
      <c r="B5367" s="8">
        <v>44774</v>
      </c>
      <c r="C5367">
        <v>21171312</v>
      </c>
      <c r="D5367">
        <v>20690428</v>
      </c>
      <c r="E5367">
        <v>480884</v>
      </c>
      <c r="F5367" t="s">
        <v>179</v>
      </c>
      <c r="G5367" t="s">
        <v>264</v>
      </c>
      <c r="H5367" s="8">
        <v>43952</v>
      </c>
      <c r="I5367" s="8">
        <v>45777</v>
      </c>
      <c r="J5367" t="s">
        <v>156</v>
      </c>
    </row>
    <row r="5368" spans="1:10" x14ac:dyDescent="0.35">
      <c r="A5368" t="s">
        <v>136</v>
      </c>
      <c r="B5368" s="8">
        <v>44805</v>
      </c>
      <c r="C5368">
        <v>21171312</v>
      </c>
      <c r="D5368">
        <v>20966041</v>
      </c>
      <c r="E5368">
        <v>205271</v>
      </c>
      <c r="F5368" t="s">
        <v>179</v>
      </c>
      <c r="G5368" t="s">
        <v>264</v>
      </c>
      <c r="H5368" s="8">
        <v>43952</v>
      </c>
      <c r="I5368" s="8">
        <v>45777</v>
      </c>
      <c r="J5368" t="s">
        <v>156</v>
      </c>
    </row>
    <row r="5369" spans="1:10" x14ac:dyDescent="0.35">
      <c r="A5369" t="s">
        <v>136</v>
      </c>
      <c r="B5369" s="8">
        <v>44835</v>
      </c>
      <c r="C5369">
        <v>21171312</v>
      </c>
      <c r="D5369">
        <v>20966041</v>
      </c>
      <c r="E5369">
        <v>205271</v>
      </c>
      <c r="F5369" t="s">
        <v>179</v>
      </c>
      <c r="G5369" t="s">
        <v>264</v>
      </c>
      <c r="H5369" s="8">
        <v>43952</v>
      </c>
      <c r="I5369" s="8">
        <v>45777</v>
      </c>
      <c r="J5369" t="s">
        <v>156</v>
      </c>
    </row>
    <row r="5370" spans="1:10" x14ac:dyDescent="0.35">
      <c r="A5370" t="s">
        <v>136</v>
      </c>
      <c r="B5370" s="8">
        <v>44866</v>
      </c>
      <c r="C5370">
        <v>21171312</v>
      </c>
      <c r="D5370">
        <v>21003770</v>
      </c>
      <c r="E5370">
        <v>167542</v>
      </c>
      <c r="F5370" t="s">
        <v>179</v>
      </c>
      <c r="G5370" t="s">
        <v>264</v>
      </c>
      <c r="H5370" s="8">
        <v>43952</v>
      </c>
      <c r="I5370" s="8">
        <v>45777</v>
      </c>
      <c r="J5370" t="s">
        <v>156</v>
      </c>
    </row>
    <row r="5371" spans="1:10" x14ac:dyDescent="0.35">
      <c r="A5371" t="s">
        <v>136</v>
      </c>
      <c r="B5371" s="8">
        <v>44896</v>
      </c>
      <c r="C5371">
        <v>21171312</v>
      </c>
      <c r="D5371">
        <v>21079228</v>
      </c>
      <c r="E5371">
        <v>92084</v>
      </c>
      <c r="F5371" t="s">
        <v>179</v>
      </c>
      <c r="G5371" t="s">
        <v>264</v>
      </c>
      <c r="H5371" s="8">
        <v>43952</v>
      </c>
      <c r="I5371" s="8">
        <v>45777</v>
      </c>
      <c r="J5371" t="s">
        <v>156</v>
      </c>
    </row>
    <row r="5372" spans="1:10" x14ac:dyDescent="0.35">
      <c r="A5372" t="s">
        <v>136</v>
      </c>
      <c r="B5372" s="8">
        <v>44927</v>
      </c>
      <c r="C5372">
        <v>21171312</v>
      </c>
      <c r="D5372">
        <v>21106157</v>
      </c>
      <c r="E5372">
        <v>65155</v>
      </c>
      <c r="F5372" t="s">
        <v>179</v>
      </c>
      <c r="G5372" t="s">
        <v>264</v>
      </c>
      <c r="H5372" s="8">
        <v>43952</v>
      </c>
      <c r="I5372" s="8">
        <v>45777</v>
      </c>
      <c r="J5372" t="s">
        <v>156</v>
      </c>
    </row>
    <row r="5373" spans="1:10" x14ac:dyDescent="0.35">
      <c r="A5373" t="s">
        <v>136</v>
      </c>
      <c r="B5373" s="8">
        <v>44958</v>
      </c>
      <c r="C5373">
        <v>21171312</v>
      </c>
      <c r="D5373">
        <v>21106157</v>
      </c>
      <c r="E5373">
        <v>65155</v>
      </c>
      <c r="F5373" t="s">
        <v>179</v>
      </c>
      <c r="G5373" t="s">
        <v>264</v>
      </c>
      <c r="H5373" s="8">
        <v>43952</v>
      </c>
      <c r="I5373" s="8">
        <v>45777</v>
      </c>
      <c r="J5373" t="s">
        <v>156</v>
      </c>
    </row>
    <row r="5374" spans="1:10" x14ac:dyDescent="0.35">
      <c r="A5374" t="s">
        <v>136</v>
      </c>
      <c r="B5374" s="8">
        <v>44986</v>
      </c>
      <c r="C5374">
        <v>21171312</v>
      </c>
      <c r="D5374">
        <v>21148417</v>
      </c>
      <c r="E5374">
        <v>22895</v>
      </c>
      <c r="F5374" t="s">
        <v>179</v>
      </c>
      <c r="G5374" t="s">
        <v>264</v>
      </c>
      <c r="H5374" s="8">
        <v>43952</v>
      </c>
      <c r="I5374" s="8">
        <v>45777</v>
      </c>
      <c r="J5374" t="s">
        <v>156</v>
      </c>
    </row>
    <row r="5375" spans="1:10" x14ac:dyDescent="0.35">
      <c r="A5375" t="s">
        <v>136</v>
      </c>
      <c r="B5375" s="8">
        <v>45017</v>
      </c>
      <c r="C5375">
        <v>21171312</v>
      </c>
      <c r="D5375">
        <v>21171312</v>
      </c>
      <c r="E5375">
        <v>0</v>
      </c>
      <c r="F5375" t="s">
        <v>179</v>
      </c>
      <c r="G5375" t="s">
        <v>264</v>
      </c>
      <c r="H5375" s="8">
        <v>43952</v>
      </c>
      <c r="I5375" s="8">
        <v>45777</v>
      </c>
      <c r="J5375" t="s">
        <v>156</v>
      </c>
    </row>
    <row r="5376" spans="1:10" x14ac:dyDescent="0.35">
      <c r="A5376" t="s">
        <v>136</v>
      </c>
      <c r="B5376" s="8">
        <v>45047</v>
      </c>
      <c r="C5376">
        <v>21171312</v>
      </c>
      <c r="D5376">
        <v>21171312</v>
      </c>
      <c r="E5376">
        <v>0</v>
      </c>
      <c r="F5376" t="s">
        <v>179</v>
      </c>
      <c r="G5376" t="s">
        <v>264</v>
      </c>
      <c r="H5376" s="8">
        <v>43952</v>
      </c>
      <c r="I5376" s="8">
        <v>45777</v>
      </c>
      <c r="J5376" t="s">
        <v>156</v>
      </c>
    </row>
    <row r="5377" spans="1:10" x14ac:dyDescent="0.35">
      <c r="A5377" t="s">
        <v>136</v>
      </c>
      <c r="B5377" s="8">
        <v>45078</v>
      </c>
      <c r="C5377">
        <v>21171312</v>
      </c>
      <c r="D5377">
        <v>21171312</v>
      </c>
      <c r="E5377">
        <v>0</v>
      </c>
      <c r="F5377" t="s">
        <v>179</v>
      </c>
      <c r="G5377" t="s">
        <v>264</v>
      </c>
      <c r="H5377" s="8">
        <v>43952</v>
      </c>
      <c r="I5377" s="8">
        <v>45777</v>
      </c>
      <c r="J5377" t="s">
        <v>156</v>
      </c>
    </row>
    <row r="5378" spans="1:10" x14ac:dyDescent="0.35">
      <c r="A5378" t="s">
        <v>136</v>
      </c>
      <c r="B5378" s="8">
        <v>45108</v>
      </c>
      <c r="C5378">
        <v>21171312</v>
      </c>
      <c r="D5378">
        <v>21171312</v>
      </c>
      <c r="E5378">
        <v>0</v>
      </c>
      <c r="F5378" t="s">
        <v>179</v>
      </c>
      <c r="G5378" t="s">
        <v>264</v>
      </c>
      <c r="H5378" s="8">
        <v>43952</v>
      </c>
      <c r="I5378" s="8">
        <v>45777</v>
      </c>
      <c r="J5378" t="s">
        <v>156</v>
      </c>
    </row>
    <row r="5379" spans="1:10" x14ac:dyDescent="0.35">
      <c r="A5379" t="s">
        <v>136</v>
      </c>
      <c r="B5379" s="8">
        <v>45139</v>
      </c>
      <c r="C5379">
        <v>21171312</v>
      </c>
      <c r="D5379">
        <v>21171312</v>
      </c>
      <c r="E5379">
        <v>0</v>
      </c>
      <c r="F5379" t="s">
        <v>179</v>
      </c>
      <c r="G5379" t="s">
        <v>264</v>
      </c>
      <c r="H5379" s="8">
        <v>43952</v>
      </c>
      <c r="I5379" s="8">
        <v>45777</v>
      </c>
      <c r="J5379" t="s">
        <v>156</v>
      </c>
    </row>
    <row r="5380" spans="1:10" x14ac:dyDescent="0.35">
      <c r="A5380" t="s">
        <v>136</v>
      </c>
      <c r="B5380" s="8">
        <v>45170</v>
      </c>
      <c r="C5380">
        <v>21171312</v>
      </c>
      <c r="D5380">
        <v>21171312</v>
      </c>
      <c r="E5380">
        <v>0</v>
      </c>
      <c r="F5380" t="s">
        <v>179</v>
      </c>
      <c r="G5380" t="s">
        <v>264</v>
      </c>
      <c r="H5380" s="8">
        <v>43952</v>
      </c>
      <c r="I5380" s="8">
        <v>45777</v>
      </c>
      <c r="J5380" t="s">
        <v>156</v>
      </c>
    </row>
    <row r="5381" spans="1:10" x14ac:dyDescent="0.35">
      <c r="A5381" t="s">
        <v>297</v>
      </c>
      <c r="B5381" s="8">
        <v>43739</v>
      </c>
      <c r="C5381">
        <v>1000000</v>
      </c>
      <c r="D5381">
        <v>0</v>
      </c>
      <c r="E5381">
        <f>C5381-D5381</f>
        <v>1000000</v>
      </c>
      <c r="F5381" t="s">
        <v>179</v>
      </c>
      <c r="G5381" t="s">
        <v>309</v>
      </c>
      <c r="H5381" s="8">
        <v>43738</v>
      </c>
      <c r="I5381" s="8">
        <v>45564</v>
      </c>
      <c r="J5381" t="s">
        <v>189</v>
      </c>
    </row>
    <row r="5382" spans="1:10" x14ac:dyDescent="0.35">
      <c r="A5382" t="s">
        <v>298</v>
      </c>
      <c r="B5382" s="8">
        <v>43770</v>
      </c>
      <c r="C5382">
        <v>1000000</v>
      </c>
      <c r="D5382">
        <v>0</v>
      </c>
      <c r="E5382">
        <f t="shared" ref="E5382:E5392" si="77">C5382-D5382</f>
        <v>1000000</v>
      </c>
      <c r="F5382" t="s">
        <v>179</v>
      </c>
      <c r="G5382" t="s">
        <v>309</v>
      </c>
      <c r="H5382" s="8">
        <v>43739</v>
      </c>
      <c r="I5382" s="8">
        <v>45565</v>
      </c>
      <c r="J5382" t="s">
        <v>189</v>
      </c>
    </row>
    <row r="5383" spans="1:10" x14ac:dyDescent="0.35">
      <c r="A5383" t="s">
        <v>299</v>
      </c>
      <c r="B5383" s="8">
        <v>43800</v>
      </c>
      <c r="C5383">
        <v>1000000</v>
      </c>
      <c r="D5383">
        <v>0</v>
      </c>
      <c r="E5383">
        <f t="shared" si="77"/>
        <v>1000000</v>
      </c>
      <c r="F5383" t="s">
        <v>179</v>
      </c>
      <c r="G5383" t="s">
        <v>309</v>
      </c>
      <c r="H5383" s="8">
        <v>43740</v>
      </c>
      <c r="I5383" s="8">
        <v>45566</v>
      </c>
      <c r="J5383" t="s">
        <v>189</v>
      </c>
    </row>
    <row r="5384" spans="1:10" x14ac:dyDescent="0.35">
      <c r="A5384" t="s">
        <v>300</v>
      </c>
      <c r="B5384" s="8">
        <v>43831</v>
      </c>
      <c r="C5384">
        <v>1000000</v>
      </c>
      <c r="D5384">
        <v>0</v>
      </c>
      <c r="E5384">
        <f t="shared" si="77"/>
        <v>1000000</v>
      </c>
      <c r="F5384" t="s">
        <v>179</v>
      </c>
      <c r="G5384" t="s">
        <v>309</v>
      </c>
      <c r="H5384" s="8">
        <v>43741</v>
      </c>
      <c r="I5384" s="8">
        <v>45567</v>
      </c>
      <c r="J5384" t="s">
        <v>189</v>
      </c>
    </row>
    <row r="5385" spans="1:10" x14ac:dyDescent="0.35">
      <c r="A5385" t="s">
        <v>301</v>
      </c>
      <c r="B5385" s="8">
        <v>43862</v>
      </c>
      <c r="C5385">
        <v>1000000</v>
      </c>
      <c r="D5385">
        <v>0</v>
      </c>
      <c r="E5385">
        <f t="shared" si="77"/>
        <v>1000000</v>
      </c>
      <c r="F5385" t="s">
        <v>179</v>
      </c>
      <c r="G5385" t="s">
        <v>309</v>
      </c>
      <c r="H5385" s="8">
        <v>43742</v>
      </c>
      <c r="I5385" s="8">
        <v>45568</v>
      </c>
      <c r="J5385" t="s">
        <v>189</v>
      </c>
    </row>
    <row r="5386" spans="1:10" x14ac:dyDescent="0.35">
      <c r="A5386" t="s">
        <v>302</v>
      </c>
      <c r="B5386" s="8">
        <v>43891</v>
      </c>
      <c r="C5386">
        <v>1000000</v>
      </c>
      <c r="D5386">
        <v>0</v>
      </c>
      <c r="E5386">
        <f t="shared" si="77"/>
        <v>1000000</v>
      </c>
      <c r="F5386" t="s">
        <v>179</v>
      </c>
      <c r="G5386" t="s">
        <v>309</v>
      </c>
      <c r="H5386" s="8">
        <v>43743</v>
      </c>
      <c r="I5386" s="8">
        <v>45569</v>
      </c>
      <c r="J5386" t="s">
        <v>189</v>
      </c>
    </row>
    <row r="5387" spans="1:10" x14ac:dyDescent="0.35">
      <c r="A5387" t="s">
        <v>303</v>
      </c>
      <c r="B5387" s="8">
        <v>43922</v>
      </c>
      <c r="C5387">
        <v>1000000</v>
      </c>
      <c r="D5387">
        <v>0</v>
      </c>
      <c r="E5387">
        <f t="shared" si="77"/>
        <v>1000000</v>
      </c>
      <c r="F5387" t="s">
        <v>179</v>
      </c>
      <c r="G5387" t="s">
        <v>309</v>
      </c>
      <c r="H5387" s="8">
        <v>43744</v>
      </c>
      <c r="I5387" s="8">
        <v>45570</v>
      </c>
      <c r="J5387" t="s">
        <v>189</v>
      </c>
    </row>
    <row r="5388" spans="1:10" x14ac:dyDescent="0.35">
      <c r="A5388" t="s">
        <v>304</v>
      </c>
      <c r="B5388" s="8">
        <v>43952</v>
      </c>
      <c r="C5388">
        <v>1000000</v>
      </c>
      <c r="D5388">
        <v>0</v>
      </c>
      <c r="E5388">
        <f t="shared" si="77"/>
        <v>1000000</v>
      </c>
      <c r="F5388" t="s">
        <v>179</v>
      </c>
      <c r="G5388" t="s">
        <v>309</v>
      </c>
      <c r="H5388" s="8">
        <v>43745</v>
      </c>
      <c r="I5388" s="8">
        <v>45571</v>
      </c>
      <c r="J5388" t="s">
        <v>189</v>
      </c>
    </row>
    <row r="5389" spans="1:10" x14ac:dyDescent="0.35">
      <c r="A5389" t="s">
        <v>305</v>
      </c>
      <c r="B5389" s="8">
        <v>43983</v>
      </c>
      <c r="C5389">
        <v>1000000</v>
      </c>
      <c r="D5389">
        <v>0</v>
      </c>
      <c r="E5389">
        <f t="shared" si="77"/>
        <v>1000000</v>
      </c>
      <c r="F5389" t="s">
        <v>179</v>
      </c>
      <c r="G5389" t="s">
        <v>309</v>
      </c>
      <c r="H5389" s="8">
        <v>43746</v>
      </c>
      <c r="I5389" s="8">
        <v>45572</v>
      </c>
      <c r="J5389" t="s">
        <v>189</v>
      </c>
    </row>
    <row r="5390" spans="1:10" x14ac:dyDescent="0.35">
      <c r="A5390" t="s">
        <v>306</v>
      </c>
      <c r="B5390" s="8">
        <v>44013</v>
      </c>
      <c r="C5390">
        <v>1000000</v>
      </c>
      <c r="D5390">
        <v>0</v>
      </c>
      <c r="E5390">
        <f t="shared" si="77"/>
        <v>1000000</v>
      </c>
      <c r="F5390" t="s">
        <v>179</v>
      </c>
      <c r="G5390" t="s">
        <v>309</v>
      </c>
      <c r="H5390" s="8">
        <v>43747</v>
      </c>
      <c r="I5390" s="8">
        <v>45573</v>
      </c>
      <c r="J5390" t="s">
        <v>189</v>
      </c>
    </row>
    <row r="5391" spans="1:10" x14ac:dyDescent="0.35">
      <c r="A5391" t="s">
        <v>307</v>
      </c>
      <c r="B5391" s="8">
        <v>44044</v>
      </c>
      <c r="C5391">
        <v>1000000</v>
      </c>
      <c r="D5391">
        <v>0</v>
      </c>
      <c r="E5391">
        <f t="shared" si="77"/>
        <v>1000000</v>
      </c>
      <c r="F5391" t="s">
        <v>179</v>
      </c>
      <c r="G5391" t="s">
        <v>309</v>
      </c>
      <c r="H5391" s="8">
        <v>43748</v>
      </c>
      <c r="I5391" s="8">
        <v>45574</v>
      </c>
      <c r="J5391" t="s">
        <v>189</v>
      </c>
    </row>
    <row r="5392" spans="1:10" x14ac:dyDescent="0.35">
      <c r="A5392" t="s">
        <v>308</v>
      </c>
      <c r="B5392" s="8">
        <v>44075</v>
      </c>
      <c r="C5392">
        <v>1000000</v>
      </c>
      <c r="D5392">
        <v>100000</v>
      </c>
      <c r="E5392">
        <f t="shared" si="77"/>
        <v>900000</v>
      </c>
      <c r="F5392" t="s">
        <v>179</v>
      </c>
      <c r="G5392" t="s">
        <v>309</v>
      </c>
      <c r="H5392" s="8">
        <v>43749</v>
      </c>
      <c r="I5392" s="8">
        <v>45575</v>
      </c>
      <c r="J5392" t="s">
        <v>189</v>
      </c>
    </row>
    <row r="5393" spans="2:2" x14ac:dyDescent="0.35">
      <c r="B5393" s="8"/>
    </row>
    <row r="5394" spans="2:2" x14ac:dyDescent="0.35">
      <c r="B5394" s="8"/>
    </row>
    <row r="5395" spans="2:2" x14ac:dyDescent="0.35">
      <c r="B5395" s="8"/>
    </row>
    <row r="5408" spans="2:2" x14ac:dyDescent="0.35">
      <c r="B5408" s="8"/>
    </row>
    <row r="5409" spans="2:2" x14ac:dyDescent="0.35">
      <c r="B5409" s="8"/>
    </row>
    <row r="5410" spans="2:2" x14ac:dyDescent="0.35">
      <c r="B5410" s="8"/>
    </row>
    <row r="5411" spans="2:2" x14ac:dyDescent="0.35">
      <c r="B5411" s="8"/>
    </row>
    <row r="5412" spans="2:2" x14ac:dyDescent="0.35">
      <c r="B5412" s="8"/>
    </row>
    <row r="5413" spans="2:2" x14ac:dyDescent="0.35">
      <c r="B5413" s="8"/>
    </row>
    <row r="5414" spans="2:2" x14ac:dyDescent="0.35">
      <c r="B5414" s="8"/>
    </row>
    <row r="5415" spans="2:2" x14ac:dyDescent="0.35">
      <c r="B5415" s="8"/>
    </row>
    <row r="5416" spans="2:2" x14ac:dyDescent="0.35">
      <c r="B5416" s="8"/>
    </row>
    <row r="5430" spans="2:2" x14ac:dyDescent="0.35">
      <c r="B5430" s="8"/>
    </row>
    <row r="5431" spans="2:2" x14ac:dyDescent="0.35">
      <c r="B5431" s="8"/>
    </row>
    <row r="5432" spans="2:2" x14ac:dyDescent="0.35">
      <c r="B5432" s="8"/>
    </row>
    <row r="5433" spans="2:2" x14ac:dyDescent="0.35">
      <c r="B5433" s="8"/>
    </row>
    <row r="5434" spans="2:2" x14ac:dyDescent="0.35">
      <c r="B5434" s="8"/>
    </row>
    <row r="5435" spans="2:2" x14ac:dyDescent="0.35">
      <c r="B5435" s="8"/>
    </row>
    <row r="5436" spans="2:2" x14ac:dyDescent="0.35">
      <c r="B5436" s="8"/>
    </row>
    <row r="5437" spans="2:2" x14ac:dyDescent="0.35">
      <c r="B5437" s="8"/>
    </row>
    <row r="5438" spans="2:2" x14ac:dyDescent="0.35">
      <c r="B5438" s="8"/>
    </row>
    <row r="5439" spans="2:2" x14ac:dyDescent="0.35">
      <c r="B5439" s="8"/>
    </row>
    <row r="5440" spans="2:2" x14ac:dyDescent="0.35">
      <c r="B5440" s="8"/>
    </row>
    <row r="5441" spans="2:2" x14ac:dyDescent="0.35">
      <c r="B5441" s="8"/>
    </row>
    <row r="5442" spans="2:2" x14ac:dyDescent="0.35">
      <c r="B5442" s="8"/>
    </row>
    <row r="5443" spans="2:2" x14ac:dyDescent="0.35">
      <c r="B5443" s="8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Kearns, Ronan</dc:creator>
  <cp:lastModifiedBy>Kearns, Ronan</cp:lastModifiedBy>
  <dcterms:created xsi:type="dcterms:W3CDTF">2025-02-14T13:51:38Z</dcterms:created>
  <dcterms:modified xsi:type="dcterms:W3CDTF">2025-04-02T19:20:58Z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2025-02-14T13:51:49Z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14352c08-4499-4fb9-8762-2abd8f654860</vt:lpwstr>
  </property>
  <property fmtid="{D5CDD505-2E9C-101B-9397-08002B2CF9AE}" pid="8" name="MSIP_Label_ea60d57e-af5b-4752-ac57-3e4f28ca11dc_ContentBits">
    <vt:lpwstr>0</vt:lpwstr>
  </property>
</Properties>
</file>